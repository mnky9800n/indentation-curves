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alissakotowski/Desktop/Indentation Data Processing/KCT1C/HFSM pink 001ish/"/>
    </mc:Choice>
  </mc:AlternateContent>
  <xr:revisionPtr revIDLastSave="0" documentId="13_ncr:1_{07063B0E-D1F6-6741-93C9-C94B6DF6F13E}" xr6:coauthVersionLast="47" xr6:coauthVersionMax="47" xr10:uidLastSave="{00000000-0000-0000-0000-000000000000}"/>
  <bookViews>
    <workbookView xWindow="380" yWindow="500" windowWidth="28040" windowHeight="16380" activeTab="2" xr2:uid="{00000000-000D-0000-FFFF-FFFF00000000}"/>
  </bookViews>
  <sheets>
    <sheet name="pink_001ish_hfsm2_75#1" sheetId="1" r:id="rId1"/>
    <sheet name="curves raw" sheetId="2" r:id="rId2"/>
    <sheet name="curves processed" sheetId="3" r:id="rId3"/>
  </sheets>
  <definedNames>
    <definedName name="_xlchart.v1.0" hidden="1">'curves processed'!$AL$2:$AL$1439</definedName>
    <definedName name="_xlchart.v1.1" hidden="1">'curves processed'!$AM$2:$AM$1439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E1438" i="3" l="1"/>
  <c r="AF1438" i="3"/>
  <c r="AG1438" i="3"/>
  <c r="AP1438" i="3" s="1"/>
  <c r="AI1438" i="3"/>
  <c r="AJ1438" i="3"/>
  <c r="AL1438" i="3"/>
  <c r="AM1438" i="3"/>
  <c r="AO1438" i="3"/>
  <c r="AE1439" i="3"/>
  <c r="AF1439" i="3"/>
  <c r="AG1439" i="3"/>
  <c r="AO1439" i="3" s="1"/>
  <c r="AI1439" i="3"/>
  <c r="AJ1439" i="3"/>
  <c r="AL1439" i="3"/>
  <c r="AM1439" i="3"/>
  <c r="AE1430" i="3"/>
  <c r="AI1430" i="3" s="1"/>
  <c r="AF1430" i="3"/>
  <c r="AM1430" i="3" s="1"/>
  <c r="AG1430" i="3"/>
  <c r="AJ1430" i="3"/>
  <c r="AL1430" i="3"/>
  <c r="AO1430" i="3"/>
  <c r="AP1430" i="3"/>
  <c r="AE1431" i="3"/>
  <c r="AI1431" i="3" s="1"/>
  <c r="AF1431" i="3"/>
  <c r="AG1431" i="3"/>
  <c r="AJ1431" i="3"/>
  <c r="AL1431" i="3"/>
  <c r="AM1431" i="3"/>
  <c r="AO1431" i="3"/>
  <c r="AP1431" i="3"/>
  <c r="AE1432" i="3"/>
  <c r="AF1432" i="3"/>
  <c r="AG1432" i="3"/>
  <c r="AI1432" i="3"/>
  <c r="AJ1432" i="3"/>
  <c r="AL1432" i="3"/>
  <c r="AM1432" i="3"/>
  <c r="AO1432" i="3"/>
  <c r="AP1432" i="3"/>
  <c r="AE1433" i="3"/>
  <c r="AF1433" i="3"/>
  <c r="AG1433" i="3"/>
  <c r="AO1433" i="3" s="1"/>
  <c r="AI1433" i="3"/>
  <c r="AJ1433" i="3"/>
  <c r="AL1433" i="3"/>
  <c r="AM1433" i="3"/>
  <c r="AE1434" i="3"/>
  <c r="AI1434" i="3" s="1"/>
  <c r="AF1434" i="3"/>
  <c r="AM1434" i="3" s="1"/>
  <c r="AG1434" i="3"/>
  <c r="AJ1434" i="3"/>
  <c r="AL1434" i="3"/>
  <c r="AO1434" i="3"/>
  <c r="AP1434" i="3"/>
  <c r="AE1435" i="3"/>
  <c r="AF1435" i="3"/>
  <c r="AG1435" i="3"/>
  <c r="AI1435" i="3"/>
  <c r="AJ1435" i="3"/>
  <c r="AL1435" i="3"/>
  <c r="AM1435" i="3"/>
  <c r="AO1435" i="3"/>
  <c r="AP1435" i="3"/>
  <c r="AE1436" i="3"/>
  <c r="AF1436" i="3"/>
  <c r="AG1436" i="3"/>
  <c r="AI1436" i="3"/>
  <c r="AJ1436" i="3"/>
  <c r="AL1436" i="3"/>
  <c r="AM1436" i="3"/>
  <c r="AO1436" i="3"/>
  <c r="AP1436" i="3"/>
  <c r="AE1437" i="3"/>
  <c r="AF1437" i="3"/>
  <c r="AG1437" i="3"/>
  <c r="AI1437" i="3"/>
  <c r="AJ1437" i="3"/>
  <c r="AL1437" i="3"/>
  <c r="AM1437" i="3"/>
  <c r="AO1437" i="3"/>
  <c r="AP1437" i="3"/>
  <c r="AE16" i="3"/>
  <c r="AI16" i="3" s="1"/>
  <c r="AF16" i="3"/>
  <c r="AM16" i="3" s="1"/>
  <c r="AG16" i="3"/>
  <c r="AJ16" i="3"/>
  <c r="AL16" i="3"/>
  <c r="AO16" i="3"/>
  <c r="AP16" i="3"/>
  <c r="AE17" i="3"/>
  <c r="AI17" i="3" s="1"/>
  <c r="AF17" i="3"/>
  <c r="AG17" i="3"/>
  <c r="AJ17" i="3"/>
  <c r="AL17" i="3"/>
  <c r="AM17" i="3"/>
  <c r="AO17" i="3"/>
  <c r="AP17" i="3"/>
  <c r="AE18" i="3"/>
  <c r="AF18" i="3"/>
  <c r="AG18" i="3"/>
  <c r="AI18" i="3"/>
  <c r="AJ18" i="3"/>
  <c r="AL18" i="3"/>
  <c r="AM18" i="3"/>
  <c r="AO18" i="3"/>
  <c r="AP18" i="3"/>
  <c r="AE19" i="3"/>
  <c r="AF19" i="3"/>
  <c r="AG19" i="3"/>
  <c r="AO19" i="3" s="1"/>
  <c r="AI19" i="3"/>
  <c r="AJ19" i="3"/>
  <c r="AL19" i="3"/>
  <c r="AM19" i="3"/>
  <c r="AE20" i="3"/>
  <c r="AF20" i="3"/>
  <c r="AM20" i="3" s="1"/>
  <c r="AG20" i="3"/>
  <c r="AP20" i="3" s="1"/>
  <c r="AI20" i="3"/>
  <c r="AJ20" i="3"/>
  <c r="AL20" i="3"/>
  <c r="AO20" i="3"/>
  <c r="AE21" i="3"/>
  <c r="AI21" i="3" s="1"/>
  <c r="AF21" i="3"/>
  <c r="AG21" i="3"/>
  <c r="AJ21" i="3"/>
  <c r="AL21" i="3"/>
  <c r="AM21" i="3"/>
  <c r="AO21" i="3"/>
  <c r="AP21" i="3"/>
  <c r="AE22" i="3"/>
  <c r="AF22" i="3"/>
  <c r="AG22" i="3"/>
  <c r="AI22" i="3"/>
  <c r="AJ22" i="3"/>
  <c r="AL22" i="3"/>
  <c r="AM22" i="3"/>
  <c r="AO22" i="3"/>
  <c r="AP22" i="3"/>
  <c r="AE23" i="3"/>
  <c r="AF23" i="3"/>
  <c r="AG23" i="3"/>
  <c r="AI23" i="3"/>
  <c r="AJ23" i="3"/>
  <c r="AL23" i="3"/>
  <c r="AM23" i="3"/>
  <c r="AO23" i="3"/>
  <c r="AP23" i="3"/>
  <c r="AE24" i="3"/>
  <c r="AF24" i="3"/>
  <c r="AG24" i="3"/>
  <c r="AP24" i="3" s="1"/>
  <c r="AI24" i="3"/>
  <c r="AJ24" i="3"/>
  <c r="AL24" i="3"/>
  <c r="AM24" i="3"/>
  <c r="AO24" i="3"/>
  <c r="AE25" i="3"/>
  <c r="AI25" i="3" s="1"/>
  <c r="AF25" i="3"/>
  <c r="AG25" i="3"/>
  <c r="AO25" i="3" s="1"/>
  <c r="AJ25" i="3"/>
  <c r="AL25" i="3"/>
  <c r="AM25" i="3"/>
  <c r="AP25" i="3"/>
  <c r="AE26" i="3"/>
  <c r="AF26" i="3"/>
  <c r="AM26" i="3" s="1"/>
  <c r="AG26" i="3"/>
  <c r="AI26" i="3"/>
  <c r="AJ26" i="3"/>
  <c r="AL26" i="3"/>
  <c r="AO26" i="3"/>
  <c r="AP26" i="3"/>
  <c r="AE27" i="3"/>
  <c r="AF27" i="3"/>
  <c r="AG27" i="3"/>
  <c r="AI27" i="3"/>
  <c r="AJ27" i="3"/>
  <c r="AL27" i="3"/>
  <c r="AM27" i="3"/>
  <c r="AO27" i="3"/>
  <c r="AP27" i="3"/>
  <c r="AE28" i="3"/>
  <c r="AF28" i="3"/>
  <c r="AG28" i="3"/>
  <c r="AP28" i="3" s="1"/>
  <c r="AI28" i="3"/>
  <c r="AJ28" i="3"/>
  <c r="AL28" i="3"/>
  <c r="AM28" i="3"/>
  <c r="AO28" i="3"/>
  <c r="AE29" i="3"/>
  <c r="AI29" i="3" s="1"/>
  <c r="AF29" i="3"/>
  <c r="AG29" i="3"/>
  <c r="AO29" i="3" s="1"/>
  <c r="AJ29" i="3"/>
  <c r="AL29" i="3"/>
  <c r="AM29" i="3"/>
  <c r="AP29" i="3"/>
  <c r="AE30" i="3"/>
  <c r="AI30" i="3" s="1"/>
  <c r="AF30" i="3"/>
  <c r="AM30" i="3" s="1"/>
  <c r="AG30" i="3"/>
  <c r="AJ30" i="3"/>
  <c r="AL30" i="3"/>
  <c r="AO30" i="3"/>
  <c r="AP30" i="3"/>
  <c r="AE31" i="3"/>
  <c r="AI31" i="3" s="1"/>
  <c r="AF31" i="3"/>
  <c r="AG31" i="3"/>
  <c r="AJ31" i="3"/>
  <c r="AL31" i="3"/>
  <c r="AM31" i="3"/>
  <c r="AO31" i="3"/>
  <c r="AP31" i="3"/>
  <c r="AE32" i="3"/>
  <c r="AF32" i="3"/>
  <c r="AG32" i="3"/>
  <c r="AP32" i="3" s="1"/>
  <c r="AI32" i="3"/>
  <c r="AJ32" i="3"/>
  <c r="AL32" i="3"/>
  <c r="AM32" i="3"/>
  <c r="AO32" i="3"/>
  <c r="AE33" i="3"/>
  <c r="AI33" i="3" s="1"/>
  <c r="AF33" i="3"/>
  <c r="AG33" i="3"/>
  <c r="AO33" i="3" s="1"/>
  <c r="AJ33" i="3"/>
  <c r="AL33" i="3"/>
  <c r="AM33" i="3"/>
  <c r="AP33" i="3"/>
  <c r="AE34" i="3"/>
  <c r="AF34" i="3"/>
  <c r="AM34" i="3" s="1"/>
  <c r="AG34" i="3"/>
  <c r="AI34" i="3"/>
  <c r="AJ34" i="3"/>
  <c r="AL34" i="3"/>
  <c r="AO34" i="3"/>
  <c r="AP34" i="3"/>
  <c r="AE35" i="3"/>
  <c r="AF35" i="3"/>
  <c r="AG35" i="3"/>
  <c r="AI35" i="3"/>
  <c r="AJ35" i="3"/>
  <c r="AL35" i="3"/>
  <c r="AM35" i="3"/>
  <c r="AO35" i="3"/>
  <c r="AP35" i="3"/>
  <c r="AE36" i="3"/>
  <c r="AF36" i="3"/>
  <c r="AG36" i="3"/>
  <c r="AP36" i="3" s="1"/>
  <c r="AI36" i="3"/>
  <c r="AJ36" i="3"/>
  <c r="AL36" i="3"/>
  <c r="AM36" i="3"/>
  <c r="AO36" i="3"/>
  <c r="AE37" i="3"/>
  <c r="AI37" i="3" s="1"/>
  <c r="AF37" i="3"/>
  <c r="AG37" i="3"/>
  <c r="AO37" i="3" s="1"/>
  <c r="AJ37" i="3"/>
  <c r="AL37" i="3"/>
  <c r="AM37" i="3"/>
  <c r="AP37" i="3"/>
  <c r="AE38" i="3"/>
  <c r="AF38" i="3"/>
  <c r="AM38" i="3" s="1"/>
  <c r="AG38" i="3"/>
  <c r="AI38" i="3"/>
  <c r="AJ38" i="3"/>
  <c r="AL38" i="3"/>
  <c r="AO38" i="3"/>
  <c r="AP38" i="3"/>
  <c r="AE39" i="3"/>
  <c r="AF39" i="3"/>
  <c r="AG39" i="3"/>
  <c r="AI39" i="3"/>
  <c r="AJ39" i="3"/>
  <c r="AL39" i="3"/>
  <c r="AM39" i="3"/>
  <c r="AO39" i="3"/>
  <c r="AP39" i="3"/>
  <c r="AE40" i="3"/>
  <c r="AF40" i="3"/>
  <c r="AG40" i="3"/>
  <c r="AP40" i="3" s="1"/>
  <c r="AI40" i="3"/>
  <c r="AJ40" i="3"/>
  <c r="AL40" i="3"/>
  <c r="AM40" i="3"/>
  <c r="AE41" i="3"/>
  <c r="AI41" i="3" s="1"/>
  <c r="AF41" i="3"/>
  <c r="AM41" i="3" s="1"/>
  <c r="AG41" i="3"/>
  <c r="AO41" i="3" s="1"/>
  <c r="AJ41" i="3"/>
  <c r="AL41" i="3"/>
  <c r="AP41" i="3"/>
  <c r="AE42" i="3"/>
  <c r="AF42" i="3"/>
  <c r="AM42" i="3" s="1"/>
  <c r="AG42" i="3"/>
  <c r="AI42" i="3"/>
  <c r="AJ42" i="3"/>
  <c r="AL42" i="3"/>
  <c r="AO42" i="3"/>
  <c r="AP42" i="3"/>
  <c r="AE43" i="3"/>
  <c r="AF43" i="3"/>
  <c r="AG43" i="3"/>
  <c r="AP43" i="3" s="1"/>
  <c r="AI43" i="3"/>
  <c r="AJ43" i="3"/>
  <c r="AL43" i="3"/>
  <c r="AM43" i="3"/>
  <c r="AO43" i="3"/>
  <c r="AE44" i="3"/>
  <c r="AF44" i="3"/>
  <c r="AG44" i="3"/>
  <c r="AP44" i="3" s="1"/>
  <c r="AI44" i="3"/>
  <c r="AJ44" i="3"/>
  <c r="AL44" i="3"/>
  <c r="AM44" i="3"/>
  <c r="AE45" i="3"/>
  <c r="AI45" i="3" s="1"/>
  <c r="AF45" i="3"/>
  <c r="AM45" i="3" s="1"/>
  <c r="AG45" i="3"/>
  <c r="AO45" i="3" s="1"/>
  <c r="AJ45" i="3"/>
  <c r="AL45" i="3"/>
  <c r="AP45" i="3"/>
  <c r="AE46" i="3"/>
  <c r="AF46" i="3"/>
  <c r="AG46" i="3"/>
  <c r="AI46" i="3"/>
  <c r="AJ46" i="3"/>
  <c r="AL46" i="3"/>
  <c r="AM46" i="3"/>
  <c r="AO46" i="3"/>
  <c r="AP46" i="3"/>
  <c r="AE47" i="3"/>
  <c r="AF47" i="3"/>
  <c r="AG47" i="3"/>
  <c r="AP47" i="3" s="1"/>
  <c r="AI47" i="3"/>
  <c r="AJ47" i="3"/>
  <c r="AL47" i="3"/>
  <c r="AM47" i="3"/>
  <c r="AO47" i="3"/>
  <c r="AE48" i="3"/>
  <c r="AF48" i="3"/>
  <c r="AG48" i="3"/>
  <c r="AP48" i="3" s="1"/>
  <c r="AI48" i="3"/>
  <c r="AJ48" i="3"/>
  <c r="AL48" i="3"/>
  <c r="AM48" i="3"/>
  <c r="AE49" i="3"/>
  <c r="AI49" i="3" s="1"/>
  <c r="AF49" i="3"/>
  <c r="AM49" i="3" s="1"/>
  <c r="AG49" i="3"/>
  <c r="AJ49" i="3"/>
  <c r="AL49" i="3"/>
  <c r="AO49" i="3"/>
  <c r="AP49" i="3"/>
  <c r="AE50" i="3"/>
  <c r="AF50" i="3"/>
  <c r="AG50" i="3"/>
  <c r="AI50" i="3"/>
  <c r="AJ50" i="3"/>
  <c r="AL50" i="3"/>
  <c r="AM50" i="3"/>
  <c r="AO50" i="3"/>
  <c r="AP50" i="3"/>
  <c r="AE51" i="3"/>
  <c r="AF51" i="3"/>
  <c r="AG51" i="3"/>
  <c r="AP51" i="3" s="1"/>
  <c r="AI51" i="3"/>
  <c r="AJ51" i="3"/>
  <c r="AL51" i="3"/>
  <c r="AM51" i="3"/>
  <c r="AO51" i="3"/>
  <c r="AE52" i="3"/>
  <c r="AF52" i="3"/>
  <c r="AG52" i="3"/>
  <c r="AP52" i="3" s="1"/>
  <c r="AI52" i="3"/>
  <c r="AJ52" i="3"/>
  <c r="AL52" i="3"/>
  <c r="AM52" i="3"/>
  <c r="AE53" i="3"/>
  <c r="AI53" i="3" s="1"/>
  <c r="AF53" i="3"/>
  <c r="AM53" i="3" s="1"/>
  <c r="AG53" i="3"/>
  <c r="AJ53" i="3"/>
  <c r="AL53" i="3"/>
  <c r="AO53" i="3"/>
  <c r="AP53" i="3"/>
  <c r="AE54" i="3"/>
  <c r="AI54" i="3" s="1"/>
  <c r="AF54" i="3"/>
  <c r="AG54" i="3"/>
  <c r="AJ54" i="3"/>
  <c r="AL54" i="3"/>
  <c r="AM54" i="3"/>
  <c r="AO54" i="3"/>
  <c r="AP54" i="3"/>
  <c r="AE55" i="3"/>
  <c r="AF55" i="3"/>
  <c r="AG55" i="3"/>
  <c r="AP55" i="3" s="1"/>
  <c r="AI55" i="3"/>
  <c r="AJ55" i="3"/>
  <c r="AL55" i="3"/>
  <c r="AM55" i="3"/>
  <c r="AO55" i="3"/>
  <c r="AE56" i="3"/>
  <c r="AF56" i="3"/>
  <c r="AG56" i="3"/>
  <c r="AP56" i="3" s="1"/>
  <c r="AI56" i="3"/>
  <c r="AJ56" i="3"/>
  <c r="AL56" i="3"/>
  <c r="AM56" i="3"/>
  <c r="AE57" i="3"/>
  <c r="AI57" i="3" s="1"/>
  <c r="AF57" i="3"/>
  <c r="AM57" i="3" s="1"/>
  <c r="AG57" i="3"/>
  <c r="AJ57" i="3"/>
  <c r="AL57" i="3"/>
  <c r="AO57" i="3"/>
  <c r="AP57" i="3"/>
  <c r="AE58" i="3"/>
  <c r="AI58" i="3" s="1"/>
  <c r="AF58" i="3"/>
  <c r="AG58" i="3"/>
  <c r="AJ58" i="3"/>
  <c r="AL58" i="3"/>
  <c r="AM58" i="3"/>
  <c r="AO58" i="3"/>
  <c r="AP58" i="3"/>
  <c r="AE59" i="3"/>
  <c r="AF59" i="3"/>
  <c r="AG59" i="3"/>
  <c r="AP59" i="3" s="1"/>
  <c r="AI59" i="3"/>
  <c r="AJ59" i="3"/>
  <c r="AL59" i="3"/>
  <c r="AM59" i="3"/>
  <c r="AO59" i="3"/>
  <c r="AE60" i="3"/>
  <c r="AF60" i="3"/>
  <c r="AG60" i="3"/>
  <c r="AP60" i="3" s="1"/>
  <c r="AI60" i="3"/>
  <c r="AJ60" i="3"/>
  <c r="AL60" i="3"/>
  <c r="AM60" i="3"/>
  <c r="AE61" i="3"/>
  <c r="AI61" i="3" s="1"/>
  <c r="AF61" i="3"/>
  <c r="AM61" i="3" s="1"/>
  <c r="AG61" i="3"/>
  <c r="AJ61" i="3"/>
  <c r="AL61" i="3"/>
  <c r="AO61" i="3"/>
  <c r="AP61" i="3"/>
  <c r="AE62" i="3"/>
  <c r="AI62" i="3" s="1"/>
  <c r="AF62" i="3"/>
  <c r="AG62" i="3"/>
  <c r="AJ62" i="3"/>
  <c r="AL62" i="3"/>
  <c r="AM62" i="3"/>
  <c r="AO62" i="3"/>
  <c r="AP62" i="3"/>
  <c r="AE63" i="3"/>
  <c r="AF63" i="3"/>
  <c r="AG63" i="3"/>
  <c r="AP63" i="3" s="1"/>
  <c r="AI63" i="3"/>
  <c r="AJ63" i="3"/>
  <c r="AL63" i="3"/>
  <c r="AM63" i="3"/>
  <c r="AO63" i="3"/>
  <c r="AE64" i="3"/>
  <c r="AF64" i="3"/>
  <c r="AG64" i="3"/>
  <c r="AP64" i="3" s="1"/>
  <c r="AI64" i="3"/>
  <c r="AJ64" i="3"/>
  <c r="AL64" i="3"/>
  <c r="AM64" i="3"/>
  <c r="AE65" i="3"/>
  <c r="AI65" i="3" s="1"/>
  <c r="AF65" i="3"/>
  <c r="AM65" i="3" s="1"/>
  <c r="AG65" i="3"/>
  <c r="AJ65" i="3"/>
  <c r="AL65" i="3"/>
  <c r="AO65" i="3"/>
  <c r="AP65" i="3"/>
  <c r="AE66" i="3"/>
  <c r="AI66" i="3" s="1"/>
  <c r="AF66" i="3"/>
  <c r="AG66" i="3"/>
  <c r="AJ66" i="3"/>
  <c r="AL66" i="3"/>
  <c r="AM66" i="3"/>
  <c r="AO66" i="3"/>
  <c r="AP66" i="3"/>
  <c r="AE67" i="3"/>
  <c r="AF67" i="3"/>
  <c r="AG67" i="3"/>
  <c r="AP67" i="3" s="1"/>
  <c r="AI67" i="3"/>
  <c r="AJ67" i="3"/>
  <c r="AL67" i="3"/>
  <c r="AM67" i="3"/>
  <c r="AO67" i="3"/>
  <c r="AE68" i="3"/>
  <c r="AF68" i="3"/>
  <c r="AG68" i="3"/>
  <c r="AP68" i="3" s="1"/>
  <c r="AI68" i="3"/>
  <c r="AJ68" i="3"/>
  <c r="AL68" i="3"/>
  <c r="AM68" i="3"/>
  <c r="AE69" i="3"/>
  <c r="AI69" i="3" s="1"/>
  <c r="AF69" i="3"/>
  <c r="AM69" i="3" s="1"/>
  <c r="AG69" i="3"/>
  <c r="AJ69" i="3"/>
  <c r="AL69" i="3"/>
  <c r="AO69" i="3"/>
  <c r="AP69" i="3"/>
  <c r="AE70" i="3"/>
  <c r="AI70" i="3" s="1"/>
  <c r="AF70" i="3"/>
  <c r="AG70" i="3"/>
  <c r="AJ70" i="3"/>
  <c r="AL70" i="3"/>
  <c r="AM70" i="3"/>
  <c r="AO70" i="3"/>
  <c r="AP70" i="3"/>
  <c r="AE71" i="3"/>
  <c r="AF71" i="3"/>
  <c r="AG71" i="3"/>
  <c r="AP71" i="3" s="1"/>
  <c r="AI71" i="3"/>
  <c r="AJ71" i="3"/>
  <c r="AL71" i="3"/>
  <c r="AM71" i="3"/>
  <c r="AO71" i="3"/>
  <c r="AE72" i="3"/>
  <c r="AF72" i="3"/>
  <c r="AG72" i="3"/>
  <c r="AP72" i="3" s="1"/>
  <c r="AI72" i="3"/>
  <c r="AJ72" i="3"/>
  <c r="AL72" i="3"/>
  <c r="AM72" i="3"/>
  <c r="AE73" i="3"/>
  <c r="AI73" i="3" s="1"/>
  <c r="AF73" i="3"/>
  <c r="AM73" i="3" s="1"/>
  <c r="AG73" i="3"/>
  <c r="AJ73" i="3"/>
  <c r="AL73" i="3"/>
  <c r="AO73" i="3"/>
  <c r="AP73" i="3"/>
  <c r="AE74" i="3"/>
  <c r="AI74" i="3" s="1"/>
  <c r="AF74" i="3"/>
  <c r="AG74" i="3"/>
  <c r="AJ74" i="3"/>
  <c r="AL74" i="3"/>
  <c r="AM74" i="3"/>
  <c r="AO74" i="3"/>
  <c r="AP74" i="3"/>
  <c r="AE75" i="3"/>
  <c r="AF75" i="3"/>
  <c r="AG75" i="3"/>
  <c r="AP75" i="3" s="1"/>
  <c r="AI75" i="3"/>
  <c r="AJ75" i="3"/>
  <c r="AL75" i="3"/>
  <c r="AM75" i="3"/>
  <c r="AO75" i="3"/>
  <c r="AE76" i="3"/>
  <c r="AF76" i="3"/>
  <c r="AG76" i="3"/>
  <c r="AP76" i="3" s="1"/>
  <c r="AI76" i="3"/>
  <c r="AJ76" i="3"/>
  <c r="AL76" i="3"/>
  <c r="AM76" i="3"/>
  <c r="AE77" i="3"/>
  <c r="AI77" i="3" s="1"/>
  <c r="AF77" i="3"/>
  <c r="AM77" i="3" s="1"/>
  <c r="AG77" i="3"/>
  <c r="AJ77" i="3"/>
  <c r="AL77" i="3"/>
  <c r="AO77" i="3"/>
  <c r="AP77" i="3"/>
  <c r="AE78" i="3"/>
  <c r="AI78" i="3" s="1"/>
  <c r="AF78" i="3"/>
  <c r="AG78" i="3"/>
  <c r="AJ78" i="3"/>
  <c r="AL78" i="3"/>
  <c r="AM78" i="3"/>
  <c r="AO78" i="3"/>
  <c r="AP78" i="3"/>
  <c r="AE79" i="3"/>
  <c r="AF79" i="3"/>
  <c r="AG79" i="3"/>
  <c r="AP79" i="3" s="1"/>
  <c r="AI79" i="3"/>
  <c r="AJ79" i="3"/>
  <c r="AL79" i="3"/>
  <c r="AM79" i="3"/>
  <c r="AO79" i="3"/>
  <c r="AE80" i="3"/>
  <c r="AF80" i="3"/>
  <c r="AG80" i="3"/>
  <c r="AP80" i="3" s="1"/>
  <c r="AI80" i="3"/>
  <c r="AJ80" i="3"/>
  <c r="AL80" i="3"/>
  <c r="AM80" i="3"/>
  <c r="AE81" i="3"/>
  <c r="AI81" i="3" s="1"/>
  <c r="AF81" i="3"/>
  <c r="AM81" i="3" s="1"/>
  <c r="AG81" i="3"/>
  <c r="AJ81" i="3"/>
  <c r="AL81" i="3"/>
  <c r="AO81" i="3"/>
  <c r="AP81" i="3"/>
  <c r="AE82" i="3"/>
  <c r="AI82" i="3" s="1"/>
  <c r="AF82" i="3"/>
  <c r="AG82" i="3"/>
  <c r="AJ82" i="3"/>
  <c r="AL82" i="3"/>
  <c r="AM82" i="3"/>
  <c r="AO82" i="3"/>
  <c r="AP82" i="3"/>
  <c r="AE83" i="3"/>
  <c r="AF83" i="3"/>
  <c r="AG83" i="3"/>
  <c r="AP83" i="3" s="1"/>
  <c r="AI83" i="3"/>
  <c r="AJ83" i="3"/>
  <c r="AL83" i="3"/>
  <c r="AM83" i="3"/>
  <c r="AO83" i="3"/>
  <c r="AE84" i="3"/>
  <c r="AF84" i="3"/>
  <c r="AG84" i="3"/>
  <c r="AP84" i="3" s="1"/>
  <c r="AI84" i="3"/>
  <c r="AJ84" i="3"/>
  <c r="AL84" i="3"/>
  <c r="AM84" i="3"/>
  <c r="AE85" i="3"/>
  <c r="AI85" i="3" s="1"/>
  <c r="AF85" i="3"/>
  <c r="AM85" i="3" s="1"/>
  <c r="AG85" i="3"/>
  <c r="AJ85" i="3"/>
  <c r="AL85" i="3"/>
  <c r="AO85" i="3"/>
  <c r="AP85" i="3"/>
  <c r="AE86" i="3"/>
  <c r="AI86" i="3" s="1"/>
  <c r="AF86" i="3"/>
  <c r="AG86" i="3"/>
  <c r="AJ86" i="3"/>
  <c r="AL86" i="3"/>
  <c r="AM86" i="3"/>
  <c r="AO86" i="3"/>
  <c r="AP86" i="3"/>
  <c r="AE87" i="3"/>
  <c r="AF87" i="3"/>
  <c r="AG87" i="3"/>
  <c r="AP87" i="3" s="1"/>
  <c r="AI87" i="3"/>
  <c r="AJ87" i="3"/>
  <c r="AL87" i="3"/>
  <c r="AM87" i="3"/>
  <c r="AO87" i="3"/>
  <c r="AE88" i="3"/>
  <c r="AF88" i="3"/>
  <c r="AG88" i="3"/>
  <c r="AP88" i="3" s="1"/>
  <c r="AI88" i="3"/>
  <c r="AJ88" i="3"/>
  <c r="AL88" i="3"/>
  <c r="AM88" i="3"/>
  <c r="AE89" i="3"/>
  <c r="AI89" i="3" s="1"/>
  <c r="AF89" i="3"/>
  <c r="AM89" i="3" s="1"/>
  <c r="AG89" i="3"/>
  <c r="AJ89" i="3"/>
  <c r="AL89" i="3"/>
  <c r="AO89" i="3"/>
  <c r="AP89" i="3"/>
  <c r="AE90" i="3"/>
  <c r="AI90" i="3" s="1"/>
  <c r="AF90" i="3"/>
  <c r="AG90" i="3"/>
  <c r="AJ90" i="3"/>
  <c r="AL90" i="3"/>
  <c r="AM90" i="3"/>
  <c r="AO90" i="3"/>
  <c r="AP90" i="3"/>
  <c r="AE91" i="3"/>
  <c r="AF91" i="3"/>
  <c r="AG91" i="3"/>
  <c r="AP91" i="3" s="1"/>
  <c r="AI91" i="3"/>
  <c r="AJ91" i="3"/>
  <c r="AL91" i="3"/>
  <c r="AM91" i="3"/>
  <c r="AO91" i="3"/>
  <c r="AE92" i="3"/>
  <c r="AF92" i="3"/>
  <c r="AG92" i="3"/>
  <c r="AP92" i="3" s="1"/>
  <c r="AI92" i="3"/>
  <c r="AJ92" i="3"/>
  <c r="AL92" i="3"/>
  <c r="AM92" i="3"/>
  <c r="AE93" i="3"/>
  <c r="AI93" i="3" s="1"/>
  <c r="AF93" i="3"/>
  <c r="AM93" i="3" s="1"/>
  <c r="AG93" i="3"/>
  <c r="AJ93" i="3"/>
  <c r="AL93" i="3"/>
  <c r="AO93" i="3"/>
  <c r="AP93" i="3"/>
  <c r="AE94" i="3"/>
  <c r="AI94" i="3" s="1"/>
  <c r="AF94" i="3"/>
  <c r="AG94" i="3"/>
  <c r="AJ94" i="3"/>
  <c r="AL94" i="3"/>
  <c r="AM94" i="3"/>
  <c r="AO94" i="3"/>
  <c r="AP94" i="3"/>
  <c r="AE95" i="3"/>
  <c r="AF95" i="3"/>
  <c r="AG95" i="3"/>
  <c r="AP95" i="3" s="1"/>
  <c r="AI95" i="3"/>
  <c r="AJ95" i="3"/>
  <c r="AL95" i="3"/>
  <c r="AM95" i="3"/>
  <c r="AO95" i="3"/>
  <c r="AE96" i="3"/>
  <c r="AF96" i="3"/>
  <c r="AG96" i="3"/>
  <c r="AP96" i="3" s="1"/>
  <c r="AI96" i="3"/>
  <c r="AJ96" i="3"/>
  <c r="AL96" i="3"/>
  <c r="AM96" i="3"/>
  <c r="AE97" i="3"/>
  <c r="AI97" i="3" s="1"/>
  <c r="AF97" i="3"/>
  <c r="AM97" i="3" s="1"/>
  <c r="AG97" i="3"/>
  <c r="AJ97" i="3"/>
  <c r="AL97" i="3"/>
  <c r="AO97" i="3"/>
  <c r="AP97" i="3"/>
  <c r="AE98" i="3"/>
  <c r="AI98" i="3" s="1"/>
  <c r="AF98" i="3"/>
  <c r="AG98" i="3"/>
  <c r="AJ98" i="3"/>
  <c r="AL98" i="3"/>
  <c r="AM98" i="3"/>
  <c r="AO98" i="3"/>
  <c r="AP98" i="3"/>
  <c r="AE99" i="3"/>
  <c r="AF99" i="3"/>
  <c r="AG99" i="3"/>
  <c r="AP99" i="3" s="1"/>
  <c r="AI99" i="3"/>
  <c r="AJ99" i="3"/>
  <c r="AL99" i="3"/>
  <c r="AM99" i="3"/>
  <c r="AO99" i="3"/>
  <c r="AE100" i="3"/>
  <c r="AF100" i="3"/>
  <c r="AG100" i="3"/>
  <c r="AP100" i="3" s="1"/>
  <c r="AI100" i="3"/>
  <c r="AJ100" i="3"/>
  <c r="AL100" i="3"/>
  <c r="AM100" i="3"/>
  <c r="AE101" i="3"/>
  <c r="AI101" i="3" s="1"/>
  <c r="AF101" i="3"/>
  <c r="AM101" i="3" s="1"/>
  <c r="AG101" i="3"/>
  <c r="AJ101" i="3"/>
  <c r="AL101" i="3"/>
  <c r="AO101" i="3"/>
  <c r="AP101" i="3"/>
  <c r="AE102" i="3"/>
  <c r="AI102" i="3" s="1"/>
  <c r="AF102" i="3"/>
  <c r="AG102" i="3"/>
  <c r="AJ102" i="3"/>
  <c r="AL102" i="3"/>
  <c r="AM102" i="3"/>
  <c r="AO102" i="3"/>
  <c r="AP102" i="3"/>
  <c r="AE103" i="3"/>
  <c r="AF103" i="3"/>
  <c r="AG103" i="3"/>
  <c r="AP103" i="3" s="1"/>
  <c r="AI103" i="3"/>
  <c r="AJ103" i="3"/>
  <c r="AL103" i="3"/>
  <c r="AM103" i="3"/>
  <c r="AO103" i="3"/>
  <c r="AE104" i="3"/>
  <c r="AF104" i="3"/>
  <c r="AG104" i="3"/>
  <c r="AP104" i="3" s="1"/>
  <c r="AI104" i="3"/>
  <c r="AJ104" i="3"/>
  <c r="AL104" i="3"/>
  <c r="AM104" i="3"/>
  <c r="AE105" i="3"/>
  <c r="AI105" i="3" s="1"/>
  <c r="AF105" i="3"/>
  <c r="AM105" i="3" s="1"/>
  <c r="AG105" i="3"/>
  <c r="AJ105" i="3"/>
  <c r="AL105" i="3"/>
  <c r="AO105" i="3"/>
  <c r="AP105" i="3"/>
  <c r="AE106" i="3"/>
  <c r="AI106" i="3" s="1"/>
  <c r="AF106" i="3"/>
  <c r="AG106" i="3"/>
  <c r="AJ106" i="3"/>
  <c r="AL106" i="3"/>
  <c r="AM106" i="3"/>
  <c r="AO106" i="3"/>
  <c r="AP106" i="3"/>
  <c r="AE107" i="3"/>
  <c r="AF107" i="3"/>
  <c r="AG107" i="3"/>
  <c r="AP107" i="3" s="1"/>
  <c r="AI107" i="3"/>
  <c r="AJ107" i="3"/>
  <c r="AL107" i="3"/>
  <c r="AM107" i="3"/>
  <c r="AO107" i="3"/>
  <c r="AE108" i="3"/>
  <c r="AF108" i="3"/>
  <c r="AG108" i="3"/>
  <c r="AP108" i="3" s="1"/>
  <c r="AI108" i="3"/>
  <c r="AJ108" i="3"/>
  <c r="AL108" i="3"/>
  <c r="AM108" i="3"/>
  <c r="AE109" i="3"/>
  <c r="AI109" i="3" s="1"/>
  <c r="AF109" i="3"/>
  <c r="AM109" i="3" s="1"/>
  <c r="AG109" i="3"/>
  <c r="AJ109" i="3"/>
  <c r="AL109" i="3"/>
  <c r="AO109" i="3"/>
  <c r="AP109" i="3"/>
  <c r="AE110" i="3"/>
  <c r="AI110" i="3" s="1"/>
  <c r="AF110" i="3"/>
  <c r="AG110" i="3"/>
  <c r="AJ110" i="3"/>
  <c r="AL110" i="3"/>
  <c r="AM110" i="3"/>
  <c r="AO110" i="3"/>
  <c r="AP110" i="3"/>
  <c r="AE111" i="3"/>
  <c r="AF111" i="3"/>
  <c r="AG111" i="3"/>
  <c r="AP111" i="3" s="1"/>
  <c r="AI111" i="3"/>
  <c r="AJ111" i="3"/>
  <c r="AL111" i="3"/>
  <c r="AM111" i="3"/>
  <c r="AO111" i="3"/>
  <c r="AE112" i="3"/>
  <c r="AF112" i="3"/>
  <c r="AG112" i="3"/>
  <c r="AP112" i="3" s="1"/>
  <c r="AI112" i="3"/>
  <c r="AJ112" i="3"/>
  <c r="AL112" i="3"/>
  <c r="AM112" i="3"/>
  <c r="AE113" i="3"/>
  <c r="AI113" i="3" s="1"/>
  <c r="AF113" i="3"/>
  <c r="AM113" i="3" s="1"/>
  <c r="AG113" i="3"/>
  <c r="AJ113" i="3"/>
  <c r="AL113" i="3"/>
  <c r="AO113" i="3"/>
  <c r="AP113" i="3"/>
  <c r="AE114" i="3"/>
  <c r="AI114" i="3" s="1"/>
  <c r="AF114" i="3"/>
  <c r="AG114" i="3"/>
  <c r="AJ114" i="3"/>
  <c r="AL114" i="3"/>
  <c r="AM114" i="3"/>
  <c r="AO114" i="3"/>
  <c r="AP114" i="3"/>
  <c r="AE115" i="3"/>
  <c r="AF115" i="3"/>
  <c r="AG115" i="3"/>
  <c r="AP115" i="3" s="1"/>
  <c r="AI115" i="3"/>
  <c r="AJ115" i="3"/>
  <c r="AL115" i="3"/>
  <c r="AM115" i="3"/>
  <c r="AO115" i="3"/>
  <c r="AE116" i="3"/>
  <c r="AF116" i="3"/>
  <c r="AG116" i="3"/>
  <c r="AP116" i="3" s="1"/>
  <c r="AI116" i="3"/>
  <c r="AJ116" i="3"/>
  <c r="AL116" i="3"/>
  <c r="AM116" i="3"/>
  <c r="AE117" i="3"/>
  <c r="AI117" i="3" s="1"/>
  <c r="AF117" i="3"/>
  <c r="AM117" i="3" s="1"/>
  <c r="AG117" i="3"/>
  <c r="AJ117" i="3"/>
  <c r="AL117" i="3"/>
  <c r="AO117" i="3"/>
  <c r="AP117" i="3"/>
  <c r="AE118" i="3"/>
  <c r="AI118" i="3" s="1"/>
  <c r="AF118" i="3"/>
  <c r="AG118" i="3"/>
  <c r="AJ118" i="3"/>
  <c r="AL118" i="3"/>
  <c r="AM118" i="3"/>
  <c r="AO118" i="3"/>
  <c r="AP118" i="3"/>
  <c r="AE119" i="3"/>
  <c r="AF119" i="3"/>
  <c r="AG119" i="3"/>
  <c r="AP119" i="3" s="1"/>
  <c r="AI119" i="3"/>
  <c r="AJ119" i="3"/>
  <c r="AL119" i="3"/>
  <c r="AM119" i="3"/>
  <c r="AO119" i="3"/>
  <c r="AE120" i="3"/>
  <c r="AF120" i="3"/>
  <c r="AG120" i="3"/>
  <c r="AP120" i="3" s="1"/>
  <c r="AI120" i="3"/>
  <c r="AJ120" i="3"/>
  <c r="AL120" i="3"/>
  <c r="AM120" i="3"/>
  <c r="AE121" i="3"/>
  <c r="AI121" i="3" s="1"/>
  <c r="AF121" i="3"/>
  <c r="AM121" i="3" s="1"/>
  <c r="AG121" i="3"/>
  <c r="AO121" i="3" s="1"/>
  <c r="AJ121" i="3"/>
  <c r="AL121" i="3"/>
  <c r="AP121" i="3"/>
  <c r="AE122" i="3"/>
  <c r="AI122" i="3" s="1"/>
  <c r="AF122" i="3"/>
  <c r="AM122" i="3" s="1"/>
  <c r="AG122" i="3"/>
  <c r="AJ122" i="3"/>
  <c r="AL122" i="3"/>
  <c r="AO122" i="3"/>
  <c r="AP122" i="3"/>
  <c r="AE123" i="3"/>
  <c r="AF123" i="3"/>
  <c r="AG123" i="3"/>
  <c r="AP123" i="3" s="1"/>
  <c r="AI123" i="3"/>
  <c r="AJ123" i="3"/>
  <c r="AL123" i="3"/>
  <c r="AM123" i="3"/>
  <c r="AO123" i="3"/>
  <c r="AE124" i="3"/>
  <c r="AF124" i="3"/>
  <c r="AG124" i="3"/>
  <c r="AP124" i="3" s="1"/>
  <c r="AI124" i="3"/>
  <c r="AJ124" i="3"/>
  <c r="AL124" i="3"/>
  <c r="AM124" i="3"/>
  <c r="AE125" i="3"/>
  <c r="AI125" i="3" s="1"/>
  <c r="AF125" i="3"/>
  <c r="AM125" i="3" s="1"/>
  <c r="AG125" i="3"/>
  <c r="AO125" i="3" s="1"/>
  <c r="AJ125" i="3"/>
  <c r="AL125" i="3"/>
  <c r="AP125" i="3"/>
  <c r="AE126" i="3"/>
  <c r="AI126" i="3" s="1"/>
  <c r="AF126" i="3"/>
  <c r="AM126" i="3" s="1"/>
  <c r="AG126" i="3"/>
  <c r="AJ126" i="3"/>
  <c r="AL126" i="3"/>
  <c r="AO126" i="3"/>
  <c r="AP126" i="3"/>
  <c r="AE127" i="3"/>
  <c r="AF127" i="3"/>
  <c r="AG127" i="3"/>
  <c r="AP127" i="3" s="1"/>
  <c r="AI127" i="3"/>
  <c r="AJ127" i="3"/>
  <c r="AL127" i="3"/>
  <c r="AM127" i="3"/>
  <c r="AO127" i="3"/>
  <c r="AE128" i="3"/>
  <c r="AF128" i="3"/>
  <c r="AG128" i="3"/>
  <c r="AP128" i="3" s="1"/>
  <c r="AI128" i="3"/>
  <c r="AJ128" i="3"/>
  <c r="AL128" i="3"/>
  <c r="AM128" i="3"/>
  <c r="AE129" i="3"/>
  <c r="AI129" i="3" s="1"/>
  <c r="AF129" i="3"/>
  <c r="AM129" i="3" s="1"/>
  <c r="AG129" i="3"/>
  <c r="AJ129" i="3"/>
  <c r="AL129" i="3"/>
  <c r="AO129" i="3"/>
  <c r="AP129" i="3"/>
  <c r="AE130" i="3"/>
  <c r="AI130" i="3" s="1"/>
  <c r="AF130" i="3"/>
  <c r="AG130" i="3"/>
  <c r="AJ130" i="3"/>
  <c r="AL130" i="3"/>
  <c r="AM130" i="3"/>
  <c r="AO130" i="3"/>
  <c r="AP130" i="3"/>
  <c r="AE131" i="3"/>
  <c r="AF131" i="3"/>
  <c r="AG131" i="3"/>
  <c r="AP131" i="3" s="1"/>
  <c r="AI131" i="3"/>
  <c r="AJ131" i="3"/>
  <c r="AL131" i="3"/>
  <c r="AM131" i="3"/>
  <c r="AO131" i="3"/>
  <c r="AE132" i="3"/>
  <c r="AF132" i="3"/>
  <c r="AG132" i="3"/>
  <c r="AP132" i="3" s="1"/>
  <c r="AI132" i="3"/>
  <c r="AJ132" i="3"/>
  <c r="AL132" i="3"/>
  <c r="AM132" i="3"/>
  <c r="AE133" i="3"/>
  <c r="AI133" i="3" s="1"/>
  <c r="AF133" i="3"/>
  <c r="AM133" i="3" s="1"/>
  <c r="AG133" i="3"/>
  <c r="AJ133" i="3"/>
  <c r="AL133" i="3"/>
  <c r="AO133" i="3"/>
  <c r="AP133" i="3"/>
  <c r="AE134" i="3"/>
  <c r="AI134" i="3" s="1"/>
  <c r="AF134" i="3"/>
  <c r="AG134" i="3"/>
  <c r="AJ134" i="3"/>
  <c r="AL134" i="3"/>
  <c r="AM134" i="3"/>
  <c r="AO134" i="3"/>
  <c r="AP134" i="3"/>
  <c r="AE135" i="3"/>
  <c r="AF135" i="3"/>
  <c r="AG135" i="3"/>
  <c r="AP135" i="3" s="1"/>
  <c r="AI135" i="3"/>
  <c r="AJ135" i="3"/>
  <c r="AL135" i="3"/>
  <c r="AM135" i="3"/>
  <c r="AO135" i="3"/>
  <c r="AE136" i="3"/>
  <c r="AF136" i="3"/>
  <c r="AG136" i="3"/>
  <c r="AP136" i="3" s="1"/>
  <c r="AI136" i="3"/>
  <c r="AJ136" i="3"/>
  <c r="AL136" i="3"/>
  <c r="AM136" i="3"/>
  <c r="AE137" i="3"/>
  <c r="AI137" i="3" s="1"/>
  <c r="AF137" i="3"/>
  <c r="AM137" i="3" s="1"/>
  <c r="AG137" i="3"/>
  <c r="AJ137" i="3"/>
  <c r="AL137" i="3"/>
  <c r="AO137" i="3"/>
  <c r="AP137" i="3"/>
  <c r="AE138" i="3"/>
  <c r="AI138" i="3" s="1"/>
  <c r="AF138" i="3"/>
  <c r="AG138" i="3"/>
  <c r="AJ138" i="3"/>
  <c r="AL138" i="3"/>
  <c r="AM138" i="3"/>
  <c r="AO138" i="3"/>
  <c r="AP138" i="3"/>
  <c r="AE139" i="3"/>
  <c r="AF139" i="3"/>
  <c r="AG139" i="3"/>
  <c r="AP139" i="3" s="1"/>
  <c r="AI139" i="3"/>
  <c r="AJ139" i="3"/>
  <c r="AL139" i="3"/>
  <c r="AM139" i="3"/>
  <c r="AO139" i="3"/>
  <c r="AE140" i="3"/>
  <c r="AF140" i="3"/>
  <c r="AG140" i="3"/>
  <c r="AP140" i="3" s="1"/>
  <c r="AI140" i="3"/>
  <c r="AJ140" i="3"/>
  <c r="AL140" i="3"/>
  <c r="AM140" i="3"/>
  <c r="AE141" i="3"/>
  <c r="AI141" i="3" s="1"/>
  <c r="AF141" i="3"/>
  <c r="AM141" i="3" s="1"/>
  <c r="AG141" i="3"/>
  <c r="AJ141" i="3"/>
  <c r="AL141" i="3"/>
  <c r="AO141" i="3"/>
  <c r="AP141" i="3"/>
  <c r="AE142" i="3"/>
  <c r="AI142" i="3" s="1"/>
  <c r="AF142" i="3"/>
  <c r="AG142" i="3"/>
  <c r="AJ142" i="3"/>
  <c r="AL142" i="3"/>
  <c r="AM142" i="3"/>
  <c r="AO142" i="3"/>
  <c r="AP142" i="3"/>
  <c r="AE143" i="3"/>
  <c r="AF143" i="3"/>
  <c r="AG143" i="3"/>
  <c r="AP143" i="3" s="1"/>
  <c r="AI143" i="3"/>
  <c r="AJ143" i="3"/>
  <c r="AL143" i="3"/>
  <c r="AM143" i="3"/>
  <c r="AO143" i="3"/>
  <c r="AE144" i="3"/>
  <c r="AF144" i="3"/>
  <c r="AG144" i="3"/>
  <c r="AI144" i="3"/>
  <c r="AJ144" i="3"/>
  <c r="AL144" i="3"/>
  <c r="AM144" i="3"/>
  <c r="AE145" i="3"/>
  <c r="AI145" i="3" s="1"/>
  <c r="AF145" i="3"/>
  <c r="AM145" i="3" s="1"/>
  <c r="AG145" i="3"/>
  <c r="AJ145" i="3"/>
  <c r="AO145" i="3"/>
  <c r="AP145" i="3"/>
  <c r="AE146" i="3"/>
  <c r="AI146" i="3" s="1"/>
  <c r="AF146" i="3"/>
  <c r="AG146" i="3"/>
  <c r="AJ146" i="3"/>
  <c r="AL146" i="3"/>
  <c r="AM146" i="3"/>
  <c r="AO146" i="3"/>
  <c r="AP146" i="3"/>
  <c r="AE147" i="3"/>
  <c r="AF147" i="3"/>
  <c r="AG147" i="3"/>
  <c r="AP147" i="3" s="1"/>
  <c r="AI147" i="3"/>
  <c r="AJ147" i="3"/>
  <c r="AL147" i="3"/>
  <c r="AM147" i="3"/>
  <c r="AO147" i="3"/>
  <c r="AE148" i="3"/>
  <c r="AF148" i="3"/>
  <c r="AM148" i="3" s="1"/>
  <c r="AG148" i="3"/>
  <c r="AI148" i="3"/>
  <c r="AJ148" i="3"/>
  <c r="AL148" i="3"/>
  <c r="AE149" i="3"/>
  <c r="AI149" i="3" s="1"/>
  <c r="AF149" i="3"/>
  <c r="AM149" i="3" s="1"/>
  <c r="AG149" i="3"/>
  <c r="AL149" i="3"/>
  <c r="AO149" i="3"/>
  <c r="AP149" i="3"/>
  <c r="AE150" i="3"/>
  <c r="AF150" i="3"/>
  <c r="AM150" i="3" s="1"/>
  <c r="AG150" i="3"/>
  <c r="AI150" i="3"/>
  <c r="AJ150" i="3"/>
  <c r="AL150" i="3"/>
  <c r="AO150" i="3"/>
  <c r="AP150" i="3"/>
  <c r="AE151" i="3"/>
  <c r="AI151" i="3" s="1"/>
  <c r="AF151" i="3"/>
  <c r="AG151" i="3"/>
  <c r="AO151" i="3" s="1"/>
  <c r="AJ151" i="3"/>
  <c r="AL151" i="3"/>
  <c r="AM151" i="3"/>
  <c r="AP151" i="3"/>
  <c r="AE152" i="3"/>
  <c r="AF152" i="3"/>
  <c r="AM152" i="3" s="1"/>
  <c r="AG152" i="3"/>
  <c r="AP152" i="3" s="1"/>
  <c r="AI152" i="3"/>
  <c r="AJ152" i="3"/>
  <c r="AL152" i="3"/>
  <c r="AO152" i="3"/>
  <c r="AE153" i="3"/>
  <c r="AI153" i="3" s="1"/>
  <c r="AF153" i="3"/>
  <c r="AG153" i="3"/>
  <c r="AO153" i="3" s="1"/>
  <c r="AJ153" i="3"/>
  <c r="AL153" i="3"/>
  <c r="AM153" i="3"/>
  <c r="AE154" i="3"/>
  <c r="AF154" i="3"/>
  <c r="AM154" i="3" s="1"/>
  <c r="AG154" i="3"/>
  <c r="AI154" i="3"/>
  <c r="AJ154" i="3"/>
  <c r="AL154" i="3"/>
  <c r="AO154" i="3"/>
  <c r="AP154" i="3"/>
  <c r="AE155" i="3"/>
  <c r="AI155" i="3" s="1"/>
  <c r="AF155" i="3"/>
  <c r="AG155" i="3"/>
  <c r="AO155" i="3" s="1"/>
  <c r="AJ155" i="3"/>
  <c r="AL155" i="3"/>
  <c r="AM155" i="3"/>
  <c r="AP155" i="3"/>
  <c r="AE156" i="3"/>
  <c r="AF156" i="3"/>
  <c r="AM156" i="3" s="1"/>
  <c r="AG156" i="3"/>
  <c r="AP156" i="3" s="1"/>
  <c r="AI156" i="3"/>
  <c r="AJ156" i="3"/>
  <c r="AL156" i="3"/>
  <c r="AO156" i="3"/>
  <c r="AE157" i="3"/>
  <c r="AI157" i="3" s="1"/>
  <c r="AF157" i="3"/>
  <c r="AG157" i="3"/>
  <c r="AO157" i="3" s="1"/>
  <c r="AJ157" i="3"/>
  <c r="AL157" i="3"/>
  <c r="AM157" i="3"/>
  <c r="AE158" i="3"/>
  <c r="AF158" i="3"/>
  <c r="AM158" i="3" s="1"/>
  <c r="AG158" i="3"/>
  <c r="AI158" i="3"/>
  <c r="AJ158" i="3"/>
  <c r="AL158" i="3"/>
  <c r="AO158" i="3"/>
  <c r="AP158" i="3"/>
  <c r="AE159" i="3"/>
  <c r="AI159" i="3" s="1"/>
  <c r="AF159" i="3"/>
  <c r="AG159" i="3"/>
  <c r="AO159" i="3" s="1"/>
  <c r="AJ159" i="3"/>
  <c r="AL159" i="3"/>
  <c r="AM159" i="3"/>
  <c r="AP159" i="3"/>
  <c r="AE160" i="3"/>
  <c r="AF160" i="3"/>
  <c r="AM160" i="3" s="1"/>
  <c r="AG160" i="3"/>
  <c r="AP160" i="3" s="1"/>
  <c r="AI160" i="3"/>
  <c r="AJ160" i="3"/>
  <c r="AL160" i="3"/>
  <c r="AO160" i="3"/>
  <c r="AE161" i="3"/>
  <c r="AI161" i="3" s="1"/>
  <c r="AF161" i="3"/>
  <c r="AG161" i="3"/>
  <c r="AO161" i="3" s="1"/>
  <c r="AJ161" i="3"/>
  <c r="AL161" i="3"/>
  <c r="AM161" i="3"/>
  <c r="AE162" i="3"/>
  <c r="AF162" i="3"/>
  <c r="AM162" i="3" s="1"/>
  <c r="AG162" i="3"/>
  <c r="AI162" i="3"/>
  <c r="AJ162" i="3"/>
  <c r="AL162" i="3"/>
  <c r="AO162" i="3"/>
  <c r="AP162" i="3"/>
  <c r="AE163" i="3"/>
  <c r="AI163" i="3" s="1"/>
  <c r="AF163" i="3"/>
  <c r="AG163" i="3"/>
  <c r="AO163" i="3" s="1"/>
  <c r="AJ163" i="3"/>
  <c r="AL163" i="3"/>
  <c r="AM163" i="3"/>
  <c r="AP163" i="3"/>
  <c r="AE164" i="3"/>
  <c r="AF164" i="3"/>
  <c r="AM164" i="3" s="1"/>
  <c r="AG164" i="3"/>
  <c r="AI164" i="3"/>
  <c r="AJ164" i="3"/>
  <c r="AL164" i="3"/>
  <c r="AO164" i="3"/>
  <c r="AP164" i="3"/>
  <c r="AE165" i="3"/>
  <c r="AI165" i="3" s="1"/>
  <c r="AF165" i="3"/>
  <c r="AG165" i="3"/>
  <c r="AO165" i="3" s="1"/>
  <c r="AJ165" i="3"/>
  <c r="AL165" i="3"/>
  <c r="AM165" i="3"/>
  <c r="AP165" i="3"/>
  <c r="AE166" i="3"/>
  <c r="AF166" i="3"/>
  <c r="AM166" i="3" s="1"/>
  <c r="AG166" i="3"/>
  <c r="AI166" i="3"/>
  <c r="AJ166" i="3"/>
  <c r="AL166" i="3"/>
  <c r="AO166" i="3"/>
  <c r="AP166" i="3"/>
  <c r="AE167" i="3"/>
  <c r="AI167" i="3" s="1"/>
  <c r="AF167" i="3"/>
  <c r="AG167" i="3"/>
  <c r="AO167" i="3" s="1"/>
  <c r="AJ167" i="3"/>
  <c r="AL167" i="3"/>
  <c r="AM167" i="3"/>
  <c r="AP167" i="3"/>
  <c r="AE168" i="3"/>
  <c r="AF168" i="3"/>
  <c r="AM168" i="3" s="1"/>
  <c r="AG168" i="3"/>
  <c r="AI168" i="3"/>
  <c r="AJ168" i="3"/>
  <c r="AL168" i="3"/>
  <c r="AO168" i="3"/>
  <c r="AP168" i="3"/>
  <c r="AE169" i="3"/>
  <c r="AI169" i="3" s="1"/>
  <c r="AF169" i="3"/>
  <c r="AG169" i="3"/>
  <c r="AO169" i="3" s="1"/>
  <c r="AJ169" i="3"/>
  <c r="AL169" i="3"/>
  <c r="AM169" i="3"/>
  <c r="AP169" i="3"/>
  <c r="AE170" i="3"/>
  <c r="AF170" i="3"/>
  <c r="AM170" i="3" s="1"/>
  <c r="AG170" i="3"/>
  <c r="AI170" i="3"/>
  <c r="AJ170" i="3"/>
  <c r="AL170" i="3"/>
  <c r="AO170" i="3"/>
  <c r="AP170" i="3"/>
  <c r="AE171" i="3"/>
  <c r="AI171" i="3" s="1"/>
  <c r="AF171" i="3"/>
  <c r="AG171" i="3"/>
  <c r="AO171" i="3" s="1"/>
  <c r="AJ171" i="3"/>
  <c r="AL171" i="3"/>
  <c r="AM171" i="3"/>
  <c r="AP171" i="3"/>
  <c r="AE172" i="3"/>
  <c r="AF172" i="3"/>
  <c r="AM172" i="3" s="1"/>
  <c r="AG172" i="3"/>
  <c r="AI172" i="3"/>
  <c r="AJ172" i="3"/>
  <c r="AL172" i="3"/>
  <c r="AO172" i="3"/>
  <c r="AP172" i="3"/>
  <c r="AE173" i="3"/>
  <c r="AI173" i="3" s="1"/>
  <c r="AF173" i="3"/>
  <c r="AG173" i="3"/>
  <c r="AO173" i="3" s="1"/>
  <c r="AJ173" i="3"/>
  <c r="AL173" i="3"/>
  <c r="AM173" i="3"/>
  <c r="AP173" i="3"/>
  <c r="AE174" i="3"/>
  <c r="AF174" i="3"/>
  <c r="AM174" i="3" s="1"/>
  <c r="AG174" i="3"/>
  <c r="AI174" i="3"/>
  <c r="AJ174" i="3"/>
  <c r="AL174" i="3"/>
  <c r="AO174" i="3"/>
  <c r="AP174" i="3"/>
  <c r="AE175" i="3"/>
  <c r="AI175" i="3" s="1"/>
  <c r="AF175" i="3"/>
  <c r="AG175" i="3"/>
  <c r="AO175" i="3" s="1"/>
  <c r="AJ175" i="3"/>
  <c r="AL175" i="3"/>
  <c r="AM175" i="3"/>
  <c r="AP175" i="3"/>
  <c r="AE176" i="3"/>
  <c r="AF176" i="3"/>
  <c r="AM176" i="3" s="1"/>
  <c r="AG176" i="3"/>
  <c r="AI176" i="3"/>
  <c r="AJ176" i="3"/>
  <c r="AL176" i="3"/>
  <c r="AO176" i="3"/>
  <c r="AP176" i="3"/>
  <c r="AE177" i="3"/>
  <c r="AI177" i="3" s="1"/>
  <c r="AF177" i="3"/>
  <c r="AG177" i="3"/>
  <c r="AO177" i="3" s="1"/>
  <c r="AJ177" i="3"/>
  <c r="AL177" i="3"/>
  <c r="AM177" i="3"/>
  <c r="AP177" i="3"/>
  <c r="AE178" i="3"/>
  <c r="AF178" i="3"/>
  <c r="AM178" i="3" s="1"/>
  <c r="AG178" i="3"/>
  <c r="AI178" i="3"/>
  <c r="AJ178" i="3"/>
  <c r="AL178" i="3"/>
  <c r="AO178" i="3"/>
  <c r="AP178" i="3"/>
  <c r="AE179" i="3"/>
  <c r="AI179" i="3" s="1"/>
  <c r="AF179" i="3"/>
  <c r="AG179" i="3"/>
  <c r="AO179" i="3" s="1"/>
  <c r="AJ179" i="3"/>
  <c r="AL179" i="3"/>
  <c r="AM179" i="3"/>
  <c r="AP179" i="3"/>
  <c r="AE180" i="3"/>
  <c r="AF180" i="3"/>
  <c r="AM180" i="3" s="1"/>
  <c r="AG180" i="3"/>
  <c r="AI180" i="3"/>
  <c r="AJ180" i="3"/>
  <c r="AL180" i="3"/>
  <c r="AO180" i="3"/>
  <c r="AP180" i="3"/>
  <c r="AE181" i="3"/>
  <c r="AI181" i="3" s="1"/>
  <c r="AF181" i="3"/>
  <c r="AG181" i="3"/>
  <c r="AO181" i="3" s="1"/>
  <c r="AJ181" i="3"/>
  <c r="AL181" i="3"/>
  <c r="AM181" i="3"/>
  <c r="AP181" i="3"/>
  <c r="AE182" i="3"/>
  <c r="AF182" i="3"/>
  <c r="AM182" i="3" s="1"/>
  <c r="AG182" i="3"/>
  <c r="AI182" i="3"/>
  <c r="AJ182" i="3"/>
  <c r="AL182" i="3"/>
  <c r="AO182" i="3"/>
  <c r="AP182" i="3"/>
  <c r="AE183" i="3"/>
  <c r="AI183" i="3" s="1"/>
  <c r="AF183" i="3"/>
  <c r="AG183" i="3"/>
  <c r="AO183" i="3" s="1"/>
  <c r="AJ183" i="3"/>
  <c r="AL183" i="3"/>
  <c r="AM183" i="3"/>
  <c r="AP183" i="3"/>
  <c r="AE184" i="3"/>
  <c r="AF184" i="3"/>
  <c r="AM184" i="3" s="1"/>
  <c r="AG184" i="3"/>
  <c r="AI184" i="3"/>
  <c r="AJ184" i="3"/>
  <c r="AL184" i="3"/>
  <c r="AO184" i="3"/>
  <c r="AP184" i="3"/>
  <c r="AE185" i="3"/>
  <c r="AI185" i="3" s="1"/>
  <c r="AF185" i="3"/>
  <c r="AG185" i="3"/>
  <c r="AO185" i="3" s="1"/>
  <c r="AJ185" i="3"/>
  <c r="AL185" i="3"/>
  <c r="AM185" i="3"/>
  <c r="AP185" i="3"/>
  <c r="AE186" i="3"/>
  <c r="AF186" i="3"/>
  <c r="AM186" i="3" s="1"/>
  <c r="AG186" i="3"/>
  <c r="AI186" i="3"/>
  <c r="AJ186" i="3"/>
  <c r="AL186" i="3"/>
  <c r="AO186" i="3"/>
  <c r="AP186" i="3"/>
  <c r="AE187" i="3"/>
  <c r="AI187" i="3" s="1"/>
  <c r="AF187" i="3"/>
  <c r="AG187" i="3"/>
  <c r="AO187" i="3" s="1"/>
  <c r="AJ187" i="3"/>
  <c r="AL187" i="3"/>
  <c r="AM187" i="3"/>
  <c r="AP187" i="3"/>
  <c r="AE188" i="3"/>
  <c r="AF188" i="3"/>
  <c r="AM188" i="3" s="1"/>
  <c r="AG188" i="3"/>
  <c r="AI188" i="3"/>
  <c r="AJ188" i="3"/>
  <c r="AL188" i="3"/>
  <c r="AO188" i="3"/>
  <c r="AP188" i="3"/>
  <c r="AE189" i="3"/>
  <c r="AI189" i="3" s="1"/>
  <c r="AF189" i="3"/>
  <c r="AG189" i="3"/>
  <c r="AO189" i="3" s="1"/>
  <c r="AJ189" i="3"/>
  <c r="AL189" i="3"/>
  <c r="AM189" i="3"/>
  <c r="AP189" i="3"/>
  <c r="AE190" i="3"/>
  <c r="AF190" i="3"/>
  <c r="AM190" i="3" s="1"/>
  <c r="AG190" i="3"/>
  <c r="AI190" i="3"/>
  <c r="AJ190" i="3"/>
  <c r="AL190" i="3"/>
  <c r="AO190" i="3"/>
  <c r="AP190" i="3"/>
  <c r="AE191" i="3"/>
  <c r="AI191" i="3" s="1"/>
  <c r="AF191" i="3"/>
  <c r="AG191" i="3"/>
  <c r="AP191" i="3" s="1"/>
  <c r="AJ191" i="3"/>
  <c r="AL191" i="3"/>
  <c r="AM191" i="3"/>
  <c r="AE192" i="3"/>
  <c r="AF192" i="3"/>
  <c r="AM192" i="3" s="1"/>
  <c r="AG192" i="3"/>
  <c r="AI192" i="3"/>
  <c r="AJ192" i="3"/>
  <c r="AL192" i="3"/>
  <c r="AO192" i="3"/>
  <c r="AP192" i="3"/>
  <c r="AE193" i="3"/>
  <c r="AI193" i="3" s="1"/>
  <c r="AF193" i="3"/>
  <c r="AG193" i="3"/>
  <c r="AO193" i="3" s="1"/>
  <c r="AJ193" i="3"/>
  <c r="AL193" i="3"/>
  <c r="AM193" i="3"/>
  <c r="AP193" i="3"/>
  <c r="AE194" i="3"/>
  <c r="AF194" i="3"/>
  <c r="AM194" i="3" s="1"/>
  <c r="AG194" i="3"/>
  <c r="AI194" i="3"/>
  <c r="AJ194" i="3"/>
  <c r="AL194" i="3"/>
  <c r="AO194" i="3"/>
  <c r="AP194" i="3"/>
  <c r="AE195" i="3"/>
  <c r="AI195" i="3" s="1"/>
  <c r="AF195" i="3"/>
  <c r="AG195" i="3"/>
  <c r="AP195" i="3" s="1"/>
  <c r="AJ195" i="3"/>
  <c r="AL195" i="3"/>
  <c r="AM195" i="3"/>
  <c r="AE196" i="3"/>
  <c r="AF196" i="3"/>
  <c r="AM196" i="3" s="1"/>
  <c r="AG196" i="3"/>
  <c r="AI196" i="3"/>
  <c r="AJ196" i="3"/>
  <c r="AL196" i="3"/>
  <c r="AO196" i="3"/>
  <c r="AP196" i="3"/>
  <c r="AE197" i="3"/>
  <c r="AI197" i="3" s="1"/>
  <c r="AF197" i="3"/>
  <c r="AG197" i="3"/>
  <c r="AO197" i="3" s="1"/>
  <c r="AJ197" i="3"/>
  <c r="AL197" i="3"/>
  <c r="AM197" i="3"/>
  <c r="AP197" i="3"/>
  <c r="AE198" i="3"/>
  <c r="AF198" i="3"/>
  <c r="AM198" i="3" s="1"/>
  <c r="AG198" i="3"/>
  <c r="AI198" i="3"/>
  <c r="AJ198" i="3"/>
  <c r="AL198" i="3"/>
  <c r="AO198" i="3"/>
  <c r="AP198" i="3"/>
  <c r="AE199" i="3"/>
  <c r="AI199" i="3" s="1"/>
  <c r="AF199" i="3"/>
  <c r="AG199" i="3"/>
  <c r="AP199" i="3" s="1"/>
  <c r="AJ199" i="3"/>
  <c r="AL199" i="3"/>
  <c r="AM199" i="3"/>
  <c r="AE200" i="3"/>
  <c r="AF200" i="3"/>
  <c r="AM200" i="3" s="1"/>
  <c r="AG200" i="3"/>
  <c r="AI200" i="3"/>
  <c r="AJ200" i="3"/>
  <c r="AL200" i="3"/>
  <c r="AO200" i="3"/>
  <c r="AP200" i="3"/>
  <c r="AE201" i="3"/>
  <c r="AI201" i="3" s="1"/>
  <c r="AF201" i="3"/>
  <c r="AG201" i="3"/>
  <c r="AO201" i="3" s="1"/>
  <c r="AJ201" i="3"/>
  <c r="AL201" i="3"/>
  <c r="AM201" i="3"/>
  <c r="AP201" i="3"/>
  <c r="AE202" i="3"/>
  <c r="AF202" i="3"/>
  <c r="AM202" i="3" s="1"/>
  <c r="AG202" i="3"/>
  <c r="AI202" i="3"/>
  <c r="AJ202" i="3"/>
  <c r="AL202" i="3"/>
  <c r="AO202" i="3"/>
  <c r="AP202" i="3"/>
  <c r="AE203" i="3"/>
  <c r="AI203" i="3" s="1"/>
  <c r="AF203" i="3"/>
  <c r="AG203" i="3"/>
  <c r="AP203" i="3" s="1"/>
  <c r="AJ203" i="3"/>
  <c r="AL203" i="3"/>
  <c r="AM203" i="3"/>
  <c r="AE204" i="3"/>
  <c r="AF204" i="3"/>
  <c r="AM204" i="3" s="1"/>
  <c r="AG204" i="3"/>
  <c r="AI204" i="3"/>
  <c r="AJ204" i="3"/>
  <c r="AL204" i="3"/>
  <c r="AO204" i="3"/>
  <c r="AP204" i="3"/>
  <c r="AE205" i="3"/>
  <c r="AI205" i="3" s="1"/>
  <c r="AF205" i="3"/>
  <c r="AG205" i="3"/>
  <c r="AO205" i="3" s="1"/>
  <c r="AJ205" i="3"/>
  <c r="AL205" i="3"/>
  <c r="AM205" i="3"/>
  <c r="AP205" i="3"/>
  <c r="AE206" i="3"/>
  <c r="AF206" i="3"/>
  <c r="AM206" i="3" s="1"/>
  <c r="AG206" i="3"/>
  <c r="AI206" i="3"/>
  <c r="AJ206" i="3"/>
  <c r="AL206" i="3"/>
  <c r="AO206" i="3"/>
  <c r="AP206" i="3"/>
  <c r="AE207" i="3"/>
  <c r="AI207" i="3" s="1"/>
  <c r="AF207" i="3"/>
  <c r="AG207" i="3"/>
  <c r="AP207" i="3" s="1"/>
  <c r="AJ207" i="3"/>
  <c r="AL207" i="3"/>
  <c r="AM207" i="3"/>
  <c r="AE208" i="3"/>
  <c r="AF208" i="3"/>
  <c r="AM208" i="3" s="1"/>
  <c r="AG208" i="3"/>
  <c r="AI208" i="3"/>
  <c r="AJ208" i="3"/>
  <c r="AL208" i="3"/>
  <c r="AO208" i="3"/>
  <c r="AP208" i="3"/>
  <c r="AE209" i="3"/>
  <c r="AI209" i="3" s="1"/>
  <c r="AF209" i="3"/>
  <c r="AG209" i="3"/>
  <c r="AO209" i="3" s="1"/>
  <c r="AJ209" i="3"/>
  <c r="AL209" i="3"/>
  <c r="AM209" i="3"/>
  <c r="AP209" i="3"/>
  <c r="AE210" i="3"/>
  <c r="AF210" i="3"/>
  <c r="AM210" i="3" s="1"/>
  <c r="AG210" i="3"/>
  <c r="AI210" i="3"/>
  <c r="AJ210" i="3"/>
  <c r="AL210" i="3"/>
  <c r="AO210" i="3"/>
  <c r="AP210" i="3"/>
  <c r="AE211" i="3"/>
  <c r="AI211" i="3" s="1"/>
  <c r="AF211" i="3"/>
  <c r="AG211" i="3"/>
  <c r="AP211" i="3" s="1"/>
  <c r="AJ211" i="3"/>
  <c r="AL211" i="3"/>
  <c r="AM211" i="3"/>
  <c r="AE212" i="3"/>
  <c r="AF212" i="3"/>
  <c r="AM212" i="3" s="1"/>
  <c r="AG212" i="3"/>
  <c r="AI212" i="3"/>
  <c r="AJ212" i="3"/>
  <c r="AL212" i="3"/>
  <c r="AO212" i="3"/>
  <c r="AP212" i="3"/>
  <c r="AE213" i="3"/>
  <c r="AI213" i="3" s="1"/>
  <c r="AF213" i="3"/>
  <c r="AG213" i="3"/>
  <c r="AO213" i="3" s="1"/>
  <c r="AJ213" i="3"/>
  <c r="AL213" i="3"/>
  <c r="AM213" i="3"/>
  <c r="AP213" i="3"/>
  <c r="AE214" i="3"/>
  <c r="AF214" i="3"/>
  <c r="AM214" i="3" s="1"/>
  <c r="AG214" i="3"/>
  <c r="AI214" i="3"/>
  <c r="AJ214" i="3"/>
  <c r="AL214" i="3"/>
  <c r="AO214" i="3"/>
  <c r="AP214" i="3"/>
  <c r="AE215" i="3"/>
  <c r="AI215" i="3" s="1"/>
  <c r="AF215" i="3"/>
  <c r="AG215" i="3"/>
  <c r="AP215" i="3" s="1"/>
  <c r="AJ215" i="3"/>
  <c r="AL215" i="3"/>
  <c r="AM215" i="3"/>
  <c r="AE216" i="3"/>
  <c r="AF216" i="3"/>
  <c r="AM216" i="3" s="1"/>
  <c r="AG216" i="3"/>
  <c r="AI216" i="3"/>
  <c r="AJ216" i="3"/>
  <c r="AL216" i="3"/>
  <c r="AO216" i="3"/>
  <c r="AP216" i="3"/>
  <c r="AE217" i="3"/>
  <c r="AI217" i="3" s="1"/>
  <c r="AF217" i="3"/>
  <c r="AG217" i="3"/>
  <c r="AO217" i="3" s="1"/>
  <c r="AJ217" i="3"/>
  <c r="AL217" i="3"/>
  <c r="AM217" i="3"/>
  <c r="AP217" i="3"/>
  <c r="AE218" i="3"/>
  <c r="AF218" i="3"/>
  <c r="AM218" i="3" s="1"/>
  <c r="AG218" i="3"/>
  <c r="AI218" i="3"/>
  <c r="AJ218" i="3"/>
  <c r="AL218" i="3"/>
  <c r="AO218" i="3"/>
  <c r="AP218" i="3"/>
  <c r="AE219" i="3"/>
  <c r="AI219" i="3" s="1"/>
  <c r="AF219" i="3"/>
  <c r="AG219" i="3"/>
  <c r="AP219" i="3" s="1"/>
  <c r="AJ219" i="3"/>
  <c r="AL219" i="3"/>
  <c r="AM219" i="3"/>
  <c r="AE220" i="3"/>
  <c r="AF220" i="3"/>
  <c r="AM220" i="3" s="1"/>
  <c r="AG220" i="3"/>
  <c r="AI220" i="3"/>
  <c r="AJ220" i="3"/>
  <c r="AL220" i="3"/>
  <c r="AO220" i="3"/>
  <c r="AP220" i="3"/>
  <c r="AE221" i="3"/>
  <c r="AI221" i="3" s="1"/>
  <c r="AF221" i="3"/>
  <c r="AG221" i="3"/>
  <c r="AO221" i="3" s="1"/>
  <c r="AJ221" i="3"/>
  <c r="AL221" i="3"/>
  <c r="AM221" i="3"/>
  <c r="AP221" i="3"/>
  <c r="AE222" i="3"/>
  <c r="AF222" i="3"/>
  <c r="AM222" i="3" s="1"/>
  <c r="AG222" i="3"/>
  <c r="AI222" i="3"/>
  <c r="AJ222" i="3"/>
  <c r="AL222" i="3"/>
  <c r="AO222" i="3"/>
  <c r="AP222" i="3"/>
  <c r="AE223" i="3"/>
  <c r="AI223" i="3" s="1"/>
  <c r="AF223" i="3"/>
  <c r="AG223" i="3"/>
  <c r="AP223" i="3" s="1"/>
  <c r="AJ223" i="3"/>
  <c r="AL223" i="3"/>
  <c r="AM223" i="3"/>
  <c r="AE224" i="3"/>
  <c r="AF224" i="3"/>
  <c r="AM224" i="3" s="1"/>
  <c r="AG224" i="3"/>
  <c r="AI224" i="3"/>
  <c r="AJ224" i="3"/>
  <c r="AL224" i="3"/>
  <c r="AO224" i="3"/>
  <c r="AP224" i="3"/>
  <c r="AE225" i="3"/>
  <c r="AI225" i="3" s="1"/>
  <c r="AF225" i="3"/>
  <c r="AG225" i="3"/>
  <c r="AO225" i="3" s="1"/>
  <c r="AJ225" i="3"/>
  <c r="AL225" i="3"/>
  <c r="AM225" i="3"/>
  <c r="AP225" i="3"/>
  <c r="AE226" i="3"/>
  <c r="AF226" i="3"/>
  <c r="AM226" i="3" s="1"/>
  <c r="AG226" i="3"/>
  <c r="AI226" i="3"/>
  <c r="AJ226" i="3"/>
  <c r="AL226" i="3"/>
  <c r="AO226" i="3"/>
  <c r="AP226" i="3"/>
  <c r="AE227" i="3"/>
  <c r="AI227" i="3" s="1"/>
  <c r="AF227" i="3"/>
  <c r="AG227" i="3"/>
  <c r="AP227" i="3" s="1"/>
  <c r="AJ227" i="3"/>
  <c r="AL227" i="3"/>
  <c r="AM227" i="3"/>
  <c r="AE228" i="3"/>
  <c r="AF228" i="3"/>
  <c r="AM228" i="3" s="1"/>
  <c r="AG228" i="3"/>
  <c r="AI228" i="3"/>
  <c r="AJ228" i="3"/>
  <c r="AL228" i="3"/>
  <c r="AO228" i="3"/>
  <c r="AP228" i="3"/>
  <c r="AE229" i="3"/>
  <c r="AI229" i="3" s="1"/>
  <c r="AF229" i="3"/>
  <c r="AG229" i="3"/>
  <c r="AO229" i="3" s="1"/>
  <c r="AJ229" i="3"/>
  <c r="AL229" i="3"/>
  <c r="AM229" i="3"/>
  <c r="AP229" i="3"/>
  <c r="AE230" i="3"/>
  <c r="AF230" i="3"/>
  <c r="AM230" i="3" s="1"/>
  <c r="AG230" i="3"/>
  <c r="AI230" i="3"/>
  <c r="AJ230" i="3"/>
  <c r="AL230" i="3"/>
  <c r="AO230" i="3"/>
  <c r="AP230" i="3"/>
  <c r="AE231" i="3"/>
  <c r="AI231" i="3" s="1"/>
  <c r="AF231" i="3"/>
  <c r="AG231" i="3"/>
  <c r="AJ231" i="3"/>
  <c r="AL231" i="3"/>
  <c r="AM231" i="3"/>
  <c r="AE232" i="3"/>
  <c r="AF232" i="3"/>
  <c r="AM232" i="3" s="1"/>
  <c r="AG232" i="3"/>
  <c r="AI232" i="3"/>
  <c r="AJ232" i="3"/>
  <c r="AL232" i="3"/>
  <c r="AO232" i="3"/>
  <c r="AP232" i="3"/>
  <c r="AE233" i="3"/>
  <c r="AI233" i="3" s="1"/>
  <c r="AF233" i="3"/>
  <c r="AG233" i="3"/>
  <c r="AO233" i="3" s="1"/>
  <c r="AL233" i="3"/>
  <c r="AM233" i="3"/>
  <c r="AP233" i="3"/>
  <c r="AE234" i="3"/>
  <c r="AF234" i="3"/>
  <c r="AM234" i="3" s="1"/>
  <c r="AG234" i="3"/>
  <c r="AI234" i="3"/>
  <c r="AJ234" i="3"/>
  <c r="AL234" i="3"/>
  <c r="AO234" i="3"/>
  <c r="AP234" i="3"/>
  <c r="AE235" i="3"/>
  <c r="AI235" i="3" s="1"/>
  <c r="AF235" i="3"/>
  <c r="AG235" i="3"/>
  <c r="AO235" i="3" s="1"/>
  <c r="AJ235" i="3"/>
  <c r="AL235" i="3"/>
  <c r="AM235" i="3"/>
  <c r="AP235" i="3"/>
  <c r="AE236" i="3"/>
  <c r="AF236" i="3"/>
  <c r="AM236" i="3" s="1"/>
  <c r="AG236" i="3"/>
  <c r="AI236" i="3"/>
  <c r="AJ236" i="3"/>
  <c r="AL236" i="3"/>
  <c r="AO236" i="3"/>
  <c r="AP236" i="3"/>
  <c r="AE237" i="3"/>
  <c r="AI237" i="3" s="1"/>
  <c r="AF237" i="3"/>
  <c r="AG237" i="3"/>
  <c r="AO237" i="3" s="1"/>
  <c r="AL237" i="3"/>
  <c r="AM237" i="3"/>
  <c r="AP237" i="3"/>
  <c r="AE238" i="3"/>
  <c r="AF238" i="3"/>
  <c r="AM238" i="3" s="1"/>
  <c r="AG238" i="3"/>
  <c r="AI238" i="3"/>
  <c r="AJ238" i="3"/>
  <c r="AL238" i="3"/>
  <c r="AO238" i="3"/>
  <c r="AP238" i="3"/>
  <c r="AE239" i="3"/>
  <c r="AI239" i="3" s="1"/>
  <c r="AF239" i="3"/>
  <c r="AG239" i="3"/>
  <c r="AO239" i="3" s="1"/>
  <c r="AJ239" i="3"/>
  <c r="AL239" i="3"/>
  <c r="AM239" i="3"/>
  <c r="AP239" i="3"/>
  <c r="AE240" i="3"/>
  <c r="AF240" i="3"/>
  <c r="AM240" i="3" s="1"/>
  <c r="AG240" i="3"/>
  <c r="AI240" i="3"/>
  <c r="AJ240" i="3"/>
  <c r="AL240" i="3"/>
  <c r="AO240" i="3"/>
  <c r="AP240" i="3"/>
  <c r="AE241" i="3"/>
  <c r="AI241" i="3" s="1"/>
  <c r="AF241" i="3"/>
  <c r="AG241" i="3"/>
  <c r="AO241" i="3" s="1"/>
  <c r="AL241" i="3"/>
  <c r="AM241" i="3"/>
  <c r="AP241" i="3"/>
  <c r="AE242" i="3"/>
  <c r="AF242" i="3"/>
  <c r="AM242" i="3" s="1"/>
  <c r="AG242" i="3"/>
  <c r="AI242" i="3"/>
  <c r="AJ242" i="3"/>
  <c r="AL242" i="3"/>
  <c r="AO242" i="3"/>
  <c r="AP242" i="3"/>
  <c r="AE243" i="3"/>
  <c r="AI243" i="3" s="1"/>
  <c r="AF243" i="3"/>
  <c r="AG243" i="3"/>
  <c r="AO243" i="3" s="1"/>
  <c r="AJ243" i="3"/>
  <c r="AL243" i="3"/>
  <c r="AM243" i="3"/>
  <c r="AP243" i="3"/>
  <c r="AE244" i="3"/>
  <c r="AF244" i="3"/>
  <c r="AM244" i="3" s="1"/>
  <c r="AG244" i="3"/>
  <c r="AI244" i="3"/>
  <c r="AJ244" i="3"/>
  <c r="AL244" i="3"/>
  <c r="AO244" i="3"/>
  <c r="AP244" i="3"/>
  <c r="AE245" i="3"/>
  <c r="AI245" i="3" s="1"/>
  <c r="AF245" i="3"/>
  <c r="AG245" i="3"/>
  <c r="AO245" i="3" s="1"/>
  <c r="AL245" i="3"/>
  <c r="AM245" i="3"/>
  <c r="AP245" i="3"/>
  <c r="AE246" i="3"/>
  <c r="AF246" i="3"/>
  <c r="AM246" i="3" s="1"/>
  <c r="AG246" i="3"/>
  <c r="AI246" i="3"/>
  <c r="AJ246" i="3"/>
  <c r="AL246" i="3"/>
  <c r="AO246" i="3"/>
  <c r="AP246" i="3"/>
  <c r="AE247" i="3"/>
  <c r="AI247" i="3" s="1"/>
  <c r="AF247" i="3"/>
  <c r="AG247" i="3"/>
  <c r="AO247" i="3" s="1"/>
  <c r="AJ247" i="3"/>
  <c r="AL247" i="3"/>
  <c r="AM247" i="3"/>
  <c r="AP247" i="3"/>
  <c r="AE248" i="3"/>
  <c r="AF248" i="3"/>
  <c r="AM248" i="3" s="1"/>
  <c r="AG248" i="3"/>
  <c r="AI248" i="3"/>
  <c r="AJ248" i="3"/>
  <c r="AL248" i="3"/>
  <c r="AO248" i="3"/>
  <c r="AP248" i="3"/>
  <c r="AE249" i="3"/>
  <c r="AI249" i="3" s="1"/>
  <c r="AF249" i="3"/>
  <c r="AG249" i="3"/>
  <c r="AO249" i="3" s="1"/>
  <c r="AL249" i="3"/>
  <c r="AM249" i="3"/>
  <c r="AP249" i="3"/>
  <c r="AE250" i="3"/>
  <c r="AF250" i="3"/>
  <c r="AM250" i="3" s="1"/>
  <c r="AG250" i="3"/>
  <c r="AI250" i="3"/>
  <c r="AJ250" i="3"/>
  <c r="AL250" i="3"/>
  <c r="AO250" i="3"/>
  <c r="AP250" i="3"/>
  <c r="AE251" i="3"/>
  <c r="AI251" i="3" s="1"/>
  <c r="AF251" i="3"/>
  <c r="AG251" i="3"/>
  <c r="AO251" i="3" s="1"/>
  <c r="AJ251" i="3"/>
  <c r="AL251" i="3"/>
  <c r="AM251" i="3"/>
  <c r="AP251" i="3"/>
  <c r="AE252" i="3"/>
  <c r="AF252" i="3"/>
  <c r="AM252" i="3" s="1"/>
  <c r="AG252" i="3"/>
  <c r="AI252" i="3"/>
  <c r="AJ252" i="3"/>
  <c r="AL252" i="3"/>
  <c r="AO252" i="3"/>
  <c r="AP252" i="3"/>
  <c r="AE253" i="3"/>
  <c r="AI253" i="3" s="1"/>
  <c r="AF253" i="3"/>
  <c r="AG253" i="3"/>
  <c r="AO253" i="3" s="1"/>
  <c r="AL253" i="3"/>
  <c r="AM253" i="3"/>
  <c r="AP253" i="3"/>
  <c r="AE254" i="3"/>
  <c r="AF254" i="3"/>
  <c r="AM254" i="3" s="1"/>
  <c r="AG254" i="3"/>
  <c r="AI254" i="3"/>
  <c r="AJ254" i="3"/>
  <c r="AL254" i="3"/>
  <c r="AO254" i="3"/>
  <c r="AP254" i="3"/>
  <c r="AE255" i="3"/>
  <c r="AI255" i="3" s="1"/>
  <c r="AF255" i="3"/>
  <c r="AG255" i="3"/>
  <c r="AO255" i="3" s="1"/>
  <c r="AJ255" i="3"/>
  <c r="AL255" i="3"/>
  <c r="AM255" i="3"/>
  <c r="AP255" i="3"/>
  <c r="AE256" i="3"/>
  <c r="AF256" i="3"/>
  <c r="AM256" i="3" s="1"/>
  <c r="AG256" i="3"/>
  <c r="AI256" i="3"/>
  <c r="AJ256" i="3"/>
  <c r="AL256" i="3"/>
  <c r="AO256" i="3"/>
  <c r="AP256" i="3"/>
  <c r="AE257" i="3"/>
  <c r="AI257" i="3" s="1"/>
  <c r="AF257" i="3"/>
  <c r="AG257" i="3"/>
  <c r="AO257" i="3" s="1"/>
  <c r="AL257" i="3"/>
  <c r="AM257" i="3"/>
  <c r="AP257" i="3"/>
  <c r="AE258" i="3"/>
  <c r="AF258" i="3"/>
  <c r="AM258" i="3" s="1"/>
  <c r="AG258" i="3"/>
  <c r="AI258" i="3"/>
  <c r="AJ258" i="3"/>
  <c r="AL258" i="3"/>
  <c r="AO258" i="3"/>
  <c r="AP258" i="3"/>
  <c r="AE259" i="3"/>
  <c r="AI259" i="3" s="1"/>
  <c r="AF259" i="3"/>
  <c r="AG259" i="3"/>
  <c r="AO259" i="3" s="1"/>
  <c r="AJ259" i="3"/>
  <c r="AL259" i="3"/>
  <c r="AM259" i="3"/>
  <c r="AP259" i="3"/>
  <c r="AE260" i="3"/>
  <c r="AF260" i="3"/>
  <c r="AM260" i="3" s="1"/>
  <c r="AG260" i="3"/>
  <c r="AP260" i="3" s="1"/>
  <c r="AI260" i="3"/>
  <c r="AJ260" i="3"/>
  <c r="AL260" i="3"/>
  <c r="AO260" i="3"/>
  <c r="AE261" i="3"/>
  <c r="AI261" i="3" s="1"/>
  <c r="AF261" i="3"/>
  <c r="AG261" i="3"/>
  <c r="AO261" i="3" s="1"/>
  <c r="AJ261" i="3"/>
  <c r="AL261" i="3"/>
  <c r="AM261" i="3"/>
  <c r="AE262" i="3"/>
  <c r="AF262" i="3"/>
  <c r="AM262" i="3" s="1"/>
  <c r="AG262" i="3"/>
  <c r="AI262" i="3"/>
  <c r="AJ262" i="3"/>
  <c r="AL262" i="3"/>
  <c r="AO262" i="3"/>
  <c r="AP262" i="3"/>
  <c r="AE263" i="3"/>
  <c r="AI263" i="3" s="1"/>
  <c r="AF263" i="3"/>
  <c r="AG263" i="3"/>
  <c r="AO263" i="3" s="1"/>
  <c r="AJ263" i="3"/>
  <c r="AL263" i="3"/>
  <c r="AM263" i="3"/>
  <c r="AP263" i="3"/>
  <c r="AE264" i="3"/>
  <c r="AF264" i="3"/>
  <c r="AM264" i="3" s="1"/>
  <c r="AG264" i="3"/>
  <c r="AP264" i="3" s="1"/>
  <c r="AI264" i="3"/>
  <c r="AJ264" i="3"/>
  <c r="AL264" i="3"/>
  <c r="AO264" i="3"/>
  <c r="AE265" i="3"/>
  <c r="AI265" i="3" s="1"/>
  <c r="AF265" i="3"/>
  <c r="AG265" i="3"/>
  <c r="AO265" i="3" s="1"/>
  <c r="AJ265" i="3"/>
  <c r="AL265" i="3"/>
  <c r="AM265" i="3"/>
  <c r="AE266" i="3"/>
  <c r="AF266" i="3"/>
  <c r="AM266" i="3" s="1"/>
  <c r="AG266" i="3"/>
  <c r="AI266" i="3"/>
  <c r="AJ266" i="3"/>
  <c r="AL266" i="3"/>
  <c r="AO266" i="3"/>
  <c r="AP266" i="3"/>
  <c r="AE267" i="3"/>
  <c r="AI267" i="3" s="1"/>
  <c r="AF267" i="3"/>
  <c r="AG267" i="3"/>
  <c r="AO267" i="3" s="1"/>
  <c r="AJ267" i="3"/>
  <c r="AL267" i="3"/>
  <c r="AM267" i="3"/>
  <c r="AP267" i="3"/>
  <c r="AE268" i="3"/>
  <c r="AF268" i="3"/>
  <c r="AM268" i="3" s="1"/>
  <c r="AG268" i="3"/>
  <c r="AP268" i="3" s="1"/>
  <c r="AI268" i="3"/>
  <c r="AJ268" i="3"/>
  <c r="AL268" i="3"/>
  <c r="AO268" i="3"/>
  <c r="AE269" i="3"/>
  <c r="AI269" i="3" s="1"/>
  <c r="AF269" i="3"/>
  <c r="AG269" i="3"/>
  <c r="AO269" i="3" s="1"/>
  <c r="AJ269" i="3"/>
  <c r="AL269" i="3"/>
  <c r="AM269" i="3"/>
  <c r="AE270" i="3"/>
  <c r="AF270" i="3"/>
  <c r="AM270" i="3" s="1"/>
  <c r="AG270" i="3"/>
  <c r="AI270" i="3"/>
  <c r="AJ270" i="3"/>
  <c r="AL270" i="3"/>
  <c r="AO270" i="3"/>
  <c r="AP270" i="3"/>
  <c r="AE271" i="3"/>
  <c r="AI271" i="3" s="1"/>
  <c r="AF271" i="3"/>
  <c r="AG271" i="3"/>
  <c r="AO271" i="3" s="1"/>
  <c r="AJ271" i="3"/>
  <c r="AL271" i="3"/>
  <c r="AM271" i="3"/>
  <c r="AP271" i="3"/>
  <c r="AE272" i="3"/>
  <c r="AF272" i="3"/>
  <c r="AM272" i="3" s="1"/>
  <c r="AG272" i="3"/>
  <c r="AI272" i="3"/>
  <c r="AJ272" i="3"/>
  <c r="AL272" i="3"/>
  <c r="AO272" i="3"/>
  <c r="AP272" i="3"/>
  <c r="AE273" i="3"/>
  <c r="AI273" i="3" s="1"/>
  <c r="AF273" i="3"/>
  <c r="AG273" i="3"/>
  <c r="AO273" i="3" s="1"/>
  <c r="AJ273" i="3"/>
  <c r="AL273" i="3"/>
  <c r="AM273" i="3"/>
  <c r="AE274" i="3"/>
  <c r="AF274" i="3"/>
  <c r="AM274" i="3" s="1"/>
  <c r="AG274" i="3"/>
  <c r="AI274" i="3"/>
  <c r="AJ274" i="3"/>
  <c r="AL274" i="3"/>
  <c r="AO274" i="3"/>
  <c r="AP274" i="3"/>
  <c r="AE275" i="3"/>
  <c r="AI275" i="3" s="1"/>
  <c r="AF275" i="3"/>
  <c r="AG275" i="3"/>
  <c r="AO275" i="3" s="1"/>
  <c r="AJ275" i="3"/>
  <c r="AL275" i="3"/>
  <c r="AM275" i="3"/>
  <c r="AP275" i="3"/>
  <c r="AE276" i="3"/>
  <c r="AF276" i="3"/>
  <c r="AM276" i="3" s="1"/>
  <c r="AG276" i="3"/>
  <c r="AI276" i="3"/>
  <c r="AJ276" i="3"/>
  <c r="AL276" i="3"/>
  <c r="AO276" i="3"/>
  <c r="AP276" i="3"/>
  <c r="AE277" i="3"/>
  <c r="AI277" i="3" s="1"/>
  <c r="AF277" i="3"/>
  <c r="AG277" i="3"/>
  <c r="AO277" i="3" s="1"/>
  <c r="AJ277" i="3"/>
  <c r="AL277" i="3"/>
  <c r="AM277" i="3"/>
  <c r="AE278" i="3"/>
  <c r="AF278" i="3"/>
  <c r="AM278" i="3" s="1"/>
  <c r="AG278" i="3"/>
  <c r="AI278" i="3"/>
  <c r="AJ278" i="3"/>
  <c r="AL278" i="3"/>
  <c r="AO278" i="3"/>
  <c r="AP278" i="3"/>
  <c r="AE279" i="3"/>
  <c r="AI279" i="3" s="1"/>
  <c r="AF279" i="3"/>
  <c r="AG279" i="3"/>
  <c r="AO279" i="3" s="1"/>
  <c r="AJ279" i="3"/>
  <c r="AL279" i="3"/>
  <c r="AM279" i="3"/>
  <c r="AP279" i="3"/>
  <c r="AE280" i="3"/>
  <c r="AF280" i="3"/>
  <c r="AM280" i="3" s="1"/>
  <c r="AG280" i="3"/>
  <c r="AI280" i="3"/>
  <c r="AJ280" i="3"/>
  <c r="AL280" i="3"/>
  <c r="AO280" i="3"/>
  <c r="AP280" i="3"/>
  <c r="AE281" i="3"/>
  <c r="AI281" i="3" s="1"/>
  <c r="AF281" i="3"/>
  <c r="AG281" i="3"/>
  <c r="AO281" i="3" s="1"/>
  <c r="AJ281" i="3"/>
  <c r="AL281" i="3"/>
  <c r="AM281" i="3"/>
  <c r="AE282" i="3"/>
  <c r="AF282" i="3"/>
  <c r="AM282" i="3" s="1"/>
  <c r="AG282" i="3"/>
  <c r="AI282" i="3"/>
  <c r="AJ282" i="3"/>
  <c r="AL282" i="3"/>
  <c r="AO282" i="3"/>
  <c r="AP282" i="3"/>
  <c r="AE283" i="3"/>
  <c r="AI283" i="3" s="1"/>
  <c r="AF283" i="3"/>
  <c r="AG283" i="3"/>
  <c r="AO283" i="3" s="1"/>
  <c r="AJ283" i="3"/>
  <c r="AL283" i="3"/>
  <c r="AM283" i="3"/>
  <c r="AP283" i="3"/>
  <c r="AE284" i="3"/>
  <c r="AF284" i="3"/>
  <c r="AM284" i="3" s="1"/>
  <c r="AG284" i="3"/>
  <c r="AI284" i="3"/>
  <c r="AJ284" i="3"/>
  <c r="AL284" i="3"/>
  <c r="AO284" i="3"/>
  <c r="AP284" i="3"/>
  <c r="AE285" i="3"/>
  <c r="AI285" i="3" s="1"/>
  <c r="AF285" i="3"/>
  <c r="AG285" i="3"/>
  <c r="AO285" i="3" s="1"/>
  <c r="AJ285" i="3"/>
  <c r="AL285" i="3"/>
  <c r="AM285" i="3"/>
  <c r="AE286" i="3"/>
  <c r="AF286" i="3"/>
  <c r="AM286" i="3" s="1"/>
  <c r="AG286" i="3"/>
  <c r="AP286" i="3" s="1"/>
  <c r="AI286" i="3"/>
  <c r="AJ286" i="3"/>
  <c r="AL286" i="3"/>
  <c r="AO286" i="3"/>
  <c r="AE287" i="3"/>
  <c r="AI287" i="3" s="1"/>
  <c r="AF287" i="3"/>
  <c r="AG287" i="3"/>
  <c r="AO287" i="3" s="1"/>
  <c r="AJ287" i="3"/>
  <c r="AL287" i="3"/>
  <c r="AM287" i="3"/>
  <c r="AP287" i="3"/>
  <c r="AE288" i="3"/>
  <c r="AF288" i="3"/>
  <c r="AM288" i="3" s="1"/>
  <c r="AG288" i="3"/>
  <c r="AI288" i="3"/>
  <c r="AJ288" i="3"/>
  <c r="AL288" i="3"/>
  <c r="AO288" i="3"/>
  <c r="AP288" i="3"/>
  <c r="AE289" i="3"/>
  <c r="AI289" i="3" s="1"/>
  <c r="AF289" i="3"/>
  <c r="AG289" i="3"/>
  <c r="AO289" i="3" s="1"/>
  <c r="AJ289" i="3"/>
  <c r="AL289" i="3"/>
  <c r="AM289" i="3"/>
  <c r="AE290" i="3"/>
  <c r="AF290" i="3"/>
  <c r="AM290" i="3" s="1"/>
  <c r="AG290" i="3"/>
  <c r="AP290" i="3" s="1"/>
  <c r="AI290" i="3"/>
  <c r="AJ290" i="3"/>
  <c r="AL290" i="3"/>
  <c r="AO290" i="3"/>
  <c r="AE291" i="3"/>
  <c r="AI291" i="3" s="1"/>
  <c r="AF291" i="3"/>
  <c r="AG291" i="3"/>
  <c r="AO291" i="3" s="1"/>
  <c r="AJ291" i="3"/>
  <c r="AL291" i="3"/>
  <c r="AM291" i="3"/>
  <c r="AP291" i="3"/>
  <c r="AE292" i="3"/>
  <c r="AF292" i="3"/>
  <c r="AM292" i="3" s="1"/>
  <c r="AG292" i="3"/>
  <c r="AI292" i="3"/>
  <c r="AJ292" i="3"/>
  <c r="AL292" i="3"/>
  <c r="AO292" i="3"/>
  <c r="AP292" i="3"/>
  <c r="AE293" i="3"/>
  <c r="AF293" i="3"/>
  <c r="AG293" i="3"/>
  <c r="AO293" i="3" s="1"/>
  <c r="AI293" i="3"/>
  <c r="AJ293" i="3"/>
  <c r="AL293" i="3"/>
  <c r="AM293" i="3"/>
  <c r="AE294" i="3"/>
  <c r="AF294" i="3"/>
  <c r="AM294" i="3" s="1"/>
  <c r="AG294" i="3"/>
  <c r="AP294" i="3" s="1"/>
  <c r="AI294" i="3"/>
  <c r="AJ294" i="3"/>
  <c r="AL294" i="3"/>
  <c r="AO294" i="3"/>
  <c r="AE295" i="3"/>
  <c r="AI295" i="3" s="1"/>
  <c r="AF295" i="3"/>
  <c r="AG295" i="3"/>
  <c r="AO295" i="3" s="1"/>
  <c r="AJ295" i="3"/>
  <c r="AL295" i="3"/>
  <c r="AM295" i="3"/>
  <c r="AP295" i="3"/>
  <c r="AE296" i="3"/>
  <c r="AF296" i="3"/>
  <c r="AM296" i="3" s="1"/>
  <c r="AG296" i="3"/>
  <c r="AI296" i="3"/>
  <c r="AJ296" i="3"/>
  <c r="AL296" i="3"/>
  <c r="AO296" i="3"/>
  <c r="AP296" i="3"/>
  <c r="AE297" i="3"/>
  <c r="AF297" i="3"/>
  <c r="AG297" i="3"/>
  <c r="AO297" i="3" s="1"/>
  <c r="AI297" i="3"/>
  <c r="AJ297" i="3"/>
  <c r="AL297" i="3"/>
  <c r="AM297" i="3"/>
  <c r="AE298" i="3"/>
  <c r="AF298" i="3"/>
  <c r="AM298" i="3" s="1"/>
  <c r="AG298" i="3"/>
  <c r="AP298" i="3" s="1"/>
  <c r="AI298" i="3"/>
  <c r="AJ298" i="3"/>
  <c r="AL298" i="3"/>
  <c r="AO298" i="3"/>
  <c r="AE299" i="3"/>
  <c r="AI299" i="3" s="1"/>
  <c r="AF299" i="3"/>
  <c r="AG299" i="3"/>
  <c r="AO299" i="3" s="1"/>
  <c r="AJ299" i="3"/>
  <c r="AL299" i="3"/>
  <c r="AM299" i="3"/>
  <c r="AP299" i="3"/>
  <c r="AE300" i="3"/>
  <c r="AF300" i="3"/>
  <c r="AM300" i="3" s="1"/>
  <c r="AG300" i="3"/>
  <c r="AI300" i="3"/>
  <c r="AJ300" i="3"/>
  <c r="AL300" i="3"/>
  <c r="AO300" i="3"/>
  <c r="AP300" i="3"/>
  <c r="AE301" i="3"/>
  <c r="AF301" i="3"/>
  <c r="AG301" i="3"/>
  <c r="AO301" i="3" s="1"/>
  <c r="AI301" i="3"/>
  <c r="AJ301" i="3"/>
  <c r="AL301" i="3"/>
  <c r="AM301" i="3"/>
  <c r="AE302" i="3"/>
  <c r="AF302" i="3"/>
  <c r="AM302" i="3" s="1"/>
  <c r="AG302" i="3"/>
  <c r="AP302" i="3" s="1"/>
  <c r="AI302" i="3"/>
  <c r="AJ302" i="3"/>
  <c r="AL302" i="3"/>
  <c r="AO302" i="3"/>
  <c r="AE303" i="3"/>
  <c r="AI303" i="3" s="1"/>
  <c r="AF303" i="3"/>
  <c r="AG303" i="3"/>
  <c r="AO303" i="3" s="1"/>
  <c r="AJ303" i="3"/>
  <c r="AL303" i="3"/>
  <c r="AM303" i="3"/>
  <c r="AP303" i="3"/>
  <c r="AE304" i="3"/>
  <c r="AF304" i="3"/>
  <c r="AM304" i="3" s="1"/>
  <c r="AG304" i="3"/>
  <c r="AI304" i="3"/>
  <c r="AJ304" i="3"/>
  <c r="AL304" i="3"/>
  <c r="AO304" i="3"/>
  <c r="AP304" i="3"/>
  <c r="AE305" i="3"/>
  <c r="AF305" i="3"/>
  <c r="AG305" i="3"/>
  <c r="AO305" i="3" s="1"/>
  <c r="AI305" i="3"/>
  <c r="AJ305" i="3"/>
  <c r="AL305" i="3"/>
  <c r="AM305" i="3"/>
  <c r="AE306" i="3"/>
  <c r="AF306" i="3"/>
  <c r="AM306" i="3" s="1"/>
  <c r="AG306" i="3"/>
  <c r="AP306" i="3" s="1"/>
  <c r="AI306" i="3"/>
  <c r="AJ306" i="3"/>
  <c r="AL306" i="3"/>
  <c r="AO306" i="3"/>
  <c r="AE307" i="3"/>
  <c r="AI307" i="3" s="1"/>
  <c r="AF307" i="3"/>
  <c r="AG307" i="3"/>
  <c r="AO307" i="3" s="1"/>
  <c r="AJ307" i="3"/>
  <c r="AL307" i="3"/>
  <c r="AM307" i="3"/>
  <c r="AP307" i="3"/>
  <c r="AE308" i="3"/>
  <c r="AF308" i="3"/>
  <c r="AM308" i="3" s="1"/>
  <c r="AG308" i="3"/>
  <c r="AI308" i="3"/>
  <c r="AJ308" i="3"/>
  <c r="AL308" i="3"/>
  <c r="AO308" i="3"/>
  <c r="AP308" i="3"/>
  <c r="AE309" i="3"/>
  <c r="AF309" i="3"/>
  <c r="AG309" i="3"/>
  <c r="AO309" i="3" s="1"/>
  <c r="AI309" i="3"/>
  <c r="AJ309" i="3"/>
  <c r="AL309" i="3"/>
  <c r="AM309" i="3"/>
  <c r="AE310" i="3"/>
  <c r="AF310" i="3"/>
  <c r="AM310" i="3" s="1"/>
  <c r="AG310" i="3"/>
  <c r="AP310" i="3" s="1"/>
  <c r="AI310" i="3"/>
  <c r="AJ310" i="3"/>
  <c r="AL310" i="3"/>
  <c r="AO310" i="3"/>
  <c r="AE311" i="3"/>
  <c r="AI311" i="3" s="1"/>
  <c r="AF311" i="3"/>
  <c r="AG311" i="3"/>
  <c r="AO311" i="3" s="1"/>
  <c r="AJ311" i="3"/>
  <c r="AL311" i="3"/>
  <c r="AM311" i="3"/>
  <c r="AP311" i="3"/>
  <c r="AE312" i="3"/>
  <c r="AF312" i="3"/>
  <c r="AM312" i="3" s="1"/>
  <c r="AG312" i="3"/>
  <c r="AI312" i="3"/>
  <c r="AJ312" i="3"/>
  <c r="AL312" i="3"/>
  <c r="AO312" i="3"/>
  <c r="AP312" i="3"/>
  <c r="AE313" i="3"/>
  <c r="AI313" i="3" s="1"/>
  <c r="AF313" i="3"/>
  <c r="AG313" i="3"/>
  <c r="AO313" i="3" s="1"/>
  <c r="AJ313" i="3"/>
  <c r="AL313" i="3"/>
  <c r="AM313" i="3"/>
  <c r="AE314" i="3"/>
  <c r="AF314" i="3"/>
  <c r="AM314" i="3" s="1"/>
  <c r="AG314" i="3"/>
  <c r="AP314" i="3" s="1"/>
  <c r="AI314" i="3"/>
  <c r="AJ314" i="3"/>
  <c r="AL314" i="3"/>
  <c r="AO314" i="3"/>
  <c r="AE315" i="3"/>
  <c r="AI315" i="3" s="1"/>
  <c r="AF315" i="3"/>
  <c r="AG315" i="3"/>
  <c r="AO315" i="3" s="1"/>
  <c r="AJ315" i="3"/>
  <c r="AL315" i="3"/>
  <c r="AM315" i="3"/>
  <c r="AP315" i="3"/>
  <c r="AE316" i="3"/>
  <c r="AF316" i="3"/>
  <c r="AM316" i="3" s="1"/>
  <c r="AG316" i="3"/>
  <c r="AI316" i="3"/>
  <c r="AJ316" i="3"/>
  <c r="AL316" i="3"/>
  <c r="AO316" i="3"/>
  <c r="AP316" i="3"/>
  <c r="AE317" i="3"/>
  <c r="AI317" i="3" s="1"/>
  <c r="AF317" i="3"/>
  <c r="AG317" i="3"/>
  <c r="AO317" i="3" s="1"/>
  <c r="AJ317" i="3"/>
  <c r="AL317" i="3"/>
  <c r="AM317" i="3"/>
  <c r="AP317" i="3"/>
  <c r="AE318" i="3"/>
  <c r="AF318" i="3"/>
  <c r="AM318" i="3" s="1"/>
  <c r="AG318" i="3"/>
  <c r="AP318" i="3" s="1"/>
  <c r="AI318" i="3"/>
  <c r="AJ318" i="3"/>
  <c r="AL318" i="3"/>
  <c r="AO318" i="3"/>
  <c r="AE319" i="3"/>
  <c r="AI319" i="3" s="1"/>
  <c r="AF319" i="3"/>
  <c r="AG319" i="3"/>
  <c r="AO319" i="3" s="1"/>
  <c r="AJ319" i="3"/>
  <c r="AL319" i="3"/>
  <c r="AM319" i="3"/>
  <c r="AP319" i="3"/>
  <c r="AE320" i="3"/>
  <c r="AF320" i="3"/>
  <c r="AM320" i="3" s="1"/>
  <c r="AG320" i="3"/>
  <c r="AI320" i="3"/>
  <c r="AJ320" i="3"/>
  <c r="AL320" i="3"/>
  <c r="AO320" i="3"/>
  <c r="AP320" i="3"/>
  <c r="AE321" i="3"/>
  <c r="AI321" i="3" s="1"/>
  <c r="AF321" i="3"/>
  <c r="AG321" i="3"/>
  <c r="AO321" i="3" s="1"/>
  <c r="AJ321" i="3"/>
  <c r="AL321" i="3"/>
  <c r="AM321" i="3"/>
  <c r="AP321" i="3"/>
  <c r="AE322" i="3"/>
  <c r="AF322" i="3"/>
  <c r="AM322" i="3" s="1"/>
  <c r="AG322" i="3"/>
  <c r="AP322" i="3" s="1"/>
  <c r="AI322" i="3"/>
  <c r="AJ322" i="3"/>
  <c r="AL322" i="3"/>
  <c r="AO322" i="3"/>
  <c r="AE323" i="3"/>
  <c r="AI323" i="3" s="1"/>
  <c r="AF323" i="3"/>
  <c r="AG323" i="3"/>
  <c r="AO323" i="3" s="1"/>
  <c r="AJ323" i="3"/>
  <c r="AL323" i="3"/>
  <c r="AM323" i="3"/>
  <c r="AP323" i="3"/>
  <c r="AE324" i="3"/>
  <c r="AF324" i="3"/>
  <c r="AM324" i="3" s="1"/>
  <c r="AG324" i="3"/>
  <c r="AI324" i="3"/>
  <c r="AJ324" i="3"/>
  <c r="AL324" i="3"/>
  <c r="AO324" i="3"/>
  <c r="AP324" i="3"/>
  <c r="AE325" i="3"/>
  <c r="AI325" i="3" s="1"/>
  <c r="AF325" i="3"/>
  <c r="AG325" i="3"/>
  <c r="AO325" i="3" s="1"/>
  <c r="AJ325" i="3"/>
  <c r="AL325" i="3"/>
  <c r="AM325" i="3"/>
  <c r="AP325" i="3"/>
  <c r="AE326" i="3"/>
  <c r="AF326" i="3"/>
  <c r="AM326" i="3" s="1"/>
  <c r="AG326" i="3"/>
  <c r="AP326" i="3" s="1"/>
  <c r="AI326" i="3"/>
  <c r="AJ326" i="3"/>
  <c r="AL326" i="3"/>
  <c r="AO326" i="3"/>
  <c r="AE327" i="3"/>
  <c r="AI327" i="3" s="1"/>
  <c r="AF327" i="3"/>
  <c r="AG327" i="3"/>
  <c r="AO327" i="3" s="1"/>
  <c r="AJ327" i="3"/>
  <c r="AL327" i="3"/>
  <c r="AM327" i="3"/>
  <c r="AE328" i="3"/>
  <c r="AF328" i="3"/>
  <c r="AM328" i="3" s="1"/>
  <c r="AG328" i="3"/>
  <c r="AI328" i="3"/>
  <c r="AJ328" i="3"/>
  <c r="AL328" i="3"/>
  <c r="AO328" i="3"/>
  <c r="AP328" i="3"/>
  <c r="AE329" i="3"/>
  <c r="AI329" i="3" s="1"/>
  <c r="AF329" i="3"/>
  <c r="AG329" i="3"/>
  <c r="AO329" i="3" s="1"/>
  <c r="AJ329" i="3"/>
  <c r="AL329" i="3"/>
  <c r="AM329" i="3"/>
  <c r="AP329" i="3"/>
  <c r="AE330" i="3"/>
  <c r="AF330" i="3"/>
  <c r="AM330" i="3" s="1"/>
  <c r="AG330" i="3"/>
  <c r="AP330" i="3" s="1"/>
  <c r="AI330" i="3"/>
  <c r="AJ330" i="3"/>
  <c r="AL330" i="3"/>
  <c r="AO330" i="3"/>
  <c r="AE331" i="3"/>
  <c r="AI331" i="3" s="1"/>
  <c r="AF331" i="3"/>
  <c r="AG331" i="3"/>
  <c r="AO331" i="3" s="1"/>
  <c r="AJ331" i="3"/>
  <c r="AL331" i="3"/>
  <c r="AM331" i="3"/>
  <c r="AE332" i="3"/>
  <c r="AF332" i="3"/>
  <c r="AM332" i="3" s="1"/>
  <c r="AG332" i="3"/>
  <c r="AI332" i="3"/>
  <c r="AJ332" i="3"/>
  <c r="AL332" i="3"/>
  <c r="AO332" i="3"/>
  <c r="AP332" i="3"/>
  <c r="AE333" i="3"/>
  <c r="AI333" i="3" s="1"/>
  <c r="AF333" i="3"/>
  <c r="AG333" i="3"/>
  <c r="AO333" i="3" s="1"/>
  <c r="AJ333" i="3"/>
  <c r="AL333" i="3"/>
  <c r="AM333" i="3"/>
  <c r="AP333" i="3"/>
  <c r="AE334" i="3"/>
  <c r="AF334" i="3"/>
  <c r="AM334" i="3" s="1"/>
  <c r="AG334" i="3"/>
  <c r="AP334" i="3" s="1"/>
  <c r="AI334" i="3"/>
  <c r="AJ334" i="3"/>
  <c r="AL334" i="3"/>
  <c r="AO334" i="3"/>
  <c r="AE335" i="3"/>
  <c r="AI335" i="3" s="1"/>
  <c r="AF335" i="3"/>
  <c r="AG335" i="3"/>
  <c r="AO335" i="3" s="1"/>
  <c r="AJ335" i="3"/>
  <c r="AL335" i="3"/>
  <c r="AM335" i="3"/>
  <c r="AP335" i="3"/>
  <c r="AE336" i="3"/>
  <c r="AF336" i="3"/>
  <c r="AM336" i="3" s="1"/>
  <c r="AG336" i="3"/>
  <c r="AI336" i="3"/>
  <c r="AJ336" i="3"/>
  <c r="AL336" i="3"/>
  <c r="AO336" i="3"/>
  <c r="AP336" i="3"/>
  <c r="AE337" i="3"/>
  <c r="AF337" i="3"/>
  <c r="AG337" i="3"/>
  <c r="AI337" i="3"/>
  <c r="AJ337" i="3"/>
  <c r="AL337" i="3"/>
  <c r="AM337" i="3"/>
  <c r="AO337" i="3"/>
  <c r="AP337" i="3"/>
  <c r="AE338" i="3"/>
  <c r="AF338" i="3"/>
  <c r="AG338" i="3"/>
  <c r="AP338" i="3" s="1"/>
  <c r="AI338" i="3"/>
  <c r="AJ338" i="3"/>
  <c r="AL338" i="3"/>
  <c r="AM338" i="3"/>
  <c r="AE339" i="3"/>
  <c r="AI339" i="3" s="1"/>
  <c r="AF339" i="3"/>
  <c r="AL339" i="3" s="1"/>
  <c r="AG339" i="3"/>
  <c r="AO339" i="3" s="1"/>
  <c r="AJ339" i="3"/>
  <c r="AM339" i="3"/>
  <c r="AP339" i="3"/>
  <c r="AE340" i="3"/>
  <c r="AF340" i="3"/>
  <c r="AM340" i="3" s="1"/>
  <c r="AG340" i="3"/>
  <c r="AI340" i="3"/>
  <c r="AJ340" i="3"/>
  <c r="AL340" i="3"/>
  <c r="AO340" i="3"/>
  <c r="AP340" i="3"/>
  <c r="AE341" i="3"/>
  <c r="AF341" i="3"/>
  <c r="AG341" i="3"/>
  <c r="AI341" i="3"/>
  <c r="AJ341" i="3"/>
  <c r="AL341" i="3"/>
  <c r="AM341" i="3"/>
  <c r="AO341" i="3"/>
  <c r="AP341" i="3"/>
  <c r="AE342" i="3"/>
  <c r="AF342" i="3"/>
  <c r="AG342" i="3"/>
  <c r="AP342" i="3" s="1"/>
  <c r="AI342" i="3"/>
  <c r="AJ342" i="3"/>
  <c r="AL342" i="3"/>
  <c r="AM342" i="3"/>
  <c r="AE343" i="3"/>
  <c r="AI343" i="3" s="1"/>
  <c r="AF343" i="3"/>
  <c r="AL343" i="3" s="1"/>
  <c r="AG343" i="3"/>
  <c r="AO343" i="3" s="1"/>
  <c r="AJ343" i="3"/>
  <c r="AM343" i="3"/>
  <c r="AP343" i="3"/>
  <c r="AE344" i="3"/>
  <c r="AF344" i="3"/>
  <c r="AM344" i="3" s="1"/>
  <c r="AG344" i="3"/>
  <c r="AI344" i="3"/>
  <c r="AJ344" i="3"/>
  <c r="AL344" i="3"/>
  <c r="AO344" i="3"/>
  <c r="AP344" i="3"/>
  <c r="AE345" i="3"/>
  <c r="AF345" i="3"/>
  <c r="AG345" i="3"/>
  <c r="AI345" i="3"/>
  <c r="AJ345" i="3"/>
  <c r="AL345" i="3"/>
  <c r="AM345" i="3"/>
  <c r="AO345" i="3"/>
  <c r="AP345" i="3"/>
  <c r="AE346" i="3"/>
  <c r="AF346" i="3"/>
  <c r="AG346" i="3"/>
  <c r="AP346" i="3" s="1"/>
  <c r="AI346" i="3"/>
  <c r="AJ346" i="3"/>
  <c r="AL346" i="3"/>
  <c r="AM346" i="3"/>
  <c r="AE347" i="3"/>
  <c r="AI347" i="3" s="1"/>
  <c r="AF347" i="3"/>
  <c r="AM347" i="3" s="1"/>
  <c r="AG347" i="3"/>
  <c r="AO347" i="3" s="1"/>
  <c r="AJ347" i="3"/>
  <c r="AL347" i="3"/>
  <c r="AE348" i="3"/>
  <c r="AI348" i="3" s="1"/>
  <c r="AF348" i="3"/>
  <c r="AM348" i="3" s="1"/>
  <c r="AG348" i="3"/>
  <c r="AJ348" i="3"/>
  <c r="AL348" i="3"/>
  <c r="AO348" i="3"/>
  <c r="AP348" i="3"/>
  <c r="AE349" i="3"/>
  <c r="AF349" i="3"/>
  <c r="AG349" i="3"/>
  <c r="AI349" i="3"/>
  <c r="AJ349" i="3"/>
  <c r="AL349" i="3"/>
  <c r="AM349" i="3"/>
  <c r="AO349" i="3"/>
  <c r="AP349" i="3"/>
  <c r="AE350" i="3"/>
  <c r="AF350" i="3"/>
  <c r="AG350" i="3"/>
  <c r="AP350" i="3" s="1"/>
  <c r="AI350" i="3"/>
  <c r="AJ350" i="3"/>
  <c r="AL350" i="3"/>
  <c r="AM350" i="3"/>
  <c r="AE351" i="3"/>
  <c r="AI351" i="3" s="1"/>
  <c r="AF351" i="3"/>
  <c r="AM351" i="3" s="1"/>
  <c r="AG351" i="3"/>
  <c r="AO351" i="3" s="1"/>
  <c r="AJ351" i="3"/>
  <c r="AL351" i="3"/>
  <c r="AE352" i="3"/>
  <c r="AI352" i="3" s="1"/>
  <c r="AF352" i="3"/>
  <c r="AM352" i="3" s="1"/>
  <c r="AG352" i="3"/>
  <c r="AJ352" i="3"/>
  <c r="AL352" i="3"/>
  <c r="AO352" i="3"/>
  <c r="AP352" i="3"/>
  <c r="AE353" i="3"/>
  <c r="AF353" i="3"/>
  <c r="AG353" i="3"/>
  <c r="AI353" i="3"/>
  <c r="AJ353" i="3"/>
  <c r="AL353" i="3"/>
  <c r="AM353" i="3"/>
  <c r="AO353" i="3"/>
  <c r="AP353" i="3"/>
  <c r="AE354" i="3"/>
  <c r="AF354" i="3"/>
  <c r="AG354" i="3"/>
  <c r="AP354" i="3" s="1"/>
  <c r="AI354" i="3"/>
  <c r="AJ354" i="3"/>
  <c r="AL354" i="3"/>
  <c r="AM354" i="3"/>
  <c r="AE355" i="3"/>
  <c r="AI355" i="3" s="1"/>
  <c r="AF355" i="3"/>
  <c r="AM355" i="3" s="1"/>
  <c r="AG355" i="3"/>
  <c r="AO355" i="3" s="1"/>
  <c r="AJ355" i="3"/>
  <c r="AL355" i="3"/>
  <c r="AE356" i="3"/>
  <c r="AI356" i="3" s="1"/>
  <c r="AF356" i="3"/>
  <c r="AM356" i="3" s="1"/>
  <c r="AG356" i="3"/>
  <c r="AJ356" i="3"/>
  <c r="AL356" i="3"/>
  <c r="AO356" i="3"/>
  <c r="AP356" i="3"/>
  <c r="AE357" i="3"/>
  <c r="AF357" i="3"/>
  <c r="AG357" i="3"/>
  <c r="AI357" i="3"/>
  <c r="AJ357" i="3"/>
  <c r="AL357" i="3"/>
  <c r="AM357" i="3"/>
  <c r="AO357" i="3"/>
  <c r="AP357" i="3"/>
  <c r="AE358" i="3"/>
  <c r="AF358" i="3"/>
  <c r="AG358" i="3"/>
  <c r="AP358" i="3" s="1"/>
  <c r="AI358" i="3"/>
  <c r="AJ358" i="3"/>
  <c r="AL358" i="3"/>
  <c r="AM358" i="3"/>
  <c r="AE359" i="3"/>
  <c r="AI359" i="3" s="1"/>
  <c r="AF359" i="3"/>
  <c r="AM359" i="3" s="1"/>
  <c r="AG359" i="3"/>
  <c r="AO359" i="3" s="1"/>
  <c r="AJ359" i="3"/>
  <c r="AL359" i="3"/>
  <c r="AE360" i="3"/>
  <c r="AI360" i="3" s="1"/>
  <c r="AF360" i="3"/>
  <c r="AM360" i="3" s="1"/>
  <c r="AG360" i="3"/>
  <c r="AJ360" i="3"/>
  <c r="AL360" i="3"/>
  <c r="AO360" i="3"/>
  <c r="AP360" i="3"/>
  <c r="AE361" i="3"/>
  <c r="AF361" i="3"/>
  <c r="AG361" i="3"/>
  <c r="AI361" i="3"/>
  <c r="AJ361" i="3"/>
  <c r="AL361" i="3"/>
  <c r="AM361" i="3"/>
  <c r="AO361" i="3"/>
  <c r="AP361" i="3"/>
  <c r="AE362" i="3"/>
  <c r="AF362" i="3"/>
  <c r="AG362" i="3"/>
  <c r="AP362" i="3" s="1"/>
  <c r="AI362" i="3"/>
  <c r="AJ362" i="3"/>
  <c r="AL362" i="3"/>
  <c r="AM362" i="3"/>
  <c r="AE363" i="3"/>
  <c r="AI363" i="3" s="1"/>
  <c r="AF363" i="3"/>
  <c r="AM363" i="3" s="1"/>
  <c r="AG363" i="3"/>
  <c r="AO363" i="3" s="1"/>
  <c r="AJ363" i="3"/>
  <c r="AL363" i="3"/>
  <c r="AE364" i="3"/>
  <c r="AI364" i="3" s="1"/>
  <c r="AF364" i="3"/>
  <c r="AM364" i="3" s="1"/>
  <c r="AG364" i="3"/>
  <c r="AJ364" i="3"/>
  <c r="AL364" i="3"/>
  <c r="AO364" i="3"/>
  <c r="AP364" i="3"/>
  <c r="AE365" i="3"/>
  <c r="AF365" i="3"/>
  <c r="AG365" i="3"/>
  <c r="AI365" i="3"/>
  <c r="AJ365" i="3"/>
  <c r="AL365" i="3"/>
  <c r="AM365" i="3"/>
  <c r="AO365" i="3"/>
  <c r="AP365" i="3"/>
  <c r="AE366" i="3"/>
  <c r="AF366" i="3"/>
  <c r="AG366" i="3"/>
  <c r="AP366" i="3" s="1"/>
  <c r="AI366" i="3"/>
  <c r="AJ366" i="3"/>
  <c r="AL366" i="3"/>
  <c r="AM366" i="3"/>
  <c r="AE367" i="3"/>
  <c r="AI367" i="3" s="1"/>
  <c r="AF367" i="3"/>
  <c r="AM367" i="3" s="1"/>
  <c r="AG367" i="3"/>
  <c r="AO367" i="3" s="1"/>
  <c r="AJ367" i="3"/>
  <c r="AL367" i="3"/>
  <c r="AE368" i="3"/>
  <c r="AI368" i="3" s="1"/>
  <c r="AF368" i="3"/>
  <c r="AM368" i="3" s="1"/>
  <c r="AG368" i="3"/>
  <c r="AJ368" i="3"/>
  <c r="AL368" i="3"/>
  <c r="AO368" i="3"/>
  <c r="AP368" i="3"/>
  <c r="AE369" i="3"/>
  <c r="AF369" i="3"/>
  <c r="AG369" i="3"/>
  <c r="AI369" i="3"/>
  <c r="AJ369" i="3"/>
  <c r="AL369" i="3"/>
  <c r="AM369" i="3"/>
  <c r="AO369" i="3"/>
  <c r="AP369" i="3"/>
  <c r="AE370" i="3"/>
  <c r="AF370" i="3"/>
  <c r="AG370" i="3"/>
  <c r="AP370" i="3" s="1"/>
  <c r="AI370" i="3"/>
  <c r="AJ370" i="3"/>
  <c r="AL370" i="3"/>
  <c r="AM370" i="3"/>
  <c r="AE371" i="3"/>
  <c r="AI371" i="3" s="1"/>
  <c r="AF371" i="3"/>
  <c r="AM371" i="3" s="1"/>
  <c r="AG371" i="3"/>
  <c r="AO371" i="3" s="1"/>
  <c r="AJ371" i="3"/>
  <c r="AL371" i="3"/>
  <c r="AE372" i="3"/>
  <c r="AI372" i="3" s="1"/>
  <c r="AF372" i="3"/>
  <c r="AM372" i="3" s="1"/>
  <c r="AG372" i="3"/>
  <c r="AJ372" i="3"/>
  <c r="AL372" i="3"/>
  <c r="AO372" i="3"/>
  <c r="AP372" i="3"/>
  <c r="AE373" i="3"/>
  <c r="AF373" i="3"/>
  <c r="AG373" i="3"/>
  <c r="AI373" i="3"/>
  <c r="AJ373" i="3"/>
  <c r="AL373" i="3"/>
  <c r="AM373" i="3"/>
  <c r="AO373" i="3"/>
  <c r="AP373" i="3"/>
  <c r="AE374" i="3"/>
  <c r="AF374" i="3"/>
  <c r="AG374" i="3"/>
  <c r="AP374" i="3" s="1"/>
  <c r="AI374" i="3"/>
  <c r="AJ374" i="3"/>
  <c r="AL374" i="3"/>
  <c r="AM374" i="3"/>
  <c r="AE375" i="3"/>
  <c r="AI375" i="3" s="1"/>
  <c r="AF375" i="3"/>
  <c r="AM375" i="3" s="1"/>
  <c r="AG375" i="3"/>
  <c r="AO375" i="3" s="1"/>
  <c r="AJ375" i="3"/>
  <c r="AL375" i="3"/>
  <c r="AE376" i="3"/>
  <c r="AI376" i="3" s="1"/>
  <c r="AF376" i="3"/>
  <c r="AM376" i="3" s="1"/>
  <c r="AG376" i="3"/>
  <c r="AJ376" i="3"/>
  <c r="AL376" i="3"/>
  <c r="AO376" i="3"/>
  <c r="AP376" i="3"/>
  <c r="AE377" i="3"/>
  <c r="AF377" i="3"/>
  <c r="AG377" i="3"/>
  <c r="AI377" i="3"/>
  <c r="AJ377" i="3"/>
  <c r="AL377" i="3"/>
  <c r="AM377" i="3"/>
  <c r="AO377" i="3"/>
  <c r="AP377" i="3"/>
  <c r="AE378" i="3"/>
  <c r="AF378" i="3"/>
  <c r="AG378" i="3"/>
  <c r="AP378" i="3" s="1"/>
  <c r="AI378" i="3"/>
  <c r="AJ378" i="3"/>
  <c r="AL378" i="3"/>
  <c r="AM378" i="3"/>
  <c r="AE379" i="3"/>
  <c r="AI379" i="3" s="1"/>
  <c r="AF379" i="3"/>
  <c r="AM379" i="3" s="1"/>
  <c r="AG379" i="3"/>
  <c r="AO379" i="3" s="1"/>
  <c r="AJ379" i="3"/>
  <c r="AL379" i="3"/>
  <c r="AE380" i="3"/>
  <c r="AI380" i="3" s="1"/>
  <c r="AF380" i="3"/>
  <c r="AM380" i="3" s="1"/>
  <c r="AG380" i="3"/>
  <c r="AJ380" i="3"/>
  <c r="AL380" i="3"/>
  <c r="AO380" i="3"/>
  <c r="AP380" i="3"/>
  <c r="AE381" i="3"/>
  <c r="AF381" i="3"/>
  <c r="AG381" i="3"/>
  <c r="AI381" i="3"/>
  <c r="AJ381" i="3"/>
  <c r="AL381" i="3"/>
  <c r="AM381" i="3"/>
  <c r="AO381" i="3"/>
  <c r="AP381" i="3"/>
  <c r="AE382" i="3"/>
  <c r="AF382" i="3"/>
  <c r="AG382" i="3"/>
  <c r="AP382" i="3" s="1"/>
  <c r="AI382" i="3"/>
  <c r="AJ382" i="3"/>
  <c r="AL382" i="3"/>
  <c r="AM382" i="3"/>
  <c r="AE383" i="3"/>
  <c r="AI383" i="3" s="1"/>
  <c r="AF383" i="3"/>
  <c r="AM383" i="3" s="1"/>
  <c r="AG383" i="3"/>
  <c r="AO383" i="3" s="1"/>
  <c r="AJ383" i="3"/>
  <c r="AL383" i="3"/>
  <c r="AE384" i="3"/>
  <c r="AI384" i="3" s="1"/>
  <c r="AF384" i="3"/>
  <c r="AM384" i="3" s="1"/>
  <c r="AG384" i="3"/>
  <c r="AJ384" i="3"/>
  <c r="AL384" i="3"/>
  <c r="AO384" i="3"/>
  <c r="AP384" i="3"/>
  <c r="AE385" i="3"/>
  <c r="AF385" i="3"/>
  <c r="AG385" i="3"/>
  <c r="AI385" i="3"/>
  <c r="AJ385" i="3"/>
  <c r="AL385" i="3"/>
  <c r="AM385" i="3"/>
  <c r="AO385" i="3"/>
  <c r="AP385" i="3"/>
  <c r="AE386" i="3"/>
  <c r="AF386" i="3"/>
  <c r="AG386" i="3"/>
  <c r="AP386" i="3" s="1"/>
  <c r="AI386" i="3"/>
  <c r="AJ386" i="3"/>
  <c r="AL386" i="3"/>
  <c r="AM386" i="3"/>
  <c r="AE387" i="3"/>
  <c r="AI387" i="3" s="1"/>
  <c r="AF387" i="3"/>
  <c r="AM387" i="3" s="1"/>
  <c r="AG387" i="3"/>
  <c r="AO387" i="3" s="1"/>
  <c r="AJ387" i="3"/>
  <c r="AL387" i="3"/>
  <c r="AE388" i="3"/>
  <c r="AI388" i="3" s="1"/>
  <c r="AF388" i="3"/>
  <c r="AM388" i="3" s="1"/>
  <c r="AG388" i="3"/>
  <c r="AJ388" i="3"/>
  <c r="AL388" i="3"/>
  <c r="AO388" i="3"/>
  <c r="AP388" i="3"/>
  <c r="AE389" i="3"/>
  <c r="AF389" i="3"/>
  <c r="AG389" i="3"/>
  <c r="AI389" i="3"/>
  <c r="AJ389" i="3"/>
  <c r="AL389" i="3"/>
  <c r="AM389" i="3"/>
  <c r="AO389" i="3"/>
  <c r="AP389" i="3"/>
  <c r="AE390" i="3"/>
  <c r="AF390" i="3"/>
  <c r="AG390" i="3"/>
  <c r="AP390" i="3" s="1"/>
  <c r="AI390" i="3"/>
  <c r="AJ390" i="3"/>
  <c r="AL390" i="3"/>
  <c r="AM390" i="3"/>
  <c r="AE391" i="3"/>
  <c r="AI391" i="3" s="1"/>
  <c r="AF391" i="3"/>
  <c r="AM391" i="3" s="1"/>
  <c r="AG391" i="3"/>
  <c r="AO391" i="3" s="1"/>
  <c r="AJ391" i="3"/>
  <c r="AL391" i="3"/>
  <c r="AE392" i="3"/>
  <c r="AI392" i="3" s="1"/>
  <c r="AF392" i="3"/>
  <c r="AM392" i="3" s="1"/>
  <c r="AG392" i="3"/>
  <c r="AJ392" i="3"/>
  <c r="AL392" i="3"/>
  <c r="AO392" i="3"/>
  <c r="AP392" i="3"/>
  <c r="AE393" i="3"/>
  <c r="AF393" i="3"/>
  <c r="AG393" i="3"/>
  <c r="AI393" i="3"/>
  <c r="AJ393" i="3"/>
  <c r="AL393" i="3"/>
  <c r="AM393" i="3"/>
  <c r="AO393" i="3"/>
  <c r="AP393" i="3"/>
  <c r="AE394" i="3"/>
  <c r="AF394" i="3"/>
  <c r="AG394" i="3"/>
  <c r="AP394" i="3" s="1"/>
  <c r="AI394" i="3"/>
  <c r="AJ394" i="3"/>
  <c r="AL394" i="3"/>
  <c r="AM394" i="3"/>
  <c r="AE395" i="3"/>
  <c r="AI395" i="3" s="1"/>
  <c r="AF395" i="3"/>
  <c r="AM395" i="3" s="1"/>
  <c r="AG395" i="3"/>
  <c r="AO395" i="3" s="1"/>
  <c r="AJ395" i="3"/>
  <c r="AL395" i="3"/>
  <c r="AE396" i="3"/>
  <c r="AI396" i="3" s="1"/>
  <c r="AF396" i="3"/>
  <c r="AM396" i="3" s="1"/>
  <c r="AG396" i="3"/>
  <c r="AJ396" i="3"/>
  <c r="AL396" i="3"/>
  <c r="AO396" i="3"/>
  <c r="AP396" i="3"/>
  <c r="AE397" i="3"/>
  <c r="AF397" i="3"/>
  <c r="AG397" i="3"/>
  <c r="AI397" i="3"/>
  <c r="AJ397" i="3"/>
  <c r="AL397" i="3"/>
  <c r="AM397" i="3"/>
  <c r="AO397" i="3"/>
  <c r="AP397" i="3"/>
  <c r="AE398" i="3"/>
  <c r="AF398" i="3"/>
  <c r="AG398" i="3"/>
  <c r="AP398" i="3" s="1"/>
  <c r="AI398" i="3"/>
  <c r="AJ398" i="3"/>
  <c r="AL398" i="3"/>
  <c r="AM398" i="3"/>
  <c r="AE399" i="3"/>
  <c r="AI399" i="3" s="1"/>
  <c r="AF399" i="3"/>
  <c r="AM399" i="3" s="1"/>
  <c r="AG399" i="3"/>
  <c r="AO399" i="3" s="1"/>
  <c r="AJ399" i="3"/>
  <c r="AL399" i="3"/>
  <c r="AE400" i="3"/>
  <c r="AI400" i="3" s="1"/>
  <c r="AF400" i="3"/>
  <c r="AM400" i="3" s="1"/>
  <c r="AG400" i="3"/>
  <c r="AJ400" i="3"/>
  <c r="AL400" i="3"/>
  <c r="AO400" i="3"/>
  <c r="AP400" i="3"/>
  <c r="AE401" i="3"/>
  <c r="AF401" i="3"/>
  <c r="AG401" i="3"/>
  <c r="AI401" i="3"/>
  <c r="AJ401" i="3"/>
  <c r="AL401" i="3"/>
  <c r="AM401" i="3"/>
  <c r="AO401" i="3"/>
  <c r="AP401" i="3"/>
  <c r="AE402" i="3"/>
  <c r="AF402" i="3"/>
  <c r="AG402" i="3"/>
  <c r="AP402" i="3" s="1"/>
  <c r="AI402" i="3"/>
  <c r="AJ402" i="3"/>
  <c r="AL402" i="3"/>
  <c r="AM402" i="3"/>
  <c r="AE403" i="3"/>
  <c r="AI403" i="3" s="1"/>
  <c r="AF403" i="3"/>
  <c r="AM403" i="3" s="1"/>
  <c r="AG403" i="3"/>
  <c r="AO403" i="3" s="1"/>
  <c r="AJ403" i="3"/>
  <c r="AL403" i="3"/>
  <c r="AP403" i="3"/>
  <c r="AE404" i="3"/>
  <c r="AI404" i="3" s="1"/>
  <c r="AF404" i="3"/>
  <c r="AM404" i="3" s="1"/>
  <c r="AG404" i="3"/>
  <c r="AJ404" i="3"/>
  <c r="AL404" i="3"/>
  <c r="AO404" i="3"/>
  <c r="AP404" i="3"/>
  <c r="AE405" i="3"/>
  <c r="AF405" i="3"/>
  <c r="AG405" i="3"/>
  <c r="AI405" i="3"/>
  <c r="AJ405" i="3"/>
  <c r="AL405" i="3"/>
  <c r="AM405" i="3"/>
  <c r="AO405" i="3"/>
  <c r="AP405" i="3"/>
  <c r="AE406" i="3"/>
  <c r="AF406" i="3"/>
  <c r="AG406" i="3"/>
  <c r="AP406" i="3" s="1"/>
  <c r="AI406" i="3"/>
  <c r="AJ406" i="3"/>
  <c r="AL406" i="3"/>
  <c r="AM406" i="3"/>
  <c r="AE407" i="3"/>
  <c r="AI407" i="3" s="1"/>
  <c r="AF407" i="3"/>
  <c r="AM407" i="3" s="1"/>
  <c r="AG407" i="3"/>
  <c r="AO407" i="3" s="1"/>
  <c r="AJ407" i="3"/>
  <c r="AL407" i="3"/>
  <c r="AP407" i="3"/>
  <c r="AE408" i="3"/>
  <c r="AI408" i="3" s="1"/>
  <c r="AF408" i="3"/>
  <c r="AM408" i="3" s="1"/>
  <c r="AG408" i="3"/>
  <c r="AJ408" i="3"/>
  <c r="AL408" i="3"/>
  <c r="AO408" i="3"/>
  <c r="AP408" i="3"/>
  <c r="AE409" i="3"/>
  <c r="AF409" i="3"/>
  <c r="AG409" i="3"/>
  <c r="AP409" i="3" s="1"/>
  <c r="AI409" i="3"/>
  <c r="AJ409" i="3"/>
  <c r="AL409" i="3"/>
  <c r="AM409" i="3"/>
  <c r="AO409" i="3"/>
  <c r="AE410" i="3"/>
  <c r="AF410" i="3"/>
  <c r="AG410" i="3"/>
  <c r="AP410" i="3" s="1"/>
  <c r="AI410" i="3"/>
  <c r="AJ410" i="3"/>
  <c r="AL410" i="3"/>
  <c r="AM410" i="3"/>
  <c r="AE411" i="3"/>
  <c r="AI411" i="3" s="1"/>
  <c r="AF411" i="3"/>
  <c r="AM411" i="3" s="1"/>
  <c r="AG411" i="3"/>
  <c r="AO411" i="3" s="1"/>
  <c r="AJ411" i="3"/>
  <c r="AL411" i="3"/>
  <c r="AP411" i="3"/>
  <c r="AE412" i="3"/>
  <c r="AI412" i="3" s="1"/>
  <c r="AF412" i="3"/>
  <c r="AM412" i="3" s="1"/>
  <c r="AG412" i="3"/>
  <c r="AJ412" i="3"/>
  <c r="AL412" i="3"/>
  <c r="AO412" i="3"/>
  <c r="AP412" i="3"/>
  <c r="AE413" i="3"/>
  <c r="AF413" i="3"/>
  <c r="AG413" i="3"/>
  <c r="AP413" i="3" s="1"/>
  <c r="AI413" i="3"/>
  <c r="AJ413" i="3"/>
  <c r="AL413" i="3"/>
  <c r="AM413" i="3"/>
  <c r="AO413" i="3"/>
  <c r="AE414" i="3"/>
  <c r="AF414" i="3"/>
  <c r="AG414" i="3"/>
  <c r="AP414" i="3" s="1"/>
  <c r="AI414" i="3"/>
  <c r="AJ414" i="3"/>
  <c r="AL414" i="3"/>
  <c r="AM414" i="3"/>
  <c r="AE415" i="3"/>
  <c r="AI415" i="3" s="1"/>
  <c r="AF415" i="3"/>
  <c r="AM415" i="3" s="1"/>
  <c r="AG415" i="3"/>
  <c r="AO415" i="3" s="1"/>
  <c r="AJ415" i="3"/>
  <c r="AL415" i="3"/>
  <c r="AP415" i="3"/>
  <c r="AE416" i="3"/>
  <c r="AI416" i="3" s="1"/>
  <c r="AF416" i="3"/>
  <c r="AM416" i="3" s="1"/>
  <c r="AG416" i="3"/>
  <c r="AJ416" i="3"/>
  <c r="AL416" i="3"/>
  <c r="AO416" i="3"/>
  <c r="AP416" i="3"/>
  <c r="AE417" i="3"/>
  <c r="AF417" i="3"/>
  <c r="AG417" i="3"/>
  <c r="AP417" i="3" s="1"/>
  <c r="AI417" i="3"/>
  <c r="AJ417" i="3"/>
  <c r="AL417" i="3"/>
  <c r="AM417" i="3"/>
  <c r="AO417" i="3"/>
  <c r="AE418" i="3"/>
  <c r="AF418" i="3"/>
  <c r="AG418" i="3"/>
  <c r="AP418" i="3" s="1"/>
  <c r="AI418" i="3"/>
  <c r="AJ418" i="3"/>
  <c r="AL418" i="3"/>
  <c r="AM418" i="3"/>
  <c r="AE419" i="3"/>
  <c r="AI419" i="3" s="1"/>
  <c r="AF419" i="3"/>
  <c r="AM419" i="3" s="1"/>
  <c r="AG419" i="3"/>
  <c r="AO419" i="3" s="1"/>
  <c r="AJ419" i="3"/>
  <c r="AL419" i="3"/>
  <c r="AP419" i="3"/>
  <c r="AE420" i="3"/>
  <c r="AI420" i="3" s="1"/>
  <c r="AF420" i="3"/>
  <c r="AM420" i="3" s="1"/>
  <c r="AG420" i="3"/>
  <c r="AJ420" i="3"/>
  <c r="AL420" i="3"/>
  <c r="AO420" i="3"/>
  <c r="AP420" i="3"/>
  <c r="AE421" i="3"/>
  <c r="AF421" i="3"/>
  <c r="AG421" i="3"/>
  <c r="AP421" i="3" s="1"/>
  <c r="AI421" i="3"/>
  <c r="AJ421" i="3"/>
  <c r="AL421" i="3"/>
  <c r="AM421" i="3"/>
  <c r="AO421" i="3"/>
  <c r="AE422" i="3"/>
  <c r="AF422" i="3"/>
  <c r="AG422" i="3"/>
  <c r="AP422" i="3" s="1"/>
  <c r="AI422" i="3"/>
  <c r="AJ422" i="3"/>
  <c r="AL422" i="3"/>
  <c r="AM422" i="3"/>
  <c r="AE423" i="3"/>
  <c r="AI423" i="3" s="1"/>
  <c r="AF423" i="3"/>
  <c r="AM423" i="3" s="1"/>
  <c r="AG423" i="3"/>
  <c r="AO423" i="3" s="1"/>
  <c r="AJ423" i="3"/>
  <c r="AL423" i="3"/>
  <c r="AP423" i="3"/>
  <c r="AE424" i="3"/>
  <c r="AI424" i="3" s="1"/>
  <c r="AF424" i="3"/>
  <c r="AM424" i="3" s="1"/>
  <c r="AG424" i="3"/>
  <c r="AJ424" i="3"/>
  <c r="AL424" i="3"/>
  <c r="AO424" i="3"/>
  <c r="AP424" i="3"/>
  <c r="AE425" i="3"/>
  <c r="AF425" i="3"/>
  <c r="AG425" i="3"/>
  <c r="AP425" i="3" s="1"/>
  <c r="AI425" i="3"/>
  <c r="AJ425" i="3"/>
  <c r="AL425" i="3"/>
  <c r="AM425" i="3"/>
  <c r="AO425" i="3"/>
  <c r="AE426" i="3"/>
  <c r="AF426" i="3"/>
  <c r="AG426" i="3"/>
  <c r="AP426" i="3" s="1"/>
  <c r="AI426" i="3"/>
  <c r="AJ426" i="3"/>
  <c r="AL426" i="3"/>
  <c r="AM426" i="3"/>
  <c r="AE427" i="3"/>
  <c r="AI427" i="3" s="1"/>
  <c r="AF427" i="3"/>
  <c r="AM427" i="3" s="1"/>
  <c r="AG427" i="3"/>
  <c r="AO427" i="3" s="1"/>
  <c r="AJ427" i="3"/>
  <c r="AL427" i="3"/>
  <c r="AP427" i="3"/>
  <c r="AE428" i="3"/>
  <c r="AI428" i="3" s="1"/>
  <c r="AF428" i="3"/>
  <c r="AM428" i="3" s="1"/>
  <c r="AG428" i="3"/>
  <c r="AJ428" i="3"/>
  <c r="AL428" i="3"/>
  <c r="AO428" i="3"/>
  <c r="AP428" i="3"/>
  <c r="AE429" i="3"/>
  <c r="AF429" i="3"/>
  <c r="AG429" i="3"/>
  <c r="AP429" i="3" s="1"/>
  <c r="AI429" i="3"/>
  <c r="AJ429" i="3"/>
  <c r="AL429" i="3"/>
  <c r="AM429" i="3"/>
  <c r="AO429" i="3"/>
  <c r="AE430" i="3"/>
  <c r="AF430" i="3"/>
  <c r="AG430" i="3"/>
  <c r="AP430" i="3" s="1"/>
  <c r="AI430" i="3"/>
  <c r="AJ430" i="3"/>
  <c r="AL430" i="3"/>
  <c r="AM430" i="3"/>
  <c r="AE431" i="3"/>
  <c r="AI431" i="3" s="1"/>
  <c r="AF431" i="3"/>
  <c r="AM431" i="3" s="1"/>
  <c r="AG431" i="3"/>
  <c r="AO431" i="3" s="1"/>
  <c r="AJ431" i="3"/>
  <c r="AL431" i="3"/>
  <c r="AP431" i="3"/>
  <c r="AE432" i="3"/>
  <c r="AI432" i="3" s="1"/>
  <c r="AF432" i="3"/>
  <c r="AM432" i="3" s="1"/>
  <c r="AG432" i="3"/>
  <c r="AJ432" i="3"/>
  <c r="AL432" i="3"/>
  <c r="AO432" i="3"/>
  <c r="AP432" i="3"/>
  <c r="AE433" i="3"/>
  <c r="AF433" i="3"/>
  <c r="AG433" i="3"/>
  <c r="AP433" i="3" s="1"/>
  <c r="AI433" i="3"/>
  <c r="AJ433" i="3"/>
  <c r="AL433" i="3"/>
  <c r="AM433" i="3"/>
  <c r="AO433" i="3"/>
  <c r="AE434" i="3"/>
  <c r="AF434" i="3"/>
  <c r="AG434" i="3"/>
  <c r="AP434" i="3" s="1"/>
  <c r="AI434" i="3"/>
  <c r="AJ434" i="3"/>
  <c r="AL434" i="3"/>
  <c r="AM434" i="3"/>
  <c r="AE435" i="3"/>
  <c r="AI435" i="3" s="1"/>
  <c r="AF435" i="3"/>
  <c r="AM435" i="3" s="1"/>
  <c r="AG435" i="3"/>
  <c r="AO435" i="3" s="1"/>
  <c r="AJ435" i="3"/>
  <c r="AL435" i="3"/>
  <c r="AP435" i="3"/>
  <c r="AE436" i="3"/>
  <c r="AI436" i="3" s="1"/>
  <c r="AF436" i="3"/>
  <c r="AM436" i="3" s="1"/>
  <c r="AG436" i="3"/>
  <c r="AJ436" i="3"/>
  <c r="AL436" i="3"/>
  <c r="AO436" i="3"/>
  <c r="AP436" i="3"/>
  <c r="AE437" i="3"/>
  <c r="AF437" i="3"/>
  <c r="AG437" i="3"/>
  <c r="AP437" i="3" s="1"/>
  <c r="AI437" i="3"/>
  <c r="AJ437" i="3"/>
  <c r="AL437" i="3"/>
  <c r="AM437" i="3"/>
  <c r="AO437" i="3"/>
  <c r="AE438" i="3"/>
  <c r="AF438" i="3"/>
  <c r="AG438" i="3"/>
  <c r="AP438" i="3" s="1"/>
  <c r="AI438" i="3"/>
  <c r="AJ438" i="3"/>
  <c r="AL438" i="3"/>
  <c r="AM438" i="3"/>
  <c r="AE439" i="3"/>
  <c r="AI439" i="3" s="1"/>
  <c r="AF439" i="3"/>
  <c r="AM439" i="3" s="1"/>
  <c r="AG439" i="3"/>
  <c r="AO439" i="3" s="1"/>
  <c r="AJ439" i="3"/>
  <c r="AL439" i="3"/>
  <c r="AP439" i="3"/>
  <c r="AE440" i="3"/>
  <c r="AI440" i="3" s="1"/>
  <c r="AF440" i="3"/>
  <c r="AM440" i="3" s="1"/>
  <c r="AG440" i="3"/>
  <c r="AJ440" i="3"/>
  <c r="AL440" i="3"/>
  <c r="AO440" i="3"/>
  <c r="AP440" i="3"/>
  <c r="AE441" i="3"/>
  <c r="AF441" i="3"/>
  <c r="AG441" i="3"/>
  <c r="AP441" i="3" s="1"/>
  <c r="AI441" i="3"/>
  <c r="AJ441" i="3"/>
  <c r="AL441" i="3"/>
  <c r="AM441" i="3"/>
  <c r="AO441" i="3"/>
  <c r="AE442" i="3"/>
  <c r="AF442" i="3"/>
  <c r="AG442" i="3"/>
  <c r="AP442" i="3" s="1"/>
  <c r="AI442" i="3"/>
  <c r="AJ442" i="3"/>
  <c r="AL442" i="3"/>
  <c r="AM442" i="3"/>
  <c r="AE443" i="3"/>
  <c r="AI443" i="3" s="1"/>
  <c r="AF443" i="3"/>
  <c r="AM443" i="3" s="1"/>
  <c r="AG443" i="3"/>
  <c r="AO443" i="3" s="1"/>
  <c r="AJ443" i="3"/>
  <c r="AL443" i="3"/>
  <c r="AP443" i="3"/>
  <c r="AE444" i="3"/>
  <c r="AI444" i="3" s="1"/>
  <c r="AF444" i="3"/>
  <c r="AM444" i="3" s="1"/>
  <c r="AG444" i="3"/>
  <c r="AJ444" i="3"/>
  <c r="AL444" i="3"/>
  <c r="AO444" i="3"/>
  <c r="AP444" i="3"/>
  <c r="AE445" i="3"/>
  <c r="AF445" i="3"/>
  <c r="AG445" i="3"/>
  <c r="AP445" i="3" s="1"/>
  <c r="AI445" i="3"/>
  <c r="AJ445" i="3"/>
  <c r="AL445" i="3"/>
  <c r="AM445" i="3"/>
  <c r="AO445" i="3"/>
  <c r="AE446" i="3"/>
  <c r="AF446" i="3"/>
  <c r="AG446" i="3"/>
  <c r="AP446" i="3" s="1"/>
  <c r="AI446" i="3"/>
  <c r="AJ446" i="3"/>
  <c r="AL446" i="3"/>
  <c r="AM446" i="3"/>
  <c r="AE447" i="3"/>
  <c r="AI447" i="3" s="1"/>
  <c r="AF447" i="3"/>
  <c r="AM447" i="3" s="1"/>
  <c r="AG447" i="3"/>
  <c r="AO447" i="3" s="1"/>
  <c r="AJ447" i="3"/>
  <c r="AL447" i="3"/>
  <c r="AP447" i="3"/>
  <c r="AE448" i="3"/>
  <c r="AI448" i="3" s="1"/>
  <c r="AF448" i="3"/>
  <c r="AM448" i="3" s="1"/>
  <c r="AG448" i="3"/>
  <c r="AJ448" i="3"/>
  <c r="AL448" i="3"/>
  <c r="AO448" i="3"/>
  <c r="AP448" i="3"/>
  <c r="AE449" i="3"/>
  <c r="AF449" i="3"/>
  <c r="AG449" i="3"/>
  <c r="AP449" i="3" s="1"/>
  <c r="AI449" i="3"/>
  <c r="AJ449" i="3"/>
  <c r="AL449" i="3"/>
  <c r="AM449" i="3"/>
  <c r="AO449" i="3"/>
  <c r="AE450" i="3"/>
  <c r="AF450" i="3"/>
  <c r="AG450" i="3"/>
  <c r="AP450" i="3" s="1"/>
  <c r="AI450" i="3"/>
  <c r="AJ450" i="3"/>
  <c r="AL450" i="3"/>
  <c r="AM450" i="3"/>
  <c r="AE451" i="3"/>
  <c r="AI451" i="3" s="1"/>
  <c r="AF451" i="3"/>
  <c r="AM451" i="3" s="1"/>
  <c r="AG451" i="3"/>
  <c r="AO451" i="3" s="1"/>
  <c r="AJ451" i="3"/>
  <c r="AL451" i="3"/>
  <c r="AP451" i="3"/>
  <c r="AE452" i="3"/>
  <c r="AI452" i="3" s="1"/>
  <c r="AF452" i="3"/>
  <c r="AM452" i="3" s="1"/>
  <c r="AG452" i="3"/>
  <c r="AJ452" i="3"/>
  <c r="AL452" i="3"/>
  <c r="AO452" i="3"/>
  <c r="AP452" i="3"/>
  <c r="AE453" i="3"/>
  <c r="AF453" i="3"/>
  <c r="AG453" i="3"/>
  <c r="AP453" i="3" s="1"/>
  <c r="AI453" i="3"/>
  <c r="AJ453" i="3"/>
  <c r="AL453" i="3"/>
  <c r="AM453" i="3"/>
  <c r="AO453" i="3"/>
  <c r="AE454" i="3"/>
  <c r="AF454" i="3"/>
  <c r="AG454" i="3"/>
  <c r="AP454" i="3" s="1"/>
  <c r="AI454" i="3"/>
  <c r="AJ454" i="3"/>
  <c r="AL454" i="3"/>
  <c r="AM454" i="3"/>
  <c r="AE455" i="3"/>
  <c r="AI455" i="3" s="1"/>
  <c r="AF455" i="3"/>
  <c r="AM455" i="3" s="1"/>
  <c r="AG455" i="3"/>
  <c r="AO455" i="3" s="1"/>
  <c r="AJ455" i="3"/>
  <c r="AL455" i="3"/>
  <c r="AP455" i="3"/>
  <c r="AE456" i="3"/>
  <c r="AI456" i="3" s="1"/>
  <c r="AF456" i="3"/>
  <c r="AM456" i="3" s="1"/>
  <c r="AG456" i="3"/>
  <c r="AJ456" i="3"/>
  <c r="AL456" i="3"/>
  <c r="AO456" i="3"/>
  <c r="AP456" i="3"/>
  <c r="AE457" i="3"/>
  <c r="AF457" i="3"/>
  <c r="AG457" i="3"/>
  <c r="AP457" i="3" s="1"/>
  <c r="AI457" i="3"/>
  <c r="AJ457" i="3"/>
  <c r="AL457" i="3"/>
  <c r="AM457" i="3"/>
  <c r="AO457" i="3"/>
  <c r="AE458" i="3"/>
  <c r="AF458" i="3"/>
  <c r="AG458" i="3"/>
  <c r="AP458" i="3" s="1"/>
  <c r="AI458" i="3"/>
  <c r="AJ458" i="3"/>
  <c r="AL458" i="3"/>
  <c r="AM458" i="3"/>
  <c r="AE459" i="3"/>
  <c r="AI459" i="3" s="1"/>
  <c r="AF459" i="3"/>
  <c r="AM459" i="3" s="1"/>
  <c r="AG459" i="3"/>
  <c r="AO459" i="3" s="1"/>
  <c r="AJ459" i="3"/>
  <c r="AL459" i="3"/>
  <c r="AP459" i="3"/>
  <c r="AE460" i="3"/>
  <c r="AI460" i="3" s="1"/>
  <c r="AF460" i="3"/>
  <c r="AM460" i="3" s="1"/>
  <c r="AG460" i="3"/>
  <c r="AJ460" i="3"/>
  <c r="AL460" i="3"/>
  <c r="AO460" i="3"/>
  <c r="AP460" i="3"/>
  <c r="AE461" i="3"/>
  <c r="AF461" i="3"/>
  <c r="AG461" i="3"/>
  <c r="AP461" i="3" s="1"/>
  <c r="AI461" i="3"/>
  <c r="AJ461" i="3"/>
  <c r="AL461" i="3"/>
  <c r="AM461" i="3"/>
  <c r="AO461" i="3"/>
  <c r="AE462" i="3"/>
  <c r="AF462" i="3"/>
  <c r="AG462" i="3"/>
  <c r="AP462" i="3" s="1"/>
  <c r="AI462" i="3"/>
  <c r="AJ462" i="3"/>
  <c r="AL462" i="3"/>
  <c r="AM462" i="3"/>
  <c r="AE463" i="3"/>
  <c r="AI463" i="3" s="1"/>
  <c r="AF463" i="3"/>
  <c r="AM463" i="3" s="1"/>
  <c r="AG463" i="3"/>
  <c r="AO463" i="3" s="1"/>
  <c r="AJ463" i="3"/>
  <c r="AL463" i="3"/>
  <c r="AP463" i="3"/>
  <c r="AE464" i="3"/>
  <c r="AI464" i="3" s="1"/>
  <c r="AF464" i="3"/>
  <c r="AM464" i="3" s="1"/>
  <c r="AG464" i="3"/>
  <c r="AJ464" i="3"/>
  <c r="AL464" i="3"/>
  <c r="AO464" i="3"/>
  <c r="AP464" i="3"/>
  <c r="AE465" i="3"/>
  <c r="AF465" i="3"/>
  <c r="AG465" i="3"/>
  <c r="AP465" i="3" s="1"/>
  <c r="AI465" i="3"/>
  <c r="AJ465" i="3"/>
  <c r="AL465" i="3"/>
  <c r="AM465" i="3"/>
  <c r="AO465" i="3"/>
  <c r="AE466" i="3"/>
  <c r="AF466" i="3"/>
  <c r="AG466" i="3"/>
  <c r="AP466" i="3" s="1"/>
  <c r="AI466" i="3"/>
  <c r="AJ466" i="3"/>
  <c r="AL466" i="3"/>
  <c r="AM466" i="3"/>
  <c r="AE467" i="3"/>
  <c r="AI467" i="3" s="1"/>
  <c r="AF467" i="3"/>
  <c r="AM467" i="3" s="1"/>
  <c r="AG467" i="3"/>
  <c r="AO467" i="3" s="1"/>
  <c r="AJ467" i="3"/>
  <c r="AL467" i="3"/>
  <c r="AP467" i="3"/>
  <c r="AE468" i="3"/>
  <c r="AI468" i="3" s="1"/>
  <c r="AF468" i="3"/>
  <c r="AM468" i="3" s="1"/>
  <c r="AG468" i="3"/>
  <c r="AJ468" i="3"/>
  <c r="AL468" i="3"/>
  <c r="AO468" i="3"/>
  <c r="AP468" i="3"/>
  <c r="AE469" i="3"/>
  <c r="AF469" i="3"/>
  <c r="AG469" i="3"/>
  <c r="AP469" i="3" s="1"/>
  <c r="AI469" i="3"/>
  <c r="AJ469" i="3"/>
  <c r="AL469" i="3"/>
  <c r="AM469" i="3"/>
  <c r="AO469" i="3"/>
  <c r="AE470" i="3"/>
  <c r="AF470" i="3"/>
  <c r="AG470" i="3"/>
  <c r="AP470" i="3" s="1"/>
  <c r="AI470" i="3"/>
  <c r="AJ470" i="3"/>
  <c r="AL470" i="3"/>
  <c r="AM470" i="3"/>
  <c r="AE471" i="3"/>
  <c r="AI471" i="3" s="1"/>
  <c r="AF471" i="3"/>
  <c r="AM471" i="3" s="1"/>
  <c r="AG471" i="3"/>
  <c r="AO471" i="3" s="1"/>
  <c r="AJ471" i="3"/>
  <c r="AL471" i="3"/>
  <c r="AP471" i="3"/>
  <c r="AE472" i="3"/>
  <c r="AI472" i="3" s="1"/>
  <c r="AF472" i="3"/>
  <c r="AG472" i="3"/>
  <c r="AJ472" i="3"/>
  <c r="AL472" i="3"/>
  <c r="AM472" i="3"/>
  <c r="AO472" i="3"/>
  <c r="AP472" i="3"/>
  <c r="AE473" i="3"/>
  <c r="AF473" i="3"/>
  <c r="AG473" i="3"/>
  <c r="AP473" i="3" s="1"/>
  <c r="AI473" i="3"/>
  <c r="AJ473" i="3"/>
  <c r="AL473" i="3"/>
  <c r="AM473" i="3"/>
  <c r="AO473" i="3"/>
  <c r="AE474" i="3"/>
  <c r="AF474" i="3"/>
  <c r="AG474" i="3"/>
  <c r="AP474" i="3" s="1"/>
  <c r="AI474" i="3"/>
  <c r="AJ474" i="3"/>
  <c r="AL474" i="3"/>
  <c r="AM474" i="3"/>
  <c r="AE475" i="3"/>
  <c r="AI475" i="3" s="1"/>
  <c r="AF475" i="3"/>
  <c r="AM475" i="3" s="1"/>
  <c r="AG475" i="3"/>
  <c r="AJ475" i="3"/>
  <c r="AL475" i="3"/>
  <c r="AO475" i="3"/>
  <c r="AP475" i="3"/>
  <c r="AE476" i="3"/>
  <c r="AI476" i="3" s="1"/>
  <c r="AF476" i="3"/>
  <c r="AG476" i="3"/>
  <c r="AJ476" i="3"/>
  <c r="AL476" i="3"/>
  <c r="AM476" i="3"/>
  <c r="AO476" i="3"/>
  <c r="AP476" i="3"/>
  <c r="AE477" i="3"/>
  <c r="AF477" i="3"/>
  <c r="AG477" i="3"/>
  <c r="AP477" i="3" s="1"/>
  <c r="AI477" i="3"/>
  <c r="AJ477" i="3"/>
  <c r="AL477" i="3"/>
  <c r="AM477" i="3"/>
  <c r="AO477" i="3"/>
  <c r="AE478" i="3"/>
  <c r="AF478" i="3"/>
  <c r="AG478" i="3"/>
  <c r="AP478" i="3" s="1"/>
  <c r="AI478" i="3"/>
  <c r="AJ478" i="3"/>
  <c r="AL478" i="3"/>
  <c r="AM478" i="3"/>
  <c r="AE479" i="3"/>
  <c r="AI479" i="3" s="1"/>
  <c r="AF479" i="3"/>
  <c r="AM479" i="3" s="1"/>
  <c r="AG479" i="3"/>
  <c r="AJ479" i="3"/>
  <c r="AL479" i="3"/>
  <c r="AO479" i="3"/>
  <c r="AP479" i="3"/>
  <c r="AE480" i="3"/>
  <c r="AI480" i="3" s="1"/>
  <c r="AF480" i="3"/>
  <c r="AG480" i="3"/>
  <c r="AJ480" i="3"/>
  <c r="AL480" i="3"/>
  <c r="AM480" i="3"/>
  <c r="AO480" i="3"/>
  <c r="AP480" i="3"/>
  <c r="AE481" i="3"/>
  <c r="AF481" i="3"/>
  <c r="AG481" i="3"/>
  <c r="AP481" i="3" s="1"/>
  <c r="AI481" i="3"/>
  <c r="AJ481" i="3"/>
  <c r="AL481" i="3"/>
  <c r="AM481" i="3"/>
  <c r="AO481" i="3"/>
  <c r="AE482" i="3"/>
  <c r="AF482" i="3"/>
  <c r="AG482" i="3"/>
  <c r="AP482" i="3" s="1"/>
  <c r="AI482" i="3"/>
  <c r="AJ482" i="3"/>
  <c r="AL482" i="3"/>
  <c r="AM482" i="3"/>
  <c r="AE483" i="3"/>
  <c r="AI483" i="3" s="1"/>
  <c r="AF483" i="3"/>
  <c r="AM483" i="3" s="1"/>
  <c r="AG483" i="3"/>
  <c r="AJ483" i="3"/>
  <c r="AL483" i="3"/>
  <c r="AO483" i="3"/>
  <c r="AP483" i="3"/>
  <c r="AE484" i="3"/>
  <c r="AI484" i="3" s="1"/>
  <c r="AF484" i="3"/>
  <c r="AG484" i="3"/>
  <c r="AJ484" i="3"/>
  <c r="AL484" i="3"/>
  <c r="AM484" i="3"/>
  <c r="AO484" i="3"/>
  <c r="AP484" i="3"/>
  <c r="AE485" i="3"/>
  <c r="AF485" i="3"/>
  <c r="AG485" i="3"/>
  <c r="AP485" i="3" s="1"/>
  <c r="AI485" i="3"/>
  <c r="AJ485" i="3"/>
  <c r="AL485" i="3"/>
  <c r="AM485" i="3"/>
  <c r="AO485" i="3"/>
  <c r="AE486" i="3"/>
  <c r="AF486" i="3"/>
  <c r="AG486" i="3"/>
  <c r="AP486" i="3" s="1"/>
  <c r="AI486" i="3"/>
  <c r="AJ486" i="3"/>
  <c r="AL486" i="3"/>
  <c r="AM486" i="3"/>
  <c r="AE487" i="3"/>
  <c r="AI487" i="3" s="1"/>
  <c r="AF487" i="3"/>
  <c r="AM487" i="3" s="1"/>
  <c r="AG487" i="3"/>
  <c r="AJ487" i="3"/>
  <c r="AL487" i="3"/>
  <c r="AO487" i="3"/>
  <c r="AP487" i="3"/>
  <c r="AE488" i="3"/>
  <c r="AI488" i="3" s="1"/>
  <c r="AF488" i="3"/>
  <c r="AG488" i="3"/>
  <c r="AJ488" i="3"/>
  <c r="AL488" i="3"/>
  <c r="AM488" i="3"/>
  <c r="AO488" i="3"/>
  <c r="AP488" i="3"/>
  <c r="AE489" i="3"/>
  <c r="AF489" i="3"/>
  <c r="AG489" i="3"/>
  <c r="AP489" i="3" s="1"/>
  <c r="AI489" i="3"/>
  <c r="AJ489" i="3"/>
  <c r="AL489" i="3"/>
  <c r="AM489" i="3"/>
  <c r="AO489" i="3"/>
  <c r="AE490" i="3"/>
  <c r="AF490" i="3"/>
  <c r="AG490" i="3"/>
  <c r="AP490" i="3" s="1"/>
  <c r="AI490" i="3"/>
  <c r="AJ490" i="3"/>
  <c r="AL490" i="3"/>
  <c r="AM490" i="3"/>
  <c r="AE491" i="3"/>
  <c r="AI491" i="3" s="1"/>
  <c r="AF491" i="3"/>
  <c r="AM491" i="3" s="1"/>
  <c r="AG491" i="3"/>
  <c r="AJ491" i="3"/>
  <c r="AL491" i="3"/>
  <c r="AO491" i="3"/>
  <c r="AP491" i="3"/>
  <c r="AE492" i="3"/>
  <c r="AI492" i="3" s="1"/>
  <c r="AF492" i="3"/>
  <c r="AG492" i="3"/>
  <c r="AJ492" i="3"/>
  <c r="AL492" i="3"/>
  <c r="AM492" i="3"/>
  <c r="AO492" i="3"/>
  <c r="AP492" i="3"/>
  <c r="AE493" i="3"/>
  <c r="AF493" i="3"/>
  <c r="AG493" i="3"/>
  <c r="AP493" i="3" s="1"/>
  <c r="AI493" i="3"/>
  <c r="AJ493" i="3"/>
  <c r="AL493" i="3"/>
  <c r="AM493" i="3"/>
  <c r="AO493" i="3"/>
  <c r="AE494" i="3"/>
  <c r="AF494" i="3"/>
  <c r="AG494" i="3"/>
  <c r="AP494" i="3" s="1"/>
  <c r="AI494" i="3"/>
  <c r="AJ494" i="3"/>
  <c r="AL494" i="3"/>
  <c r="AM494" i="3"/>
  <c r="AE495" i="3"/>
  <c r="AI495" i="3" s="1"/>
  <c r="AF495" i="3"/>
  <c r="AM495" i="3" s="1"/>
  <c r="AG495" i="3"/>
  <c r="AJ495" i="3"/>
  <c r="AL495" i="3"/>
  <c r="AO495" i="3"/>
  <c r="AP495" i="3"/>
  <c r="AE496" i="3"/>
  <c r="AI496" i="3" s="1"/>
  <c r="AF496" i="3"/>
  <c r="AG496" i="3"/>
  <c r="AJ496" i="3"/>
  <c r="AL496" i="3"/>
  <c r="AM496" i="3"/>
  <c r="AO496" i="3"/>
  <c r="AP496" i="3"/>
  <c r="AE497" i="3"/>
  <c r="AF497" i="3"/>
  <c r="AG497" i="3"/>
  <c r="AP497" i="3" s="1"/>
  <c r="AI497" i="3"/>
  <c r="AJ497" i="3"/>
  <c r="AL497" i="3"/>
  <c r="AM497" i="3"/>
  <c r="AO497" i="3"/>
  <c r="AE498" i="3"/>
  <c r="AF498" i="3"/>
  <c r="AG498" i="3"/>
  <c r="AP498" i="3" s="1"/>
  <c r="AI498" i="3"/>
  <c r="AJ498" i="3"/>
  <c r="AL498" i="3"/>
  <c r="AM498" i="3"/>
  <c r="AE499" i="3"/>
  <c r="AI499" i="3" s="1"/>
  <c r="AF499" i="3"/>
  <c r="AM499" i="3" s="1"/>
  <c r="AG499" i="3"/>
  <c r="AJ499" i="3"/>
  <c r="AL499" i="3"/>
  <c r="AO499" i="3"/>
  <c r="AP499" i="3"/>
  <c r="AE500" i="3"/>
  <c r="AI500" i="3" s="1"/>
  <c r="AF500" i="3"/>
  <c r="AG500" i="3"/>
  <c r="AJ500" i="3"/>
  <c r="AL500" i="3"/>
  <c r="AM500" i="3"/>
  <c r="AO500" i="3"/>
  <c r="AP500" i="3"/>
  <c r="AE501" i="3"/>
  <c r="AF501" i="3"/>
  <c r="AG501" i="3"/>
  <c r="AP501" i="3" s="1"/>
  <c r="AI501" i="3"/>
  <c r="AJ501" i="3"/>
  <c r="AL501" i="3"/>
  <c r="AM501" i="3"/>
  <c r="AO501" i="3"/>
  <c r="AE502" i="3"/>
  <c r="AF502" i="3"/>
  <c r="AG502" i="3"/>
  <c r="AP502" i="3" s="1"/>
  <c r="AI502" i="3"/>
  <c r="AJ502" i="3"/>
  <c r="AL502" i="3"/>
  <c r="AM502" i="3"/>
  <c r="AE503" i="3"/>
  <c r="AI503" i="3" s="1"/>
  <c r="AF503" i="3"/>
  <c r="AM503" i="3" s="1"/>
  <c r="AG503" i="3"/>
  <c r="AJ503" i="3"/>
  <c r="AL503" i="3"/>
  <c r="AO503" i="3"/>
  <c r="AP503" i="3"/>
  <c r="AE504" i="3"/>
  <c r="AI504" i="3" s="1"/>
  <c r="AF504" i="3"/>
  <c r="AG504" i="3"/>
  <c r="AJ504" i="3"/>
  <c r="AL504" i="3"/>
  <c r="AM504" i="3"/>
  <c r="AO504" i="3"/>
  <c r="AP504" i="3"/>
  <c r="AE505" i="3"/>
  <c r="AF505" i="3"/>
  <c r="AG505" i="3"/>
  <c r="AP505" i="3" s="1"/>
  <c r="AI505" i="3"/>
  <c r="AJ505" i="3"/>
  <c r="AL505" i="3"/>
  <c r="AM505" i="3"/>
  <c r="AO505" i="3"/>
  <c r="AE506" i="3"/>
  <c r="AF506" i="3"/>
  <c r="AG506" i="3"/>
  <c r="AP506" i="3" s="1"/>
  <c r="AI506" i="3"/>
  <c r="AJ506" i="3"/>
  <c r="AL506" i="3"/>
  <c r="AM506" i="3"/>
  <c r="AE507" i="3"/>
  <c r="AI507" i="3" s="1"/>
  <c r="AF507" i="3"/>
  <c r="AM507" i="3" s="1"/>
  <c r="AG507" i="3"/>
  <c r="AJ507" i="3"/>
  <c r="AL507" i="3"/>
  <c r="AO507" i="3"/>
  <c r="AP507" i="3"/>
  <c r="AE508" i="3"/>
  <c r="AI508" i="3" s="1"/>
  <c r="AF508" i="3"/>
  <c r="AG508" i="3"/>
  <c r="AJ508" i="3"/>
  <c r="AL508" i="3"/>
  <c r="AM508" i="3"/>
  <c r="AO508" i="3"/>
  <c r="AP508" i="3"/>
  <c r="AE509" i="3"/>
  <c r="AF509" i="3"/>
  <c r="AG509" i="3"/>
  <c r="AP509" i="3" s="1"/>
  <c r="AI509" i="3"/>
  <c r="AJ509" i="3"/>
  <c r="AL509" i="3"/>
  <c r="AM509" i="3"/>
  <c r="AO509" i="3"/>
  <c r="AE510" i="3"/>
  <c r="AI510" i="3" s="1"/>
  <c r="AF510" i="3"/>
  <c r="AG510" i="3"/>
  <c r="AP510" i="3" s="1"/>
  <c r="AJ510" i="3"/>
  <c r="AL510" i="3"/>
  <c r="AM510" i="3"/>
  <c r="AE511" i="3"/>
  <c r="AI511" i="3" s="1"/>
  <c r="AF511" i="3"/>
  <c r="AM511" i="3" s="1"/>
  <c r="AG511" i="3"/>
  <c r="AJ511" i="3"/>
  <c r="AL511" i="3"/>
  <c r="AO511" i="3"/>
  <c r="AP511" i="3"/>
  <c r="AE512" i="3"/>
  <c r="AI512" i="3" s="1"/>
  <c r="AF512" i="3"/>
  <c r="AG512" i="3"/>
  <c r="AJ512" i="3"/>
  <c r="AL512" i="3"/>
  <c r="AM512" i="3"/>
  <c r="AO512" i="3"/>
  <c r="AP512" i="3"/>
  <c r="AE513" i="3"/>
  <c r="AF513" i="3"/>
  <c r="AG513" i="3"/>
  <c r="AP513" i="3" s="1"/>
  <c r="AI513" i="3"/>
  <c r="AJ513" i="3"/>
  <c r="AL513" i="3"/>
  <c r="AM513" i="3"/>
  <c r="AO513" i="3"/>
  <c r="AE514" i="3"/>
  <c r="AF514" i="3"/>
  <c r="AG514" i="3"/>
  <c r="AP514" i="3" s="1"/>
  <c r="AI514" i="3"/>
  <c r="AJ514" i="3"/>
  <c r="AL514" i="3"/>
  <c r="AM514" i="3"/>
  <c r="AE515" i="3"/>
  <c r="AI515" i="3" s="1"/>
  <c r="AF515" i="3"/>
  <c r="AM515" i="3" s="1"/>
  <c r="AG515" i="3"/>
  <c r="AJ515" i="3"/>
  <c r="AL515" i="3"/>
  <c r="AO515" i="3"/>
  <c r="AP515" i="3"/>
  <c r="AE516" i="3"/>
  <c r="AI516" i="3" s="1"/>
  <c r="AF516" i="3"/>
  <c r="AG516" i="3"/>
  <c r="AJ516" i="3"/>
  <c r="AL516" i="3"/>
  <c r="AM516" i="3"/>
  <c r="AO516" i="3"/>
  <c r="AP516" i="3"/>
  <c r="AE517" i="3"/>
  <c r="AF517" i="3"/>
  <c r="AG517" i="3"/>
  <c r="AP517" i="3" s="1"/>
  <c r="AI517" i="3"/>
  <c r="AJ517" i="3"/>
  <c r="AL517" i="3"/>
  <c r="AM517" i="3"/>
  <c r="AO517" i="3"/>
  <c r="AE518" i="3"/>
  <c r="AF518" i="3"/>
  <c r="AG518" i="3"/>
  <c r="AP518" i="3" s="1"/>
  <c r="AI518" i="3"/>
  <c r="AJ518" i="3"/>
  <c r="AL518" i="3"/>
  <c r="AM518" i="3"/>
  <c r="AE519" i="3"/>
  <c r="AI519" i="3" s="1"/>
  <c r="AF519" i="3"/>
  <c r="AM519" i="3" s="1"/>
  <c r="AG519" i="3"/>
  <c r="AJ519" i="3"/>
  <c r="AL519" i="3"/>
  <c r="AO519" i="3"/>
  <c r="AP519" i="3"/>
  <c r="AE520" i="3"/>
  <c r="AI520" i="3" s="1"/>
  <c r="AF520" i="3"/>
  <c r="AG520" i="3"/>
  <c r="AJ520" i="3"/>
  <c r="AL520" i="3"/>
  <c r="AM520" i="3"/>
  <c r="AO520" i="3"/>
  <c r="AP520" i="3"/>
  <c r="AE521" i="3"/>
  <c r="AF521" i="3"/>
  <c r="AG521" i="3"/>
  <c r="AP521" i="3" s="1"/>
  <c r="AI521" i="3"/>
  <c r="AJ521" i="3"/>
  <c r="AL521" i="3"/>
  <c r="AM521" i="3"/>
  <c r="AO521" i="3"/>
  <c r="AE522" i="3"/>
  <c r="AF522" i="3"/>
  <c r="AG522" i="3"/>
  <c r="AP522" i="3" s="1"/>
  <c r="AI522" i="3"/>
  <c r="AJ522" i="3"/>
  <c r="AL522" i="3"/>
  <c r="AM522" i="3"/>
  <c r="AE523" i="3"/>
  <c r="AI523" i="3" s="1"/>
  <c r="AF523" i="3"/>
  <c r="AM523" i="3" s="1"/>
  <c r="AG523" i="3"/>
  <c r="AJ523" i="3"/>
  <c r="AL523" i="3"/>
  <c r="AO523" i="3"/>
  <c r="AP523" i="3"/>
  <c r="AE524" i="3"/>
  <c r="AI524" i="3" s="1"/>
  <c r="AF524" i="3"/>
  <c r="AG524" i="3"/>
  <c r="AJ524" i="3"/>
  <c r="AL524" i="3"/>
  <c r="AM524" i="3"/>
  <c r="AO524" i="3"/>
  <c r="AP524" i="3"/>
  <c r="AE525" i="3"/>
  <c r="AF525" i="3"/>
  <c r="AG525" i="3"/>
  <c r="AP525" i="3" s="1"/>
  <c r="AI525" i="3"/>
  <c r="AJ525" i="3"/>
  <c r="AL525" i="3"/>
  <c r="AM525" i="3"/>
  <c r="AO525" i="3"/>
  <c r="AE526" i="3"/>
  <c r="AF526" i="3"/>
  <c r="AG526" i="3"/>
  <c r="AP526" i="3" s="1"/>
  <c r="AI526" i="3"/>
  <c r="AJ526" i="3"/>
  <c r="AL526" i="3"/>
  <c r="AM526" i="3"/>
  <c r="AE527" i="3"/>
  <c r="AI527" i="3" s="1"/>
  <c r="AF527" i="3"/>
  <c r="AM527" i="3" s="1"/>
  <c r="AG527" i="3"/>
  <c r="AJ527" i="3"/>
  <c r="AL527" i="3"/>
  <c r="AO527" i="3"/>
  <c r="AP527" i="3"/>
  <c r="AE528" i="3"/>
  <c r="AI528" i="3" s="1"/>
  <c r="AF528" i="3"/>
  <c r="AG528" i="3"/>
  <c r="AJ528" i="3"/>
  <c r="AL528" i="3"/>
  <c r="AM528" i="3"/>
  <c r="AO528" i="3"/>
  <c r="AP528" i="3"/>
  <c r="AE529" i="3"/>
  <c r="AF529" i="3"/>
  <c r="AG529" i="3"/>
  <c r="AP529" i="3" s="1"/>
  <c r="AI529" i="3"/>
  <c r="AJ529" i="3"/>
  <c r="AL529" i="3"/>
  <c r="AM529" i="3"/>
  <c r="AO529" i="3"/>
  <c r="AE530" i="3"/>
  <c r="AF530" i="3"/>
  <c r="AG530" i="3"/>
  <c r="AP530" i="3" s="1"/>
  <c r="AI530" i="3"/>
  <c r="AJ530" i="3"/>
  <c r="AL530" i="3"/>
  <c r="AM530" i="3"/>
  <c r="AE531" i="3"/>
  <c r="AI531" i="3" s="1"/>
  <c r="AF531" i="3"/>
  <c r="AM531" i="3" s="1"/>
  <c r="AG531" i="3"/>
  <c r="AJ531" i="3"/>
  <c r="AL531" i="3"/>
  <c r="AO531" i="3"/>
  <c r="AP531" i="3"/>
  <c r="AE532" i="3"/>
  <c r="AI532" i="3" s="1"/>
  <c r="AF532" i="3"/>
  <c r="AG532" i="3"/>
  <c r="AJ532" i="3"/>
  <c r="AL532" i="3"/>
  <c r="AM532" i="3"/>
  <c r="AO532" i="3"/>
  <c r="AP532" i="3"/>
  <c r="AE533" i="3"/>
  <c r="AF533" i="3"/>
  <c r="AG533" i="3"/>
  <c r="AP533" i="3" s="1"/>
  <c r="AI533" i="3"/>
  <c r="AJ533" i="3"/>
  <c r="AL533" i="3"/>
  <c r="AM533" i="3"/>
  <c r="AO533" i="3"/>
  <c r="AE534" i="3"/>
  <c r="AF534" i="3"/>
  <c r="AG534" i="3"/>
  <c r="AI534" i="3"/>
  <c r="AJ534" i="3"/>
  <c r="AL534" i="3"/>
  <c r="AM534" i="3"/>
  <c r="AE535" i="3"/>
  <c r="AI535" i="3" s="1"/>
  <c r="AF535" i="3"/>
  <c r="AM535" i="3" s="1"/>
  <c r="AG535" i="3"/>
  <c r="AJ535" i="3"/>
  <c r="AO535" i="3"/>
  <c r="AP535" i="3"/>
  <c r="AE536" i="3"/>
  <c r="AI536" i="3" s="1"/>
  <c r="AF536" i="3"/>
  <c r="AG536" i="3"/>
  <c r="AL536" i="3"/>
  <c r="AM536" i="3"/>
  <c r="AO536" i="3"/>
  <c r="AP536" i="3"/>
  <c r="AE537" i="3"/>
  <c r="AF537" i="3"/>
  <c r="AG537" i="3"/>
  <c r="AP537" i="3" s="1"/>
  <c r="AI537" i="3"/>
  <c r="AJ537" i="3"/>
  <c r="AL537" i="3"/>
  <c r="AM537" i="3"/>
  <c r="AO537" i="3"/>
  <c r="AE538" i="3"/>
  <c r="AF538" i="3"/>
  <c r="AG538" i="3"/>
  <c r="AI538" i="3"/>
  <c r="AJ538" i="3"/>
  <c r="AL538" i="3"/>
  <c r="AM538" i="3"/>
  <c r="AE539" i="3"/>
  <c r="AI539" i="3" s="1"/>
  <c r="AF539" i="3"/>
  <c r="AM539" i="3" s="1"/>
  <c r="AG539" i="3"/>
  <c r="AJ539" i="3"/>
  <c r="AO539" i="3"/>
  <c r="AP539" i="3"/>
  <c r="AE540" i="3"/>
  <c r="AI540" i="3" s="1"/>
  <c r="AF540" i="3"/>
  <c r="AG540" i="3"/>
  <c r="AL540" i="3"/>
  <c r="AM540" i="3"/>
  <c r="AO540" i="3"/>
  <c r="AP540" i="3"/>
  <c r="AE541" i="3"/>
  <c r="AF541" i="3"/>
  <c r="AG541" i="3"/>
  <c r="AP541" i="3" s="1"/>
  <c r="AI541" i="3"/>
  <c r="AJ541" i="3"/>
  <c r="AL541" i="3"/>
  <c r="AM541" i="3"/>
  <c r="AO541" i="3"/>
  <c r="AE542" i="3"/>
  <c r="AF542" i="3"/>
  <c r="AG542" i="3"/>
  <c r="AI542" i="3"/>
  <c r="AJ542" i="3"/>
  <c r="AL542" i="3"/>
  <c r="AM542" i="3"/>
  <c r="AE543" i="3"/>
  <c r="AI543" i="3" s="1"/>
  <c r="AF543" i="3"/>
  <c r="AM543" i="3" s="1"/>
  <c r="AG543" i="3"/>
  <c r="AJ543" i="3"/>
  <c r="AO543" i="3"/>
  <c r="AP543" i="3"/>
  <c r="AE544" i="3"/>
  <c r="AI544" i="3" s="1"/>
  <c r="AF544" i="3"/>
  <c r="AG544" i="3"/>
  <c r="AJ544" i="3"/>
  <c r="AL544" i="3"/>
  <c r="AM544" i="3"/>
  <c r="AO544" i="3"/>
  <c r="AP544" i="3"/>
  <c r="AE545" i="3"/>
  <c r="AF545" i="3"/>
  <c r="AG545" i="3"/>
  <c r="AP545" i="3" s="1"/>
  <c r="AI545" i="3"/>
  <c r="AJ545" i="3"/>
  <c r="AL545" i="3"/>
  <c r="AM545" i="3"/>
  <c r="AO545" i="3"/>
  <c r="AE546" i="3"/>
  <c r="AF546" i="3"/>
  <c r="AG546" i="3"/>
  <c r="AI546" i="3"/>
  <c r="AJ546" i="3"/>
  <c r="AL546" i="3"/>
  <c r="AM546" i="3"/>
  <c r="AE547" i="3"/>
  <c r="AF547" i="3"/>
  <c r="AM547" i="3" s="1"/>
  <c r="AG547" i="3"/>
  <c r="AL547" i="3"/>
  <c r="AO547" i="3"/>
  <c r="AP547" i="3"/>
  <c r="AE548" i="3"/>
  <c r="AI548" i="3" s="1"/>
  <c r="AF548" i="3"/>
  <c r="AG548" i="3"/>
  <c r="AJ548" i="3"/>
  <c r="AL548" i="3"/>
  <c r="AM548" i="3"/>
  <c r="AO548" i="3"/>
  <c r="AP548" i="3"/>
  <c r="AE549" i="3"/>
  <c r="AF549" i="3"/>
  <c r="AG549" i="3"/>
  <c r="AP549" i="3" s="1"/>
  <c r="AI549" i="3"/>
  <c r="AJ549" i="3"/>
  <c r="AL549" i="3"/>
  <c r="AM549" i="3"/>
  <c r="AO549" i="3"/>
  <c r="AE550" i="3"/>
  <c r="AF550" i="3"/>
  <c r="AM550" i="3" s="1"/>
  <c r="AG550" i="3"/>
  <c r="AI550" i="3"/>
  <c r="AJ550" i="3"/>
  <c r="AL550" i="3"/>
  <c r="AE551" i="3"/>
  <c r="AI551" i="3" s="1"/>
  <c r="AF551" i="3"/>
  <c r="AG551" i="3"/>
  <c r="AO551" i="3"/>
  <c r="AP551" i="3"/>
  <c r="AE552" i="3"/>
  <c r="AF552" i="3"/>
  <c r="AG552" i="3"/>
  <c r="AI552" i="3"/>
  <c r="AJ552" i="3"/>
  <c r="AL552" i="3"/>
  <c r="AM552" i="3"/>
  <c r="AO552" i="3"/>
  <c r="AP552" i="3"/>
  <c r="AE553" i="3"/>
  <c r="AF553" i="3"/>
  <c r="AG553" i="3"/>
  <c r="AI553" i="3"/>
  <c r="AJ553" i="3"/>
  <c r="AL553" i="3"/>
  <c r="AM553" i="3"/>
  <c r="AE554" i="3"/>
  <c r="AF554" i="3"/>
  <c r="AG554" i="3"/>
  <c r="AI554" i="3"/>
  <c r="AJ554" i="3"/>
  <c r="AL554" i="3"/>
  <c r="AM554" i="3"/>
  <c r="AE555" i="3"/>
  <c r="AF555" i="3"/>
  <c r="AG555" i="3"/>
  <c r="AI555" i="3"/>
  <c r="AJ555" i="3"/>
  <c r="AL555" i="3"/>
  <c r="AM555" i="3"/>
  <c r="AO555" i="3"/>
  <c r="AP555" i="3"/>
  <c r="AE556" i="3"/>
  <c r="AI556" i="3" s="1"/>
  <c r="AF556" i="3"/>
  <c r="AL556" i="3" s="1"/>
  <c r="AG556" i="3"/>
  <c r="AJ556" i="3"/>
  <c r="AM556" i="3"/>
  <c r="AE557" i="3"/>
  <c r="AI557" i="3" s="1"/>
  <c r="AF557" i="3"/>
  <c r="AM557" i="3" s="1"/>
  <c r="AG557" i="3"/>
  <c r="AO557" i="3"/>
  <c r="AP557" i="3"/>
  <c r="AE558" i="3"/>
  <c r="AI558" i="3" s="1"/>
  <c r="AF558" i="3"/>
  <c r="AG558" i="3"/>
  <c r="AJ558" i="3"/>
  <c r="AL558" i="3"/>
  <c r="AM558" i="3"/>
  <c r="AO558" i="3"/>
  <c r="AP558" i="3"/>
  <c r="AE559" i="3"/>
  <c r="AF559" i="3"/>
  <c r="AG559" i="3"/>
  <c r="AP559" i="3" s="1"/>
  <c r="AI559" i="3"/>
  <c r="AJ559" i="3"/>
  <c r="AL559" i="3"/>
  <c r="AM559" i="3"/>
  <c r="AO559" i="3"/>
  <c r="AE560" i="3"/>
  <c r="AI560" i="3" s="1"/>
  <c r="AF560" i="3"/>
  <c r="AL560" i="3" s="1"/>
  <c r="AG560" i="3"/>
  <c r="AJ560" i="3"/>
  <c r="AM560" i="3"/>
  <c r="AE561" i="3"/>
  <c r="AI561" i="3" s="1"/>
  <c r="AF561" i="3"/>
  <c r="AM561" i="3" s="1"/>
  <c r="AG561" i="3"/>
  <c r="AJ561" i="3"/>
  <c r="AO561" i="3"/>
  <c r="AP561" i="3"/>
  <c r="AE562" i="3"/>
  <c r="AI562" i="3" s="1"/>
  <c r="AF562" i="3"/>
  <c r="AG562" i="3"/>
  <c r="AJ562" i="3"/>
  <c r="AL562" i="3"/>
  <c r="AM562" i="3"/>
  <c r="AO562" i="3"/>
  <c r="AP562" i="3"/>
  <c r="AE563" i="3"/>
  <c r="AF563" i="3"/>
  <c r="AG563" i="3"/>
  <c r="AP563" i="3" s="1"/>
  <c r="AI563" i="3"/>
  <c r="AJ563" i="3"/>
  <c r="AL563" i="3"/>
  <c r="AM563" i="3"/>
  <c r="AO563" i="3"/>
  <c r="AE564" i="3"/>
  <c r="AI564" i="3" s="1"/>
  <c r="AF564" i="3"/>
  <c r="AL564" i="3" s="1"/>
  <c r="AG564" i="3"/>
  <c r="AJ564" i="3"/>
  <c r="AM564" i="3"/>
  <c r="AE565" i="3"/>
  <c r="AI565" i="3" s="1"/>
  <c r="AF565" i="3"/>
  <c r="AM565" i="3" s="1"/>
  <c r="AG565" i="3"/>
  <c r="AO565" i="3"/>
  <c r="AP565" i="3"/>
  <c r="AE566" i="3"/>
  <c r="AI566" i="3" s="1"/>
  <c r="AF566" i="3"/>
  <c r="AG566" i="3"/>
  <c r="AJ566" i="3"/>
  <c r="AL566" i="3"/>
  <c r="AM566" i="3"/>
  <c r="AO566" i="3"/>
  <c r="AP566" i="3"/>
  <c r="AE567" i="3"/>
  <c r="AF567" i="3"/>
  <c r="AG567" i="3"/>
  <c r="AP567" i="3" s="1"/>
  <c r="AI567" i="3"/>
  <c r="AJ567" i="3"/>
  <c r="AL567" i="3"/>
  <c r="AM567" i="3"/>
  <c r="AO567" i="3"/>
  <c r="AE568" i="3"/>
  <c r="AI568" i="3" s="1"/>
  <c r="AF568" i="3"/>
  <c r="AL568" i="3" s="1"/>
  <c r="AG568" i="3"/>
  <c r="AJ568" i="3"/>
  <c r="AM568" i="3"/>
  <c r="AE569" i="3"/>
  <c r="AI569" i="3" s="1"/>
  <c r="AF569" i="3"/>
  <c r="AM569" i="3" s="1"/>
  <c r="AG569" i="3"/>
  <c r="AJ569" i="3"/>
  <c r="AO569" i="3"/>
  <c r="AP569" i="3"/>
  <c r="AE570" i="3"/>
  <c r="AI570" i="3" s="1"/>
  <c r="AF570" i="3"/>
  <c r="AG570" i="3"/>
  <c r="AJ570" i="3"/>
  <c r="AL570" i="3"/>
  <c r="AM570" i="3"/>
  <c r="AO570" i="3"/>
  <c r="AP570" i="3"/>
  <c r="AE571" i="3"/>
  <c r="AF571" i="3"/>
  <c r="AG571" i="3"/>
  <c r="AP571" i="3" s="1"/>
  <c r="AI571" i="3"/>
  <c r="AJ571" i="3"/>
  <c r="AL571" i="3"/>
  <c r="AM571" i="3"/>
  <c r="AO571" i="3"/>
  <c r="AE572" i="3"/>
  <c r="AI572" i="3" s="1"/>
  <c r="AF572" i="3"/>
  <c r="AL572" i="3" s="1"/>
  <c r="AG572" i="3"/>
  <c r="AJ572" i="3"/>
  <c r="AM572" i="3"/>
  <c r="AE573" i="3"/>
  <c r="AI573" i="3" s="1"/>
  <c r="AF573" i="3"/>
  <c r="AM573" i="3" s="1"/>
  <c r="AG573" i="3"/>
  <c r="AO573" i="3"/>
  <c r="AP573" i="3"/>
  <c r="AE574" i="3"/>
  <c r="AI574" i="3" s="1"/>
  <c r="AF574" i="3"/>
  <c r="AG574" i="3"/>
  <c r="AJ574" i="3"/>
  <c r="AL574" i="3"/>
  <c r="AM574" i="3"/>
  <c r="AO574" i="3"/>
  <c r="AP574" i="3"/>
  <c r="AE575" i="3"/>
  <c r="AF575" i="3"/>
  <c r="AG575" i="3"/>
  <c r="AP575" i="3" s="1"/>
  <c r="AI575" i="3"/>
  <c r="AJ575" i="3"/>
  <c r="AL575" i="3"/>
  <c r="AM575" i="3"/>
  <c r="AO575" i="3"/>
  <c r="AE576" i="3"/>
  <c r="AI576" i="3" s="1"/>
  <c r="AF576" i="3"/>
  <c r="AL576" i="3" s="1"/>
  <c r="AG576" i="3"/>
  <c r="AJ576" i="3"/>
  <c r="AM576" i="3"/>
  <c r="AE577" i="3"/>
  <c r="AI577" i="3" s="1"/>
  <c r="AF577" i="3"/>
  <c r="AM577" i="3" s="1"/>
  <c r="AG577" i="3"/>
  <c r="AJ577" i="3"/>
  <c r="AO577" i="3"/>
  <c r="AP577" i="3"/>
  <c r="AE578" i="3"/>
  <c r="AI578" i="3" s="1"/>
  <c r="AF578" i="3"/>
  <c r="AG578" i="3"/>
  <c r="AJ578" i="3"/>
  <c r="AL578" i="3"/>
  <c r="AM578" i="3"/>
  <c r="AO578" i="3"/>
  <c r="AP578" i="3"/>
  <c r="AE579" i="3"/>
  <c r="AF579" i="3"/>
  <c r="AG579" i="3"/>
  <c r="AP579" i="3" s="1"/>
  <c r="AI579" i="3"/>
  <c r="AJ579" i="3"/>
  <c r="AL579" i="3"/>
  <c r="AM579" i="3"/>
  <c r="AO579" i="3"/>
  <c r="AE580" i="3"/>
  <c r="AI580" i="3" s="1"/>
  <c r="AF580" i="3"/>
  <c r="AL580" i="3" s="1"/>
  <c r="AG580" i="3"/>
  <c r="AJ580" i="3"/>
  <c r="AM580" i="3"/>
  <c r="AE581" i="3"/>
  <c r="AI581" i="3" s="1"/>
  <c r="AF581" i="3"/>
  <c r="AM581" i="3" s="1"/>
  <c r="AG581" i="3"/>
  <c r="AO581" i="3"/>
  <c r="AP581" i="3"/>
  <c r="AE582" i="3"/>
  <c r="AI582" i="3" s="1"/>
  <c r="AF582" i="3"/>
  <c r="AG582" i="3"/>
  <c r="AJ582" i="3"/>
  <c r="AL582" i="3"/>
  <c r="AM582" i="3"/>
  <c r="AO582" i="3"/>
  <c r="AP582" i="3"/>
  <c r="AE583" i="3"/>
  <c r="AF583" i="3"/>
  <c r="AG583" i="3"/>
  <c r="AP583" i="3" s="1"/>
  <c r="AI583" i="3"/>
  <c r="AJ583" i="3"/>
  <c r="AL583" i="3"/>
  <c r="AM583" i="3"/>
  <c r="AO583" i="3"/>
  <c r="AE584" i="3"/>
  <c r="AI584" i="3" s="1"/>
  <c r="AF584" i="3"/>
  <c r="AL584" i="3" s="1"/>
  <c r="AG584" i="3"/>
  <c r="AJ584" i="3"/>
  <c r="AM584" i="3"/>
  <c r="AE585" i="3"/>
  <c r="AI585" i="3" s="1"/>
  <c r="AF585" i="3"/>
  <c r="AM585" i="3" s="1"/>
  <c r="AG585" i="3"/>
  <c r="AJ585" i="3"/>
  <c r="AO585" i="3"/>
  <c r="AP585" i="3"/>
  <c r="AE586" i="3"/>
  <c r="AI586" i="3" s="1"/>
  <c r="AF586" i="3"/>
  <c r="AG586" i="3"/>
  <c r="AJ586" i="3"/>
  <c r="AL586" i="3"/>
  <c r="AM586" i="3"/>
  <c r="AO586" i="3"/>
  <c r="AP586" i="3"/>
  <c r="AE587" i="3"/>
  <c r="AF587" i="3"/>
  <c r="AG587" i="3"/>
  <c r="AP587" i="3" s="1"/>
  <c r="AI587" i="3"/>
  <c r="AJ587" i="3"/>
  <c r="AL587" i="3"/>
  <c r="AM587" i="3"/>
  <c r="AO587" i="3"/>
  <c r="AE588" i="3"/>
  <c r="AI588" i="3" s="1"/>
  <c r="AF588" i="3"/>
  <c r="AL588" i="3" s="1"/>
  <c r="AG588" i="3"/>
  <c r="AJ588" i="3"/>
  <c r="AM588" i="3"/>
  <c r="AE589" i="3"/>
  <c r="AI589" i="3" s="1"/>
  <c r="AF589" i="3"/>
  <c r="AM589" i="3" s="1"/>
  <c r="AG589" i="3"/>
  <c r="AO589" i="3"/>
  <c r="AP589" i="3"/>
  <c r="AE590" i="3"/>
  <c r="AI590" i="3" s="1"/>
  <c r="AF590" i="3"/>
  <c r="AG590" i="3"/>
  <c r="AJ590" i="3"/>
  <c r="AL590" i="3"/>
  <c r="AM590" i="3"/>
  <c r="AO590" i="3"/>
  <c r="AP590" i="3"/>
  <c r="AE591" i="3"/>
  <c r="AF591" i="3"/>
  <c r="AG591" i="3"/>
  <c r="AP591" i="3" s="1"/>
  <c r="AI591" i="3"/>
  <c r="AJ591" i="3"/>
  <c r="AL591" i="3"/>
  <c r="AM591" i="3"/>
  <c r="AO591" i="3"/>
  <c r="AE592" i="3"/>
  <c r="AI592" i="3" s="1"/>
  <c r="AF592" i="3"/>
  <c r="AL592" i="3" s="1"/>
  <c r="AG592" i="3"/>
  <c r="AJ592" i="3"/>
  <c r="AM592" i="3"/>
  <c r="AE593" i="3"/>
  <c r="AI593" i="3" s="1"/>
  <c r="AF593" i="3"/>
  <c r="AM593" i="3" s="1"/>
  <c r="AG593" i="3"/>
  <c r="AJ593" i="3"/>
  <c r="AO593" i="3"/>
  <c r="AP593" i="3"/>
  <c r="AE594" i="3"/>
  <c r="AI594" i="3" s="1"/>
  <c r="AF594" i="3"/>
  <c r="AG594" i="3"/>
  <c r="AJ594" i="3"/>
  <c r="AL594" i="3"/>
  <c r="AM594" i="3"/>
  <c r="AO594" i="3"/>
  <c r="AP594" i="3"/>
  <c r="AE595" i="3"/>
  <c r="AF595" i="3"/>
  <c r="AG595" i="3"/>
  <c r="AP595" i="3" s="1"/>
  <c r="AI595" i="3"/>
  <c r="AJ595" i="3"/>
  <c r="AL595" i="3"/>
  <c r="AM595" i="3"/>
  <c r="AO595" i="3"/>
  <c r="AE596" i="3"/>
  <c r="AI596" i="3" s="1"/>
  <c r="AF596" i="3"/>
  <c r="AL596" i="3" s="1"/>
  <c r="AG596" i="3"/>
  <c r="AJ596" i="3"/>
  <c r="AM596" i="3"/>
  <c r="AE597" i="3"/>
  <c r="AI597" i="3" s="1"/>
  <c r="AF597" i="3"/>
  <c r="AM597" i="3" s="1"/>
  <c r="AG597" i="3"/>
  <c r="AO597" i="3"/>
  <c r="AP597" i="3"/>
  <c r="AE598" i="3"/>
  <c r="AI598" i="3" s="1"/>
  <c r="AF598" i="3"/>
  <c r="AG598" i="3"/>
  <c r="AJ598" i="3"/>
  <c r="AL598" i="3"/>
  <c r="AM598" i="3"/>
  <c r="AO598" i="3"/>
  <c r="AP598" i="3"/>
  <c r="AE599" i="3"/>
  <c r="AF599" i="3"/>
  <c r="AG599" i="3"/>
  <c r="AP599" i="3" s="1"/>
  <c r="AI599" i="3"/>
  <c r="AJ599" i="3"/>
  <c r="AL599" i="3"/>
  <c r="AM599" i="3"/>
  <c r="AO599" i="3"/>
  <c r="AE600" i="3"/>
  <c r="AI600" i="3" s="1"/>
  <c r="AF600" i="3"/>
  <c r="AL600" i="3" s="1"/>
  <c r="AG600" i="3"/>
  <c r="AJ600" i="3"/>
  <c r="AM600" i="3"/>
  <c r="AE601" i="3"/>
  <c r="AI601" i="3" s="1"/>
  <c r="AF601" i="3"/>
  <c r="AM601" i="3" s="1"/>
  <c r="AG601" i="3"/>
  <c r="AJ601" i="3"/>
  <c r="AO601" i="3"/>
  <c r="AP601" i="3"/>
  <c r="AE602" i="3"/>
  <c r="AI602" i="3" s="1"/>
  <c r="AF602" i="3"/>
  <c r="AG602" i="3"/>
  <c r="AJ602" i="3"/>
  <c r="AL602" i="3"/>
  <c r="AM602" i="3"/>
  <c r="AO602" i="3"/>
  <c r="AP602" i="3"/>
  <c r="AE603" i="3"/>
  <c r="AF603" i="3"/>
  <c r="AG603" i="3"/>
  <c r="AP603" i="3" s="1"/>
  <c r="AI603" i="3"/>
  <c r="AJ603" i="3"/>
  <c r="AL603" i="3"/>
  <c r="AM603" i="3"/>
  <c r="AO603" i="3"/>
  <c r="AE604" i="3"/>
  <c r="AI604" i="3" s="1"/>
  <c r="AF604" i="3"/>
  <c r="AL604" i="3" s="1"/>
  <c r="AG604" i="3"/>
  <c r="AJ604" i="3"/>
  <c r="AM604" i="3"/>
  <c r="AE605" i="3"/>
  <c r="AI605" i="3" s="1"/>
  <c r="AF605" i="3"/>
  <c r="AM605" i="3" s="1"/>
  <c r="AG605" i="3"/>
  <c r="AO605" i="3"/>
  <c r="AP605" i="3"/>
  <c r="AE606" i="3"/>
  <c r="AI606" i="3" s="1"/>
  <c r="AF606" i="3"/>
  <c r="AG606" i="3"/>
  <c r="AJ606" i="3"/>
  <c r="AL606" i="3"/>
  <c r="AM606" i="3"/>
  <c r="AO606" i="3"/>
  <c r="AP606" i="3"/>
  <c r="AE607" i="3"/>
  <c r="AF607" i="3"/>
  <c r="AG607" i="3"/>
  <c r="AP607" i="3" s="1"/>
  <c r="AI607" i="3"/>
  <c r="AJ607" i="3"/>
  <c r="AL607" i="3"/>
  <c r="AM607" i="3"/>
  <c r="AO607" i="3"/>
  <c r="AE608" i="3"/>
  <c r="AI608" i="3" s="1"/>
  <c r="AF608" i="3"/>
  <c r="AL608" i="3" s="1"/>
  <c r="AG608" i="3"/>
  <c r="AJ608" i="3"/>
  <c r="AM608" i="3"/>
  <c r="AE609" i="3"/>
  <c r="AI609" i="3" s="1"/>
  <c r="AF609" i="3"/>
  <c r="AM609" i="3" s="1"/>
  <c r="AG609" i="3"/>
  <c r="AJ609" i="3"/>
  <c r="AO609" i="3"/>
  <c r="AP609" i="3"/>
  <c r="AE610" i="3"/>
  <c r="AI610" i="3" s="1"/>
  <c r="AF610" i="3"/>
  <c r="AG610" i="3"/>
  <c r="AJ610" i="3"/>
  <c r="AL610" i="3"/>
  <c r="AM610" i="3"/>
  <c r="AO610" i="3"/>
  <c r="AP610" i="3"/>
  <c r="AE611" i="3"/>
  <c r="AF611" i="3"/>
  <c r="AG611" i="3"/>
  <c r="AP611" i="3" s="1"/>
  <c r="AI611" i="3"/>
  <c r="AJ611" i="3"/>
  <c r="AL611" i="3"/>
  <c r="AM611" i="3"/>
  <c r="AO611" i="3"/>
  <c r="AE612" i="3"/>
  <c r="AI612" i="3" s="1"/>
  <c r="AF612" i="3"/>
  <c r="AL612" i="3" s="1"/>
  <c r="AG612" i="3"/>
  <c r="AJ612" i="3"/>
  <c r="AM612" i="3"/>
  <c r="AE613" i="3"/>
  <c r="AI613" i="3" s="1"/>
  <c r="AF613" i="3"/>
  <c r="AM613" i="3" s="1"/>
  <c r="AG613" i="3"/>
  <c r="AO613" i="3"/>
  <c r="AP613" i="3"/>
  <c r="AE614" i="3"/>
  <c r="AI614" i="3" s="1"/>
  <c r="AF614" i="3"/>
  <c r="AG614" i="3"/>
  <c r="AJ614" i="3"/>
  <c r="AL614" i="3"/>
  <c r="AM614" i="3"/>
  <c r="AO614" i="3"/>
  <c r="AP614" i="3"/>
  <c r="AE615" i="3"/>
  <c r="AF615" i="3"/>
  <c r="AG615" i="3"/>
  <c r="AP615" i="3" s="1"/>
  <c r="AI615" i="3"/>
  <c r="AJ615" i="3"/>
  <c r="AL615" i="3"/>
  <c r="AM615" i="3"/>
  <c r="AO615" i="3"/>
  <c r="AE616" i="3"/>
  <c r="AI616" i="3" s="1"/>
  <c r="AF616" i="3"/>
  <c r="AL616" i="3" s="1"/>
  <c r="AG616" i="3"/>
  <c r="AJ616" i="3"/>
  <c r="AM616" i="3"/>
  <c r="AE617" i="3"/>
  <c r="AI617" i="3" s="1"/>
  <c r="AF617" i="3"/>
  <c r="AM617" i="3" s="1"/>
  <c r="AG617" i="3"/>
  <c r="AJ617" i="3"/>
  <c r="AO617" i="3"/>
  <c r="AP617" i="3"/>
  <c r="AE618" i="3"/>
  <c r="AI618" i="3" s="1"/>
  <c r="AF618" i="3"/>
  <c r="AG618" i="3"/>
  <c r="AJ618" i="3"/>
  <c r="AL618" i="3"/>
  <c r="AM618" i="3"/>
  <c r="AO618" i="3"/>
  <c r="AP618" i="3"/>
  <c r="AE619" i="3"/>
  <c r="AF619" i="3"/>
  <c r="AG619" i="3"/>
  <c r="AP619" i="3" s="1"/>
  <c r="AI619" i="3"/>
  <c r="AJ619" i="3"/>
  <c r="AL619" i="3"/>
  <c r="AM619" i="3"/>
  <c r="AO619" i="3"/>
  <c r="AE620" i="3"/>
  <c r="AI620" i="3" s="1"/>
  <c r="AF620" i="3"/>
  <c r="AL620" i="3" s="1"/>
  <c r="AG620" i="3"/>
  <c r="AJ620" i="3"/>
  <c r="AM620" i="3"/>
  <c r="AE621" i="3"/>
  <c r="AI621" i="3" s="1"/>
  <c r="AF621" i="3"/>
  <c r="AM621" i="3" s="1"/>
  <c r="AG621" i="3"/>
  <c r="AO621" i="3"/>
  <c r="AP621" i="3"/>
  <c r="AE622" i="3"/>
  <c r="AI622" i="3" s="1"/>
  <c r="AF622" i="3"/>
  <c r="AG622" i="3"/>
  <c r="AJ622" i="3"/>
  <c r="AL622" i="3"/>
  <c r="AM622" i="3"/>
  <c r="AO622" i="3"/>
  <c r="AP622" i="3"/>
  <c r="AE623" i="3"/>
  <c r="AF623" i="3"/>
  <c r="AG623" i="3"/>
  <c r="AP623" i="3" s="1"/>
  <c r="AI623" i="3"/>
  <c r="AJ623" i="3"/>
  <c r="AL623" i="3"/>
  <c r="AM623" i="3"/>
  <c r="AO623" i="3"/>
  <c r="AE624" i="3"/>
  <c r="AI624" i="3" s="1"/>
  <c r="AF624" i="3"/>
  <c r="AL624" i="3" s="1"/>
  <c r="AG624" i="3"/>
  <c r="AJ624" i="3"/>
  <c r="AM624" i="3"/>
  <c r="AE625" i="3"/>
  <c r="AI625" i="3" s="1"/>
  <c r="AF625" i="3"/>
  <c r="AM625" i="3" s="1"/>
  <c r="AG625" i="3"/>
  <c r="AJ625" i="3"/>
  <c r="AO625" i="3"/>
  <c r="AP625" i="3"/>
  <c r="AE626" i="3"/>
  <c r="AI626" i="3" s="1"/>
  <c r="AF626" i="3"/>
  <c r="AG626" i="3"/>
  <c r="AJ626" i="3"/>
  <c r="AL626" i="3"/>
  <c r="AM626" i="3"/>
  <c r="AO626" i="3"/>
  <c r="AP626" i="3"/>
  <c r="AE627" i="3"/>
  <c r="AF627" i="3"/>
  <c r="AG627" i="3"/>
  <c r="AP627" i="3" s="1"/>
  <c r="AI627" i="3"/>
  <c r="AJ627" i="3"/>
  <c r="AL627" i="3"/>
  <c r="AM627" i="3"/>
  <c r="AO627" i="3"/>
  <c r="AE628" i="3"/>
  <c r="AI628" i="3" s="1"/>
  <c r="AF628" i="3"/>
  <c r="AL628" i="3" s="1"/>
  <c r="AG628" i="3"/>
  <c r="AJ628" i="3"/>
  <c r="AM628" i="3"/>
  <c r="AE629" i="3"/>
  <c r="AI629" i="3" s="1"/>
  <c r="AF629" i="3"/>
  <c r="AM629" i="3" s="1"/>
  <c r="AG629" i="3"/>
  <c r="AO629" i="3"/>
  <c r="AP629" i="3"/>
  <c r="AE630" i="3"/>
  <c r="AI630" i="3" s="1"/>
  <c r="AF630" i="3"/>
  <c r="AG630" i="3"/>
  <c r="AJ630" i="3"/>
  <c r="AL630" i="3"/>
  <c r="AM630" i="3"/>
  <c r="AO630" i="3"/>
  <c r="AP630" i="3"/>
  <c r="AE631" i="3"/>
  <c r="AF631" i="3"/>
  <c r="AG631" i="3"/>
  <c r="AP631" i="3" s="1"/>
  <c r="AI631" i="3"/>
  <c r="AJ631" i="3"/>
  <c r="AL631" i="3"/>
  <c r="AM631" i="3"/>
  <c r="AO631" i="3"/>
  <c r="AE632" i="3"/>
  <c r="AI632" i="3" s="1"/>
  <c r="AF632" i="3"/>
  <c r="AL632" i="3" s="1"/>
  <c r="AG632" i="3"/>
  <c r="AO632" i="3" s="1"/>
  <c r="AJ632" i="3"/>
  <c r="AM632" i="3"/>
  <c r="AP632" i="3"/>
  <c r="AE633" i="3"/>
  <c r="AI633" i="3" s="1"/>
  <c r="AF633" i="3"/>
  <c r="AG633" i="3"/>
  <c r="AO633" i="3" s="1"/>
  <c r="AJ633" i="3"/>
  <c r="AL633" i="3"/>
  <c r="AM633" i="3"/>
  <c r="AE634" i="3"/>
  <c r="AI634" i="3" s="1"/>
  <c r="AF634" i="3"/>
  <c r="AM634" i="3" s="1"/>
  <c r="AG634" i="3"/>
  <c r="AJ634" i="3"/>
  <c r="AL634" i="3"/>
  <c r="AO634" i="3"/>
  <c r="AP634" i="3"/>
  <c r="AE635" i="3"/>
  <c r="AI635" i="3" s="1"/>
  <c r="AF635" i="3"/>
  <c r="AG635" i="3"/>
  <c r="AJ635" i="3"/>
  <c r="AL635" i="3"/>
  <c r="AM635" i="3"/>
  <c r="AO635" i="3"/>
  <c r="AP635" i="3"/>
  <c r="AE636" i="3"/>
  <c r="AF636" i="3"/>
  <c r="AG636" i="3"/>
  <c r="AP636" i="3" s="1"/>
  <c r="AI636" i="3"/>
  <c r="AJ636" i="3"/>
  <c r="AL636" i="3"/>
  <c r="AM636" i="3"/>
  <c r="AO636" i="3"/>
  <c r="AE637" i="3"/>
  <c r="AI637" i="3" s="1"/>
  <c r="AF637" i="3"/>
  <c r="AG637" i="3"/>
  <c r="AO637" i="3" s="1"/>
  <c r="AJ637" i="3"/>
  <c r="AL637" i="3"/>
  <c r="AM637" i="3"/>
  <c r="AE638" i="3"/>
  <c r="AI638" i="3" s="1"/>
  <c r="AF638" i="3"/>
  <c r="AM638" i="3" s="1"/>
  <c r="AG638" i="3"/>
  <c r="AJ638" i="3"/>
  <c r="AL638" i="3"/>
  <c r="AO638" i="3"/>
  <c r="AP638" i="3"/>
  <c r="AE639" i="3"/>
  <c r="AI639" i="3" s="1"/>
  <c r="AF639" i="3"/>
  <c r="AG639" i="3"/>
  <c r="AJ639" i="3"/>
  <c r="AL639" i="3"/>
  <c r="AM639" i="3"/>
  <c r="AO639" i="3"/>
  <c r="AP639" i="3"/>
  <c r="AE640" i="3"/>
  <c r="AF640" i="3"/>
  <c r="AG640" i="3"/>
  <c r="AP640" i="3" s="1"/>
  <c r="AI640" i="3"/>
  <c r="AJ640" i="3"/>
  <c r="AL640" i="3"/>
  <c r="AM640" i="3"/>
  <c r="AO640" i="3"/>
  <c r="AE641" i="3"/>
  <c r="AI641" i="3" s="1"/>
  <c r="AF641" i="3"/>
  <c r="AG641" i="3"/>
  <c r="AO641" i="3" s="1"/>
  <c r="AJ641" i="3"/>
  <c r="AL641" i="3"/>
  <c r="AM641" i="3"/>
  <c r="AE642" i="3"/>
  <c r="AI642" i="3" s="1"/>
  <c r="AF642" i="3"/>
  <c r="AM642" i="3" s="1"/>
  <c r="AG642" i="3"/>
  <c r="AJ642" i="3"/>
  <c r="AL642" i="3"/>
  <c r="AO642" i="3"/>
  <c r="AP642" i="3"/>
  <c r="AE643" i="3"/>
  <c r="AI643" i="3" s="1"/>
  <c r="AF643" i="3"/>
  <c r="AG643" i="3"/>
  <c r="AJ643" i="3"/>
  <c r="AL643" i="3"/>
  <c r="AM643" i="3"/>
  <c r="AO643" i="3"/>
  <c r="AP643" i="3"/>
  <c r="AE644" i="3"/>
  <c r="AF644" i="3"/>
  <c r="AG644" i="3"/>
  <c r="AP644" i="3" s="1"/>
  <c r="AI644" i="3"/>
  <c r="AJ644" i="3"/>
  <c r="AL644" i="3"/>
  <c r="AM644" i="3"/>
  <c r="AO644" i="3"/>
  <c r="AE645" i="3"/>
  <c r="AI645" i="3" s="1"/>
  <c r="AF645" i="3"/>
  <c r="AG645" i="3"/>
  <c r="AO645" i="3" s="1"/>
  <c r="AJ645" i="3"/>
  <c r="AL645" i="3"/>
  <c r="AM645" i="3"/>
  <c r="AE646" i="3"/>
  <c r="AI646" i="3" s="1"/>
  <c r="AF646" i="3"/>
  <c r="AM646" i="3" s="1"/>
  <c r="AG646" i="3"/>
  <c r="AJ646" i="3"/>
  <c r="AL646" i="3"/>
  <c r="AO646" i="3"/>
  <c r="AP646" i="3"/>
  <c r="AE647" i="3"/>
  <c r="AI647" i="3" s="1"/>
  <c r="AF647" i="3"/>
  <c r="AG647" i="3"/>
  <c r="AJ647" i="3"/>
  <c r="AL647" i="3"/>
  <c r="AM647" i="3"/>
  <c r="AO647" i="3"/>
  <c r="AP647" i="3"/>
  <c r="AE648" i="3"/>
  <c r="AF648" i="3"/>
  <c r="AG648" i="3"/>
  <c r="AP648" i="3" s="1"/>
  <c r="AI648" i="3"/>
  <c r="AJ648" i="3"/>
  <c r="AL648" i="3"/>
  <c r="AM648" i="3"/>
  <c r="AO648" i="3"/>
  <c r="AE649" i="3"/>
  <c r="AI649" i="3" s="1"/>
  <c r="AF649" i="3"/>
  <c r="AG649" i="3"/>
  <c r="AO649" i="3" s="1"/>
  <c r="AJ649" i="3"/>
  <c r="AL649" i="3"/>
  <c r="AM649" i="3"/>
  <c r="AE650" i="3"/>
  <c r="AI650" i="3" s="1"/>
  <c r="AF650" i="3"/>
  <c r="AM650" i="3" s="1"/>
  <c r="AG650" i="3"/>
  <c r="AJ650" i="3"/>
  <c r="AL650" i="3"/>
  <c r="AO650" i="3"/>
  <c r="AP650" i="3"/>
  <c r="AE651" i="3"/>
  <c r="AI651" i="3" s="1"/>
  <c r="AF651" i="3"/>
  <c r="AG651" i="3"/>
  <c r="AJ651" i="3"/>
  <c r="AL651" i="3"/>
  <c r="AM651" i="3"/>
  <c r="AO651" i="3"/>
  <c r="AP651" i="3"/>
  <c r="AE652" i="3"/>
  <c r="AF652" i="3"/>
  <c r="AG652" i="3"/>
  <c r="AP652" i="3" s="1"/>
  <c r="AI652" i="3"/>
  <c r="AJ652" i="3"/>
  <c r="AL652" i="3"/>
  <c r="AM652" i="3"/>
  <c r="AO652" i="3"/>
  <c r="AE653" i="3"/>
  <c r="AI653" i="3" s="1"/>
  <c r="AF653" i="3"/>
  <c r="AG653" i="3"/>
  <c r="AO653" i="3" s="1"/>
  <c r="AJ653" i="3"/>
  <c r="AL653" i="3"/>
  <c r="AM653" i="3"/>
  <c r="AE654" i="3"/>
  <c r="AI654" i="3" s="1"/>
  <c r="AF654" i="3"/>
  <c r="AM654" i="3" s="1"/>
  <c r="AG654" i="3"/>
  <c r="AJ654" i="3"/>
  <c r="AL654" i="3"/>
  <c r="AO654" i="3"/>
  <c r="AP654" i="3"/>
  <c r="AE655" i="3"/>
  <c r="AI655" i="3" s="1"/>
  <c r="AF655" i="3"/>
  <c r="AG655" i="3"/>
  <c r="AJ655" i="3"/>
  <c r="AL655" i="3"/>
  <c r="AM655" i="3"/>
  <c r="AO655" i="3"/>
  <c r="AP655" i="3"/>
  <c r="AE656" i="3"/>
  <c r="AF656" i="3"/>
  <c r="AG656" i="3"/>
  <c r="AP656" i="3" s="1"/>
  <c r="AI656" i="3"/>
  <c r="AJ656" i="3"/>
  <c r="AL656" i="3"/>
  <c r="AM656" i="3"/>
  <c r="AO656" i="3"/>
  <c r="AE657" i="3"/>
  <c r="AI657" i="3" s="1"/>
  <c r="AF657" i="3"/>
  <c r="AG657" i="3"/>
  <c r="AO657" i="3" s="1"/>
  <c r="AJ657" i="3"/>
  <c r="AL657" i="3"/>
  <c r="AM657" i="3"/>
  <c r="AE658" i="3"/>
  <c r="AI658" i="3" s="1"/>
  <c r="AF658" i="3"/>
  <c r="AM658" i="3" s="1"/>
  <c r="AG658" i="3"/>
  <c r="AJ658" i="3"/>
  <c r="AL658" i="3"/>
  <c r="AO658" i="3"/>
  <c r="AP658" i="3"/>
  <c r="AE659" i="3"/>
  <c r="AI659" i="3" s="1"/>
  <c r="AF659" i="3"/>
  <c r="AG659" i="3"/>
  <c r="AJ659" i="3"/>
  <c r="AL659" i="3"/>
  <c r="AM659" i="3"/>
  <c r="AO659" i="3"/>
  <c r="AP659" i="3"/>
  <c r="AE660" i="3"/>
  <c r="AF660" i="3"/>
  <c r="AG660" i="3"/>
  <c r="AP660" i="3" s="1"/>
  <c r="AI660" i="3"/>
  <c r="AJ660" i="3"/>
  <c r="AL660" i="3"/>
  <c r="AM660" i="3"/>
  <c r="AO660" i="3"/>
  <c r="AE661" i="3"/>
  <c r="AI661" i="3" s="1"/>
  <c r="AF661" i="3"/>
  <c r="AG661" i="3"/>
  <c r="AO661" i="3" s="1"/>
  <c r="AJ661" i="3"/>
  <c r="AL661" i="3"/>
  <c r="AM661" i="3"/>
  <c r="AE662" i="3"/>
  <c r="AI662" i="3" s="1"/>
  <c r="AF662" i="3"/>
  <c r="AM662" i="3" s="1"/>
  <c r="AG662" i="3"/>
  <c r="AJ662" i="3"/>
  <c r="AL662" i="3"/>
  <c r="AO662" i="3"/>
  <c r="AP662" i="3"/>
  <c r="AE663" i="3"/>
  <c r="AI663" i="3" s="1"/>
  <c r="AF663" i="3"/>
  <c r="AG663" i="3"/>
  <c r="AJ663" i="3"/>
  <c r="AL663" i="3"/>
  <c r="AM663" i="3"/>
  <c r="AO663" i="3"/>
  <c r="AP663" i="3"/>
  <c r="AE664" i="3"/>
  <c r="AF664" i="3"/>
  <c r="AG664" i="3"/>
  <c r="AP664" i="3" s="1"/>
  <c r="AI664" i="3"/>
  <c r="AJ664" i="3"/>
  <c r="AL664" i="3"/>
  <c r="AM664" i="3"/>
  <c r="AO664" i="3"/>
  <c r="AE665" i="3"/>
  <c r="AI665" i="3" s="1"/>
  <c r="AF665" i="3"/>
  <c r="AG665" i="3"/>
  <c r="AO665" i="3" s="1"/>
  <c r="AJ665" i="3"/>
  <c r="AL665" i="3"/>
  <c r="AM665" i="3"/>
  <c r="AE666" i="3"/>
  <c r="AI666" i="3" s="1"/>
  <c r="AF666" i="3"/>
  <c r="AM666" i="3" s="1"/>
  <c r="AG666" i="3"/>
  <c r="AJ666" i="3"/>
  <c r="AL666" i="3"/>
  <c r="AO666" i="3"/>
  <c r="AP666" i="3"/>
  <c r="AE667" i="3"/>
  <c r="AI667" i="3" s="1"/>
  <c r="AF667" i="3"/>
  <c r="AG667" i="3"/>
  <c r="AJ667" i="3"/>
  <c r="AL667" i="3"/>
  <c r="AM667" i="3"/>
  <c r="AO667" i="3"/>
  <c r="AP667" i="3"/>
  <c r="AE668" i="3"/>
  <c r="AF668" i="3"/>
  <c r="AG668" i="3"/>
  <c r="AP668" i="3" s="1"/>
  <c r="AI668" i="3"/>
  <c r="AJ668" i="3"/>
  <c r="AL668" i="3"/>
  <c r="AM668" i="3"/>
  <c r="AO668" i="3"/>
  <c r="AE669" i="3"/>
  <c r="AI669" i="3" s="1"/>
  <c r="AF669" i="3"/>
  <c r="AG669" i="3"/>
  <c r="AO669" i="3" s="1"/>
  <c r="AJ669" i="3"/>
  <c r="AL669" i="3"/>
  <c r="AM669" i="3"/>
  <c r="AE670" i="3"/>
  <c r="AI670" i="3" s="1"/>
  <c r="AF670" i="3"/>
  <c r="AM670" i="3" s="1"/>
  <c r="AG670" i="3"/>
  <c r="AJ670" i="3"/>
  <c r="AL670" i="3"/>
  <c r="AO670" i="3"/>
  <c r="AP670" i="3"/>
  <c r="AE671" i="3"/>
  <c r="AI671" i="3" s="1"/>
  <c r="AF671" i="3"/>
  <c r="AG671" i="3"/>
  <c r="AJ671" i="3"/>
  <c r="AL671" i="3"/>
  <c r="AM671" i="3"/>
  <c r="AO671" i="3"/>
  <c r="AP671" i="3"/>
  <c r="AE672" i="3"/>
  <c r="AF672" i="3"/>
  <c r="AG672" i="3"/>
  <c r="AP672" i="3" s="1"/>
  <c r="AI672" i="3"/>
  <c r="AJ672" i="3"/>
  <c r="AL672" i="3"/>
  <c r="AM672" i="3"/>
  <c r="AO672" i="3"/>
  <c r="AE673" i="3"/>
  <c r="AI673" i="3" s="1"/>
  <c r="AF673" i="3"/>
  <c r="AG673" i="3"/>
  <c r="AO673" i="3" s="1"/>
  <c r="AJ673" i="3"/>
  <c r="AL673" i="3"/>
  <c r="AM673" i="3"/>
  <c r="AE674" i="3"/>
  <c r="AF674" i="3"/>
  <c r="AM674" i="3" s="1"/>
  <c r="AG674" i="3"/>
  <c r="AI674" i="3"/>
  <c r="AJ674" i="3"/>
  <c r="AL674" i="3"/>
  <c r="AO674" i="3"/>
  <c r="AP674" i="3"/>
  <c r="AE675" i="3"/>
  <c r="AI675" i="3" s="1"/>
  <c r="AF675" i="3"/>
  <c r="AG675" i="3"/>
  <c r="AO675" i="3" s="1"/>
  <c r="AJ675" i="3"/>
  <c r="AL675" i="3"/>
  <c r="AM675" i="3"/>
  <c r="AP675" i="3"/>
  <c r="AE676" i="3"/>
  <c r="AF676" i="3"/>
  <c r="AM676" i="3" s="1"/>
  <c r="AG676" i="3"/>
  <c r="AP676" i="3" s="1"/>
  <c r="AI676" i="3"/>
  <c r="AJ676" i="3"/>
  <c r="AL676" i="3"/>
  <c r="AO676" i="3"/>
  <c r="AE677" i="3"/>
  <c r="AI677" i="3" s="1"/>
  <c r="AF677" i="3"/>
  <c r="AG677" i="3"/>
  <c r="AO677" i="3" s="1"/>
  <c r="AJ677" i="3"/>
  <c r="AL677" i="3"/>
  <c r="AM677" i="3"/>
  <c r="AE678" i="3"/>
  <c r="AF678" i="3"/>
  <c r="AM678" i="3" s="1"/>
  <c r="AG678" i="3"/>
  <c r="AI678" i="3"/>
  <c r="AJ678" i="3"/>
  <c r="AL678" i="3"/>
  <c r="AO678" i="3"/>
  <c r="AP678" i="3"/>
  <c r="AE679" i="3"/>
  <c r="AI679" i="3" s="1"/>
  <c r="AF679" i="3"/>
  <c r="AG679" i="3"/>
  <c r="AO679" i="3" s="1"/>
  <c r="AJ679" i="3"/>
  <c r="AL679" i="3"/>
  <c r="AM679" i="3"/>
  <c r="AP679" i="3"/>
  <c r="AE680" i="3"/>
  <c r="AF680" i="3"/>
  <c r="AM680" i="3" s="1"/>
  <c r="AG680" i="3"/>
  <c r="AP680" i="3" s="1"/>
  <c r="AI680" i="3"/>
  <c r="AJ680" i="3"/>
  <c r="AL680" i="3"/>
  <c r="AO680" i="3"/>
  <c r="AE681" i="3"/>
  <c r="AI681" i="3" s="1"/>
  <c r="AF681" i="3"/>
  <c r="AG681" i="3"/>
  <c r="AO681" i="3" s="1"/>
  <c r="AJ681" i="3"/>
  <c r="AL681" i="3"/>
  <c r="AM681" i="3"/>
  <c r="AE682" i="3"/>
  <c r="AF682" i="3"/>
  <c r="AM682" i="3" s="1"/>
  <c r="AG682" i="3"/>
  <c r="AI682" i="3"/>
  <c r="AJ682" i="3"/>
  <c r="AL682" i="3"/>
  <c r="AO682" i="3"/>
  <c r="AP682" i="3"/>
  <c r="AE683" i="3"/>
  <c r="AI683" i="3" s="1"/>
  <c r="AF683" i="3"/>
  <c r="AG683" i="3"/>
  <c r="AO683" i="3" s="1"/>
  <c r="AJ683" i="3"/>
  <c r="AL683" i="3"/>
  <c r="AM683" i="3"/>
  <c r="AP683" i="3"/>
  <c r="AE684" i="3"/>
  <c r="AF684" i="3"/>
  <c r="AM684" i="3" s="1"/>
  <c r="AG684" i="3"/>
  <c r="AP684" i="3" s="1"/>
  <c r="AI684" i="3"/>
  <c r="AJ684" i="3"/>
  <c r="AL684" i="3"/>
  <c r="AO684" i="3"/>
  <c r="AE685" i="3"/>
  <c r="AI685" i="3" s="1"/>
  <c r="AF685" i="3"/>
  <c r="AG685" i="3"/>
  <c r="AO685" i="3" s="1"/>
  <c r="AJ685" i="3"/>
  <c r="AL685" i="3"/>
  <c r="AM685" i="3"/>
  <c r="AE686" i="3"/>
  <c r="AF686" i="3"/>
  <c r="AM686" i="3" s="1"/>
  <c r="AG686" i="3"/>
  <c r="AI686" i="3"/>
  <c r="AJ686" i="3"/>
  <c r="AL686" i="3"/>
  <c r="AO686" i="3"/>
  <c r="AP686" i="3"/>
  <c r="AE687" i="3"/>
  <c r="AI687" i="3" s="1"/>
  <c r="AF687" i="3"/>
  <c r="AG687" i="3"/>
  <c r="AO687" i="3" s="1"/>
  <c r="AJ687" i="3"/>
  <c r="AL687" i="3"/>
  <c r="AM687" i="3"/>
  <c r="AP687" i="3"/>
  <c r="AE688" i="3"/>
  <c r="AF688" i="3"/>
  <c r="AM688" i="3" s="1"/>
  <c r="AG688" i="3"/>
  <c r="AP688" i="3" s="1"/>
  <c r="AI688" i="3"/>
  <c r="AJ688" i="3"/>
  <c r="AL688" i="3"/>
  <c r="AO688" i="3"/>
  <c r="AE689" i="3"/>
  <c r="AI689" i="3" s="1"/>
  <c r="AF689" i="3"/>
  <c r="AG689" i="3"/>
  <c r="AO689" i="3" s="1"/>
  <c r="AJ689" i="3"/>
  <c r="AL689" i="3"/>
  <c r="AM689" i="3"/>
  <c r="AE690" i="3"/>
  <c r="AF690" i="3"/>
  <c r="AM690" i="3" s="1"/>
  <c r="AG690" i="3"/>
  <c r="AI690" i="3"/>
  <c r="AJ690" i="3"/>
  <c r="AL690" i="3"/>
  <c r="AO690" i="3"/>
  <c r="AP690" i="3"/>
  <c r="AE691" i="3"/>
  <c r="AI691" i="3" s="1"/>
  <c r="AF691" i="3"/>
  <c r="AG691" i="3"/>
  <c r="AO691" i="3" s="1"/>
  <c r="AJ691" i="3"/>
  <c r="AL691" i="3"/>
  <c r="AM691" i="3"/>
  <c r="AP691" i="3"/>
  <c r="AE692" i="3"/>
  <c r="AF692" i="3"/>
  <c r="AM692" i="3" s="1"/>
  <c r="AG692" i="3"/>
  <c r="AP692" i="3" s="1"/>
  <c r="AI692" i="3"/>
  <c r="AJ692" i="3"/>
  <c r="AL692" i="3"/>
  <c r="AO692" i="3"/>
  <c r="AE693" i="3"/>
  <c r="AI693" i="3" s="1"/>
  <c r="AF693" i="3"/>
  <c r="AG693" i="3"/>
  <c r="AO693" i="3" s="1"/>
  <c r="AJ693" i="3"/>
  <c r="AL693" i="3"/>
  <c r="AM693" i="3"/>
  <c r="AE694" i="3"/>
  <c r="AF694" i="3"/>
  <c r="AM694" i="3" s="1"/>
  <c r="AG694" i="3"/>
  <c r="AI694" i="3"/>
  <c r="AJ694" i="3"/>
  <c r="AL694" i="3"/>
  <c r="AO694" i="3"/>
  <c r="AP694" i="3"/>
  <c r="AE695" i="3"/>
  <c r="AI695" i="3" s="1"/>
  <c r="AF695" i="3"/>
  <c r="AG695" i="3"/>
  <c r="AO695" i="3" s="1"/>
  <c r="AJ695" i="3"/>
  <c r="AL695" i="3"/>
  <c r="AM695" i="3"/>
  <c r="AP695" i="3"/>
  <c r="AE696" i="3"/>
  <c r="AF696" i="3"/>
  <c r="AM696" i="3" s="1"/>
  <c r="AG696" i="3"/>
  <c r="AI696" i="3"/>
  <c r="AJ696" i="3"/>
  <c r="AL696" i="3"/>
  <c r="AO696" i="3"/>
  <c r="AP696" i="3"/>
  <c r="AE697" i="3"/>
  <c r="AI697" i="3" s="1"/>
  <c r="AF697" i="3"/>
  <c r="AG697" i="3"/>
  <c r="AO697" i="3" s="1"/>
  <c r="AJ697" i="3"/>
  <c r="AL697" i="3"/>
  <c r="AM697" i="3"/>
  <c r="AE698" i="3"/>
  <c r="AF698" i="3"/>
  <c r="AM698" i="3" s="1"/>
  <c r="AG698" i="3"/>
  <c r="AI698" i="3"/>
  <c r="AJ698" i="3"/>
  <c r="AL698" i="3"/>
  <c r="AO698" i="3"/>
  <c r="AP698" i="3"/>
  <c r="AE699" i="3"/>
  <c r="AI699" i="3" s="1"/>
  <c r="AF699" i="3"/>
  <c r="AG699" i="3"/>
  <c r="AO699" i="3" s="1"/>
  <c r="AJ699" i="3"/>
  <c r="AL699" i="3"/>
  <c r="AM699" i="3"/>
  <c r="AP699" i="3"/>
  <c r="AE700" i="3"/>
  <c r="AF700" i="3"/>
  <c r="AM700" i="3" s="1"/>
  <c r="AG700" i="3"/>
  <c r="AI700" i="3"/>
  <c r="AJ700" i="3"/>
  <c r="AL700" i="3"/>
  <c r="AO700" i="3"/>
  <c r="AP700" i="3"/>
  <c r="AE701" i="3"/>
  <c r="AI701" i="3" s="1"/>
  <c r="AF701" i="3"/>
  <c r="AG701" i="3"/>
  <c r="AO701" i="3" s="1"/>
  <c r="AJ701" i="3"/>
  <c r="AL701" i="3"/>
  <c r="AM701" i="3"/>
  <c r="AE702" i="3"/>
  <c r="AF702" i="3"/>
  <c r="AM702" i="3" s="1"/>
  <c r="AG702" i="3"/>
  <c r="AI702" i="3"/>
  <c r="AJ702" i="3"/>
  <c r="AL702" i="3"/>
  <c r="AO702" i="3"/>
  <c r="AP702" i="3"/>
  <c r="AE703" i="3"/>
  <c r="AI703" i="3" s="1"/>
  <c r="AF703" i="3"/>
  <c r="AG703" i="3"/>
  <c r="AO703" i="3" s="1"/>
  <c r="AJ703" i="3"/>
  <c r="AL703" i="3"/>
  <c r="AM703" i="3"/>
  <c r="AP703" i="3"/>
  <c r="AE704" i="3"/>
  <c r="AF704" i="3"/>
  <c r="AM704" i="3" s="1"/>
  <c r="AG704" i="3"/>
  <c r="AI704" i="3"/>
  <c r="AJ704" i="3"/>
  <c r="AL704" i="3"/>
  <c r="AO704" i="3"/>
  <c r="AP704" i="3"/>
  <c r="AE705" i="3"/>
  <c r="AI705" i="3" s="1"/>
  <c r="AF705" i="3"/>
  <c r="AG705" i="3"/>
  <c r="AO705" i="3" s="1"/>
  <c r="AJ705" i="3"/>
  <c r="AL705" i="3"/>
  <c r="AM705" i="3"/>
  <c r="AE706" i="3"/>
  <c r="AF706" i="3"/>
  <c r="AM706" i="3" s="1"/>
  <c r="AG706" i="3"/>
  <c r="AI706" i="3"/>
  <c r="AJ706" i="3"/>
  <c r="AL706" i="3"/>
  <c r="AO706" i="3"/>
  <c r="AP706" i="3"/>
  <c r="AE707" i="3"/>
  <c r="AI707" i="3" s="1"/>
  <c r="AF707" i="3"/>
  <c r="AG707" i="3"/>
  <c r="AO707" i="3" s="1"/>
  <c r="AJ707" i="3"/>
  <c r="AL707" i="3"/>
  <c r="AM707" i="3"/>
  <c r="AP707" i="3"/>
  <c r="AE708" i="3"/>
  <c r="AF708" i="3"/>
  <c r="AM708" i="3" s="1"/>
  <c r="AG708" i="3"/>
  <c r="AI708" i="3"/>
  <c r="AJ708" i="3"/>
  <c r="AL708" i="3"/>
  <c r="AO708" i="3"/>
  <c r="AP708" i="3"/>
  <c r="AE709" i="3"/>
  <c r="AI709" i="3" s="1"/>
  <c r="AF709" i="3"/>
  <c r="AG709" i="3"/>
  <c r="AO709" i="3" s="1"/>
  <c r="AJ709" i="3"/>
  <c r="AL709" i="3"/>
  <c r="AM709" i="3"/>
  <c r="AE710" i="3"/>
  <c r="AF710" i="3"/>
  <c r="AM710" i="3" s="1"/>
  <c r="AG710" i="3"/>
  <c r="AI710" i="3"/>
  <c r="AJ710" i="3"/>
  <c r="AL710" i="3"/>
  <c r="AO710" i="3"/>
  <c r="AP710" i="3"/>
  <c r="AE711" i="3"/>
  <c r="AI711" i="3" s="1"/>
  <c r="AF711" i="3"/>
  <c r="AG711" i="3"/>
  <c r="AO711" i="3" s="1"/>
  <c r="AJ711" i="3"/>
  <c r="AL711" i="3"/>
  <c r="AM711" i="3"/>
  <c r="AP711" i="3"/>
  <c r="AE712" i="3"/>
  <c r="AF712" i="3"/>
  <c r="AM712" i="3" s="1"/>
  <c r="AG712" i="3"/>
  <c r="AI712" i="3"/>
  <c r="AJ712" i="3"/>
  <c r="AL712" i="3"/>
  <c r="AO712" i="3"/>
  <c r="AP712" i="3"/>
  <c r="AE713" i="3"/>
  <c r="AI713" i="3" s="1"/>
  <c r="AF713" i="3"/>
  <c r="AG713" i="3"/>
  <c r="AO713" i="3" s="1"/>
  <c r="AJ713" i="3"/>
  <c r="AL713" i="3"/>
  <c r="AM713" i="3"/>
  <c r="AE714" i="3"/>
  <c r="AF714" i="3"/>
  <c r="AM714" i="3" s="1"/>
  <c r="AG714" i="3"/>
  <c r="AI714" i="3"/>
  <c r="AJ714" i="3"/>
  <c r="AL714" i="3"/>
  <c r="AO714" i="3"/>
  <c r="AP714" i="3"/>
  <c r="AE715" i="3"/>
  <c r="AI715" i="3" s="1"/>
  <c r="AF715" i="3"/>
  <c r="AG715" i="3"/>
  <c r="AO715" i="3" s="1"/>
  <c r="AJ715" i="3"/>
  <c r="AL715" i="3"/>
  <c r="AM715" i="3"/>
  <c r="AP715" i="3"/>
  <c r="AE716" i="3"/>
  <c r="AF716" i="3"/>
  <c r="AM716" i="3" s="1"/>
  <c r="AG716" i="3"/>
  <c r="AI716" i="3"/>
  <c r="AJ716" i="3"/>
  <c r="AL716" i="3"/>
  <c r="AO716" i="3"/>
  <c r="AP716" i="3"/>
  <c r="AE717" i="3"/>
  <c r="AI717" i="3" s="1"/>
  <c r="AF717" i="3"/>
  <c r="AG717" i="3"/>
  <c r="AO717" i="3" s="1"/>
  <c r="AJ717" i="3"/>
  <c r="AL717" i="3"/>
  <c r="AM717" i="3"/>
  <c r="AE718" i="3"/>
  <c r="AF718" i="3"/>
  <c r="AM718" i="3" s="1"/>
  <c r="AG718" i="3"/>
  <c r="AI718" i="3"/>
  <c r="AJ718" i="3"/>
  <c r="AL718" i="3"/>
  <c r="AO718" i="3"/>
  <c r="AP718" i="3"/>
  <c r="AE719" i="3"/>
  <c r="AI719" i="3" s="1"/>
  <c r="AF719" i="3"/>
  <c r="AG719" i="3"/>
  <c r="AO719" i="3" s="1"/>
  <c r="AJ719" i="3"/>
  <c r="AL719" i="3"/>
  <c r="AM719" i="3"/>
  <c r="AP719" i="3"/>
  <c r="AE720" i="3"/>
  <c r="AF720" i="3"/>
  <c r="AM720" i="3" s="1"/>
  <c r="AG720" i="3"/>
  <c r="AI720" i="3"/>
  <c r="AJ720" i="3"/>
  <c r="AL720" i="3"/>
  <c r="AO720" i="3"/>
  <c r="AP720" i="3"/>
  <c r="AE721" i="3"/>
  <c r="AI721" i="3" s="1"/>
  <c r="AF721" i="3"/>
  <c r="AG721" i="3"/>
  <c r="AO721" i="3" s="1"/>
  <c r="AJ721" i="3"/>
  <c r="AL721" i="3"/>
  <c r="AM721" i="3"/>
  <c r="AE722" i="3"/>
  <c r="AF722" i="3"/>
  <c r="AM722" i="3" s="1"/>
  <c r="AG722" i="3"/>
  <c r="AI722" i="3"/>
  <c r="AJ722" i="3"/>
  <c r="AL722" i="3"/>
  <c r="AO722" i="3"/>
  <c r="AP722" i="3"/>
  <c r="AE723" i="3"/>
  <c r="AI723" i="3" s="1"/>
  <c r="AF723" i="3"/>
  <c r="AG723" i="3"/>
  <c r="AO723" i="3" s="1"/>
  <c r="AJ723" i="3"/>
  <c r="AL723" i="3"/>
  <c r="AM723" i="3"/>
  <c r="AP723" i="3"/>
  <c r="AE724" i="3"/>
  <c r="AF724" i="3"/>
  <c r="AM724" i="3" s="1"/>
  <c r="AG724" i="3"/>
  <c r="AI724" i="3"/>
  <c r="AJ724" i="3"/>
  <c r="AL724" i="3"/>
  <c r="AO724" i="3"/>
  <c r="AP724" i="3"/>
  <c r="AE725" i="3"/>
  <c r="AI725" i="3" s="1"/>
  <c r="AF725" i="3"/>
  <c r="AG725" i="3"/>
  <c r="AO725" i="3" s="1"/>
  <c r="AJ725" i="3"/>
  <c r="AL725" i="3"/>
  <c r="AM725" i="3"/>
  <c r="AE726" i="3"/>
  <c r="AF726" i="3"/>
  <c r="AM726" i="3" s="1"/>
  <c r="AG726" i="3"/>
  <c r="AI726" i="3"/>
  <c r="AJ726" i="3"/>
  <c r="AL726" i="3"/>
  <c r="AO726" i="3"/>
  <c r="AP726" i="3"/>
  <c r="AE727" i="3"/>
  <c r="AI727" i="3" s="1"/>
  <c r="AF727" i="3"/>
  <c r="AG727" i="3"/>
  <c r="AO727" i="3" s="1"/>
  <c r="AJ727" i="3"/>
  <c r="AL727" i="3"/>
  <c r="AM727" i="3"/>
  <c r="AP727" i="3"/>
  <c r="AE728" i="3"/>
  <c r="AF728" i="3"/>
  <c r="AM728" i="3" s="1"/>
  <c r="AG728" i="3"/>
  <c r="AI728" i="3"/>
  <c r="AJ728" i="3"/>
  <c r="AL728" i="3"/>
  <c r="AO728" i="3"/>
  <c r="AP728" i="3"/>
  <c r="AE729" i="3"/>
  <c r="AI729" i="3" s="1"/>
  <c r="AF729" i="3"/>
  <c r="AG729" i="3"/>
  <c r="AO729" i="3" s="1"/>
  <c r="AJ729" i="3"/>
  <c r="AL729" i="3"/>
  <c r="AM729" i="3"/>
  <c r="AE730" i="3"/>
  <c r="AF730" i="3"/>
  <c r="AM730" i="3" s="1"/>
  <c r="AG730" i="3"/>
  <c r="AI730" i="3"/>
  <c r="AJ730" i="3"/>
  <c r="AL730" i="3"/>
  <c r="AO730" i="3"/>
  <c r="AP730" i="3"/>
  <c r="AE731" i="3"/>
  <c r="AI731" i="3" s="1"/>
  <c r="AF731" i="3"/>
  <c r="AG731" i="3"/>
  <c r="AO731" i="3" s="1"/>
  <c r="AJ731" i="3"/>
  <c r="AL731" i="3"/>
  <c r="AM731" i="3"/>
  <c r="AP731" i="3"/>
  <c r="AE732" i="3"/>
  <c r="AF732" i="3"/>
  <c r="AM732" i="3" s="1"/>
  <c r="AG732" i="3"/>
  <c r="AI732" i="3"/>
  <c r="AJ732" i="3"/>
  <c r="AL732" i="3"/>
  <c r="AO732" i="3"/>
  <c r="AP732" i="3"/>
  <c r="AE733" i="3"/>
  <c r="AI733" i="3" s="1"/>
  <c r="AF733" i="3"/>
  <c r="AG733" i="3"/>
  <c r="AO733" i="3" s="1"/>
  <c r="AJ733" i="3"/>
  <c r="AL733" i="3"/>
  <c r="AM733" i="3"/>
  <c r="AE734" i="3"/>
  <c r="AF734" i="3"/>
  <c r="AM734" i="3" s="1"/>
  <c r="AG734" i="3"/>
  <c r="AI734" i="3"/>
  <c r="AJ734" i="3"/>
  <c r="AL734" i="3"/>
  <c r="AO734" i="3"/>
  <c r="AP734" i="3"/>
  <c r="AE735" i="3"/>
  <c r="AI735" i="3" s="1"/>
  <c r="AF735" i="3"/>
  <c r="AG735" i="3"/>
  <c r="AO735" i="3" s="1"/>
  <c r="AJ735" i="3"/>
  <c r="AL735" i="3"/>
  <c r="AM735" i="3"/>
  <c r="AP735" i="3"/>
  <c r="AE736" i="3"/>
  <c r="AF736" i="3"/>
  <c r="AM736" i="3" s="1"/>
  <c r="AG736" i="3"/>
  <c r="AI736" i="3"/>
  <c r="AJ736" i="3"/>
  <c r="AL736" i="3"/>
  <c r="AO736" i="3"/>
  <c r="AP736" i="3"/>
  <c r="AE737" i="3"/>
  <c r="AI737" i="3" s="1"/>
  <c r="AF737" i="3"/>
  <c r="AG737" i="3"/>
  <c r="AO737" i="3" s="1"/>
  <c r="AJ737" i="3"/>
  <c r="AL737" i="3"/>
  <c r="AM737" i="3"/>
  <c r="AE738" i="3"/>
  <c r="AF738" i="3"/>
  <c r="AM738" i="3" s="1"/>
  <c r="AG738" i="3"/>
  <c r="AI738" i="3"/>
  <c r="AJ738" i="3"/>
  <c r="AL738" i="3"/>
  <c r="AO738" i="3"/>
  <c r="AP738" i="3"/>
  <c r="AE739" i="3"/>
  <c r="AI739" i="3" s="1"/>
  <c r="AF739" i="3"/>
  <c r="AG739" i="3"/>
  <c r="AO739" i="3" s="1"/>
  <c r="AJ739" i="3"/>
  <c r="AL739" i="3"/>
  <c r="AM739" i="3"/>
  <c r="AP739" i="3"/>
  <c r="AE740" i="3"/>
  <c r="AF740" i="3"/>
  <c r="AM740" i="3" s="1"/>
  <c r="AG740" i="3"/>
  <c r="AI740" i="3"/>
  <c r="AJ740" i="3"/>
  <c r="AL740" i="3"/>
  <c r="AO740" i="3"/>
  <c r="AP740" i="3"/>
  <c r="AE741" i="3"/>
  <c r="AI741" i="3" s="1"/>
  <c r="AF741" i="3"/>
  <c r="AG741" i="3"/>
  <c r="AO741" i="3" s="1"/>
  <c r="AJ741" i="3"/>
  <c r="AL741" i="3"/>
  <c r="AM741" i="3"/>
  <c r="AE742" i="3"/>
  <c r="AF742" i="3"/>
  <c r="AM742" i="3" s="1"/>
  <c r="AG742" i="3"/>
  <c r="AI742" i="3"/>
  <c r="AJ742" i="3"/>
  <c r="AL742" i="3"/>
  <c r="AO742" i="3"/>
  <c r="AP742" i="3"/>
  <c r="AE743" i="3"/>
  <c r="AI743" i="3" s="1"/>
  <c r="AF743" i="3"/>
  <c r="AG743" i="3"/>
  <c r="AO743" i="3" s="1"/>
  <c r="AJ743" i="3"/>
  <c r="AL743" i="3"/>
  <c r="AM743" i="3"/>
  <c r="AP743" i="3"/>
  <c r="AE744" i="3"/>
  <c r="AF744" i="3"/>
  <c r="AM744" i="3" s="1"/>
  <c r="AG744" i="3"/>
  <c r="AI744" i="3"/>
  <c r="AJ744" i="3"/>
  <c r="AL744" i="3"/>
  <c r="AO744" i="3"/>
  <c r="AP744" i="3"/>
  <c r="AE745" i="3"/>
  <c r="AI745" i="3" s="1"/>
  <c r="AF745" i="3"/>
  <c r="AG745" i="3"/>
  <c r="AO745" i="3" s="1"/>
  <c r="AJ745" i="3"/>
  <c r="AL745" i="3"/>
  <c r="AM745" i="3"/>
  <c r="AE746" i="3"/>
  <c r="AF746" i="3"/>
  <c r="AM746" i="3" s="1"/>
  <c r="AG746" i="3"/>
  <c r="AI746" i="3"/>
  <c r="AJ746" i="3"/>
  <c r="AL746" i="3"/>
  <c r="AO746" i="3"/>
  <c r="AP746" i="3"/>
  <c r="AE747" i="3"/>
  <c r="AI747" i="3" s="1"/>
  <c r="AF747" i="3"/>
  <c r="AG747" i="3"/>
  <c r="AO747" i="3" s="1"/>
  <c r="AJ747" i="3"/>
  <c r="AL747" i="3"/>
  <c r="AM747" i="3"/>
  <c r="AP747" i="3"/>
  <c r="AE748" i="3"/>
  <c r="AF748" i="3"/>
  <c r="AM748" i="3" s="1"/>
  <c r="AG748" i="3"/>
  <c r="AI748" i="3"/>
  <c r="AJ748" i="3"/>
  <c r="AL748" i="3"/>
  <c r="AO748" i="3"/>
  <c r="AP748" i="3"/>
  <c r="AE749" i="3"/>
  <c r="AI749" i="3" s="1"/>
  <c r="AF749" i="3"/>
  <c r="AG749" i="3"/>
  <c r="AO749" i="3" s="1"/>
  <c r="AJ749" i="3"/>
  <c r="AL749" i="3"/>
  <c r="AM749" i="3"/>
  <c r="AE750" i="3"/>
  <c r="AF750" i="3"/>
  <c r="AM750" i="3" s="1"/>
  <c r="AG750" i="3"/>
  <c r="AI750" i="3"/>
  <c r="AJ750" i="3"/>
  <c r="AL750" i="3"/>
  <c r="AO750" i="3"/>
  <c r="AP750" i="3"/>
  <c r="AE751" i="3"/>
  <c r="AI751" i="3" s="1"/>
  <c r="AF751" i="3"/>
  <c r="AG751" i="3"/>
  <c r="AO751" i="3" s="1"/>
  <c r="AJ751" i="3"/>
  <c r="AL751" i="3"/>
  <c r="AM751" i="3"/>
  <c r="AP751" i="3"/>
  <c r="AE752" i="3"/>
  <c r="AF752" i="3"/>
  <c r="AM752" i="3" s="1"/>
  <c r="AG752" i="3"/>
  <c r="AI752" i="3"/>
  <c r="AJ752" i="3"/>
  <c r="AL752" i="3"/>
  <c r="AO752" i="3"/>
  <c r="AP752" i="3"/>
  <c r="AE753" i="3"/>
  <c r="AI753" i="3" s="1"/>
  <c r="AF753" i="3"/>
  <c r="AG753" i="3"/>
  <c r="AO753" i="3" s="1"/>
  <c r="AJ753" i="3"/>
  <c r="AL753" i="3"/>
  <c r="AM753" i="3"/>
  <c r="AE754" i="3"/>
  <c r="AF754" i="3"/>
  <c r="AM754" i="3" s="1"/>
  <c r="AG754" i="3"/>
  <c r="AI754" i="3"/>
  <c r="AJ754" i="3"/>
  <c r="AL754" i="3"/>
  <c r="AO754" i="3"/>
  <c r="AP754" i="3"/>
  <c r="AE755" i="3"/>
  <c r="AI755" i="3" s="1"/>
  <c r="AF755" i="3"/>
  <c r="AG755" i="3"/>
  <c r="AO755" i="3" s="1"/>
  <c r="AJ755" i="3"/>
  <c r="AL755" i="3"/>
  <c r="AM755" i="3"/>
  <c r="AP755" i="3"/>
  <c r="AE756" i="3"/>
  <c r="AF756" i="3"/>
  <c r="AM756" i="3" s="1"/>
  <c r="AG756" i="3"/>
  <c r="AI756" i="3"/>
  <c r="AJ756" i="3"/>
  <c r="AL756" i="3"/>
  <c r="AO756" i="3"/>
  <c r="AP756" i="3"/>
  <c r="AE757" i="3"/>
  <c r="AI757" i="3" s="1"/>
  <c r="AF757" i="3"/>
  <c r="AG757" i="3"/>
  <c r="AO757" i="3" s="1"/>
  <c r="AJ757" i="3"/>
  <c r="AL757" i="3"/>
  <c r="AM757" i="3"/>
  <c r="AE758" i="3"/>
  <c r="AF758" i="3"/>
  <c r="AM758" i="3" s="1"/>
  <c r="AG758" i="3"/>
  <c r="AI758" i="3"/>
  <c r="AJ758" i="3"/>
  <c r="AL758" i="3"/>
  <c r="AO758" i="3"/>
  <c r="AP758" i="3"/>
  <c r="AE759" i="3"/>
  <c r="AI759" i="3" s="1"/>
  <c r="AF759" i="3"/>
  <c r="AG759" i="3"/>
  <c r="AO759" i="3" s="1"/>
  <c r="AJ759" i="3"/>
  <c r="AL759" i="3"/>
  <c r="AM759" i="3"/>
  <c r="AP759" i="3"/>
  <c r="AE760" i="3"/>
  <c r="AF760" i="3"/>
  <c r="AM760" i="3" s="1"/>
  <c r="AG760" i="3"/>
  <c r="AI760" i="3"/>
  <c r="AJ760" i="3"/>
  <c r="AL760" i="3"/>
  <c r="AO760" i="3"/>
  <c r="AP760" i="3"/>
  <c r="AE761" i="3"/>
  <c r="AI761" i="3" s="1"/>
  <c r="AF761" i="3"/>
  <c r="AG761" i="3"/>
  <c r="AJ761" i="3"/>
  <c r="AL761" i="3"/>
  <c r="AM761" i="3"/>
  <c r="AE762" i="3"/>
  <c r="AF762" i="3"/>
  <c r="AM762" i="3" s="1"/>
  <c r="AG762" i="3"/>
  <c r="AI762" i="3"/>
  <c r="AJ762" i="3"/>
  <c r="AL762" i="3"/>
  <c r="AO762" i="3"/>
  <c r="AP762" i="3"/>
  <c r="AE763" i="3"/>
  <c r="AI763" i="3" s="1"/>
  <c r="AF763" i="3"/>
  <c r="AG763" i="3"/>
  <c r="AO763" i="3" s="1"/>
  <c r="AJ763" i="3"/>
  <c r="AL763" i="3"/>
  <c r="AM763" i="3"/>
  <c r="AP763" i="3"/>
  <c r="AE764" i="3"/>
  <c r="AF764" i="3"/>
  <c r="AM764" i="3" s="1"/>
  <c r="AG764" i="3"/>
  <c r="AI764" i="3"/>
  <c r="AJ764" i="3"/>
  <c r="AL764" i="3"/>
  <c r="AO764" i="3"/>
  <c r="AP764" i="3"/>
  <c r="AE765" i="3"/>
  <c r="AI765" i="3" s="1"/>
  <c r="AF765" i="3"/>
  <c r="AG765" i="3"/>
  <c r="AJ765" i="3"/>
  <c r="AL765" i="3"/>
  <c r="AM765" i="3"/>
  <c r="AE766" i="3"/>
  <c r="AF766" i="3"/>
  <c r="AM766" i="3" s="1"/>
  <c r="AG766" i="3"/>
  <c r="AI766" i="3"/>
  <c r="AJ766" i="3"/>
  <c r="AL766" i="3"/>
  <c r="AO766" i="3"/>
  <c r="AP766" i="3"/>
  <c r="AE767" i="3"/>
  <c r="AI767" i="3" s="1"/>
  <c r="AF767" i="3"/>
  <c r="AG767" i="3"/>
  <c r="AO767" i="3" s="1"/>
  <c r="AL767" i="3"/>
  <c r="AM767" i="3"/>
  <c r="AP767" i="3"/>
  <c r="AE768" i="3"/>
  <c r="AF768" i="3"/>
  <c r="AM768" i="3" s="1"/>
  <c r="AG768" i="3"/>
  <c r="AI768" i="3"/>
  <c r="AJ768" i="3"/>
  <c r="AL768" i="3"/>
  <c r="AO768" i="3"/>
  <c r="AP768" i="3"/>
  <c r="AE769" i="3"/>
  <c r="AI769" i="3" s="1"/>
  <c r="AF769" i="3"/>
  <c r="AG769" i="3"/>
  <c r="AJ769" i="3"/>
  <c r="AL769" i="3"/>
  <c r="AM769" i="3"/>
  <c r="AE770" i="3"/>
  <c r="AF770" i="3"/>
  <c r="AM770" i="3" s="1"/>
  <c r="AG770" i="3"/>
  <c r="AI770" i="3"/>
  <c r="AJ770" i="3"/>
  <c r="AL770" i="3"/>
  <c r="AO770" i="3"/>
  <c r="AP770" i="3"/>
  <c r="AE771" i="3"/>
  <c r="AI771" i="3" s="1"/>
  <c r="AF771" i="3"/>
  <c r="AG771" i="3"/>
  <c r="AO771" i="3" s="1"/>
  <c r="AJ771" i="3"/>
  <c r="AL771" i="3"/>
  <c r="AM771" i="3"/>
  <c r="AP771" i="3"/>
  <c r="AE772" i="3"/>
  <c r="AF772" i="3"/>
  <c r="AM772" i="3" s="1"/>
  <c r="AG772" i="3"/>
  <c r="AI772" i="3"/>
  <c r="AJ772" i="3"/>
  <c r="AL772" i="3"/>
  <c r="AO772" i="3"/>
  <c r="AP772" i="3"/>
  <c r="AE773" i="3"/>
  <c r="AI773" i="3" s="1"/>
  <c r="AF773" i="3"/>
  <c r="AG773" i="3"/>
  <c r="AJ773" i="3"/>
  <c r="AL773" i="3"/>
  <c r="AM773" i="3"/>
  <c r="AE774" i="3"/>
  <c r="AF774" i="3"/>
  <c r="AM774" i="3" s="1"/>
  <c r="AG774" i="3"/>
  <c r="AI774" i="3"/>
  <c r="AJ774" i="3"/>
  <c r="AL774" i="3"/>
  <c r="AO774" i="3"/>
  <c r="AP774" i="3"/>
  <c r="AE775" i="3"/>
  <c r="AI775" i="3" s="1"/>
  <c r="AF775" i="3"/>
  <c r="AG775" i="3"/>
  <c r="AO775" i="3" s="1"/>
  <c r="AL775" i="3"/>
  <c r="AM775" i="3"/>
  <c r="AP775" i="3"/>
  <c r="AE776" i="3"/>
  <c r="AF776" i="3"/>
  <c r="AM776" i="3" s="1"/>
  <c r="AG776" i="3"/>
  <c r="AI776" i="3"/>
  <c r="AJ776" i="3"/>
  <c r="AL776" i="3"/>
  <c r="AO776" i="3"/>
  <c r="AP776" i="3"/>
  <c r="AE777" i="3"/>
  <c r="AI777" i="3" s="1"/>
  <c r="AF777" i="3"/>
  <c r="AG777" i="3"/>
  <c r="AJ777" i="3"/>
  <c r="AL777" i="3"/>
  <c r="AM777" i="3"/>
  <c r="AE778" i="3"/>
  <c r="AF778" i="3"/>
  <c r="AM778" i="3" s="1"/>
  <c r="AG778" i="3"/>
  <c r="AP778" i="3" s="1"/>
  <c r="AI778" i="3"/>
  <c r="AJ778" i="3"/>
  <c r="AL778" i="3"/>
  <c r="AO778" i="3"/>
  <c r="AE779" i="3"/>
  <c r="AI779" i="3" s="1"/>
  <c r="AF779" i="3"/>
  <c r="AG779" i="3"/>
  <c r="AO779" i="3" s="1"/>
  <c r="AL779" i="3"/>
  <c r="AM779" i="3"/>
  <c r="AP779" i="3"/>
  <c r="AE780" i="3"/>
  <c r="AF780" i="3"/>
  <c r="AM780" i="3" s="1"/>
  <c r="AG780" i="3"/>
  <c r="AI780" i="3"/>
  <c r="AJ780" i="3"/>
  <c r="AL780" i="3"/>
  <c r="AO780" i="3"/>
  <c r="AP780" i="3"/>
  <c r="AE781" i="3"/>
  <c r="AI781" i="3" s="1"/>
  <c r="AF781" i="3"/>
  <c r="AG781" i="3"/>
  <c r="AO781" i="3" s="1"/>
  <c r="AJ781" i="3"/>
  <c r="AL781" i="3"/>
  <c r="AM781" i="3"/>
  <c r="AP781" i="3"/>
  <c r="AE782" i="3"/>
  <c r="AF782" i="3"/>
  <c r="AM782" i="3" s="1"/>
  <c r="AG782" i="3"/>
  <c r="AP782" i="3" s="1"/>
  <c r="AI782" i="3"/>
  <c r="AJ782" i="3"/>
  <c r="AL782" i="3"/>
  <c r="AO782" i="3"/>
  <c r="AE783" i="3"/>
  <c r="AI783" i="3" s="1"/>
  <c r="AF783" i="3"/>
  <c r="AG783" i="3"/>
  <c r="AO783" i="3" s="1"/>
  <c r="AJ783" i="3"/>
  <c r="AL783" i="3"/>
  <c r="AM783" i="3"/>
  <c r="AP783" i="3"/>
  <c r="AE784" i="3"/>
  <c r="AF784" i="3"/>
  <c r="AM784" i="3" s="1"/>
  <c r="AG784" i="3"/>
  <c r="AI784" i="3"/>
  <c r="AJ784" i="3"/>
  <c r="AL784" i="3"/>
  <c r="AO784" i="3"/>
  <c r="AP784" i="3"/>
  <c r="AE785" i="3"/>
  <c r="AI785" i="3" s="1"/>
  <c r="AF785" i="3"/>
  <c r="AG785" i="3"/>
  <c r="AO785" i="3" s="1"/>
  <c r="AL785" i="3"/>
  <c r="AM785" i="3"/>
  <c r="AP785" i="3"/>
  <c r="AE786" i="3"/>
  <c r="AF786" i="3"/>
  <c r="AM786" i="3" s="1"/>
  <c r="AG786" i="3"/>
  <c r="AP786" i="3" s="1"/>
  <c r="AI786" i="3"/>
  <c r="AJ786" i="3"/>
  <c r="AL786" i="3"/>
  <c r="AO786" i="3"/>
  <c r="AE787" i="3"/>
  <c r="AI787" i="3" s="1"/>
  <c r="AF787" i="3"/>
  <c r="AG787" i="3"/>
  <c r="AO787" i="3" s="1"/>
  <c r="AL787" i="3"/>
  <c r="AM787" i="3"/>
  <c r="AP787" i="3"/>
  <c r="AE788" i="3"/>
  <c r="AF788" i="3"/>
  <c r="AM788" i="3" s="1"/>
  <c r="AG788" i="3"/>
  <c r="AI788" i="3"/>
  <c r="AJ788" i="3"/>
  <c r="AL788" i="3"/>
  <c r="AO788" i="3"/>
  <c r="AP788" i="3"/>
  <c r="AE789" i="3"/>
  <c r="AI789" i="3" s="1"/>
  <c r="AF789" i="3"/>
  <c r="AG789" i="3"/>
  <c r="AO789" i="3" s="1"/>
  <c r="AJ789" i="3"/>
  <c r="AL789" i="3"/>
  <c r="AM789" i="3"/>
  <c r="AP789" i="3"/>
  <c r="AE790" i="3"/>
  <c r="AF790" i="3"/>
  <c r="AM790" i="3" s="1"/>
  <c r="AG790" i="3"/>
  <c r="AI790" i="3"/>
  <c r="AJ790" i="3"/>
  <c r="AL790" i="3"/>
  <c r="AO790" i="3"/>
  <c r="AP790" i="3"/>
  <c r="AE791" i="3"/>
  <c r="AI791" i="3" s="1"/>
  <c r="AF791" i="3"/>
  <c r="AG791" i="3"/>
  <c r="AO791" i="3" s="1"/>
  <c r="AL791" i="3"/>
  <c r="AM791" i="3"/>
  <c r="AP791" i="3"/>
  <c r="AE792" i="3"/>
  <c r="AF792" i="3"/>
  <c r="AM792" i="3" s="1"/>
  <c r="AG792" i="3"/>
  <c r="AI792" i="3"/>
  <c r="AJ792" i="3"/>
  <c r="AL792" i="3"/>
  <c r="AO792" i="3"/>
  <c r="AP792" i="3"/>
  <c r="AE793" i="3"/>
  <c r="AI793" i="3" s="1"/>
  <c r="AF793" i="3"/>
  <c r="AG793" i="3"/>
  <c r="AO793" i="3" s="1"/>
  <c r="AJ793" i="3"/>
  <c r="AL793" i="3"/>
  <c r="AM793" i="3"/>
  <c r="AP793" i="3"/>
  <c r="AE794" i="3"/>
  <c r="AF794" i="3"/>
  <c r="AM794" i="3" s="1"/>
  <c r="AG794" i="3"/>
  <c r="AI794" i="3"/>
  <c r="AJ794" i="3"/>
  <c r="AL794" i="3"/>
  <c r="AO794" i="3"/>
  <c r="AP794" i="3"/>
  <c r="AE795" i="3"/>
  <c r="AI795" i="3" s="1"/>
  <c r="AF795" i="3"/>
  <c r="AG795" i="3"/>
  <c r="AJ795" i="3"/>
  <c r="AL795" i="3"/>
  <c r="AM795" i="3"/>
  <c r="AO795" i="3"/>
  <c r="AP795" i="3"/>
  <c r="AE796" i="3"/>
  <c r="AF796" i="3"/>
  <c r="AG796" i="3"/>
  <c r="AP796" i="3" s="1"/>
  <c r="AI796" i="3"/>
  <c r="AJ796" i="3"/>
  <c r="AL796" i="3"/>
  <c r="AM796" i="3"/>
  <c r="AO796" i="3"/>
  <c r="AE797" i="3"/>
  <c r="AI797" i="3" s="1"/>
  <c r="AF797" i="3"/>
  <c r="AG797" i="3"/>
  <c r="AO797" i="3" s="1"/>
  <c r="AJ797" i="3"/>
  <c r="AL797" i="3"/>
  <c r="AM797" i="3"/>
  <c r="AE798" i="3"/>
  <c r="AI798" i="3" s="1"/>
  <c r="AF798" i="3"/>
  <c r="AM798" i="3" s="1"/>
  <c r="AG798" i="3"/>
  <c r="AJ798" i="3"/>
  <c r="AL798" i="3"/>
  <c r="AO798" i="3"/>
  <c r="AP798" i="3"/>
  <c r="AE799" i="3"/>
  <c r="AI799" i="3" s="1"/>
  <c r="AF799" i="3"/>
  <c r="AG799" i="3"/>
  <c r="AJ799" i="3"/>
  <c r="AL799" i="3"/>
  <c r="AM799" i="3"/>
  <c r="AO799" i="3"/>
  <c r="AP799" i="3"/>
  <c r="AE800" i="3"/>
  <c r="AF800" i="3"/>
  <c r="AG800" i="3"/>
  <c r="AP800" i="3" s="1"/>
  <c r="AI800" i="3"/>
  <c r="AJ800" i="3"/>
  <c r="AL800" i="3"/>
  <c r="AM800" i="3"/>
  <c r="AO800" i="3"/>
  <c r="AE801" i="3"/>
  <c r="AI801" i="3" s="1"/>
  <c r="AF801" i="3"/>
  <c r="AG801" i="3"/>
  <c r="AO801" i="3" s="1"/>
  <c r="AJ801" i="3"/>
  <c r="AL801" i="3"/>
  <c r="AM801" i="3"/>
  <c r="AE802" i="3"/>
  <c r="AF802" i="3"/>
  <c r="AM802" i="3" s="1"/>
  <c r="AG802" i="3"/>
  <c r="AI802" i="3"/>
  <c r="AJ802" i="3"/>
  <c r="AL802" i="3"/>
  <c r="AO802" i="3"/>
  <c r="AP802" i="3"/>
  <c r="AE803" i="3"/>
  <c r="AI803" i="3" s="1"/>
  <c r="AF803" i="3"/>
  <c r="AG803" i="3"/>
  <c r="AJ803" i="3"/>
  <c r="AL803" i="3"/>
  <c r="AM803" i="3"/>
  <c r="AO803" i="3"/>
  <c r="AP803" i="3"/>
  <c r="AE804" i="3"/>
  <c r="AF804" i="3"/>
  <c r="AG804" i="3"/>
  <c r="AP804" i="3" s="1"/>
  <c r="AI804" i="3"/>
  <c r="AJ804" i="3"/>
  <c r="AL804" i="3"/>
  <c r="AM804" i="3"/>
  <c r="AO804" i="3"/>
  <c r="AE805" i="3"/>
  <c r="AI805" i="3" s="1"/>
  <c r="AF805" i="3"/>
  <c r="AG805" i="3"/>
  <c r="AO805" i="3" s="1"/>
  <c r="AJ805" i="3"/>
  <c r="AL805" i="3"/>
  <c r="AM805" i="3"/>
  <c r="AE806" i="3"/>
  <c r="AF806" i="3"/>
  <c r="AM806" i="3" s="1"/>
  <c r="AG806" i="3"/>
  <c r="AI806" i="3"/>
  <c r="AJ806" i="3"/>
  <c r="AL806" i="3"/>
  <c r="AO806" i="3"/>
  <c r="AP806" i="3"/>
  <c r="AE807" i="3"/>
  <c r="AI807" i="3" s="1"/>
  <c r="AF807" i="3"/>
  <c r="AG807" i="3"/>
  <c r="AJ807" i="3"/>
  <c r="AL807" i="3"/>
  <c r="AM807" i="3"/>
  <c r="AO807" i="3"/>
  <c r="AP807" i="3"/>
  <c r="AE808" i="3"/>
  <c r="AF808" i="3"/>
  <c r="AG808" i="3"/>
  <c r="AP808" i="3" s="1"/>
  <c r="AI808" i="3"/>
  <c r="AJ808" i="3"/>
  <c r="AL808" i="3"/>
  <c r="AM808" i="3"/>
  <c r="AO808" i="3"/>
  <c r="AE809" i="3"/>
  <c r="AI809" i="3" s="1"/>
  <c r="AF809" i="3"/>
  <c r="AG809" i="3"/>
  <c r="AO809" i="3" s="1"/>
  <c r="AJ809" i="3"/>
  <c r="AL809" i="3"/>
  <c r="AM809" i="3"/>
  <c r="AE810" i="3"/>
  <c r="AI810" i="3" s="1"/>
  <c r="AF810" i="3"/>
  <c r="AM810" i="3" s="1"/>
  <c r="AG810" i="3"/>
  <c r="AJ810" i="3"/>
  <c r="AL810" i="3"/>
  <c r="AO810" i="3"/>
  <c r="AP810" i="3"/>
  <c r="AE811" i="3"/>
  <c r="AI811" i="3" s="1"/>
  <c r="AF811" i="3"/>
  <c r="AG811" i="3"/>
  <c r="AJ811" i="3"/>
  <c r="AL811" i="3"/>
  <c r="AM811" i="3"/>
  <c r="AO811" i="3"/>
  <c r="AP811" i="3"/>
  <c r="AE812" i="3"/>
  <c r="AF812" i="3"/>
  <c r="AG812" i="3"/>
  <c r="AP812" i="3" s="1"/>
  <c r="AI812" i="3"/>
  <c r="AJ812" i="3"/>
  <c r="AL812" i="3"/>
  <c r="AM812" i="3"/>
  <c r="AO812" i="3"/>
  <c r="AE813" i="3"/>
  <c r="AI813" i="3" s="1"/>
  <c r="AF813" i="3"/>
  <c r="AG813" i="3"/>
  <c r="AO813" i="3" s="1"/>
  <c r="AJ813" i="3"/>
  <c r="AL813" i="3"/>
  <c r="AM813" i="3"/>
  <c r="AE814" i="3"/>
  <c r="AI814" i="3" s="1"/>
  <c r="AF814" i="3"/>
  <c r="AM814" i="3" s="1"/>
  <c r="AG814" i="3"/>
  <c r="AJ814" i="3"/>
  <c r="AL814" i="3"/>
  <c r="AO814" i="3"/>
  <c r="AP814" i="3"/>
  <c r="AE815" i="3"/>
  <c r="AI815" i="3" s="1"/>
  <c r="AF815" i="3"/>
  <c r="AG815" i="3"/>
  <c r="AJ815" i="3"/>
  <c r="AL815" i="3"/>
  <c r="AM815" i="3"/>
  <c r="AO815" i="3"/>
  <c r="AP815" i="3"/>
  <c r="AE816" i="3"/>
  <c r="AF816" i="3"/>
  <c r="AG816" i="3"/>
  <c r="AP816" i="3" s="1"/>
  <c r="AI816" i="3"/>
  <c r="AJ816" i="3"/>
  <c r="AL816" i="3"/>
  <c r="AM816" i="3"/>
  <c r="AO816" i="3"/>
  <c r="AE817" i="3"/>
  <c r="AI817" i="3" s="1"/>
  <c r="AF817" i="3"/>
  <c r="AG817" i="3"/>
  <c r="AO817" i="3" s="1"/>
  <c r="AJ817" i="3"/>
  <c r="AL817" i="3"/>
  <c r="AM817" i="3"/>
  <c r="AE818" i="3"/>
  <c r="AI818" i="3" s="1"/>
  <c r="AF818" i="3"/>
  <c r="AM818" i="3" s="1"/>
  <c r="AG818" i="3"/>
  <c r="AJ818" i="3"/>
  <c r="AL818" i="3"/>
  <c r="AO818" i="3"/>
  <c r="AP818" i="3"/>
  <c r="AE819" i="3"/>
  <c r="AI819" i="3" s="1"/>
  <c r="AF819" i="3"/>
  <c r="AG819" i="3"/>
  <c r="AJ819" i="3"/>
  <c r="AL819" i="3"/>
  <c r="AM819" i="3"/>
  <c r="AO819" i="3"/>
  <c r="AP819" i="3"/>
  <c r="AE820" i="3"/>
  <c r="AF820" i="3"/>
  <c r="AG820" i="3"/>
  <c r="AP820" i="3" s="1"/>
  <c r="AI820" i="3"/>
  <c r="AJ820" i="3"/>
  <c r="AL820" i="3"/>
  <c r="AM820" i="3"/>
  <c r="AO820" i="3"/>
  <c r="AE821" i="3"/>
  <c r="AI821" i="3" s="1"/>
  <c r="AF821" i="3"/>
  <c r="AG821" i="3"/>
  <c r="AO821" i="3" s="1"/>
  <c r="AJ821" i="3"/>
  <c r="AL821" i="3"/>
  <c r="AM821" i="3"/>
  <c r="AE822" i="3"/>
  <c r="AI822" i="3" s="1"/>
  <c r="AF822" i="3"/>
  <c r="AM822" i="3" s="1"/>
  <c r="AG822" i="3"/>
  <c r="AJ822" i="3"/>
  <c r="AL822" i="3"/>
  <c r="AO822" i="3"/>
  <c r="AP822" i="3"/>
  <c r="AE823" i="3"/>
  <c r="AI823" i="3" s="1"/>
  <c r="AF823" i="3"/>
  <c r="AG823" i="3"/>
  <c r="AJ823" i="3"/>
  <c r="AL823" i="3"/>
  <c r="AM823" i="3"/>
  <c r="AO823" i="3"/>
  <c r="AP823" i="3"/>
  <c r="AE824" i="3"/>
  <c r="AF824" i="3"/>
  <c r="AG824" i="3"/>
  <c r="AP824" i="3" s="1"/>
  <c r="AI824" i="3"/>
  <c r="AJ824" i="3"/>
  <c r="AL824" i="3"/>
  <c r="AM824" i="3"/>
  <c r="AO824" i="3"/>
  <c r="AE825" i="3"/>
  <c r="AI825" i="3" s="1"/>
  <c r="AF825" i="3"/>
  <c r="AG825" i="3"/>
  <c r="AO825" i="3" s="1"/>
  <c r="AJ825" i="3"/>
  <c r="AL825" i="3"/>
  <c r="AM825" i="3"/>
  <c r="AE826" i="3"/>
  <c r="AI826" i="3" s="1"/>
  <c r="AF826" i="3"/>
  <c r="AM826" i="3" s="1"/>
  <c r="AG826" i="3"/>
  <c r="AJ826" i="3"/>
  <c r="AL826" i="3"/>
  <c r="AO826" i="3"/>
  <c r="AP826" i="3"/>
  <c r="AE827" i="3"/>
  <c r="AI827" i="3" s="1"/>
  <c r="AF827" i="3"/>
  <c r="AG827" i="3"/>
  <c r="AJ827" i="3"/>
  <c r="AL827" i="3"/>
  <c r="AM827" i="3"/>
  <c r="AO827" i="3"/>
  <c r="AP827" i="3"/>
  <c r="AE828" i="3"/>
  <c r="AF828" i="3"/>
  <c r="AG828" i="3"/>
  <c r="AP828" i="3" s="1"/>
  <c r="AI828" i="3"/>
  <c r="AJ828" i="3"/>
  <c r="AL828" i="3"/>
  <c r="AM828" i="3"/>
  <c r="AO828" i="3"/>
  <c r="AE829" i="3"/>
  <c r="AI829" i="3" s="1"/>
  <c r="AF829" i="3"/>
  <c r="AG829" i="3"/>
  <c r="AO829" i="3" s="1"/>
  <c r="AJ829" i="3"/>
  <c r="AL829" i="3"/>
  <c r="AM829" i="3"/>
  <c r="AE830" i="3"/>
  <c r="AI830" i="3" s="1"/>
  <c r="AF830" i="3"/>
  <c r="AM830" i="3" s="1"/>
  <c r="AG830" i="3"/>
  <c r="AJ830" i="3"/>
  <c r="AL830" i="3"/>
  <c r="AO830" i="3"/>
  <c r="AP830" i="3"/>
  <c r="AE831" i="3"/>
  <c r="AI831" i="3" s="1"/>
  <c r="AF831" i="3"/>
  <c r="AG831" i="3"/>
  <c r="AJ831" i="3"/>
  <c r="AL831" i="3"/>
  <c r="AM831" i="3"/>
  <c r="AO831" i="3"/>
  <c r="AP831" i="3"/>
  <c r="AE832" i="3"/>
  <c r="AF832" i="3"/>
  <c r="AG832" i="3"/>
  <c r="AP832" i="3" s="1"/>
  <c r="AI832" i="3"/>
  <c r="AJ832" i="3"/>
  <c r="AL832" i="3"/>
  <c r="AM832" i="3"/>
  <c r="AO832" i="3"/>
  <c r="AE833" i="3"/>
  <c r="AI833" i="3" s="1"/>
  <c r="AF833" i="3"/>
  <c r="AG833" i="3"/>
  <c r="AO833" i="3" s="1"/>
  <c r="AJ833" i="3"/>
  <c r="AL833" i="3"/>
  <c r="AM833" i="3"/>
  <c r="AE834" i="3"/>
  <c r="AI834" i="3" s="1"/>
  <c r="AF834" i="3"/>
  <c r="AM834" i="3" s="1"/>
  <c r="AG834" i="3"/>
  <c r="AJ834" i="3"/>
  <c r="AL834" i="3"/>
  <c r="AO834" i="3"/>
  <c r="AP834" i="3"/>
  <c r="AE835" i="3"/>
  <c r="AI835" i="3" s="1"/>
  <c r="AF835" i="3"/>
  <c r="AG835" i="3"/>
  <c r="AJ835" i="3"/>
  <c r="AL835" i="3"/>
  <c r="AM835" i="3"/>
  <c r="AO835" i="3"/>
  <c r="AP835" i="3"/>
  <c r="AE836" i="3"/>
  <c r="AF836" i="3"/>
  <c r="AG836" i="3"/>
  <c r="AP836" i="3" s="1"/>
  <c r="AI836" i="3"/>
  <c r="AJ836" i="3"/>
  <c r="AL836" i="3"/>
  <c r="AM836" i="3"/>
  <c r="AO836" i="3"/>
  <c r="AE837" i="3"/>
  <c r="AI837" i="3" s="1"/>
  <c r="AF837" i="3"/>
  <c r="AG837" i="3"/>
  <c r="AO837" i="3" s="1"/>
  <c r="AJ837" i="3"/>
  <c r="AL837" i="3"/>
  <c r="AM837" i="3"/>
  <c r="AE838" i="3"/>
  <c r="AI838" i="3" s="1"/>
  <c r="AF838" i="3"/>
  <c r="AM838" i="3" s="1"/>
  <c r="AG838" i="3"/>
  <c r="AJ838" i="3"/>
  <c r="AL838" i="3"/>
  <c r="AO838" i="3"/>
  <c r="AP838" i="3"/>
  <c r="AE839" i="3"/>
  <c r="AI839" i="3" s="1"/>
  <c r="AF839" i="3"/>
  <c r="AG839" i="3"/>
  <c r="AJ839" i="3"/>
  <c r="AL839" i="3"/>
  <c r="AM839" i="3"/>
  <c r="AO839" i="3"/>
  <c r="AP839" i="3"/>
  <c r="AE840" i="3"/>
  <c r="AF840" i="3"/>
  <c r="AG840" i="3"/>
  <c r="AP840" i="3" s="1"/>
  <c r="AI840" i="3"/>
  <c r="AJ840" i="3"/>
  <c r="AL840" i="3"/>
  <c r="AM840" i="3"/>
  <c r="AO840" i="3"/>
  <c r="AE841" i="3"/>
  <c r="AI841" i="3" s="1"/>
  <c r="AF841" i="3"/>
  <c r="AG841" i="3"/>
  <c r="AO841" i="3" s="1"/>
  <c r="AJ841" i="3"/>
  <c r="AL841" i="3"/>
  <c r="AM841" i="3"/>
  <c r="AE842" i="3"/>
  <c r="AI842" i="3" s="1"/>
  <c r="AF842" i="3"/>
  <c r="AM842" i="3" s="1"/>
  <c r="AG842" i="3"/>
  <c r="AJ842" i="3"/>
  <c r="AL842" i="3"/>
  <c r="AO842" i="3"/>
  <c r="AP842" i="3"/>
  <c r="AE843" i="3"/>
  <c r="AI843" i="3" s="1"/>
  <c r="AF843" i="3"/>
  <c r="AG843" i="3"/>
  <c r="AJ843" i="3"/>
  <c r="AL843" i="3"/>
  <c r="AM843" i="3"/>
  <c r="AO843" i="3"/>
  <c r="AP843" i="3"/>
  <c r="AE844" i="3"/>
  <c r="AF844" i="3"/>
  <c r="AG844" i="3"/>
  <c r="AP844" i="3" s="1"/>
  <c r="AI844" i="3"/>
  <c r="AJ844" i="3"/>
  <c r="AL844" i="3"/>
  <c r="AM844" i="3"/>
  <c r="AO844" i="3"/>
  <c r="AE845" i="3"/>
  <c r="AI845" i="3" s="1"/>
  <c r="AF845" i="3"/>
  <c r="AG845" i="3"/>
  <c r="AO845" i="3" s="1"/>
  <c r="AJ845" i="3"/>
  <c r="AL845" i="3"/>
  <c r="AM845" i="3"/>
  <c r="AE846" i="3"/>
  <c r="AI846" i="3" s="1"/>
  <c r="AF846" i="3"/>
  <c r="AM846" i="3" s="1"/>
  <c r="AG846" i="3"/>
  <c r="AJ846" i="3"/>
  <c r="AL846" i="3"/>
  <c r="AO846" i="3"/>
  <c r="AP846" i="3"/>
  <c r="AE847" i="3"/>
  <c r="AI847" i="3" s="1"/>
  <c r="AF847" i="3"/>
  <c r="AG847" i="3"/>
  <c r="AJ847" i="3"/>
  <c r="AL847" i="3"/>
  <c r="AM847" i="3"/>
  <c r="AO847" i="3"/>
  <c r="AP847" i="3"/>
  <c r="AE848" i="3"/>
  <c r="AF848" i="3"/>
  <c r="AG848" i="3"/>
  <c r="AP848" i="3" s="1"/>
  <c r="AI848" i="3"/>
  <c r="AJ848" i="3"/>
  <c r="AL848" i="3"/>
  <c r="AM848" i="3"/>
  <c r="AO848" i="3"/>
  <c r="AE849" i="3"/>
  <c r="AI849" i="3" s="1"/>
  <c r="AF849" i="3"/>
  <c r="AG849" i="3"/>
  <c r="AO849" i="3" s="1"/>
  <c r="AJ849" i="3"/>
  <c r="AL849" i="3"/>
  <c r="AM849" i="3"/>
  <c r="AE850" i="3"/>
  <c r="AI850" i="3" s="1"/>
  <c r="AF850" i="3"/>
  <c r="AM850" i="3" s="1"/>
  <c r="AG850" i="3"/>
  <c r="AJ850" i="3"/>
  <c r="AL850" i="3"/>
  <c r="AO850" i="3"/>
  <c r="AP850" i="3"/>
  <c r="AE851" i="3"/>
  <c r="AI851" i="3" s="1"/>
  <c r="AF851" i="3"/>
  <c r="AG851" i="3"/>
  <c r="AJ851" i="3"/>
  <c r="AL851" i="3"/>
  <c r="AM851" i="3"/>
  <c r="AO851" i="3"/>
  <c r="AP851" i="3"/>
  <c r="AE852" i="3"/>
  <c r="AF852" i="3"/>
  <c r="AG852" i="3"/>
  <c r="AP852" i="3" s="1"/>
  <c r="AI852" i="3"/>
  <c r="AJ852" i="3"/>
  <c r="AL852" i="3"/>
  <c r="AM852" i="3"/>
  <c r="AO852" i="3"/>
  <c r="AE853" i="3"/>
  <c r="AI853" i="3" s="1"/>
  <c r="AF853" i="3"/>
  <c r="AG853" i="3"/>
  <c r="AO853" i="3" s="1"/>
  <c r="AJ853" i="3"/>
  <c r="AL853" i="3"/>
  <c r="AM853" i="3"/>
  <c r="AE854" i="3"/>
  <c r="AI854" i="3" s="1"/>
  <c r="AF854" i="3"/>
  <c r="AM854" i="3" s="1"/>
  <c r="AG854" i="3"/>
  <c r="AJ854" i="3"/>
  <c r="AL854" i="3"/>
  <c r="AO854" i="3"/>
  <c r="AP854" i="3"/>
  <c r="AE855" i="3"/>
  <c r="AI855" i="3" s="1"/>
  <c r="AF855" i="3"/>
  <c r="AG855" i="3"/>
  <c r="AJ855" i="3"/>
  <c r="AL855" i="3"/>
  <c r="AM855" i="3"/>
  <c r="AO855" i="3"/>
  <c r="AP855" i="3"/>
  <c r="AE856" i="3"/>
  <c r="AF856" i="3"/>
  <c r="AG856" i="3"/>
  <c r="AP856" i="3" s="1"/>
  <c r="AI856" i="3"/>
  <c r="AJ856" i="3"/>
  <c r="AL856" i="3"/>
  <c r="AM856" i="3"/>
  <c r="AO856" i="3"/>
  <c r="AE857" i="3"/>
  <c r="AI857" i="3" s="1"/>
  <c r="AF857" i="3"/>
  <c r="AG857" i="3"/>
  <c r="AO857" i="3" s="1"/>
  <c r="AJ857" i="3"/>
  <c r="AL857" i="3"/>
  <c r="AM857" i="3"/>
  <c r="AE858" i="3"/>
  <c r="AI858" i="3" s="1"/>
  <c r="AF858" i="3"/>
  <c r="AM858" i="3" s="1"/>
  <c r="AG858" i="3"/>
  <c r="AJ858" i="3"/>
  <c r="AL858" i="3"/>
  <c r="AO858" i="3"/>
  <c r="AP858" i="3"/>
  <c r="AE859" i="3"/>
  <c r="AI859" i="3" s="1"/>
  <c r="AF859" i="3"/>
  <c r="AG859" i="3"/>
  <c r="AJ859" i="3"/>
  <c r="AL859" i="3"/>
  <c r="AM859" i="3"/>
  <c r="AO859" i="3"/>
  <c r="AP859" i="3"/>
  <c r="AE860" i="3"/>
  <c r="AF860" i="3"/>
  <c r="AG860" i="3"/>
  <c r="AP860" i="3" s="1"/>
  <c r="AI860" i="3"/>
  <c r="AJ860" i="3"/>
  <c r="AL860" i="3"/>
  <c r="AM860" i="3"/>
  <c r="AO860" i="3"/>
  <c r="AE861" i="3"/>
  <c r="AI861" i="3" s="1"/>
  <c r="AF861" i="3"/>
  <c r="AG861" i="3"/>
  <c r="AO861" i="3" s="1"/>
  <c r="AJ861" i="3"/>
  <c r="AL861" i="3"/>
  <c r="AM861" i="3"/>
  <c r="AE862" i="3"/>
  <c r="AI862" i="3" s="1"/>
  <c r="AF862" i="3"/>
  <c r="AM862" i="3" s="1"/>
  <c r="AG862" i="3"/>
  <c r="AJ862" i="3"/>
  <c r="AL862" i="3"/>
  <c r="AO862" i="3"/>
  <c r="AP862" i="3"/>
  <c r="AE863" i="3"/>
  <c r="AI863" i="3" s="1"/>
  <c r="AF863" i="3"/>
  <c r="AG863" i="3"/>
  <c r="AJ863" i="3"/>
  <c r="AL863" i="3"/>
  <c r="AM863" i="3"/>
  <c r="AO863" i="3"/>
  <c r="AP863" i="3"/>
  <c r="AE864" i="3"/>
  <c r="AF864" i="3"/>
  <c r="AG864" i="3"/>
  <c r="AP864" i="3" s="1"/>
  <c r="AI864" i="3"/>
  <c r="AJ864" i="3"/>
  <c r="AL864" i="3"/>
  <c r="AM864" i="3"/>
  <c r="AO864" i="3"/>
  <c r="AE865" i="3"/>
  <c r="AI865" i="3" s="1"/>
  <c r="AF865" i="3"/>
  <c r="AG865" i="3"/>
  <c r="AO865" i="3" s="1"/>
  <c r="AJ865" i="3"/>
  <c r="AL865" i="3"/>
  <c r="AM865" i="3"/>
  <c r="AE866" i="3"/>
  <c r="AI866" i="3" s="1"/>
  <c r="AF866" i="3"/>
  <c r="AM866" i="3" s="1"/>
  <c r="AG866" i="3"/>
  <c r="AJ866" i="3"/>
  <c r="AL866" i="3"/>
  <c r="AO866" i="3"/>
  <c r="AP866" i="3"/>
  <c r="AE867" i="3"/>
  <c r="AI867" i="3" s="1"/>
  <c r="AF867" i="3"/>
  <c r="AG867" i="3"/>
  <c r="AJ867" i="3"/>
  <c r="AL867" i="3"/>
  <c r="AM867" i="3"/>
  <c r="AO867" i="3"/>
  <c r="AP867" i="3"/>
  <c r="AE868" i="3"/>
  <c r="AF868" i="3"/>
  <c r="AG868" i="3"/>
  <c r="AP868" i="3" s="1"/>
  <c r="AI868" i="3"/>
  <c r="AJ868" i="3"/>
  <c r="AL868" i="3"/>
  <c r="AM868" i="3"/>
  <c r="AO868" i="3"/>
  <c r="AE869" i="3"/>
  <c r="AI869" i="3" s="1"/>
  <c r="AF869" i="3"/>
  <c r="AG869" i="3"/>
  <c r="AO869" i="3" s="1"/>
  <c r="AJ869" i="3"/>
  <c r="AL869" i="3"/>
  <c r="AM869" i="3"/>
  <c r="AE870" i="3"/>
  <c r="AI870" i="3" s="1"/>
  <c r="AF870" i="3"/>
  <c r="AM870" i="3" s="1"/>
  <c r="AG870" i="3"/>
  <c r="AJ870" i="3"/>
  <c r="AL870" i="3"/>
  <c r="AO870" i="3"/>
  <c r="AP870" i="3"/>
  <c r="AE871" i="3"/>
  <c r="AI871" i="3" s="1"/>
  <c r="AF871" i="3"/>
  <c r="AG871" i="3"/>
  <c r="AJ871" i="3"/>
  <c r="AL871" i="3"/>
  <c r="AM871" i="3"/>
  <c r="AO871" i="3"/>
  <c r="AP871" i="3"/>
  <c r="AE872" i="3"/>
  <c r="AF872" i="3"/>
  <c r="AG872" i="3"/>
  <c r="AP872" i="3" s="1"/>
  <c r="AI872" i="3"/>
  <c r="AJ872" i="3"/>
  <c r="AL872" i="3"/>
  <c r="AM872" i="3"/>
  <c r="AO872" i="3"/>
  <c r="AE873" i="3"/>
  <c r="AI873" i="3" s="1"/>
  <c r="AF873" i="3"/>
  <c r="AG873" i="3"/>
  <c r="AO873" i="3" s="1"/>
  <c r="AJ873" i="3"/>
  <c r="AL873" i="3"/>
  <c r="AM873" i="3"/>
  <c r="AE874" i="3"/>
  <c r="AI874" i="3" s="1"/>
  <c r="AF874" i="3"/>
  <c r="AM874" i="3" s="1"/>
  <c r="AG874" i="3"/>
  <c r="AJ874" i="3"/>
  <c r="AL874" i="3"/>
  <c r="AO874" i="3"/>
  <c r="AP874" i="3"/>
  <c r="AE875" i="3"/>
  <c r="AI875" i="3" s="1"/>
  <c r="AF875" i="3"/>
  <c r="AG875" i="3"/>
  <c r="AJ875" i="3"/>
  <c r="AL875" i="3"/>
  <c r="AM875" i="3"/>
  <c r="AO875" i="3"/>
  <c r="AP875" i="3"/>
  <c r="AE876" i="3"/>
  <c r="AF876" i="3"/>
  <c r="AG876" i="3"/>
  <c r="AP876" i="3" s="1"/>
  <c r="AI876" i="3"/>
  <c r="AJ876" i="3"/>
  <c r="AL876" i="3"/>
  <c r="AM876" i="3"/>
  <c r="AO876" i="3"/>
  <c r="AE877" i="3"/>
  <c r="AI877" i="3" s="1"/>
  <c r="AF877" i="3"/>
  <c r="AG877" i="3"/>
  <c r="AO877" i="3" s="1"/>
  <c r="AJ877" i="3"/>
  <c r="AL877" i="3"/>
  <c r="AM877" i="3"/>
  <c r="AE878" i="3"/>
  <c r="AI878" i="3" s="1"/>
  <c r="AF878" i="3"/>
  <c r="AM878" i="3" s="1"/>
  <c r="AG878" i="3"/>
  <c r="AJ878" i="3"/>
  <c r="AL878" i="3"/>
  <c r="AO878" i="3"/>
  <c r="AP878" i="3"/>
  <c r="AE879" i="3"/>
  <c r="AI879" i="3" s="1"/>
  <c r="AF879" i="3"/>
  <c r="AG879" i="3"/>
  <c r="AJ879" i="3"/>
  <c r="AL879" i="3"/>
  <c r="AM879" i="3"/>
  <c r="AO879" i="3"/>
  <c r="AP879" i="3"/>
  <c r="AE880" i="3"/>
  <c r="AF880" i="3"/>
  <c r="AG880" i="3"/>
  <c r="AP880" i="3" s="1"/>
  <c r="AI880" i="3"/>
  <c r="AJ880" i="3"/>
  <c r="AL880" i="3"/>
  <c r="AM880" i="3"/>
  <c r="AO880" i="3"/>
  <c r="AE881" i="3"/>
  <c r="AI881" i="3" s="1"/>
  <c r="AF881" i="3"/>
  <c r="AG881" i="3"/>
  <c r="AO881" i="3" s="1"/>
  <c r="AJ881" i="3"/>
  <c r="AL881" i="3"/>
  <c r="AM881" i="3"/>
  <c r="AE882" i="3"/>
  <c r="AI882" i="3" s="1"/>
  <c r="AF882" i="3"/>
  <c r="AM882" i="3" s="1"/>
  <c r="AG882" i="3"/>
  <c r="AJ882" i="3"/>
  <c r="AL882" i="3"/>
  <c r="AO882" i="3"/>
  <c r="AP882" i="3"/>
  <c r="AE883" i="3"/>
  <c r="AI883" i="3" s="1"/>
  <c r="AF883" i="3"/>
  <c r="AG883" i="3"/>
  <c r="AJ883" i="3"/>
  <c r="AL883" i="3"/>
  <c r="AM883" i="3"/>
  <c r="AO883" i="3"/>
  <c r="AP883" i="3"/>
  <c r="AE884" i="3"/>
  <c r="AF884" i="3"/>
  <c r="AG884" i="3"/>
  <c r="AP884" i="3" s="1"/>
  <c r="AI884" i="3"/>
  <c r="AJ884" i="3"/>
  <c r="AL884" i="3"/>
  <c r="AM884" i="3"/>
  <c r="AO884" i="3"/>
  <c r="AE885" i="3"/>
  <c r="AI885" i="3" s="1"/>
  <c r="AF885" i="3"/>
  <c r="AG885" i="3"/>
  <c r="AO885" i="3" s="1"/>
  <c r="AJ885" i="3"/>
  <c r="AL885" i="3"/>
  <c r="AM885" i="3"/>
  <c r="AE886" i="3"/>
  <c r="AI886" i="3" s="1"/>
  <c r="AF886" i="3"/>
  <c r="AM886" i="3" s="1"/>
  <c r="AG886" i="3"/>
  <c r="AJ886" i="3"/>
  <c r="AL886" i="3"/>
  <c r="AO886" i="3"/>
  <c r="AP886" i="3"/>
  <c r="AE887" i="3"/>
  <c r="AI887" i="3" s="1"/>
  <c r="AF887" i="3"/>
  <c r="AG887" i="3"/>
  <c r="AJ887" i="3"/>
  <c r="AL887" i="3"/>
  <c r="AM887" i="3"/>
  <c r="AO887" i="3"/>
  <c r="AP887" i="3"/>
  <c r="AE888" i="3"/>
  <c r="AF888" i="3"/>
  <c r="AG888" i="3"/>
  <c r="AP888" i="3" s="1"/>
  <c r="AI888" i="3"/>
  <c r="AJ888" i="3"/>
  <c r="AL888" i="3"/>
  <c r="AM888" i="3"/>
  <c r="AO888" i="3"/>
  <c r="AE889" i="3"/>
  <c r="AI889" i="3" s="1"/>
  <c r="AF889" i="3"/>
  <c r="AG889" i="3"/>
  <c r="AO889" i="3" s="1"/>
  <c r="AJ889" i="3"/>
  <c r="AL889" i="3"/>
  <c r="AM889" i="3"/>
  <c r="AE890" i="3"/>
  <c r="AI890" i="3" s="1"/>
  <c r="AF890" i="3"/>
  <c r="AM890" i="3" s="1"/>
  <c r="AG890" i="3"/>
  <c r="AJ890" i="3"/>
  <c r="AL890" i="3"/>
  <c r="AO890" i="3"/>
  <c r="AP890" i="3"/>
  <c r="AE891" i="3"/>
  <c r="AI891" i="3" s="1"/>
  <c r="AF891" i="3"/>
  <c r="AG891" i="3"/>
  <c r="AJ891" i="3"/>
  <c r="AL891" i="3"/>
  <c r="AM891" i="3"/>
  <c r="AO891" i="3"/>
  <c r="AP891" i="3"/>
  <c r="AE892" i="3"/>
  <c r="AF892" i="3"/>
  <c r="AG892" i="3"/>
  <c r="AP892" i="3" s="1"/>
  <c r="AI892" i="3"/>
  <c r="AJ892" i="3"/>
  <c r="AL892" i="3"/>
  <c r="AM892" i="3"/>
  <c r="AO892" i="3"/>
  <c r="AE893" i="3"/>
  <c r="AI893" i="3" s="1"/>
  <c r="AF893" i="3"/>
  <c r="AG893" i="3"/>
  <c r="AO893" i="3" s="1"/>
  <c r="AJ893" i="3"/>
  <c r="AL893" i="3"/>
  <c r="AM893" i="3"/>
  <c r="AE894" i="3"/>
  <c r="AI894" i="3" s="1"/>
  <c r="AF894" i="3"/>
  <c r="AM894" i="3" s="1"/>
  <c r="AG894" i="3"/>
  <c r="AJ894" i="3"/>
  <c r="AL894" i="3"/>
  <c r="AO894" i="3"/>
  <c r="AP894" i="3"/>
  <c r="AE895" i="3"/>
  <c r="AI895" i="3" s="1"/>
  <c r="AF895" i="3"/>
  <c r="AG895" i="3"/>
  <c r="AJ895" i="3"/>
  <c r="AL895" i="3"/>
  <c r="AM895" i="3"/>
  <c r="AO895" i="3"/>
  <c r="AP895" i="3"/>
  <c r="AE896" i="3"/>
  <c r="AF896" i="3"/>
  <c r="AG896" i="3"/>
  <c r="AP896" i="3" s="1"/>
  <c r="AI896" i="3"/>
  <c r="AJ896" i="3"/>
  <c r="AL896" i="3"/>
  <c r="AM896" i="3"/>
  <c r="AO896" i="3"/>
  <c r="AE897" i="3"/>
  <c r="AI897" i="3" s="1"/>
  <c r="AF897" i="3"/>
  <c r="AG897" i="3"/>
  <c r="AO897" i="3" s="1"/>
  <c r="AJ897" i="3"/>
  <c r="AL897" i="3"/>
  <c r="AM897" i="3"/>
  <c r="AE898" i="3"/>
  <c r="AI898" i="3" s="1"/>
  <c r="AF898" i="3"/>
  <c r="AM898" i="3" s="1"/>
  <c r="AG898" i="3"/>
  <c r="AJ898" i="3"/>
  <c r="AL898" i="3"/>
  <c r="AO898" i="3"/>
  <c r="AP898" i="3"/>
  <c r="AE899" i="3"/>
  <c r="AI899" i="3" s="1"/>
  <c r="AF899" i="3"/>
  <c r="AG899" i="3"/>
  <c r="AJ899" i="3"/>
  <c r="AL899" i="3"/>
  <c r="AM899" i="3"/>
  <c r="AO899" i="3"/>
  <c r="AP899" i="3"/>
  <c r="AE900" i="3"/>
  <c r="AF900" i="3"/>
  <c r="AG900" i="3"/>
  <c r="AP900" i="3" s="1"/>
  <c r="AI900" i="3"/>
  <c r="AJ900" i="3"/>
  <c r="AL900" i="3"/>
  <c r="AM900" i="3"/>
  <c r="AO900" i="3"/>
  <c r="AE901" i="3"/>
  <c r="AI901" i="3" s="1"/>
  <c r="AF901" i="3"/>
  <c r="AG901" i="3"/>
  <c r="AO901" i="3" s="1"/>
  <c r="AJ901" i="3"/>
  <c r="AL901" i="3"/>
  <c r="AM901" i="3"/>
  <c r="AE902" i="3"/>
  <c r="AI902" i="3" s="1"/>
  <c r="AF902" i="3"/>
  <c r="AM902" i="3" s="1"/>
  <c r="AG902" i="3"/>
  <c r="AJ902" i="3"/>
  <c r="AL902" i="3"/>
  <c r="AO902" i="3"/>
  <c r="AP902" i="3"/>
  <c r="AE903" i="3"/>
  <c r="AI903" i="3" s="1"/>
  <c r="AF903" i="3"/>
  <c r="AG903" i="3"/>
  <c r="AJ903" i="3"/>
  <c r="AL903" i="3"/>
  <c r="AM903" i="3"/>
  <c r="AO903" i="3"/>
  <c r="AP903" i="3"/>
  <c r="AE904" i="3"/>
  <c r="AF904" i="3"/>
  <c r="AG904" i="3"/>
  <c r="AP904" i="3" s="1"/>
  <c r="AI904" i="3"/>
  <c r="AJ904" i="3"/>
  <c r="AL904" i="3"/>
  <c r="AM904" i="3"/>
  <c r="AO904" i="3"/>
  <c r="AE905" i="3"/>
  <c r="AI905" i="3" s="1"/>
  <c r="AF905" i="3"/>
  <c r="AG905" i="3"/>
  <c r="AO905" i="3" s="1"/>
  <c r="AJ905" i="3"/>
  <c r="AL905" i="3"/>
  <c r="AM905" i="3"/>
  <c r="AE906" i="3"/>
  <c r="AI906" i="3" s="1"/>
  <c r="AF906" i="3"/>
  <c r="AM906" i="3" s="1"/>
  <c r="AG906" i="3"/>
  <c r="AJ906" i="3"/>
  <c r="AL906" i="3"/>
  <c r="AO906" i="3"/>
  <c r="AP906" i="3"/>
  <c r="AE907" i="3"/>
  <c r="AI907" i="3" s="1"/>
  <c r="AF907" i="3"/>
  <c r="AG907" i="3"/>
  <c r="AJ907" i="3"/>
  <c r="AL907" i="3"/>
  <c r="AM907" i="3"/>
  <c r="AO907" i="3"/>
  <c r="AP907" i="3"/>
  <c r="AE908" i="3"/>
  <c r="AF908" i="3"/>
  <c r="AG908" i="3"/>
  <c r="AP908" i="3" s="1"/>
  <c r="AI908" i="3"/>
  <c r="AJ908" i="3"/>
  <c r="AL908" i="3"/>
  <c r="AM908" i="3"/>
  <c r="AO908" i="3"/>
  <c r="AE909" i="3"/>
  <c r="AI909" i="3" s="1"/>
  <c r="AF909" i="3"/>
  <c r="AG909" i="3"/>
  <c r="AO909" i="3" s="1"/>
  <c r="AJ909" i="3"/>
  <c r="AL909" i="3"/>
  <c r="AM909" i="3"/>
  <c r="AE910" i="3"/>
  <c r="AI910" i="3" s="1"/>
  <c r="AF910" i="3"/>
  <c r="AM910" i="3" s="1"/>
  <c r="AG910" i="3"/>
  <c r="AJ910" i="3"/>
  <c r="AL910" i="3"/>
  <c r="AO910" i="3"/>
  <c r="AP910" i="3"/>
  <c r="AE911" i="3"/>
  <c r="AI911" i="3" s="1"/>
  <c r="AF911" i="3"/>
  <c r="AG911" i="3"/>
  <c r="AJ911" i="3"/>
  <c r="AL911" i="3"/>
  <c r="AM911" i="3"/>
  <c r="AO911" i="3"/>
  <c r="AP911" i="3"/>
  <c r="AE912" i="3"/>
  <c r="AF912" i="3"/>
  <c r="AG912" i="3"/>
  <c r="AP912" i="3" s="1"/>
  <c r="AI912" i="3"/>
  <c r="AJ912" i="3"/>
  <c r="AL912" i="3"/>
  <c r="AM912" i="3"/>
  <c r="AO912" i="3"/>
  <c r="AE913" i="3"/>
  <c r="AI913" i="3" s="1"/>
  <c r="AF913" i="3"/>
  <c r="AG913" i="3"/>
  <c r="AO913" i="3" s="1"/>
  <c r="AJ913" i="3"/>
  <c r="AL913" i="3"/>
  <c r="AM913" i="3"/>
  <c r="AE914" i="3"/>
  <c r="AI914" i="3" s="1"/>
  <c r="AF914" i="3"/>
  <c r="AM914" i="3" s="1"/>
  <c r="AG914" i="3"/>
  <c r="AJ914" i="3"/>
  <c r="AL914" i="3"/>
  <c r="AO914" i="3"/>
  <c r="AP914" i="3"/>
  <c r="AE915" i="3"/>
  <c r="AI915" i="3" s="1"/>
  <c r="AF915" i="3"/>
  <c r="AG915" i="3"/>
  <c r="AJ915" i="3"/>
  <c r="AL915" i="3"/>
  <c r="AM915" i="3"/>
  <c r="AO915" i="3"/>
  <c r="AP915" i="3"/>
  <c r="AE916" i="3"/>
  <c r="AF916" i="3"/>
  <c r="AG916" i="3"/>
  <c r="AP916" i="3" s="1"/>
  <c r="AI916" i="3"/>
  <c r="AJ916" i="3"/>
  <c r="AL916" i="3"/>
  <c r="AM916" i="3"/>
  <c r="AO916" i="3"/>
  <c r="AE917" i="3"/>
  <c r="AI917" i="3" s="1"/>
  <c r="AF917" i="3"/>
  <c r="AG917" i="3"/>
  <c r="AO917" i="3" s="1"/>
  <c r="AJ917" i="3"/>
  <c r="AL917" i="3"/>
  <c r="AM917" i="3"/>
  <c r="AE918" i="3"/>
  <c r="AI918" i="3" s="1"/>
  <c r="AF918" i="3"/>
  <c r="AM918" i="3" s="1"/>
  <c r="AG918" i="3"/>
  <c r="AJ918" i="3"/>
  <c r="AL918" i="3"/>
  <c r="AO918" i="3"/>
  <c r="AP918" i="3"/>
  <c r="AE919" i="3"/>
  <c r="AI919" i="3" s="1"/>
  <c r="AF919" i="3"/>
  <c r="AG919" i="3"/>
  <c r="AJ919" i="3"/>
  <c r="AL919" i="3"/>
  <c r="AM919" i="3"/>
  <c r="AO919" i="3"/>
  <c r="AP919" i="3"/>
  <c r="AE920" i="3"/>
  <c r="AF920" i="3"/>
  <c r="AG920" i="3"/>
  <c r="AP920" i="3" s="1"/>
  <c r="AI920" i="3"/>
  <c r="AJ920" i="3"/>
  <c r="AL920" i="3"/>
  <c r="AM920" i="3"/>
  <c r="AO920" i="3"/>
  <c r="AE921" i="3"/>
  <c r="AI921" i="3" s="1"/>
  <c r="AF921" i="3"/>
  <c r="AG921" i="3"/>
  <c r="AO921" i="3" s="1"/>
  <c r="AJ921" i="3"/>
  <c r="AL921" i="3"/>
  <c r="AM921" i="3"/>
  <c r="AE922" i="3"/>
  <c r="AI922" i="3" s="1"/>
  <c r="AF922" i="3"/>
  <c r="AM922" i="3" s="1"/>
  <c r="AG922" i="3"/>
  <c r="AJ922" i="3"/>
  <c r="AL922" i="3"/>
  <c r="AO922" i="3"/>
  <c r="AP922" i="3"/>
  <c r="AE923" i="3"/>
  <c r="AI923" i="3" s="1"/>
  <c r="AF923" i="3"/>
  <c r="AG923" i="3"/>
  <c r="AJ923" i="3"/>
  <c r="AL923" i="3"/>
  <c r="AM923" i="3"/>
  <c r="AO923" i="3"/>
  <c r="AP923" i="3"/>
  <c r="AE924" i="3"/>
  <c r="AF924" i="3"/>
  <c r="AG924" i="3"/>
  <c r="AP924" i="3" s="1"/>
  <c r="AI924" i="3"/>
  <c r="AJ924" i="3"/>
  <c r="AL924" i="3"/>
  <c r="AM924" i="3"/>
  <c r="AO924" i="3"/>
  <c r="AE925" i="3"/>
  <c r="AI925" i="3" s="1"/>
  <c r="AF925" i="3"/>
  <c r="AG925" i="3"/>
  <c r="AO925" i="3" s="1"/>
  <c r="AJ925" i="3"/>
  <c r="AL925" i="3"/>
  <c r="AM925" i="3"/>
  <c r="AE926" i="3"/>
  <c r="AI926" i="3" s="1"/>
  <c r="AF926" i="3"/>
  <c r="AM926" i="3" s="1"/>
  <c r="AG926" i="3"/>
  <c r="AJ926" i="3"/>
  <c r="AL926" i="3"/>
  <c r="AO926" i="3"/>
  <c r="AP926" i="3"/>
  <c r="AE927" i="3"/>
  <c r="AI927" i="3" s="1"/>
  <c r="AF927" i="3"/>
  <c r="AG927" i="3"/>
  <c r="AJ927" i="3"/>
  <c r="AL927" i="3"/>
  <c r="AM927" i="3"/>
  <c r="AO927" i="3"/>
  <c r="AP927" i="3"/>
  <c r="AE928" i="3"/>
  <c r="AF928" i="3"/>
  <c r="AG928" i="3"/>
  <c r="AP928" i="3" s="1"/>
  <c r="AI928" i="3"/>
  <c r="AJ928" i="3"/>
  <c r="AL928" i="3"/>
  <c r="AM928" i="3"/>
  <c r="AO928" i="3"/>
  <c r="AE929" i="3"/>
  <c r="AI929" i="3" s="1"/>
  <c r="AF929" i="3"/>
  <c r="AG929" i="3"/>
  <c r="AO929" i="3" s="1"/>
  <c r="AJ929" i="3"/>
  <c r="AL929" i="3"/>
  <c r="AM929" i="3"/>
  <c r="AE930" i="3"/>
  <c r="AI930" i="3" s="1"/>
  <c r="AF930" i="3"/>
  <c r="AM930" i="3" s="1"/>
  <c r="AG930" i="3"/>
  <c r="AJ930" i="3"/>
  <c r="AL930" i="3"/>
  <c r="AO930" i="3"/>
  <c r="AP930" i="3"/>
  <c r="AE931" i="3"/>
  <c r="AI931" i="3" s="1"/>
  <c r="AF931" i="3"/>
  <c r="AG931" i="3"/>
  <c r="AJ931" i="3"/>
  <c r="AL931" i="3"/>
  <c r="AM931" i="3"/>
  <c r="AO931" i="3"/>
  <c r="AP931" i="3"/>
  <c r="AE932" i="3"/>
  <c r="AF932" i="3"/>
  <c r="AG932" i="3"/>
  <c r="AP932" i="3" s="1"/>
  <c r="AI932" i="3"/>
  <c r="AJ932" i="3"/>
  <c r="AL932" i="3"/>
  <c r="AM932" i="3"/>
  <c r="AO932" i="3"/>
  <c r="AE933" i="3"/>
  <c r="AI933" i="3" s="1"/>
  <c r="AF933" i="3"/>
  <c r="AG933" i="3"/>
  <c r="AO933" i="3" s="1"/>
  <c r="AJ933" i="3"/>
  <c r="AL933" i="3"/>
  <c r="AM933" i="3"/>
  <c r="AE934" i="3"/>
  <c r="AI934" i="3" s="1"/>
  <c r="AF934" i="3"/>
  <c r="AM934" i="3" s="1"/>
  <c r="AG934" i="3"/>
  <c r="AJ934" i="3"/>
  <c r="AL934" i="3"/>
  <c r="AO934" i="3"/>
  <c r="AP934" i="3"/>
  <c r="AE935" i="3"/>
  <c r="AI935" i="3" s="1"/>
  <c r="AF935" i="3"/>
  <c r="AG935" i="3"/>
  <c r="AJ935" i="3"/>
  <c r="AL935" i="3"/>
  <c r="AM935" i="3"/>
  <c r="AO935" i="3"/>
  <c r="AP935" i="3"/>
  <c r="AE936" i="3"/>
  <c r="AF936" i="3"/>
  <c r="AG936" i="3"/>
  <c r="AP936" i="3" s="1"/>
  <c r="AI936" i="3"/>
  <c r="AJ936" i="3"/>
  <c r="AL936" i="3"/>
  <c r="AM936" i="3"/>
  <c r="AO936" i="3"/>
  <c r="AE937" i="3"/>
  <c r="AI937" i="3" s="1"/>
  <c r="AF937" i="3"/>
  <c r="AG937" i="3"/>
  <c r="AO937" i="3" s="1"/>
  <c r="AJ937" i="3"/>
  <c r="AL937" i="3"/>
  <c r="AM937" i="3"/>
  <c r="AE938" i="3"/>
  <c r="AI938" i="3" s="1"/>
  <c r="AF938" i="3"/>
  <c r="AM938" i="3" s="1"/>
  <c r="AG938" i="3"/>
  <c r="AJ938" i="3"/>
  <c r="AL938" i="3"/>
  <c r="AO938" i="3"/>
  <c r="AP938" i="3"/>
  <c r="AE939" i="3"/>
  <c r="AI939" i="3" s="1"/>
  <c r="AF939" i="3"/>
  <c r="AG939" i="3"/>
  <c r="AJ939" i="3"/>
  <c r="AL939" i="3"/>
  <c r="AM939" i="3"/>
  <c r="AO939" i="3"/>
  <c r="AP939" i="3"/>
  <c r="AE940" i="3"/>
  <c r="AF940" i="3"/>
  <c r="AG940" i="3"/>
  <c r="AP940" i="3" s="1"/>
  <c r="AI940" i="3"/>
  <c r="AJ940" i="3"/>
  <c r="AL940" i="3"/>
  <c r="AM940" i="3"/>
  <c r="AO940" i="3"/>
  <c r="AE941" i="3"/>
  <c r="AI941" i="3" s="1"/>
  <c r="AF941" i="3"/>
  <c r="AG941" i="3"/>
  <c r="AO941" i="3" s="1"/>
  <c r="AJ941" i="3"/>
  <c r="AL941" i="3"/>
  <c r="AM941" i="3"/>
  <c r="AE942" i="3"/>
  <c r="AI942" i="3" s="1"/>
  <c r="AF942" i="3"/>
  <c r="AM942" i="3" s="1"/>
  <c r="AG942" i="3"/>
  <c r="AJ942" i="3"/>
  <c r="AL942" i="3"/>
  <c r="AO942" i="3"/>
  <c r="AP942" i="3"/>
  <c r="AE943" i="3"/>
  <c r="AI943" i="3" s="1"/>
  <c r="AF943" i="3"/>
  <c r="AG943" i="3"/>
  <c r="AJ943" i="3"/>
  <c r="AL943" i="3"/>
  <c r="AM943" i="3"/>
  <c r="AO943" i="3"/>
  <c r="AP943" i="3"/>
  <c r="AE944" i="3"/>
  <c r="AF944" i="3"/>
  <c r="AG944" i="3"/>
  <c r="AP944" i="3" s="1"/>
  <c r="AI944" i="3"/>
  <c r="AJ944" i="3"/>
  <c r="AL944" i="3"/>
  <c r="AM944" i="3"/>
  <c r="AO944" i="3"/>
  <c r="AE945" i="3"/>
  <c r="AI945" i="3" s="1"/>
  <c r="AF945" i="3"/>
  <c r="AG945" i="3"/>
  <c r="AO945" i="3" s="1"/>
  <c r="AJ945" i="3"/>
  <c r="AL945" i="3"/>
  <c r="AM945" i="3"/>
  <c r="AE946" i="3"/>
  <c r="AI946" i="3" s="1"/>
  <c r="AF946" i="3"/>
  <c r="AM946" i="3" s="1"/>
  <c r="AG946" i="3"/>
  <c r="AJ946" i="3"/>
  <c r="AL946" i="3"/>
  <c r="AO946" i="3"/>
  <c r="AP946" i="3"/>
  <c r="AE947" i="3"/>
  <c r="AI947" i="3" s="1"/>
  <c r="AF947" i="3"/>
  <c r="AG947" i="3"/>
  <c r="AJ947" i="3"/>
  <c r="AL947" i="3"/>
  <c r="AM947" i="3"/>
  <c r="AO947" i="3"/>
  <c r="AP947" i="3"/>
  <c r="AE948" i="3"/>
  <c r="AF948" i="3"/>
  <c r="AG948" i="3"/>
  <c r="AP948" i="3" s="1"/>
  <c r="AI948" i="3"/>
  <c r="AJ948" i="3"/>
  <c r="AL948" i="3"/>
  <c r="AM948" i="3"/>
  <c r="AO948" i="3"/>
  <c r="AE949" i="3"/>
  <c r="AI949" i="3" s="1"/>
  <c r="AF949" i="3"/>
  <c r="AG949" i="3"/>
  <c r="AO949" i="3" s="1"/>
  <c r="AJ949" i="3"/>
  <c r="AL949" i="3"/>
  <c r="AM949" i="3"/>
  <c r="AE950" i="3"/>
  <c r="AI950" i="3" s="1"/>
  <c r="AF950" i="3"/>
  <c r="AM950" i="3" s="1"/>
  <c r="AG950" i="3"/>
  <c r="AJ950" i="3"/>
  <c r="AL950" i="3"/>
  <c r="AO950" i="3"/>
  <c r="AP950" i="3"/>
  <c r="AE951" i="3"/>
  <c r="AI951" i="3" s="1"/>
  <c r="AF951" i="3"/>
  <c r="AG951" i="3"/>
  <c r="AJ951" i="3"/>
  <c r="AL951" i="3"/>
  <c r="AM951" i="3"/>
  <c r="AO951" i="3"/>
  <c r="AP951" i="3"/>
  <c r="AE952" i="3"/>
  <c r="AF952" i="3"/>
  <c r="AG952" i="3"/>
  <c r="AP952" i="3" s="1"/>
  <c r="AI952" i="3"/>
  <c r="AJ952" i="3"/>
  <c r="AL952" i="3"/>
  <c r="AM952" i="3"/>
  <c r="AO952" i="3"/>
  <c r="AE953" i="3"/>
  <c r="AI953" i="3" s="1"/>
  <c r="AF953" i="3"/>
  <c r="AG953" i="3"/>
  <c r="AO953" i="3" s="1"/>
  <c r="AJ953" i="3"/>
  <c r="AL953" i="3"/>
  <c r="AM953" i="3"/>
  <c r="AE954" i="3"/>
  <c r="AI954" i="3" s="1"/>
  <c r="AF954" i="3"/>
  <c r="AM954" i="3" s="1"/>
  <c r="AG954" i="3"/>
  <c r="AJ954" i="3"/>
  <c r="AL954" i="3"/>
  <c r="AO954" i="3"/>
  <c r="AP954" i="3"/>
  <c r="AE955" i="3"/>
  <c r="AI955" i="3" s="1"/>
  <c r="AF955" i="3"/>
  <c r="AG955" i="3"/>
  <c r="AJ955" i="3"/>
  <c r="AL955" i="3"/>
  <c r="AM955" i="3"/>
  <c r="AO955" i="3"/>
  <c r="AP955" i="3"/>
  <c r="AE956" i="3"/>
  <c r="AF956" i="3"/>
  <c r="AG956" i="3"/>
  <c r="AP956" i="3" s="1"/>
  <c r="AI956" i="3"/>
  <c r="AJ956" i="3"/>
  <c r="AL956" i="3"/>
  <c r="AM956" i="3"/>
  <c r="AO956" i="3"/>
  <c r="AE957" i="3"/>
  <c r="AI957" i="3" s="1"/>
  <c r="AF957" i="3"/>
  <c r="AG957" i="3"/>
  <c r="AO957" i="3" s="1"/>
  <c r="AJ957" i="3"/>
  <c r="AL957" i="3"/>
  <c r="AM957" i="3"/>
  <c r="AE958" i="3"/>
  <c r="AI958" i="3" s="1"/>
  <c r="AF958" i="3"/>
  <c r="AM958" i="3" s="1"/>
  <c r="AG958" i="3"/>
  <c r="AJ958" i="3"/>
  <c r="AL958" i="3"/>
  <c r="AO958" i="3"/>
  <c r="AP958" i="3"/>
  <c r="AE959" i="3"/>
  <c r="AI959" i="3" s="1"/>
  <c r="AF959" i="3"/>
  <c r="AG959" i="3"/>
  <c r="AJ959" i="3"/>
  <c r="AL959" i="3"/>
  <c r="AM959" i="3"/>
  <c r="AO959" i="3"/>
  <c r="AP959" i="3"/>
  <c r="AE960" i="3"/>
  <c r="AF960" i="3"/>
  <c r="AG960" i="3"/>
  <c r="AP960" i="3" s="1"/>
  <c r="AI960" i="3"/>
  <c r="AJ960" i="3"/>
  <c r="AL960" i="3"/>
  <c r="AM960" i="3"/>
  <c r="AO960" i="3"/>
  <c r="AE961" i="3"/>
  <c r="AI961" i="3" s="1"/>
  <c r="AF961" i="3"/>
  <c r="AG961" i="3"/>
  <c r="AO961" i="3" s="1"/>
  <c r="AJ961" i="3"/>
  <c r="AL961" i="3"/>
  <c r="AM961" i="3"/>
  <c r="AE962" i="3"/>
  <c r="AI962" i="3" s="1"/>
  <c r="AF962" i="3"/>
  <c r="AM962" i="3" s="1"/>
  <c r="AG962" i="3"/>
  <c r="AJ962" i="3"/>
  <c r="AL962" i="3"/>
  <c r="AO962" i="3"/>
  <c r="AP962" i="3"/>
  <c r="AE963" i="3"/>
  <c r="AI963" i="3" s="1"/>
  <c r="AF963" i="3"/>
  <c r="AG963" i="3"/>
  <c r="AJ963" i="3"/>
  <c r="AL963" i="3"/>
  <c r="AM963" i="3"/>
  <c r="AO963" i="3"/>
  <c r="AP963" i="3"/>
  <c r="AE964" i="3"/>
  <c r="AF964" i="3"/>
  <c r="AG964" i="3"/>
  <c r="AP964" i="3" s="1"/>
  <c r="AI964" i="3"/>
  <c r="AJ964" i="3"/>
  <c r="AL964" i="3"/>
  <c r="AM964" i="3"/>
  <c r="AO964" i="3"/>
  <c r="AE965" i="3"/>
  <c r="AI965" i="3" s="1"/>
  <c r="AF965" i="3"/>
  <c r="AG965" i="3"/>
  <c r="AO965" i="3" s="1"/>
  <c r="AJ965" i="3"/>
  <c r="AL965" i="3"/>
  <c r="AM965" i="3"/>
  <c r="AE966" i="3"/>
  <c r="AI966" i="3" s="1"/>
  <c r="AF966" i="3"/>
  <c r="AM966" i="3" s="1"/>
  <c r="AG966" i="3"/>
  <c r="AJ966" i="3"/>
  <c r="AL966" i="3"/>
  <c r="AO966" i="3"/>
  <c r="AP966" i="3"/>
  <c r="AE967" i="3"/>
  <c r="AI967" i="3" s="1"/>
  <c r="AF967" i="3"/>
  <c r="AG967" i="3"/>
  <c r="AJ967" i="3"/>
  <c r="AL967" i="3"/>
  <c r="AM967" i="3"/>
  <c r="AO967" i="3"/>
  <c r="AP967" i="3"/>
  <c r="AE968" i="3"/>
  <c r="AF968" i="3"/>
  <c r="AG968" i="3"/>
  <c r="AP968" i="3" s="1"/>
  <c r="AI968" i="3"/>
  <c r="AJ968" i="3"/>
  <c r="AL968" i="3"/>
  <c r="AM968" i="3"/>
  <c r="AO968" i="3"/>
  <c r="AE969" i="3"/>
  <c r="AI969" i="3" s="1"/>
  <c r="AF969" i="3"/>
  <c r="AG969" i="3"/>
  <c r="AO969" i="3" s="1"/>
  <c r="AJ969" i="3"/>
  <c r="AL969" i="3"/>
  <c r="AM969" i="3"/>
  <c r="AE970" i="3"/>
  <c r="AI970" i="3" s="1"/>
  <c r="AF970" i="3"/>
  <c r="AM970" i="3" s="1"/>
  <c r="AG970" i="3"/>
  <c r="AJ970" i="3"/>
  <c r="AL970" i="3"/>
  <c r="AO970" i="3"/>
  <c r="AP970" i="3"/>
  <c r="AE971" i="3"/>
  <c r="AI971" i="3" s="1"/>
  <c r="AF971" i="3"/>
  <c r="AG971" i="3"/>
  <c r="AJ971" i="3"/>
  <c r="AL971" i="3"/>
  <c r="AM971" i="3"/>
  <c r="AO971" i="3"/>
  <c r="AP971" i="3"/>
  <c r="AE972" i="3"/>
  <c r="AF972" i="3"/>
  <c r="AG972" i="3"/>
  <c r="AP972" i="3" s="1"/>
  <c r="AI972" i="3"/>
  <c r="AJ972" i="3"/>
  <c r="AL972" i="3"/>
  <c r="AM972" i="3"/>
  <c r="AO972" i="3"/>
  <c r="AE973" i="3"/>
  <c r="AI973" i="3" s="1"/>
  <c r="AF973" i="3"/>
  <c r="AG973" i="3"/>
  <c r="AO973" i="3" s="1"/>
  <c r="AJ973" i="3"/>
  <c r="AL973" i="3"/>
  <c r="AM973" i="3"/>
  <c r="AE974" i="3"/>
  <c r="AI974" i="3" s="1"/>
  <c r="AF974" i="3"/>
  <c r="AM974" i="3" s="1"/>
  <c r="AG974" i="3"/>
  <c r="AJ974" i="3"/>
  <c r="AL974" i="3"/>
  <c r="AO974" i="3"/>
  <c r="AP974" i="3"/>
  <c r="AE975" i="3"/>
  <c r="AI975" i="3" s="1"/>
  <c r="AF975" i="3"/>
  <c r="AG975" i="3"/>
  <c r="AJ975" i="3"/>
  <c r="AL975" i="3"/>
  <c r="AM975" i="3"/>
  <c r="AO975" i="3"/>
  <c r="AP975" i="3"/>
  <c r="AE976" i="3"/>
  <c r="AF976" i="3"/>
  <c r="AG976" i="3"/>
  <c r="AP976" i="3" s="1"/>
  <c r="AI976" i="3"/>
  <c r="AJ976" i="3"/>
  <c r="AL976" i="3"/>
  <c r="AM976" i="3"/>
  <c r="AO976" i="3"/>
  <c r="AE977" i="3"/>
  <c r="AI977" i="3" s="1"/>
  <c r="AF977" i="3"/>
  <c r="AG977" i="3"/>
  <c r="AO977" i="3" s="1"/>
  <c r="AJ977" i="3"/>
  <c r="AL977" i="3"/>
  <c r="AM977" i="3"/>
  <c r="AE978" i="3"/>
  <c r="AI978" i="3" s="1"/>
  <c r="AF978" i="3"/>
  <c r="AM978" i="3" s="1"/>
  <c r="AG978" i="3"/>
  <c r="AJ978" i="3"/>
  <c r="AL978" i="3"/>
  <c r="AO978" i="3"/>
  <c r="AP978" i="3"/>
  <c r="AE979" i="3"/>
  <c r="AI979" i="3" s="1"/>
  <c r="AF979" i="3"/>
  <c r="AG979" i="3"/>
  <c r="AJ979" i="3"/>
  <c r="AL979" i="3"/>
  <c r="AM979" i="3"/>
  <c r="AO979" i="3"/>
  <c r="AP979" i="3"/>
  <c r="AE980" i="3"/>
  <c r="AF980" i="3"/>
  <c r="AG980" i="3"/>
  <c r="AP980" i="3" s="1"/>
  <c r="AI980" i="3"/>
  <c r="AJ980" i="3"/>
  <c r="AL980" i="3"/>
  <c r="AM980" i="3"/>
  <c r="AO980" i="3"/>
  <c r="AE981" i="3"/>
  <c r="AI981" i="3" s="1"/>
  <c r="AF981" i="3"/>
  <c r="AG981" i="3"/>
  <c r="AO981" i="3" s="1"/>
  <c r="AJ981" i="3"/>
  <c r="AL981" i="3"/>
  <c r="AM981" i="3"/>
  <c r="AE982" i="3"/>
  <c r="AI982" i="3" s="1"/>
  <c r="AF982" i="3"/>
  <c r="AM982" i="3" s="1"/>
  <c r="AG982" i="3"/>
  <c r="AJ982" i="3"/>
  <c r="AL982" i="3"/>
  <c r="AO982" i="3"/>
  <c r="AP982" i="3"/>
  <c r="AE983" i="3"/>
  <c r="AI983" i="3" s="1"/>
  <c r="AF983" i="3"/>
  <c r="AG983" i="3"/>
  <c r="AJ983" i="3"/>
  <c r="AL983" i="3"/>
  <c r="AM983" i="3"/>
  <c r="AO983" i="3"/>
  <c r="AP983" i="3"/>
  <c r="AE984" i="3"/>
  <c r="AF984" i="3"/>
  <c r="AG984" i="3"/>
  <c r="AP984" i="3" s="1"/>
  <c r="AI984" i="3"/>
  <c r="AJ984" i="3"/>
  <c r="AL984" i="3"/>
  <c r="AM984" i="3"/>
  <c r="AO984" i="3"/>
  <c r="AE985" i="3"/>
  <c r="AI985" i="3" s="1"/>
  <c r="AF985" i="3"/>
  <c r="AG985" i="3"/>
  <c r="AO985" i="3" s="1"/>
  <c r="AJ985" i="3"/>
  <c r="AL985" i="3"/>
  <c r="AM985" i="3"/>
  <c r="AE986" i="3"/>
  <c r="AI986" i="3" s="1"/>
  <c r="AF986" i="3"/>
  <c r="AM986" i="3" s="1"/>
  <c r="AG986" i="3"/>
  <c r="AJ986" i="3"/>
  <c r="AL986" i="3"/>
  <c r="AO986" i="3"/>
  <c r="AP986" i="3"/>
  <c r="AE987" i="3"/>
  <c r="AI987" i="3" s="1"/>
  <c r="AF987" i="3"/>
  <c r="AG987" i="3"/>
  <c r="AJ987" i="3"/>
  <c r="AL987" i="3"/>
  <c r="AM987" i="3"/>
  <c r="AO987" i="3"/>
  <c r="AP987" i="3"/>
  <c r="AE988" i="3"/>
  <c r="AF988" i="3"/>
  <c r="AG988" i="3"/>
  <c r="AP988" i="3" s="1"/>
  <c r="AI988" i="3"/>
  <c r="AJ988" i="3"/>
  <c r="AL988" i="3"/>
  <c r="AM988" i="3"/>
  <c r="AO988" i="3"/>
  <c r="AE989" i="3"/>
  <c r="AI989" i="3" s="1"/>
  <c r="AF989" i="3"/>
  <c r="AG989" i="3"/>
  <c r="AO989" i="3" s="1"/>
  <c r="AJ989" i="3"/>
  <c r="AL989" i="3"/>
  <c r="AM989" i="3"/>
  <c r="AE990" i="3"/>
  <c r="AI990" i="3" s="1"/>
  <c r="AF990" i="3"/>
  <c r="AM990" i="3" s="1"/>
  <c r="AG990" i="3"/>
  <c r="AJ990" i="3"/>
  <c r="AL990" i="3"/>
  <c r="AO990" i="3"/>
  <c r="AP990" i="3"/>
  <c r="AE991" i="3"/>
  <c r="AI991" i="3" s="1"/>
  <c r="AF991" i="3"/>
  <c r="AG991" i="3"/>
  <c r="AJ991" i="3"/>
  <c r="AL991" i="3"/>
  <c r="AM991" i="3"/>
  <c r="AO991" i="3"/>
  <c r="AP991" i="3"/>
  <c r="AE992" i="3"/>
  <c r="AF992" i="3"/>
  <c r="AG992" i="3"/>
  <c r="AP992" i="3" s="1"/>
  <c r="AI992" i="3"/>
  <c r="AJ992" i="3"/>
  <c r="AL992" i="3"/>
  <c r="AM992" i="3"/>
  <c r="AO992" i="3"/>
  <c r="AE993" i="3"/>
  <c r="AI993" i="3" s="1"/>
  <c r="AF993" i="3"/>
  <c r="AG993" i="3"/>
  <c r="AO993" i="3" s="1"/>
  <c r="AJ993" i="3"/>
  <c r="AL993" i="3"/>
  <c r="AM993" i="3"/>
  <c r="AE994" i="3"/>
  <c r="AI994" i="3" s="1"/>
  <c r="AF994" i="3"/>
  <c r="AM994" i="3" s="1"/>
  <c r="AG994" i="3"/>
  <c r="AJ994" i="3"/>
  <c r="AL994" i="3"/>
  <c r="AO994" i="3"/>
  <c r="AP994" i="3"/>
  <c r="AE995" i="3"/>
  <c r="AI995" i="3" s="1"/>
  <c r="AF995" i="3"/>
  <c r="AG995" i="3"/>
  <c r="AJ995" i="3"/>
  <c r="AL995" i="3"/>
  <c r="AM995" i="3"/>
  <c r="AO995" i="3"/>
  <c r="AP995" i="3"/>
  <c r="AE996" i="3"/>
  <c r="AF996" i="3"/>
  <c r="AG996" i="3"/>
  <c r="AP996" i="3" s="1"/>
  <c r="AI996" i="3"/>
  <c r="AJ996" i="3"/>
  <c r="AL996" i="3"/>
  <c r="AM996" i="3"/>
  <c r="AO996" i="3"/>
  <c r="AE997" i="3"/>
  <c r="AI997" i="3" s="1"/>
  <c r="AF997" i="3"/>
  <c r="AG997" i="3"/>
  <c r="AO997" i="3" s="1"/>
  <c r="AJ997" i="3"/>
  <c r="AL997" i="3"/>
  <c r="AM997" i="3"/>
  <c r="AE998" i="3"/>
  <c r="AI998" i="3" s="1"/>
  <c r="AF998" i="3"/>
  <c r="AM998" i="3" s="1"/>
  <c r="AG998" i="3"/>
  <c r="AJ998" i="3"/>
  <c r="AL998" i="3"/>
  <c r="AO998" i="3"/>
  <c r="AP998" i="3"/>
  <c r="AE999" i="3"/>
  <c r="AI999" i="3" s="1"/>
  <c r="AF999" i="3"/>
  <c r="AG999" i="3"/>
  <c r="AJ999" i="3"/>
  <c r="AL999" i="3"/>
  <c r="AM999" i="3"/>
  <c r="AO999" i="3"/>
  <c r="AP999" i="3"/>
  <c r="AE1000" i="3"/>
  <c r="AF1000" i="3"/>
  <c r="AG1000" i="3"/>
  <c r="AP1000" i="3" s="1"/>
  <c r="AI1000" i="3"/>
  <c r="AJ1000" i="3"/>
  <c r="AL1000" i="3"/>
  <c r="AM1000" i="3"/>
  <c r="AO1000" i="3"/>
  <c r="AE1001" i="3"/>
  <c r="AI1001" i="3" s="1"/>
  <c r="AF1001" i="3"/>
  <c r="AG1001" i="3"/>
  <c r="AO1001" i="3" s="1"/>
  <c r="AJ1001" i="3"/>
  <c r="AL1001" i="3"/>
  <c r="AM1001" i="3"/>
  <c r="AE1002" i="3"/>
  <c r="AI1002" i="3" s="1"/>
  <c r="AF1002" i="3"/>
  <c r="AM1002" i="3" s="1"/>
  <c r="AG1002" i="3"/>
  <c r="AJ1002" i="3"/>
  <c r="AL1002" i="3"/>
  <c r="AO1002" i="3"/>
  <c r="AP1002" i="3"/>
  <c r="AE1003" i="3"/>
  <c r="AI1003" i="3" s="1"/>
  <c r="AF1003" i="3"/>
  <c r="AG1003" i="3"/>
  <c r="AJ1003" i="3"/>
  <c r="AL1003" i="3"/>
  <c r="AM1003" i="3"/>
  <c r="AO1003" i="3"/>
  <c r="AP1003" i="3"/>
  <c r="AE1004" i="3"/>
  <c r="AF1004" i="3"/>
  <c r="AG1004" i="3"/>
  <c r="AP1004" i="3" s="1"/>
  <c r="AI1004" i="3"/>
  <c r="AJ1004" i="3"/>
  <c r="AL1004" i="3"/>
  <c r="AM1004" i="3"/>
  <c r="AO1004" i="3"/>
  <c r="AE1005" i="3"/>
  <c r="AI1005" i="3" s="1"/>
  <c r="AF1005" i="3"/>
  <c r="AG1005" i="3"/>
  <c r="AO1005" i="3" s="1"/>
  <c r="AJ1005" i="3"/>
  <c r="AL1005" i="3"/>
  <c r="AM1005" i="3"/>
  <c r="AE1006" i="3"/>
  <c r="AI1006" i="3" s="1"/>
  <c r="AF1006" i="3"/>
  <c r="AM1006" i="3" s="1"/>
  <c r="AG1006" i="3"/>
  <c r="AJ1006" i="3"/>
  <c r="AL1006" i="3"/>
  <c r="AO1006" i="3"/>
  <c r="AP1006" i="3"/>
  <c r="AE1007" i="3"/>
  <c r="AI1007" i="3" s="1"/>
  <c r="AF1007" i="3"/>
  <c r="AG1007" i="3"/>
  <c r="AJ1007" i="3"/>
  <c r="AL1007" i="3"/>
  <c r="AM1007" i="3"/>
  <c r="AO1007" i="3"/>
  <c r="AP1007" i="3"/>
  <c r="AE1008" i="3"/>
  <c r="AF1008" i="3"/>
  <c r="AG1008" i="3"/>
  <c r="AP1008" i="3" s="1"/>
  <c r="AI1008" i="3"/>
  <c r="AJ1008" i="3"/>
  <c r="AL1008" i="3"/>
  <c r="AM1008" i="3"/>
  <c r="AO1008" i="3"/>
  <c r="AE1009" i="3"/>
  <c r="AI1009" i="3" s="1"/>
  <c r="AF1009" i="3"/>
  <c r="AG1009" i="3"/>
  <c r="AO1009" i="3" s="1"/>
  <c r="AJ1009" i="3"/>
  <c r="AL1009" i="3"/>
  <c r="AM1009" i="3"/>
  <c r="AE1010" i="3"/>
  <c r="AI1010" i="3" s="1"/>
  <c r="AF1010" i="3"/>
  <c r="AM1010" i="3" s="1"/>
  <c r="AG1010" i="3"/>
  <c r="AJ1010" i="3"/>
  <c r="AL1010" i="3"/>
  <c r="AO1010" i="3"/>
  <c r="AP1010" i="3"/>
  <c r="AE1011" i="3"/>
  <c r="AI1011" i="3" s="1"/>
  <c r="AF1011" i="3"/>
  <c r="AG1011" i="3"/>
  <c r="AJ1011" i="3"/>
  <c r="AL1011" i="3"/>
  <c r="AM1011" i="3"/>
  <c r="AO1011" i="3"/>
  <c r="AP1011" i="3"/>
  <c r="AE1012" i="3"/>
  <c r="AF1012" i="3"/>
  <c r="AG1012" i="3"/>
  <c r="AP1012" i="3" s="1"/>
  <c r="AI1012" i="3"/>
  <c r="AJ1012" i="3"/>
  <c r="AL1012" i="3"/>
  <c r="AM1012" i="3"/>
  <c r="AO1012" i="3"/>
  <c r="AE1013" i="3"/>
  <c r="AI1013" i="3" s="1"/>
  <c r="AF1013" i="3"/>
  <c r="AG1013" i="3"/>
  <c r="AO1013" i="3" s="1"/>
  <c r="AJ1013" i="3"/>
  <c r="AL1013" i="3"/>
  <c r="AM1013" i="3"/>
  <c r="AE1014" i="3"/>
  <c r="AI1014" i="3" s="1"/>
  <c r="AF1014" i="3"/>
  <c r="AM1014" i="3" s="1"/>
  <c r="AG1014" i="3"/>
  <c r="AJ1014" i="3"/>
  <c r="AL1014" i="3"/>
  <c r="AO1014" i="3"/>
  <c r="AP1014" i="3"/>
  <c r="AE1015" i="3"/>
  <c r="AI1015" i="3" s="1"/>
  <c r="AF1015" i="3"/>
  <c r="AG1015" i="3"/>
  <c r="AJ1015" i="3"/>
  <c r="AL1015" i="3"/>
  <c r="AM1015" i="3"/>
  <c r="AO1015" i="3"/>
  <c r="AP1015" i="3"/>
  <c r="AE1016" i="3"/>
  <c r="AF1016" i="3"/>
  <c r="AG1016" i="3"/>
  <c r="AP1016" i="3" s="1"/>
  <c r="AI1016" i="3"/>
  <c r="AJ1016" i="3"/>
  <c r="AL1016" i="3"/>
  <c r="AM1016" i="3"/>
  <c r="AO1016" i="3"/>
  <c r="AE1017" i="3"/>
  <c r="AI1017" i="3" s="1"/>
  <c r="AF1017" i="3"/>
  <c r="AG1017" i="3"/>
  <c r="AO1017" i="3" s="1"/>
  <c r="AJ1017" i="3"/>
  <c r="AL1017" i="3"/>
  <c r="AM1017" i="3"/>
  <c r="AE1018" i="3"/>
  <c r="AI1018" i="3" s="1"/>
  <c r="AF1018" i="3"/>
  <c r="AM1018" i="3" s="1"/>
  <c r="AG1018" i="3"/>
  <c r="AJ1018" i="3"/>
  <c r="AL1018" i="3"/>
  <c r="AO1018" i="3"/>
  <c r="AP1018" i="3"/>
  <c r="AE1019" i="3"/>
  <c r="AI1019" i="3" s="1"/>
  <c r="AF1019" i="3"/>
  <c r="AG1019" i="3"/>
  <c r="AJ1019" i="3"/>
  <c r="AL1019" i="3"/>
  <c r="AM1019" i="3"/>
  <c r="AO1019" i="3"/>
  <c r="AP1019" i="3"/>
  <c r="AE1020" i="3"/>
  <c r="AF1020" i="3"/>
  <c r="AG1020" i="3"/>
  <c r="AP1020" i="3" s="1"/>
  <c r="AI1020" i="3"/>
  <c r="AJ1020" i="3"/>
  <c r="AL1020" i="3"/>
  <c r="AM1020" i="3"/>
  <c r="AO1020" i="3"/>
  <c r="AE1021" i="3"/>
  <c r="AI1021" i="3" s="1"/>
  <c r="AF1021" i="3"/>
  <c r="AG1021" i="3"/>
  <c r="AO1021" i="3" s="1"/>
  <c r="AJ1021" i="3"/>
  <c r="AL1021" i="3"/>
  <c r="AM1021" i="3"/>
  <c r="AE1022" i="3"/>
  <c r="AI1022" i="3" s="1"/>
  <c r="AF1022" i="3"/>
  <c r="AM1022" i="3" s="1"/>
  <c r="AG1022" i="3"/>
  <c r="AJ1022" i="3"/>
  <c r="AL1022" i="3"/>
  <c r="AO1022" i="3"/>
  <c r="AP1022" i="3"/>
  <c r="AE1023" i="3"/>
  <c r="AI1023" i="3" s="1"/>
  <c r="AF1023" i="3"/>
  <c r="AG1023" i="3"/>
  <c r="AJ1023" i="3"/>
  <c r="AL1023" i="3"/>
  <c r="AM1023" i="3"/>
  <c r="AO1023" i="3"/>
  <c r="AP1023" i="3"/>
  <c r="AE1024" i="3"/>
  <c r="AF1024" i="3"/>
  <c r="AG1024" i="3"/>
  <c r="AP1024" i="3" s="1"/>
  <c r="AI1024" i="3"/>
  <c r="AJ1024" i="3"/>
  <c r="AL1024" i="3"/>
  <c r="AM1024" i="3"/>
  <c r="AO1024" i="3"/>
  <c r="AE1025" i="3"/>
  <c r="AI1025" i="3" s="1"/>
  <c r="AF1025" i="3"/>
  <c r="AG1025" i="3"/>
  <c r="AO1025" i="3" s="1"/>
  <c r="AJ1025" i="3"/>
  <c r="AL1025" i="3"/>
  <c r="AM1025" i="3"/>
  <c r="AE1026" i="3"/>
  <c r="AI1026" i="3" s="1"/>
  <c r="AF1026" i="3"/>
  <c r="AM1026" i="3" s="1"/>
  <c r="AG1026" i="3"/>
  <c r="AJ1026" i="3"/>
  <c r="AL1026" i="3"/>
  <c r="AO1026" i="3"/>
  <c r="AP1026" i="3"/>
  <c r="AE1027" i="3"/>
  <c r="AI1027" i="3" s="1"/>
  <c r="AF1027" i="3"/>
  <c r="AG1027" i="3"/>
  <c r="AJ1027" i="3"/>
  <c r="AL1027" i="3"/>
  <c r="AM1027" i="3"/>
  <c r="AO1027" i="3"/>
  <c r="AP1027" i="3"/>
  <c r="AE1028" i="3"/>
  <c r="AF1028" i="3"/>
  <c r="AG1028" i="3"/>
  <c r="AP1028" i="3" s="1"/>
  <c r="AI1028" i="3"/>
  <c r="AJ1028" i="3"/>
  <c r="AL1028" i="3"/>
  <c r="AM1028" i="3"/>
  <c r="AO1028" i="3"/>
  <c r="AE1029" i="3"/>
  <c r="AI1029" i="3" s="1"/>
  <c r="AF1029" i="3"/>
  <c r="AG1029" i="3"/>
  <c r="AO1029" i="3" s="1"/>
  <c r="AJ1029" i="3"/>
  <c r="AL1029" i="3"/>
  <c r="AM1029" i="3"/>
  <c r="AE1030" i="3"/>
  <c r="AI1030" i="3" s="1"/>
  <c r="AF1030" i="3"/>
  <c r="AM1030" i="3" s="1"/>
  <c r="AG1030" i="3"/>
  <c r="AJ1030" i="3"/>
  <c r="AL1030" i="3"/>
  <c r="AO1030" i="3"/>
  <c r="AP1030" i="3"/>
  <c r="AE1031" i="3"/>
  <c r="AI1031" i="3" s="1"/>
  <c r="AF1031" i="3"/>
  <c r="AG1031" i="3"/>
  <c r="AJ1031" i="3"/>
  <c r="AL1031" i="3"/>
  <c r="AM1031" i="3"/>
  <c r="AO1031" i="3"/>
  <c r="AP1031" i="3"/>
  <c r="AE1032" i="3"/>
  <c r="AF1032" i="3"/>
  <c r="AG1032" i="3"/>
  <c r="AP1032" i="3" s="1"/>
  <c r="AI1032" i="3"/>
  <c r="AJ1032" i="3"/>
  <c r="AL1032" i="3"/>
  <c r="AM1032" i="3"/>
  <c r="AO1032" i="3"/>
  <c r="AE1033" i="3"/>
  <c r="AI1033" i="3" s="1"/>
  <c r="AF1033" i="3"/>
  <c r="AG1033" i="3"/>
  <c r="AO1033" i="3" s="1"/>
  <c r="AJ1033" i="3"/>
  <c r="AL1033" i="3"/>
  <c r="AM1033" i="3"/>
  <c r="AE1034" i="3"/>
  <c r="AI1034" i="3" s="1"/>
  <c r="AF1034" i="3"/>
  <c r="AM1034" i="3" s="1"/>
  <c r="AG1034" i="3"/>
  <c r="AJ1034" i="3"/>
  <c r="AL1034" i="3"/>
  <c r="AO1034" i="3"/>
  <c r="AP1034" i="3"/>
  <c r="AE1035" i="3"/>
  <c r="AI1035" i="3" s="1"/>
  <c r="AF1035" i="3"/>
  <c r="AG1035" i="3"/>
  <c r="AJ1035" i="3"/>
  <c r="AL1035" i="3"/>
  <c r="AM1035" i="3"/>
  <c r="AO1035" i="3"/>
  <c r="AP1035" i="3"/>
  <c r="AE1036" i="3"/>
  <c r="AF1036" i="3"/>
  <c r="AG1036" i="3"/>
  <c r="AP1036" i="3" s="1"/>
  <c r="AI1036" i="3"/>
  <c r="AJ1036" i="3"/>
  <c r="AL1036" i="3"/>
  <c r="AM1036" i="3"/>
  <c r="AO1036" i="3"/>
  <c r="AE1037" i="3"/>
  <c r="AI1037" i="3" s="1"/>
  <c r="AF1037" i="3"/>
  <c r="AG1037" i="3"/>
  <c r="AO1037" i="3" s="1"/>
  <c r="AJ1037" i="3"/>
  <c r="AL1037" i="3"/>
  <c r="AM1037" i="3"/>
  <c r="AE1038" i="3"/>
  <c r="AI1038" i="3" s="1"/>
  <c r="AF1038" i="3"/>
  <c r="AM1038" i="3" s="1"/>
  <c r="AG1038" i="3"/>
  <c r="AJ1038" i="3"/>
  <c r="AL1038" i="3"/>
  <c r="AO1038" i="3"/>
  <c r="AP1038" i="3"/>
  <c r="AE1039" i="3"/>
  <c r="AI1039" i="3" s="1"/>
  <c r="AF1039" i="3"/>
  <c r="AG1039" i="3"/>
  <c r="AJ1039" i="3"/>
  <c r="AL1039" i="3"/>
  <c r="AM1039" i="3"/>
  <c r="AO1039" i="3"/>
  <c r="AP1039" i="3"/>
  <c r="AE1040" i="3"/>
  <c r="AF1040" i="3"/>
  <c r="AG1040" i="3"/>
  <c r="AP1040" i="3" s="1"/>
  <c r="AI1040" i="3"/>
  <c r="AJ1040" i="3"/>
  <c r="AL1040" i="3"/>
  <c r="AM1040" i="3"/>
  <c r="AO1040" i="3"/>
  <c r="AE1041" i="3"/>
  <c r="AI1041" i="3" s="1"/>
  <c r="AF1041" i="3"/>
  <c r="AG1041" i="3"/>
  <c r="AO1041" i="3" s="1"/>
  <c r="AJ1041" i="3"/>
  <c r="AL1041" i="3"/>
  <c r="AM1041" i="3"/>
  <c r="AP1041" i="3"/>
  <c r="AE1042" i="3"/>
  <c r="AF1042" i="3"/>
  <c r="AM1042" i="3" s="1"/>
  <c r="AG1042" i="3"/>
  <c r="AI1042" i="3"/>
  <c r="AJ1042" i="3"/>
  <c r="AL1042" i="3"/>
  <c r="AO1042" i="3"/>
  <c r="AP1042" i="3"/>
  <c r="AE1043" i="3"/>
  <c r="AI1043" i="3" s="1"/>
  <c r="AF1043" i="3"/>
  <c r="AG1043" i="3"/>
  <c r="AJ1043" i="3"/>
  <c r="AL1043" i="3"/>
  <c r="AM1043" i="3"/>
  <c r="AE1044" i="3"/>
  <c r="AF1044" i="3"/>
  <c r="AM1044" i="3" s="1"/>
  <c r="AG1044" i="3"/>
  <c r="AP1044" i="3" s="1"/>
  <c r="AI1044" i="3"/>
  <c r="AJ1044" i="3"/>
  <c r="AL1044" i="3"/>
  <c r="AO1044" i="3"/>
  <c r="AE1045" i="3"/>
  <c r="AI1045" i="3" s="1"/>
  <c r="AF1045" i="3"/>
  <c r="AG1045" i="3"/>
  <c r="AO1045" i="3" s="1"/>
  <c r="AJ1045" i="3"/>
  <c r="AL1045" i="3"/>
  <c r="AM1045" i="3"/>
  <c r="AP1045" i="3"/>
  <c r="AE1046" i="3"/>
  <c r="AF1046" i="3"/>
  <c r="AM1046" i="3" s="1"/>
  <c r="AG1046" i="3"/>
  <c r="AI1046" i="3"/>
  <c r="AJ1046" i="3"/>
  <c r="AL1046" i="3"/>
  <c r="AO1046" i="3"/>
  <c r="AP1046" i="3"/>
  <c r="AE1047" i="3"/>
  <c r="AI1047" i="3" s="1"/>
  <c r="AF1047" i="3"/>
  <c r="AG1047" i="3"/>
  <c r="AJ1047" i="3"/>
  <c r="AL1047" i="3"/>
  <c r="AM1047" i="3"/>
  <c r="AE1048" i="3"/>
  <c r="AF1048" i="3"/>
  <c r="AM1048" i="3" s="1"/>
  <c r="AG1048" i="3"/>
  <c r="AP1048" i="3" s="1"/>
  <c r="AI1048" i="3"/>
  <c r="AJ1048" i="3"/>
  <c r="AL1048" i="3"/>
  <c r="AO1048" i="3"/>
  <c r="AE1049" i="3"/>
  <c r="AI1049" i="3" s="1"/>
  <c r="AF1049" i="3"/>
  <c r="AG1049" i="3"/>
  <c r="AO1049" i="3" s="1"/>
  <c r="AJ1049" i="3"/>
  <c r="AL1049" i="3"/>
  <c r="AM1049" i="3"/>
  <c r="AP1049" i="3"/>
  <c r="AE1050" i="3"/>
  <c r="AF1050" i="3"/>
  <c r="AM1050" i="3" s="1"/>
  <c r="AG1050" i="3"/>
  <c r="AI1050" i="3"/>
  <c r="AJ1050" i="3"/>
  <c r="AL1050" i="3"/>
  <c r="AO1050" i="3"/>
  <c r="AP1050" i="3"/>
  <c r="AE1051" i="3"/>
  <c r="AI1051" i="3" s="1"/>
  <c r="AF1051" i="3"/>
  <c r="AG1051" i="3"/>
  <c r="AJ1051" i="3"/>
  <c r="AL1051" i="3"/>
  <c r="AM1051" i="3"/>
  <c r="AE1052" i="3"/>
  <c r="AF1052" i="3"/>
  <c r="AM1052" i="3" s="1"/>
  <c r="AG1052" i="3"/>
  <c r="AP1052" i="3" s="1"/>
  <c r="AI1052" i="3"/>
  <c r="AJ1052" i="3"/>
  <c r="AL1052" i="3"/>
  <c r="AO1052" i="3"/>
  <c r="AE1053" i="3"/>
  <c r="AI1053" i="3" s="1"/>
  <c r="AF1053" i="3"/>
  <c r="AG1053" i="3"/>
  <c r="AO1053" i="3" s="1"/>
  <c r="AJ1053" i="3"/>
  <c r="AL1053" i="3"/>
  <c r="AM1053" i="3"/>
  <c r="AP1053" i="3"/>
  <c r="AE1054" i="3"/>
  <c r="AF1054" i="3"/>
  <c r="AM1054" i="3" s="1"/>
  <c r="AG1054" i="3"/>
  <c r="AI1054" i="3"/>
  <c r="AJ1054" i="3"/>
  <c r="AL1054" i="3"/>
  <c r="AO1054" i="3"/>
  <c r="AP1054" i="3"/>
  <c r="AE1055" i="3"/>
  <c r="AI1055" i="3" s="1"/>
  <c r="AF1055" i="3"/>
  <c r="AG1055" i="3"/>
  <c r="AJ1055" i="3"/>
  <c r="AL1055" i="3"/>
  <c r="AM1055" i="3"/>
  <c r="AE1056" i="3"/>
  <c r="AF1056" i="3"/>
  <c r="AM1056" i="3" s="1"/>
  <c r="AG1056" i="3"/>
  <c r="AP1056" i="3" s="1"/>
  <c r="AI1056" i="3"/>
  <c r="AJ1056" i="3"/>
  <c r="AL1056" i="3"/>
  <c r="AO1056" i="3"/>
  <c r="AE1057" i="3"/>
  <c r="AI1057" i="3" s="1"/>
  <c r="AF1057" i="3"/>
  <c r="AG1057" i="3"/>
  <c r="AO1057" i="3" s="1"/>
  <c r="AJ1057" i="3"/>
  <c r="AL1057" i="3"/>
  <c r="AM1057" i="3"/>
  <c r="AP1057" i="3"/>
  <c r="AE1058" i="3"/>
  <c r="AF1058" i="3"/>
  <c r="AM1058" i="3" s="1"/>
  <c r="AG1058" i="3"/>
  <c r="AI1058" i="3"/>
  <c r="AJ1058" i="3"/>
  <c r="AL1058" i="3"/>
  <c r="AO1058" i="3"/>
  <c r="AP1058" i="3"/>
  <c r="AE1059" i="3"/>
  <c r="AI1059" i="3" s="1"/>
  <c r="AF1059" i="3"/>
  <c r="AG1059" i="3"/>
  <c r="AJ1059" i="3"/>
  <c r="AL1059" i="3"/>
  <c r="AM1059" i="3"/>
  <c r="AE1060" i="3"/>
  <c r="AF1060" i="3"/>
  <c r="AM1060" i="3" s="1"/>
  <c r="AG1060" i="3"/>
  <c r="AP1060" i="3" s="1"/>
  <c r="AI1060" i="3"/>
  <c r="AJ1060" i="3"/>
  <c r="AL1060" i="3"/>
  <c r="AO1060" i="3"/>
  <c r="AE1061" i="3"/>
  <c r="AI1061" i="3" s="1"/>
  <c r="AF1061" i="3"/>
  <c r="AG1061" i="3"/>
  <c r="AO1061" i="3" s="1"/>
  <c r="AJ1061" i="3"/>
  <c r="AL1061" i="3"/>
  <c r="AM1061" i="3"/>
  <c r="AP1061" i="3"/>
  <c r="AE1062" i="3"/>
  <c r="AF1062" i="3"/>
  <c r="AM1062" i="3" s="1"/>
  <c r="AG1062" i="3"/>
  <c r="AI1062" i="3"/>
  <c r="AJ1062" i="3"/>
  <c r="AL1062" i="3"/>
  <c r="AO1062" i="3"/>
  <c r="AP1062" i="3"/>
  <c r="AE1063" i="3"/>
  <c r="AI1063" i="3" s="1"/>
  <c r="AF1063" i="3"/>
  <c r="AG1063" i="3"/>
  <c r="AJ1063" i="3"/>
  <c r="AL1063" i="3"/>
  <c r="AM1063" i="3"/>
  <c r="AE1064" i="3"/>
  <c r="AF1064" i="3"/>
  <c r="AM1064" i="3" s="1"/>
  <c r="AG1064" i="3"/>
  <c r="AP1064" i="3" s="1"/>
  <c r="AI1064" i="3"/>
  <c r="AJ1064" i="3"/>
  <c r="AL1064" i="3"/>
  <c r="AO1064" i="3"/>
  <c r="AE1065" i="3"/>
  <c r="AI1065" i="3" s="1"/>
  <c r="AF1065" i="3"/>
  <c r="AG1065" i="3"/>
  <c r="AO1065" i="3" s="1"/>
  <c r="AJ1065" i="3"/>
  <c r="AL1065" i="3"/>
  <c r="AM1065" i="3"/>
  <c r="AP1065" i="3"/>
  <c r="AE1066" i="3"/>
  <c r="AF1066" i="3"/>
  <c r="AM1066" i="3" s="1"/>
  <c r="AG1066" i="3"/>
  <c r="AI1066" i="3"/>
  <c r="AJ1066" i="3"/>
  <c r="AL1066" i="3"/>
  <c r="AO1066" i="3"/>
  <c r="AP1066" i="3"/>
  <c r="AE1067" i="3"/>
  <c r="AI1067" i="3" s="1"/>
  <c r="AF1067" i="3"/>
  <c r="AG1067" i="3"/>
  <c r="AJ1067" i="3"/>
  <c r="AL1067" i="3"/>
  <c r="AM1067" i="3"/>
  <c r="AE1068" i="3"/>
  <c r="AF1068" i="3"/>
  <c r="AM1068" i="3" s="1"/>
  <c r="AG1068" i="3"/>
  <c r="AP1068" i="3" s="1"/>
  <c r="AI1068" i="3"/>
  <c r="AJ1068" i="3"/>
  <c r="AL1068" i="3"/>
  <c r="AO1068" i="3"/>
  <c r="AE1069" i="3"/>
  <c r="AI1069" i="3" s="1"/>
  <c r="AF1069" i="3"/>
  <c r="AG1069" i="3"/>
  <c r="AO1069" i="3" s="1"/>
  <c r="AJ1069" i="3"/>
  <c r="AL1069" i="3"/>
  <c r="AM1069" i="3"/>
  <c r="AP1069" i="3"/>
  <c r="AE1070" i="3"/>
  <c r="AF1070" i="3"/>
  <c r="AM1070" i="3" s="1"/>
  <c r="AG1070" i="3"/>
  <c r="AI1070" i="3"/>
  <c r="AJ1070" i="3"/>
  <c r="AL1070" i="3"/>
  <c r="AO1070" i="3"/>
  <c r="AP1070" i="3"/>
  <c r="AE1071" i="3"/>
  <c r="AI1071" i="3" s="1"/>
  <c r="AF1071" i="3"/>
  <c r="AG1071" i="3"/>
  <c r="AJ1071" i="3"/>
  <c r="AL1071" i="3"/>
  <c r="AM1071" i="3"/>
  <c r="AE1072" i="3"/>
  <c r="AF1072" i="3"/>
  <c r="AM1072" i="3" s="1"/>
  <c r="AG1072" i="3"/>
  <c r="AP1072" i="3" s="1"/>
  <c r="AI1072" i="3"/>
  <c r="AJ1072" i="3"/>
  <c r="AL1072" i="3"/>
  <c r="AO1072" i="3"/>
  <c r="AE1073" i="3"/>
  <c r="AI1073" i="3" s="1"/>
  <c r="AF1073" i="3"/>
  <c r="AG1073" i="3"/>
  <c r="AO1073" i="3" s="1"/>
  <c r="AJ1073" i="3"/>
  <c r="AL1073" i="3"/>
  <c r="AM1073" i="3"/>
  <c r="AP1073" i="3"/>
  <c r="AE1074" i="3"/>
  <c r="AF1074" i="3"/>
  <c r="AM1074" i="3" s="1"/>
  <c r="AG1074" i="3"/>
  <c r="AI1074" i="3"/>
  <c r="AJ1074" i="3"/>
  <c r="AL1074" i="3"/>
  <c r="AO1074" i="3"/>
  <c r="AP1074" i="3"/>
  <c r="AE1075" i="3"/>
  <c r="AI1075" i="3" s="1"/>
  <c r="AF1075" i="3"/>
  <c r="AG1075" i="3"/>
  <c r="AJ1075" i="3"/>
  <c r="AL1075" i="3"/>
  <c r="AM1075" i="3"/>
  <c r="AE1076" i="3"/>
  <c r="AF1076" i="3"/>
  <c r="AM1076" i="3" s="1"/>
  <c r="AG1076" i="3"/>
  <c r="AP1076" i="3" s="1"/>
  <c r="AI1076" i="3"/>
  <c r="AJ1076" i="3"/>
  <c r="AL1076" i="3"/>
  <c r="AO1076" i="3"/>
  <c r="AE1077" i="3"/>
  <c r="AI1077" i="3" s="1"/>
  <c r="AF1077" i="3"/>
  <c r="AG1077" i="3"/>
  <c r="AO1077" i="3" s="1"/>
  <c r="AJ1077" i="3"/>
  <c r="AL1077" i="3"/>
  <c r="AM1077" i="3"/>
  <c r="AP1077" i="3"/>
  <c r="AE1078" i="3"/>
  <c r="AF1078" i="3"/>
  <c r="AM1078" i="3" s="1"/>
  <c r="AG1078" i="3"/>
  <c r="AI1078" i="3"/>
  <c r="AJ1078" i="3"/>
  <c r="AL1078" i="3"/>
  <c r="AO1078" i="3"/>
  <c r="AP1078" i="3"/>
  <c r="AE1079" i="3"/>
  <c r="AI1079" i="3" s="1"/>
  <c r="AF1079" i="3"/>
  <c r="AG1079" i="3"/>
  <c r="AJ1079" i="3"/>
  <c r="AL1079" i="3"/>
  <c r="AM1079" i="3"/>
  <c r="AE1080" i="3"/>
  <c r="AF1080" i="3"/>
  <c r="AM1080" i="3" s="1"/>
  <c r="AG1080" i="3"/>
  <c r="AP1080" i="3" s="1"/>
  <c r="AI1080" i="3"/>
  <c r="AJ1080" i="3"/>
  <c r="AL1080" i="3"/>
  <c r="AO1080" i="3"/>
  <c r="AE1081" i="3"/>
  <c r="AI1081" i="3" s="1"/>
  <c r="AF1081" i="3"/>
  <c r="AG1081" i="3"/>
  <c r="AO1081" i="3" s="1"/>
  <c r="AJ1081" i="3"/>
  <c r="AL1081" i="3"/>
  <c r="AM1081" i="3"/>
  <c r="AP1081" i="3"/>
  <c r="AE1082" i="3"/>
  <c r="AF1082" i="3"/>
  <c r="AM1082" i="3" s="1"/>
  <c r="AG1082" i="3"/>
  <c r="AI1082" i="3"/>
  <c r="AJ1082" i="3"/>
  <c r="AL1082" i="3"/>
  <c r="AO1082" i="3"/>
  <c r="AP1082" i="3"/>
  <c r="AE1083" i="3"/>
  <c r="AI1083" i="3" s="1"/>
  <c r="AF1083" i="3"/>
  <c r="AG1083" i="3"/>
  <c r="AJ1083" i="3"/>
  <c r="AL1083" i="3"/>
  <c r="AM1083" i="3"/>
  <c r="AE1084" i="3"/>
  <c r="AF1084" i="3"/>
  <c r="AM1084" i="3" s="1"/>
  <c r="AG1084" i="3"/>
  <c r="AP1084" i="3" s="1"/>
  <c r="AI1084" i="3"/>
  <c r="AJ1084" i="3"/>
  <c r="AL1084" i="3"/>
  <c r="AO1084" i="3"/>
  <c r="AE1085" i="3"/>
  <c r="AI1085" i="3" s="1"/>
  <c r="AF1085" i="3"/>
  <c r="AG1085" i="3"/>
  <c r="AO1085" i="3" s="1"/>
  <c r="AJ1085" i="3"/>
  <c r="AL1085" i="3"/>
  <c r="AM1085" i="3"/>
  <c r="AP1085" i="3"/>
  <c r="AE1086" i="3"/>
  <c r="AF1086" i="3"/>
  <c r="AM1086" i="3" s="1"/>
  <c r="AG1086" i="3"/>
  <c r="AI1086" i="3"/>
  <c r="AJ1086" i="3"/>
  <c r="AL1086" i="3"/>
  <c r="AO1086" i="3"/>
  <c r="AP1086" i="3"/>
  <c r="AE1087" i="3"/>
  <c r="AI1087" i="3" s="1"/>
  <c r="AF1087" i="3"/>
  <c r="AG1087" i="3"/>
  <c r="AJ1087" i="3"/>
  <c r="AL1087" i="3"/>
  <c r="AM1087" i="3"/>
  <c r="AE1088" i="3"/>
  <c r="AF1088" i="3"/>
  <c r="AM1088" i="3" s="1"/>
  <c r="AG1088" i="3"/>
  <c r="AP1088" i="3" s="1"/>
  <c r="AI1088" i="3"/>
  <c r="AJ1088" i="3"/>
  <c r="AL1088" i="3"/>
  <c r="AO1088" i="3"/>
  <c r="AE1089" i="3"/>
  <c r="AI1089" i="3" s="1"/>
  <c r="AF1089" i="3"/>
  <c r="AG1089" i="3"/>
  <c r="AO1089" i="3" s="1"/>
  <c r="AJ1089" i="3"/>
  <c r="AL1089" i="3"/>
  <c r="AM1089" i="3"/>
  <c r="AP1089" i="3"/>
  <c r="AE1090" i="3"/>
  <c r="AF1090" i="3"/>
  <c r="AM1090" i="3" s="1"/>
  <c r="AG1090" i="3"/>
  <c r="AI1090" i="3"/>
  <c r="AJ1090" i="3"/>
  <c r="AL1090" i="3"/>
  <c r="AO1090" i="3"/>
  <c r="AP1090" i="3"/>
  <c r="AE1091" i="3"/>
  <c r="AI1091" i="3" s="1"/>
  <c r="AF1091" i="3"/>
  <c r="AG1091" i="3"/>
  <c r="AJ1091" i="3"/>
  <c r="AL1091" i="3"/>
  <c r="AM1091" i="3"/>
  <c r="AE1092" i="3"/>
  <c r="AF1092" i="3"/>
  <c r="AM1092" i="3" s="1"/>
  <c r="AG1092" i="3"/>
  <c r="AP1092" i="3" s="1"/>
  <c r="AI1092" i="3"/>
  <c r="AJ1092" i="3"/>
  <c r="AL1092" i="3"/>
  <c r="AO1092" i="3"/>
  <c r="AE1093" i="3"/>
  <c r="AI1093" i="3" s="1"/>
  <c r="AF1093" i="3"/>
  <c r="AG1093" i="3"/>
  <c r="AO1093" i="3" s="1"/>
  <c r="AJ1093" i="3"/>
  <c r="AL1093" i="3"/>
  <c r="AM1093" i="3"/>
  <c r="AP1093" i="3"/>
  <c r="AE1094" i="3"/>
  <c r="AF1094" i="3"/>
  <c r="AM1094" i="3" s="1"/>
  <c r="AG1094" i="3"/>
  <c r="AI1094" i="3"/>
  <c r="AJ1094" i="3"/>
  <c r="AL1094" i="3"/>
  <c r="AO1094" i="3"/>
  <c r="AP1094" i="3"/>
  <c r="AE1095" i="3"/>
  <c r="AI1095" i="3" s="1"/>
  <c r="AF1095" i="3"/>
  <c r="AG1095" i="3"/>
  <c r="AJ1095" i="3"/>
  <c r="AL1095" i="3"/>
  <c r="AM1095" i="3"/>
  <c r="AE1096" i="3"/>
  <c r="AF1096" i="3"/>
  <c r="AM1096" i="3" s="1"/>
  <c r="AG1096" i="3"/>
  <c r="AP1096" i="3" s="1"/>
  <c r="AI1096" i="3"/>
  <c r="AJ1096" i="3"/>
  <c r="AL1096" i="3"/>
  <c r="AO1096" i="3"/>
  <c r="AE1097" i="3"/>
  <c r="AI1097" i="3" s="1"/>
  <c r="AF1097" i="3"/>
  <c r="AG1097" i="3"/>
  <c r="AO1097" i="3" s="1"/>
  <c r="AJ1097" i="3"/>
  <c r="AL1097" i="3"/>
  <c r="AM1097" i="3"/>
  <c r="AP1097" i="3"/>
  <c r="AE1098" i="3"/>
  <c r="AF1098" i="3"/>
  <c r="AM1098" i="3" s="1"/>
  <c r="AG1098" i="3"/>
  <c r="AI1098" i="3"/>
  <c r="AJ1098" i="3"/>
  <c r="AL1098" i="3"/>
  <c r="AO1098" i="3"/>
  <c r="AP1098" i="3"/>
  <c r="AE1099" i="3"/>
  <c r="AI1099" i="3" s="1"/>
  <c r="AF1099" i="3"/>
  <c r="AG1099" i="3"/>
  <c r="AJ1099" i="3"/>
  <c r="AL1099" i="3"/>
  <c r="AM1099" i="3"/>
  <c r="AE1100" i="3"/>
  <c r="AF1100" i="3"/>
  <c r="AM1100" i="3" s="1"/>
  <c r="AG1100" i="3"/>
  <c r="AP1100" i="3" s="1"/>
  <c r="AI1100" i="3"/>
  <c r="AJ1100" i="3"/>
  <c r="AL1100" i="3"/>
  <c r="AO1100" i="3"/>
  <c r="AE1101" i="3"/>
  <c r="AI1101" i="3" s="1"/>
  <c r="AF1101" i="3"/>
  <c r="AG1101" i="3"/>
  <c r="AO1101" i="3" s="1"/>
  <c r="AJ1101" i="3"/>
  <c r="AL1101" i="3"/>
  <c r="AM1101" i="3"/>
  <c r="AP1101" i="3"/>
  <c r="AE1102" i="3"/>
  <c r="AF1102" i="3"/>
  <c r="AM1102" i="3" s="1"/>
  <c r="AG1102" i="3"/>
  <c r="AI1102" i="3"/>
  <c r="AJ1102" i="3"/>
  <c r="AL1102" i="3"/>
  <c r="AO1102" i="3"/>
  <c r="AP1102" i="3"/>
  <c r="AE1103" i="3"/>
  <c r="AI1103" i="3" s="1"/>
  <c r="AF1103" i="3"/>
  <c r="AG1103" i="3"/>
  <c r="AJ1103" i="3"/>
  <c r="AL1103" i="3"/>
  <c r="AM1103" i="3"/>
  <c r="AE1104" i="3"/>
  <c r="AF1104" i="3"/>
  <c r="AM1104" i="3" s="1"/>
  <c r="AG1104" i="3"/>
  <c r="AP1104" i="3" s="1"/>
  <c r="AI1104" i="3"/>
  <c r="AJ1104" i="3"/>
  <c r="AL1104" i="3"/>
  <c r="AO1104" i="3"/>
  <c r="AE1105" i="3"/>
  <c r="AI1105" i="3" s="1"/>
  <c r="AF1105" i="3"/>
  <c r="AG1105" i="3"/>
  <c r="AO1105" i="3" s="1"/>
  <c r="AJ1105" i="3"/>
  <c r="AL1105" i="3"/>
  <c r="AM1105" i="3"/>
  <c r="AP1105" i="3"/>
  <c r="AE1106" i="3"/>
  <c r="AF1106" i="3"/>
  <c r="AM1106" i="3" s="1"/>
  <c r="AG1106" i="3"/>
  <c r="AI1106" i="3"/>
  <c r="AJ1106" i="3"/>
  <c r="AL1106" i="3"/>
  <c r="AO1106" i="3"/>
  <c r="AP1106" i="3"/>
  <c r="AE1107" i="3"/>
  <c r="AI1107" i="3" s="1"/>
  <c r="AF1107" i="3"/>
  <c r="AG1107" i="3"/>
  <c r="AO1107" i="3" s="1"/>
  <c r="AL1107" i="3"/>
  <c r="AM1107" i="3"/>
  <c r="AP1107" i="3"/>
  <c r="AE1108" i="3"/>
  <c r="AF1108" i="3"/>
  <c r="AM1108" i="3" s="1"/>
  <c r="AG1108" i="3"/>
  <c r="AP1108" i="3" s="1"/>
  <c r="AI1108" i="3"/>
  <c r="AJ1108" i="3"/>
  <c r="AL1108" i="3"/>
  <c r="AO1108" i="3"/>
  <c r="AE1109" i="3"/>
  <c r="AI1109" i="3" s="1"/>
  <c r="AF1109" i="3"/>
  <c r="AG1109" i="3"/>
  <c r="AO1109" i="3" s="1"/>
  <c r="AL1109" i="3"/>
  <c r="AM1109" i="3"/>
  <c r="AP1109" i="3"/>
  <c r="AE1110" i="3"/>
  <c r="AF1110" i="3"/>
  <c r="AM1110" i="3" s="1"/>
  <c r="AG1110" i="3"/>
  <c r="AI1110" i="3"/>
  <c r="AJ1110" i="3"/>
  <c r="AL1110" i="3"/>
  <c r="AO1110" i="3"/>
  <c r="AP1110" i="3"/>
  <c r="AE1111" i="3"/>
  <c r="AI1111" i="3" s="1"/>
  <c r="AF1111" i="3"/>
  <c r="AG1111" i="3"/>
  <c r="AO1111" i="3" s="1"/>
  <c r="AJ1111" i="3"/>
  <c r="AL1111" i="3"/>
  <c r="AM1111" i="3"/>
  <c r="AP1111" i="3"/>
  <c r="AE1112" i="3"/>
  <c r="AF1112" i="3"/>
  <c r="AM1112" i="3" s="1"/>
  <c r="AG1112" i="3"/>
  <c r="AP1112" i="3" s="1"/>
  <c r="AI1112" i="3"/>
  <c r="AJ1112" i="3"/>
  <c r="AL1112" i="3"/>
  <c r="AO1112" i="3"/>
  <c r="AE1113" i="3"/>
  <c r="AI1113" i="3" s="1"/>
  <c r="AF1113" i="3"/>
  <c r="AG1113" i="3"/>
  <c r="AO1113" i="3" s="1"/>
  <c r="AJ1113" i="3"/>
  <c r="AL1113" i="3"/>
  <c r="AM1113" i="3"/>
  <c r="AP1113" i="3"/>
  <c r="AE1114" i="3"/>
  <c r="AF1114" i="3"/>
  <c r="AM1114" i="3" s="1"/>
  <c r="AG1114" i="3"/>
  <c r="AI1114" i="3"/>
  <c r="AJ1114" i="3"/>
  <c r="AL1114" i="3"/>
  <c r="AO1114" i="3"/>
  <c r="AP1114" i="3"/>
  <c r="AE1115" i="3"/>
  <c r="AI1115" i="3" s="1"/>
  <c r="AF1115" i="3"/>
  <c r="AG1115" i="3"/>
  <c r="AO1115" i="3" s="1"/>
  <c r="AL1115" i="3"/>
  <c r="AM1115" i="3"/>
  <c r="AP1115" i="3"/>
  <c r="AE1116" i="3"/>
  <c r="AF1116" i="3"/>
  <c r="AM1116" i="3" s="1"/>
  <c r="AG1116" i="3"/>
  <c r="AP1116" i="3" s="1"/>
  <c r="AI1116" i="3"/>
  <c r="AJ1116" i="3"/>
  <c r="AL1116" i="3"/>
  <c r="AO1116" i="3"/>
  <c r="AE1117" i="3"/>
  <c r="AI1117" i="3" s="1"/>
  <c r="AF1117" i="3"/>
  <c r="AG1117" i="3"/>
  <c r="AO1117" i="3" s="1"/>
  <c r="AL1117" i="3"/>
  <c r="AM1117" i="3"/>
  <c r="AP1117" i="3"/>
  <c r="AE1118" i="3"/>
  <c r="AF1118" i="3"/>
  <c r="AM1118" i="3" s="1"/>
  <c r="AG1118" i="3"/>
  <c r="AI1118" i="3"/>
  <c r="AJ1118" i="3"/>
  <c r="AL1118" i="3"/>
  <c r="AO1118" i="3"/>
  <c r="AP1118" i="3"/>
  <c r="AE1119" i="3"/>
  <c r="AI1119" i="3" s="1"/>
  <c r="AF1119" i="3"/>
  <c r="AG1119" i="3"/>
  <c r="AO1119" i="3" s="1"/>
  <c r="AJ1119" i="3"/>
  <c r="AL1119" i="3"/>
  <c r="AM1119" i="3"/>
  <c r="AP1119" i="3"/>
  <c r="AE1120" i="3"/>
  <c r="AF1120" i="3"/>
  <c r="AM1120" i="3" s="1"/>
  <c r="AG1120" i="3"/>
  <c r="AI1120" i="3"/>
  <c r="AJ1120" i="3"/>
  <c r="AL1120" i="3"/>
  <c r="AO1120" i="3"/>
  <c r="AP1120" i="3"/>
  <c r="AE1121" i="3"/>
  <c r="AI1121" i="3" s="1"/>
  <c r="AF1121" i="3"/>
  <c r="AG1121" i="3"/>
  <c r="AO1121" i="3" s="1"/>
  <c r="AL1121" i="3"/>
  <c r="AM1121" i="3"/>
  <c r="AP1121" i="3"/>
  <c r="AE1122" i="3"/>
  <c r="AF1122" i="3"/>
  <c r="AM1122" i="3" s="1"/>
  <c r="AG1122" i="3"/>
  <c r="AI1122" i="3"/>
  <c r="AJ1122" i="3"/>
  <c r="AL1122" i="3"/>
  <c r="AO1122" i="3"/>
  <c r="AP1122" i="3"/>
  <c r="AE1123" i="3"/>
  <c r="AI1123" i="3" s="1"/>
  <c r="AF1123" i="3"/>
  <c r="AG1123" i="3"/>
  <c r="AO1123" i="3" s="1"/>
  <c r="AJ1123" i="3"/>
  <c r="AL1123" i="3"/>
  <c r="AM1123" i="3"/>
  <c r="AP1123" i="3"/>
  <c r="AE1124" i="3"/>
  <c r="AF1124" i="3"/>
  <c r="AM1124" i="3" s="1"/>
  <c r="AG1124" i="3"/>
  <c r="AI1124" i="3"/>
  <c r="AJ1124" i="3"/>
  <c r="AL1124" i="3"/>
  <c r="AO1124" i="3"/>
  <c r="AP1124" i="3"/>
  <c r="AE1125" i="3"/>
  <c r="AI1125" i="3" s="1"/>
  <c r="AF1125" i="3"/>
  <c r="AG1125" i="3"/>
  <c r="AO1125" i="3" s="1"/>
  <c r="AL1125" i="3"/>
  <c r="AM1125" i="3"/>
  <c r="AP1125" i="3"/>
  <c r="AE1126" i="3"/>
  <c r="AF1126" i="3"/>
  <c r="AM1126" i="3" s="1"/>
  <c r="AG1126" i="3"/>
  <c r="AP1126" i="3" s="1"/>
  <c r="AI1126" i="3"/>
  <c r="AJ1126" i="3"/>
  <c r="AL1126" i="3"/>
  <c r="AO1126" i="3"/>
  <c r="AE1127" i="3"/>
  <c r="AI1127" i="3" s="1"/>
  <c r="AF1127" i="3"/>
  <c r="AG1127" i="3"/>
  <c r="AO1127" i="3" s="1"/>
  <c r="AL1127" i="3"/>
  <c r="AM1127" i="3"/>
  <c r="AP1127" i="3"/>
  <c r="AE1128" i="3"/>
  <c r="AF1128" i="3"/>
  <c r="AM1128" i="3" s="1"/>
  <c r="AG1128" i="3"/>
  <c r="AI1128" i="3"/>
  <c r="AJ1128" i="3"/>
  <c r="AL1128" i="3"/>
  <c r="AO1128" i="3"/>
  <c r="AP1128" i="3"/>
  <c r="AE1129" i="3"/>
  <c r="AI1129" i="3" s="1"/>
  <c r="AF1129" i="3"/>
  <c r="AG1129" i="3"/>
  <c r="AO1129" i="3" s="1"/>
  <c r="AJ1129" i="3"/>
  <c r="AL1129" i="3"/>
  <c r="AM1129" i="3"/>
  <c r="AP1129" i="3"/>
  <c r="AE1130" i="3"/>
  <c r="AF1130" i="3"/>
  <c r="AM1130" i="3" s="1"/>
  <c r="AG1130" i="3"/>
  <c r="AP1130" i="3" s="1"/>
  <c r="AI1130" i="3"/>
  <c r="AJ1130" i="3"/>
  <c r="AL1130" i="3"/>
  <c r="AO1130" i="3"/>
  <c r="AE1131" i="3"/>
  <c r="AI1131" i="3" s="1"/>
  <c r="AF1131" i="3"/>
  <c r="AG1131" i="3"/>
  <c r="AO1131" i="3" s="1"/>
  <c r="AJ1131" i="3"/>
  <c r="AL1131" i="3"/>
  <c r="AM1131" i="3"/>
  <c r="AP1131" i="3"/>
  <c r="AE1132" i="3"/>
  <c r="AF1132" i="3"/>
  <c r="AM1132" i="3" s="1"/>
  <c r="AG1132" i="3"/>
  <c r="AI1132" i="3"/>
  <c r="AJ1132" i="3"/>
  <c r="AL1132" i="3"/>
  <c r="AO1132" i="3"/>
  <c r="AP1132" i="3"/>
  <c r="AE1133" i="3"/>
  <c r="AI1133" i="3" s="1"/>
  <c r="AF1133" i="3"/>
  <c r="AG1133" i="3"/>
  <c r="AO1133" i="3" s="1"/>
  <c r="AL1133" i="3"/>
  <c r="AM1133" i="3"/>
  <c r="AP1133" i="3"/>
  <c r="AE1134" i="3"/>
  <c r="AF1134" i="3"/>
  <c r="AM1134" i="3" s="1"/>
  <c r="AG1134" i="3"/>
  <c r="AP1134" i="3" s="1"/>
  <c r="AI1134" i="3"/>
  <c r="AJ1134" i="3"/>
  <c r="AL1134" i="3"/>
  <c r="AO1134" i="3"/>
  <c r="AE1135" i="3"/>
  <c r="AI1135" i="3" s="1"/>
  <c r="AF1135" i="3"/>
  <c r="AG1135" i="3"/>
  <c r="AO1135" i="3" s="1"/>
  <c r="AL1135" i="3"/>
  <c r="AM1135" i="3"/>
  <c r="AP1135" i="3"/>
  <c r="AE1136" i="3"/>
  <c r="AF1136" i="3"/>
  <c r="AM1136" i="3" s="1"/>
  <c r="AG1136" i="3"/>
  <c r="AI1136" i="3"/>
  <c r="AJ1136" i="3"/>
  <c r="AL1136" i="3"/>
  <c r="AO1136" i="3"/>
  <c r="AP1136" i="3"/>
  <c r="AE1137" i="3"/>
  <c r="AI1137" i="3" s="1"/>
  <c r="AF1137" i="3"/>
  <c r="AG1137" i="3"/>
  <c r="AJ1137" i="3"/>
  <c r="AL1137" i="3"/>
  <c r="AM1137" i="3"/>
  <c r="AO1137" i="3"/>
  <c r="AP1137" i="3"/>
  <c r="AE1138" i="3"/>
  <c r="AF1138" i="3"/>
  <c r="AM1138" i="3" s="1"/>
  <c r="AG1138" i="3"/>
  <c r="AP1138" i="3" s="1"/>
  <c r="AI1138" i="3"/>
  <c r="AJ1138" i="3"/>
  <c r="AL1138" i="3"/>
  <c r="AO1138" i="3"/>
  <c r="AE1139" i="3"/>
  <c r="AI1139" i="3" s="1"/>
  <c r="AF1139" i="3"/>
  <c r="AL1139" i="3" s="1"/>
  <c r="AG1139" i="3"/>
  <c r="AO1139" i="3" s="1"/>
  <c r="AJ1139" i="3"/>
  <c r="AM1139" i="3"/>
  <c r="AP1139" i="3"/>
  <c r="AE1140" i="3"/>
  <c r="AI1140" i="3" s="1"/>
  <c r="AF1140" i="3"/>
  <c r="AM1140" i="3" s="1"/>
  <c r="AG1140" i="3"/>
  <c r="AJ1140" i="3"/>
  <c r="AL1140" i="3"/>
  <c r="AO1140" i="3"/>
  <c r="AP1140" i="3"/>
  <c r="AE1141" i="3"/>
  <c r="AI1141" i="3" s="1"/>
  <c r="AF1141" i="3"/>
  <c r="AG1141" i="3"/>
  <c r="AO1141" i="3" s="1"/>
  <c r="AJ1141" i="3"/>
  <c r="AL1141" i="3"/>
  <c r="AM1141" i="3"/>
  <c r="AP1141" i="3"/>
  <c r="AE1142" i="3"/>
  <c r="AF1142" i="3"/>
  <c r="AM1142" i="3" s="1"/>
  <c r="AG1142" i="3"/>
  <c r="AP1142" i="3" s="1"/>
  <c r="AI1142" i="3"/>
  <c r="AJ1142" i="3"/>
  <c r="AL1142" i="3"/>
  <c r="AO1142" i="3"/>
  <c r="AE1143" i="3"/>
  <c r="AI1143" i="3" s="1"/>
  <c r="AF1143" i="3"/>
  <c r="AG1143" i="3"/>
  <c r="AO1143" i="3" s="1"/>
  <c r="AJ1143" i="3"/>
  <c r="AL1143" i="3"/>
  <c r="AM1143" i="3"/>
  <c r="AE1144" i="3"/>
  <c r="AF1144" i="3"/>
  <c r="AM1144" i="3" s="1"/>
  <c r="AG1144" i="3"/>
  <c r="AI1144" i="3"/>
  <c r="AJ1144" i="3"/>
  <c r="AL1144" i="3"/>
  <c r="AO1144" i="3"/>
  <c r="AP1144" i="3"/>
  <c r="AE1145" i="3"/>
  <c r="AI1145" i="3" s="1"/>
  <c r="AF1145" i="3"/>
  <c r="AG1145" i="3"/>
  <c r="AO1145" i="3" s="1"/>
  <c r="AJ1145" i="3"/>
  <c r="AL1145" i="3"/>
  <c r="AM1145" i="3"/>
  <c r="AP1145" i="3"/>
  <c r="AE1146" i="3"/>
  <c r="AF1146" i="3"/>
  <c r="AM1146" i="3" s="1"/>
  <c r="AG1146" i="3"/>
  <c r="AI1146" i="3"/>
  <c r="AJ1146" i="3"/>
  <c r="AL1146" i="3"/>
  <c r="AO1146" i="3"/>
  <c r="AP1146" i="3"/>
  <c r="AE1147" i="3"/>
  <c r="AI1147" i="3" s="1"/>
  <c r="AF1147" i="3"/>
  <c r="AG1147" i="3"/>
  <c r="AO1147" i="3" s="1"/>
  <c r="AJ1147" i="3"/>
  <c r="AL1147" i="3"/>
  <c r="AM1147" i="3"/>
  <c r="AE1148" i="3"/>
  <c r="AF1148" i="3"/>
  <c r="AM1148" i="3" s="1"/>
  <c r="AG1148" i="3"/>
  <c r="AI1148" i="3"/>
  <c r="AJ1148" i="3"/>
  <c r="AL1148" i="3"/>
  <c r="AO1148" i="3"/>
  <c r="AP1148" i="3"/>
  <c r="AE1149" i="3"/>
  <c r="AI1149" i="3" s="1"/>
  <c r="AF1149" i="3"/>
  <c r="AG1149" i="3"/>
  <c r="AO1149" i="3" s="1"/>
  <c r="AJ1149" i="3"/>
  <c r="AL1149" i="3"/>
  <c r="AM1149" i="3"/>
  <c r="AP1149" i="3"/>
  <c r="AE1150" i="3"/>
  <c r="AF1150" i="3"/>
  <c r="AM1150" i="3" s="1"/>
  <c r="AG1150" i="3"/>
  <c r="AI1150" i="3"/>
  <c r="AJ1150" i="3"/>
  <c r="AL1150" i="3"/>
  <c r="AO1150" i="3"/>
  <c r="AP1150" i="3"/>
  <c r="AE1151" i="3"/>
  <c r="AI1151" i="3" s="1"/>
  <c r="AF1151" i="3"/>
  <c r="AG1151" i="3"/>
  <c r="AO1151" i="3" s="1"/>
  <c r="AJ1151" i="3"/>
  <c r="AL1151" i="3"/>
  <c r="AM1151" i="3"/>
  <c r="AE1152" i="3"/>
  <c r="AF1152" i="3"/>
  <c r="AM1152" i="3" s="1"/>
  <c r="AG1152" i="3"/>
  <c r="AI1152" i="3"/>
  <c r="AJ1152" i="3"/>
  <c r="AL1152" i="3"/>
  <c r="AO1152" i="3"/>
  <c r="AP1152" i="3"/>
  <c r="AE1153" i="3"/>
  <c r="AI1153" i="3" s="1"/>
  <c r="AF1153" i="3"/>
  <c r="AG1153" i="3"/>
  <c r="AO1153" i="3" s="1"/>
  <c r="AJ1153" i="3"/>
  <c r="AL1153" i="3"/>
  <c r="AM1153" i="3"/>
  <c r="AP1153" i="3"/>
  <c r="AE1154" i="3"/>
  <c r="AF1154" i="3"/>
  <c r="AM1154" i="3" s="1"/>
  <c r="AG1154" i="3"/>
  <c r="AI1154" i="3"/>
  <c r="AJ1154" i="3"/>
  <c r="AL1154" i="3"/>
  <c r="AO1154" i="3"/>
  <c r="AP1154" i="3"/>
  <c r="AE1155" i="3"/>
  <c r="AI1155" i="3" s="1"/>
  <c r="AF1155" i="3"/>
  <c r="AG1155" i="3"/>
  <c r="AO1155" i="3" s="1"/>
  <c r="AJ1155" i="3"/>
  <c r="AL1155" i="3"/>
  <c r="AM1155" i="3"/>
  <c r="AE1156" i="3"/>
  <c r="AF1156" i="3"/>
  <c r="AM1156" i="3" s="1"/>
  <c r="AG1156" i="3"/>
  <c r="AI1156" i="3"/>
  <c r="AJ1156" i="3"/>
  <c r="AL1156" i="3"/>
  <c r="AO1156" i="3"/>
  <c r="AP1156" i="3"/>
  <c r="AE1157" i="3"/>
  <c r="AI1157" i="3" s="1"/>
  <c r="AF1157" i="3"/>
  <c r="AG1157" i="3"/>
  <c r="AO1157" i="3" s="1"/>
  <c r="AJ1157" i="3"/>
  <c r="AL1157" i="3"/>
  <c r="AM1157" i="3"/>
  <c r="AP1157" i="3"/>
  <c r="AE1158" i="3"/>
  <c r="AF1158" i="3"/>
  <c r="AM1158" i="3" s="1"/>
  <c r="AG1158" i="3"/>
  <c r="AI1158" i="3"/>
  <c r="AJ1158" i="3"/>
  <c r="AL1158" i="3"/>
  <c r="AO1158" i="3"/>
  <c r="AP1158" i="3"/>
  <c r="AE1159" i="3"/>
  <c r="AI1159" i="3" s="1"/>
  <c r="AF1159" i="3"/>
  <c r="AG1159" i="3"/>
  <c r="AO1159" i="3" s="1"/>
  <c r="AJ1159" i="3"/>
  <c r="AL1159" i="3"/>
  <c r="AM1159" i="3"/>
  <c r="AE1160" i="3"/>
  <c r="AF1160" i="3"/>
  <c r="AM1160" i="3" s="1"/>
  <c r="AG1160" i="3"/>
  <c r="AI1160" i="3"/>
  <c r="AJ1160" i="3"/>
  <c r="AL1160" i="3"/>
  <c r="AO1160" i="3"/>
  <c r="AP1160" i="3"/>
  <c r="AE1161" i="3"/>
  <c r="AI1161" i="3" s="1"/>
  <c r="AF1161" i="3"/>
  <c r="AG1161" i="3"/>
  <c r="AO1161" i="3" s="1"/>
  <c r="AJ1161" i="3"/>
  <c r="AL1161" i="3"/>
  <c r="AM1161" i="3"/>
  <c r="AP1161" i="3"/>
  <c r="AE1162" i="3"/>
  <c r="AF1162" i="3"/>
  <c r="AM1162" i="3" s="1"/>
  <c r="AG1162" i="3"/>
  <c r="AI1162" i="3"/>
  <c r="AJ1162" i="3"/>
  <c r="AL1162" i="3"/>
  <c r="AO1162" i="3"/>
  <c r="AP1162" i="3"/>
  <c r="AE1163" i="3"/>
  <c r="AI1163" i="3" s="1"/>
  <c r="AF1163" i="3"/>
  <c r="AG1163" i="3"/>
  <c r="AO1163" i="3" s="1"/>
  <c r="AJ1163" i="3"/>
  <c r="AL1163" i="3"/>
  <c r="AM1163" i="3"/>
  <c r="AE1164" i="3"/>
  <c r="AF1164" i="3"/>
  <c r="AM1164" i="3" s="1"/>
  <c r="AG1164" i="3"/>
  <c r="AI1164" i="3"/>
  <c r="AJ1164" i="3"/>
  <c r="AL1164" i="3"/>
  <c r="AO1164" i="3"/>
  <c r="AP1164" i="3"/>
  <c r="AE1165" i="3"/>
  <c r="AI1165" i="3" s="1"/>
  <c r="AF1165" i="3"/>
  <c r="AG1165" i="3"/>
  <c r="AO1165" i="3" s="1"/>
  <c r="AJ1165" i="3"/>
  <c r="AL1165" i="3"/>
  <c r="AM1165" i="3"/>
  <c r="AP1165" i="3"/>
  <c r="AE1166" i="3"/>
  <c r="AF1166" i="3"/>
  <c r="AM1166" i="3" s="1"/>
  <c r="AG1166" i="3"/>
  <c r="AI1166" i="3"/>
  <c r="AJ1166" i="3"/>
  <c r="AL1166" i="3"/>
  <c r="AO1166" i="3"/>
  <c r="AP1166" i="3"/>
  <c r="AE1167" i="3"/>
  <c r="AI1167" i="3" s="1"/>
  <c r="AF1167" i="3"/>
  <c r="AG1167" i="3"/>
  <c r="AO1167" i="3" s="1"/>
  <c r="AJ1167" i="3"/>
  <c r="AL1167" i="3"/>
  <c r="AM1167" i="3"/>
  <c r="AE1168" i="3"/>
  <c r="AF1168" i="3"/>
  <c r="AM1168" i="3" s="1"/>
  <c r="AG1168" i="3"/>
  <c r="AI1168" i="3"/>
  <c r="AJ1168" i="3"/>
  <c r="AL1168" i="3"/>
  <c r="AO1168" i="3"/>
  <c r="AP1168" i="3"/>
  <c r="AE1169" i="3"/>
  <c r="AI1169" i="3" s="1"/>
  <c r="AF1169" i="3"/>
  <c r="AG1169" i="3"/>
  <c r="AO1169" i="3" s="1"/>
  <c r="AJ1169" i="3"/>
  <c r="AL1169" i="3"/>
  <c r="AM1169" i="3"/>
  <c r="AP1169" i="3"/>
  <c r="AE1170" i="3"/>
  <c r="AF1170" i="3"/>
  <c r="AM1170" i="3" s="1"/>
  <c r="AG1170" i="3"/>
  <c r="AI1170" i="3"/>
  <c r="AJ1170" i="3"/>
  <c r="AL1170" i="3"/>
  <c r="AO1170" i="3"/>
  <c r="AP1170" i="3"/>
  <c r="AE1171" i="3"/>
  <c r="AI1171" i="3" s="1"/>
  <c r="AF1171" i="3"/>
  <c r="AG1171" i="3"/>
  <c r="AO1171" i="3" s="1"/>
  <c r="AJ1171" i="3"/>
  <c r="AL1171" i="3"/>
  <c r="AM1171" i="3"/>
  <c r="AE1172" i="3"/>
  <c r="AF1172" i="3"/>
  <c r="AM1172" i="3" s="1"/>
  <c r="AG1172" i="3"/>
  <c r="AI1172" i="3"/>
  <c r="AJ1172" i="3"/>
  <c r="AL1172" i="3"/>
  <c r="AO1172" i="3"/>
  <c r="AP1172" i="3"/>
  <c r="AE1173" i="3"/>
  <c r="AI1173" i="3" s="1"/>
  <c r="AF1173" i="3"/>
  <c r="AG1173" i="3"/>
  <c r="AO1173" i="3" s="1"/>
  <c r="AJ1173" i="3"/>
  <c r="AL1173" i="3"/>
  <c r="AM1173" i="3"/>
  <c r="AP1173" i="3"/>
  <c r="AE1174" i="3"/>
  <c r="AF1174" i="3"/>
  <c r="AM1174" i="3" s="1"/>
  <c r="AG1174" i="3"/>
  <c r="AI1174" i="3"/>
  <c r="AJ1174" i="3"/>
  <c r="AL1174" i="3"/>
  <c r="AO1174" i="3"/>
  <c r="AP1174" i="3"/>
  <c r="AE1175" i="3"/>
  <c r="AI1175" i="3" s="1"/>
  <c r="AF1175" i="3"/>
  <c r="AG1175" i="3"/>
  <c r="AO1175" i="3" s="1"/>
  <c r="AJ1175" i="3"/>
  <c r="AL1175" i="3"/>
  <c r="AM1175" i="3"/>
  <c r="AE1176" i="3"/>
  <c r="AF1176" i="3"/>
  <c r="AM1176" i="3" s="1"/>
  <c r="AG1176" i="3"/>
  <c r="AI1176" i="3"/>
  <c r="AJ1176" i="3"/>
  <c r="AL1176" i="3"/>
  <c r="AO1176" i="3"/>
  <c r="AP1176" i="3"/>
  <c r="AE1177" i="3"/>
  <c r="AI1177" i="3" s="1"/>
  <c r="AF1177" i="3"/>
  <c r="AG1177" i="3"/>
  <c r="AO1177" i="3" s="1"/>
  <c r="AJ1177" i="3"/>
  <c r="AL1177" i="3"/>
  <c r="AM1177" i="3"/>
  <c r="AP1177" i="3"/>
  <c r="AE1178" i="3"/>
  <c r="AF1178" i="3"/>
  <c r="AM1178" i="3" s="1"/>
  <c r="AG1178" i="3"/>
  <c r="AI1178" i="3"/>
  <c r="AJ1178" i="3"/>
  <c r="AL1178" i="3"/>
  <c r="AO1178" i="3"/>
  <c r="AP1178" i="3"/>
  <c r="AE1179" i="3"/>
  <c r="AI1179" i="3" s="1"/>
  <c r="AF1179" i="3"/>
  <c r="AG1179" i="3"/>
  <c r="AO1179" i="3" s="1"/>
  <c r="AJ1179" i="3"/>
  <c r="AL1179" i="3"/>
  <c r="AM1179" i="3"/>
  <c r="AE1180" i="3"/>
  <c r="AF1180" i="3"/>
  <c r="AM1180" i="3" s="1"/>
  <c r="AG1180" i="3"/>
  <c r="AI1180" i="3"/>
  <c r="AJ1180" i="3"/>
  <c r="AL1180" i="3"/>
  <c r="AO1180" i="3"/>
  <c r="AP1180" i="3"/>
  <c r="AE1181" i="3"/>
  <c r="AI1181" i="3" s="1"/>
  <c r="AF1181" i="3"/>
  <c r="AG1181" i="3"/>
  <c r="AO1181" i="3" s="1"/>
  <c r="AJ1181" i="3"/>
  <c r="AL1181" i="3"/>
  <c r="AM1181" i="3"/>
  <c r="AP1181" i="3"/>
  <c r="AE1182" i="3"/>
  <c r="AF1182" i="3"/>
  <c r="AM1182" i="3" s="1"/>
  <c r="AG1182" i="3"/>
  <c r="AI1182" i="3"/>
  <c r="AJ1182" i="3"/>
  <c r="AL1182" i="3"/>
  <c r="AO1182" i="3"/>
  <c r="AP1182" i="3"/>
  <c r="AE1183" i="3"/>
  <c r="AI1183" i="3" s="1"/>
  <c r="AF1183" i="3"/>
  <c r="AG1183" i="3"/>
  <c r="AO1183" i="3" s="1"/>
  <c r="AJ1183" i="3"/>
  <c r="AL1183" i="3"/>
  <c r="AM1183" i="3"/>
  <c r="AE1184" i="3"/>
  <c r="AF1184" i="3"/>
  <c r="AM1184" i="3" s="1"/>
  <c r="AG1184" i="3"/>
  <c r="AI1184" i="3"/>
  <c r="AJ1184" i="3"/>
  <c r="AL1184" i="3"/>
  <c r="AO1184" i="3"/>
  <c r="AP1184" i="3"/>
  <c r="AE1185" i="3"/>
  <c r="AI1185" i="3" s="1"/>
  <c r="AF1185" i="3"/>
  <c r="AG1185" i="3"/>
  <c r="AO1185" i="3" s="1"/>
  <c r="AJ1185" i="3"/>
  <c r="AL1185" i="3"/>
  <c r="AM1185" i="3"/>
  <c r="AP1185" i="3"/>
  <c r="AE1186" i="3"/>
  <c r="AF1186" i="3"/>
  <c r="AM1186" i="3" s="1"/>
  <c r="AG1186" i="3"/>
  <c r="AI1186" i="3"/>
  <c r="AJ1186" i="3"/>
  <c r="AL1186" i="3"/>
  <c r="AO1186" i="3"/>
  <c r="AP1186" i="3"/>
  <c r="AE1187" i="3"/>
  <c r="AI1187" i="3" s="1"/>
  <c r="AF1187" i="3"/>
  <c r="AG1187" i="3"/>
  <c r="AO1187" i="3" s="1"/>
  <c r="AJ1187" i="3"/>
  <c r="AL1187" i="3"/>
  <c r="AM1187" i="3"/>
  <c r="AE1188" i="3"/>
  <c r="AF1188" i="3"/>
  <c r="AM1188" i="3" s="1"/>
  <c r="AG1188" i="3"/>
  <c r="AI1188" i="3"/>
  <c r="AJ1188" i="3"/>
  <c r="AL1188" i="3"/>
  <c r="AO1188" i="3"/>
  <c r="AP1188" i="3"/>
  <c r="AE1189" i="3"/>
  <c r="AI1189" i="3" s="1"/>
  <c r="AF1189" i="3"/>
  <c r="AG1189" i="3"/>
  <c r="AO1189" i="3" s="1"/>
  <c r="AJ1189" i="3"/>
  <c r="AL1189" i="3"/>
  <c r="AM1189" i="3"/>
  <c r="AP1189" i="3"/>
  <c r="AE1190" i="3"/>
  <c r="AF1190" i="3"/>
  <c r="AM1190" i="3" s="1"/>
  <c r="AG1190" i="3"/>
  <c r="AI1190" i="3"/>
  <c r="AJ1190" i="3"/>
  <c r="AL1190" i="3"/>
  <c r="AO1190" i="3"/>
  <c r="AP1190" i="3"/>
  <c r="AE1191" i="3"/>
  <c r="AI1191" i="3" s="1"/>
  <c r="AF1191" i="3"/>
  <c r="AG1191" i="3"/>
  <c r="AO1191" i="3" s="1"/>
  <c r="AJ1191" i="3"/>
  <c r="AL1191" i="3"/>
  <c r="AM1191" i="3"/>
  <c r="AE1192" i="3"/>
  <c r="AF1192" i="3"/>
  <c r="AM1192" i="3" s="1"/>
  <c r="AG1192" i="3"/>
  <c r="AI1192" i="3"/>
  <c r="AJ1192" i="3"/>
  <c r="AL1192" i="3"/>
  <c r="AO1192" i="3"/>
  <c r="AP1192" i="3"/>
  <c r="AE1193" i="3"/>
  <c r="AI1193" i="3" s="1"/>
  <c r="AF1193" i="3"/>
  <c r="AG1193" i="3"/>
  <c r="AO1193" i="3" s="1"/>
  <c r="AJ1193" i="3"/>
  <c r="AL1193" i="3"/>
  <c r="AM1193" i="3"/>
  <c r="AP1193" i="3"/>
  <c r="AE1194" i="3"/>
  <c r="AF1194" i="3"/>
  <c r="AM1194" i="3" s="1"/>
  <c r="AG1194" i="3"/>
  <c r="AI1194" i="3"/>
  <c r="AJ1194" i="3"/>
  <c r="AL1194" i="3"/>
  <c r="AO1194" i="3"/>
  <c r="AP1194" i="3"/>
  <c r="AE1195" i="3"/>
  <c r="AI1195" i="3" s="1"/>
  <c r="AF1195" i="3"/>
  <c r="AG1195" i="3"/>
  <c r="AO1195" i="3" s="1"/>
  <c r="AJ1195" i="3"/>
  <c r="AL1195" i="3"/>
  <c r="AM1195" i="3"/>
  <c r="AE1196" i="3"/>
  <c r="AF1196" i="3"/>
  <c r="AM1196" i="3" s="1"/>
  <c r="AG1196" i="3"/>
  <c r="AI1196" i="3"/>
  <c r="AJ1196" i="3"/>
  <c r="AL1196" i="3"/>
  <c r="AO1196" i="3"/>
  <c r="AP1196" i="3"/>
  <c r="AE1197" i="3"/>
  <c r="AI1197" i="3" s="1"/>
  <c r="AF1197" i="3"/>
  <c r="AG1197" i="3"/>
  <c r="AO1197" i="3" s="1"/>
  <c r="AJ1197" i="3"/>
  <c r="AL1197" i="3"/>
  <c r="AM1197" i="3"/>
  <c r="AP1197" i="3"/>
  <c r="AE1198" i="3"/>
  <c r="AF1198" i="3"/>
  <c r="AM1198" i="3" s="1"/>
  <c r="AG1198" i="3"/>
  <c r="AI1198" i="3"/>
  <c r="AJ1198" i="3"/>
  <c r="AL1198" i="3"/>
  <c r="AO1198" i="3"/>
  <c r="AP1198" i="3"/>
  <c r="AE1199" i="3"/>
  <c r="AI1199" i="3" s="1"/>
  <c r="AF1199" i="3"/>
  <c r="AG1199" i="3"/>
  <c r="AO1199" i="3" s="1"/>
  <c r="AJ1199" i="3"/>
  <c r="AL1199" i="3"/>
  <c r="AM1199" i="3"/>
  <c r="AE1200" i="3"/>
  <c r="AF1200" i="3"/>
  <c r="AM1200" i="3" s="1"/>
  <c r="AG1200" i="3"/>
  <c r="AI1200" i="3"/>
  <c r="AJ1200" i="3"/>
  <c r="AL1200" i="3"/>
  <c r="AO1200" i="3"/>
  <c r="AP1200" i="3"/>
  <c r="AE1201" i="3"/>
  <c r="AI1201" i="3" s="1"/>
  <c r="AF1201" i="3"/>
  <c r="AG1201" i="3"/>
  <c r="AO1201" i="3" s="1"/>
  <c r="AJ1201" i="3"/>
  <c r="AL1201" i="3"/>
  <c r="AM1201" i="3"/>
  <c r="AP1201" i="3"/>
  <c r="AE1202" i="3"/>
  <c r="AF1202" i="3"/>
  <c r="AM1202" i="3" s="1"/>
  <c r="AG1202" i="3"/>
  <c r="AI1202" i="3"/>
  <c r="AJ1202" i="3"/>
  <c r="AL1202" i="3"/>
  <c r="AO1202" i="3"/>
  <c r="AP1202" i="3"/>
  <c r="AE1203" i="3"/>
  <c r="AI1203" i="3" s="1"/>
  <c r="AF1203" i="3"/>
  <c r="AG1203" i="3"/>
  <c r="AO1203" i="3" s="1"/>
  <c r="AJ1203" i="3"/>
  <c r="AL1203" i="3"/>
  <c r="AM1203" i="3"/>
  <c r="AE1204" i="3"/>
  <c r="AF1204" i="3"/>
  <c r="AM1204" i="3" s="1"/>
  <c r="AG1204" i="3"/>
  <c r="AI1204" i="3"/>
  <c r="AJ1204" i="3"/>
  <c r="AL1204" i="3"/>
  <c r="AO1204" i="3"/>
  <c r="AP1204" i="3"/>
  <c r="AE1205" i="3"/>
  <c r="AI1205" i="3" s="1"/>
  <c r="AF1205" i="3"/>
  <c r="AG1205" i="3"/>
  <c r="AO1205" i="3" s="1"/>
  <c r="AJ1205" i="3"/>
  <c r="AL1205" i="3"/>
  <c r="AM1205" i="3"/>
  <c r="AP1205" i="3"/>
  <c r="AE1206" i="3"/>
  <c r="AF1206" i="3"/>
  <c r="AM1206" i="3" s="1"/>
  <c r="AG1206" i="3"/>
  <c r="AI1206" i="3"/>
  <c r="AJ1206" i="3"/>
  <c r="AL1206" i="3"/>
  <c r="AO1206" i="3"/>
  <c r="AP1206" i="3"/>
  <c r="AE1207" i="3"/>
  <c r="AI1207" i="3" s="1"/>
  <c r="AF1207" i="3"/>
  <c r="AG1207" i="3"/>
  <c r="AO1207" i="3" s="1"/>
  <c r="AJ1207" i="3"/>
  <c r="AL1207" i="3"/>
  <c r="AM1207" i="3"/>
  <c r="AE1208" i="3"/>
  <c r="AF1208" i="3"/>
  <c r="AM1208" i="3" s="1"/>
  <c r="AG1208" i="3"/>
  <c r="AI1208" i="3"/>
  <c r="AJ1208" i="3"/>
  <c r="AL1208" i="3"/>
  <c r="AO1208" i="3"/>
  <c r="AP1208" i="3"/>
  <c r="AE1209" i="3"/>
  <c r="AI1209" i="3" s="1"/>
  <c r="AF1209" i="3"/>
  <c r="AG1209" i="3"/>
  <c r="AO1209" i="3" s="1"/>
  <c r="AJ1209" i="3"/>
  <c r="AL1209" i="3"/>
  <c r="AM1209" i="3"/>
  <c r="AP1209" i="3"/>
  <c r="AE1210" i="3"/>
  <c r="AF1210" i="3"/>
  <c r="AM1210" i="3" s="1"/>
  <c r="AG1210" i="3"/>
  <c r="AI1210" i="3"/>
  <c r="AJ1210" i="3"/>
  <c r="AL1210" i="3"/>
  <c r="AO1210" i="3"/>
  <c r="AP1210" i="3"/>
  <c r="AE1211" i="3"/>
  <c r="AI1211" i="3" s="1"/>
  <c r="AF1211" i="3"/>
  <c r="AG1211" i="3"/>
  <c r="AO1211" i="3" s="1"/>
  <c r="AJ1211" i="3"/>
  <c r="AL1211" i="3"/>
  <c r="AM1211" i="3"/>
  <c r="AE1212" i="3"/>
  <c r="AF1212" i="3"/>
  <c r="AM1212" i="3" s="1"/>
  <c r="AG1212" i="3"/>
  <c r="AI1212" i="3"/>
  <c r="AJ1212" i="3"/>
  <c r="AL1212" i="3"/>
  <c r="AO1212" i="3"/>
  <c r="AP1212" i="3"/>
  <c r="AE1213" i="3"/>
  <c r="AI1213" i="3" s="1"/>
  <c r="AF1213" i="3"/>
  <c r="AG1213" i="3"/>
  <c r="AO1213" i="3" s="1"/>
  <c r="AJ1213" i="3"/>
  <c r="AL1213" i="3"/>
  <c r="AM1213" i="3"/>
  <c r="AP1213" i="3"/>
  <c r="AE1214" i="3"/>
  <c r="AF1214" i="3"/>
  <c r="AM1214" i="3" s="1"/>
  <c r="AG1214" i="3"/>
  <c r="AI1214" i="3"/>
  <c r="AJ1214" i="3"/>
  <c r="AL1214" i="3"/>
  <c r="AO1214" i="3"/>
  <c r="AP1214" i="3"/>
  <c r="AE1215" i="3"/>
  <c r="AI1215" i="3" s="1"/>
  <c r="AF1215" i="3"/>
  <c r="AG1215" i="3"/>
  <c r="AO1215" i="3" s="1"/>
  <c r="AJ1215" i="3"/>
  <c r="AL1215" i="3"/>
  <c r="AM1215" i="3"/>
  <c r="AE1216" i="3"/>
  <c r="AF1216" i="3"/>
  <c r="AM1216" i="3" s="1"/>
  <c r="AG1216" i="3"/>
  <c r="AI1216" i="3"/>
  <c r="AJ1216" i="3"/>
  <c r="AL1216" i="3"/>
  <c r="AO1216" i="3"/>
  <c r="AP1216" i="3"/>
  <c r="AE1217" i="3"/>
  <c r="AI1217" i="3" s="1"/>
  <c r="AF1217" i="3"/>
  <c r="AG1217" i="3"/>
  <c r="AO1217" i="3" s="1"/>
  <c r="AJ1217" i="3"/>
  <c r="AL1217" i="3"/>
  <c r="AM1217" i="3"/>
  <c r="AP1217" i="3"/>
  <c r="AE1218" i="3"/>
  <c r="AF1218" i="3"/>
  <c r="AM1218" i="3" s="1"/>
  <c r="AG1218" i="3"/>
  <c r="AI1218" i="3"/>
  <c r="AJ1218" i="3"/>
  <c r="AL1218" i="3"/>
  <c r="AO1218" i="3"/>
  <c r="AP1218" i="3"/>
  <c r="AE1219" i="3"/>
  <c r="AI1219" i="3" s="1"/>
  <c r="AF1219" i="3"/>
  <c r="AG1219" i="3"/>
  <c r="AO1219" i="3" s="1"/>
  <c r="AJ1219" i="3"/>
  <c r="AL1219" i="3"/>
  <c r="AM1219" i="3"/>
  <c r="AE1220" i="3"/>
  <c r="AF1220" i="3"/>
  <c r="AM1220" i="3" s="1"/>
  <c r="AG1220" i="3"/>
  <c r="AI1220" i="3"/>
  <c r="AJ1220" i="3"/>
  <c r="AL1220" i="3"/>
  <c r="AO1220" i="3"/>
  <c r="AP1220" i="3"/>
  <c r="AE1221" i="3"/>
  <c r="AI1221" i="3" s="1"/>
  <c r="AF1221" i="3"/>
  <c r="AG1221" i="3"/>
  <c r="AO1221" i="3" s="1"/>
  <c r="AJ1221" i="3"/>
  <c r="AL1221" i="3"/>
  <c r="AM1221" i="3"/>
  <c r="AP1221" i="3"/>
  <c r="AE1222" i="3"/>
  <c r="AF1222" i="3"/>
  <c r="AM1222" i="3" s="1"/>
  <c r="AG1222" i="3"/>
  <c r="AI1222" i="3"/>
  <c r="AJ1222" i="3"/>
  <c r="AL1222" i="3"/>
  <c r="AO1222" i="3"/>
  <c r="AP1222" i="3"/>
  <c r="AE1223" i="3"/>
  <c r="AI1223" i="3" s="1"/>
  <c r="AF1223" i="3"/>
  <c r="AG1223" i="3"/>
  <c r="AO1223" i="3" s="1"/>
  <c r="AJ1223" i="3"/>
  <c r="AL1223" i="3"/>
  <c r="AM1223" i="3"/>
  <c r="AE1224" i="3"/>
  <c r="AF1224" i="3"/>
  <c r="AM1224" i="3" s="1"/>
  <c r="AG1224" i="3"/>
  <c r="AI1224" i="3"/>
  <c r="AJ1224" i="3"/>
  <c r="AL1224" i="3"/>
  <c r="AO1224" i="3"/>
  <c r="AP1224" i="3"/>
  <c r="AE1225" i="3"/>
  <c r="AI1225" i="3" s="1"/>
  <c r="AF1225" i="3"/>
  <c r="AG1225" i="3"/>
  <c r="AO1225" i="3" s="1"/>
  <c r="AJ1225" i="3"/>
  <c r="AL1225" i="3"/>
  <c r="AM1225" i="3"/>
  <c r="AP1225" i="3"/>
  <c r="AE1226" i="3"/>
  <c r="AF1226" i="3"/>
  <c r="AM1226" i="3" s="1"/>
  <c r="AG1226" i="3"/>
  <c r="AI1226" i="3"/>
  <c r="AJ1226" i="3"/>
  <c r="AL1226" i="3"/>
  <c r="AO1226" i="3"/>
  <c r="AP1226" i="3"/>
  <c r="AE1227" i="3"/>
  <c r="AI1227" i="3" s="1"/>
  <c r="AF1227" i="3"/>
  <c r="AG1227" i="3"/>
  <c r="AO1227" i="3" s="1"/>
  <c r="AJ1227" i="3"/>
  <c r="AL1227" i="3"/>
  <c r="AM1227" i="3"/>
  <c r="AE1228" i="3"/>
  <c r="AF1228" i="3"/>
  <c r="AM1228" i="3" s="1"/>
  <c r="AG1228" i="3"/>
  <c r="AI1228" i="3"/>
  <c r="AJ1228" i="3"/>
  <c r="AL1228" i="3"/>
  <c r="AO1228" i="3"/>
  <c r="AP1228" i="3"/>
  <c r="AE1229" i="3"/>
  <c r="AI1229" i="3" s="1"/>
  <c r="AF1229" i="3"/>
  <c r="AG1229" i="3"/>
  <c r="AO1229" i="3" s="1"/>
  <c r="AJ1229" i="3"/>
  <c r="AL1229" i="3"/>
  <c r="AM1229" i="3"/>
  <c r="AP1229" i="3"/>
  <c r="AE1230" i="3"/>
  <c r="AF1230" i="3"/>
  <c r="AM1230" i="3" s="1"/>
  <c r="AG1230" i="3"/>
  <c r="AI1230" i="3"/>
  <c r="AJ1230" i="3"/>
  <c r="AL1230" i="3"/>
  <c r="AO1230" i="3"/>
  <c r="AP1230" i="3"/>
  <c r="AE1231" i="3"/>
  <c r="AI1231" i="3" s="1"/>
  <c r="AF1231" i="3"/>
  <c r="AG1231" i="3"/>
  <c r="AO1231" i="3" s="1"/>
  <c r="AJ1231" i="3"/>
  <c r="AL1231" i="3"/>
  <c r="AM1231" i="3"/>
  <c r="AE1232" i="3"/>
  <c r="AF1232" i="3"/>
  <c r="AM1232" i="3" s="1"/>
  <c r="AG1232" i="3"/>
  <c r="AI1232" i="3"/>
  <c r="AJ1232" i="3"/>
  <c r="AL1232" i="3"/>
  <c r="AO1232" i="3"/>
  <c r="AP1232" i="3"/>
  <c r="AE1233" i="3"/>
  <c r="AI1233" i="3" s="1"/>
  <c r="AF1233" i="3"/>
  <c r="AG1233" i="3"/>
  <c r="AO1233" i="3" s="1"/>
  <c r="AJ1233" i="3"/>
  <c r="AL1233" i="3"/>
  <c r="AM1233" i="3"/>
  <c r="AP1233" i="3"/>
  <c r="AE1234" i="3"/>
  <c r="AF1234" i="3"/>
  <c r="AM1234" i="3" s="1"/>
  <c r="AG1234" i="3"/>
  <c r="AI1234" i="3"/>
  <c r="AJ1234" i="3"/>
  <c r="AL1234" i="3"/>
  <c r="AO1234" i="3"/>
  <c r="AP1234" i="3"/>
  <c r="AE1235" i="3"/>
  <c r="AI1235" i="3" s="1"/>
  <c r="AF1235" i="3"/>
  <c r="AG1235" i="3"/>
  <c r="AO1235" i="3" s="1"/>
  <c r="AJ1235" i="3"/>
  <c r="AL1235" i="3"/>
  <c r="AM1235" i="3"/>
  <c r="AE1236" i="3"/>
  <c r="AF1236" i="3"/>
  <c r="AM1236" i="3" s="1"/>
  <c r="AG1236" i="3"/>
  <c r="AI1236" i="3"/>
  <c r="AJ1236" i="3"/>
  <c r="AL1236" i="3"/>
  <c r="AO1236" i="3"/>
  <c r="AP1236" i="3"/>
  <c r="AE1237" i="3"/>
  <c r="AI1237" i="3" s="1"/>
  <c r="AF1237" i="3"/>
  <c r="AG1237" i="3"/>
  <c r="AO1237" i="3" s="1"/>
  <c r="AJ1237" i="3"/>
  <c r="AL1237" i="3"/>
  <c r="AM1237" i="3"/>
  <c r="AP1237" i="3"/>
  <c r="AE1238" i="3"/>
  <c r="AF1238" i="3"/>
  <c r="AM1238" i="3" s="1"/>
  <c r="AG1238" i="3"/>
  <c r="AI1238" i="3"/>
  <c r="AJ1238" i="3"/>
  <c r="AL1238" i="3"/>
  <c r="AO1238" i="3"/>
  <c r="AP1238" i="3"/>
  <c r="AE1239" i="3"/>
  <c r="AI1239" i="3" s="1"/>
  <c r="AF1239" i="3"/>
  <c r="AG1239" i="3"/>
  <c r="AO1239" i="3" s="1"/>
  <c r="AJ1239" i="3"/>
  <c r="AL1239" i="3"/>
  <c r="AM1239" i="3"/>
  <c r="AE1240" i="3"/>
  <c r="AF1240" i="3"/>
  <c r="AM1240" i="3" s="1"/>
  <c r="AG1240" i="3"/>
  <c r="AI1240" i="3"/>
  <c r="AJ1240" i="3"/>
  <c r="AL1240" i="3"/>
  <c r="AO1240" i="3"/>
  <c r="AP1240" i="3"/>
  <c r="AE1241" i="3"/>
  <c r="AI1241" i="3" s="1"/>
  <c r="AF1241" i="3"/>
  <c r="AG1241" i="3"/>
  <c r="AO1241" i="3" s="1"/>
  <c r="AJ1241" i="3"/>
  <c r="AL1241" i="3"/>
  <c r="AM1241" i="3"/>
  <c r="AP1241" i="3"/>
  <c r="AE1242" i="3"/>
  <c r="AF1242" i="3"/>
  <c r="AM1242" i="3" s="1"/>
  <c r="AG1242" i="3"/>
  <c r="AI1242" i="3"/>
  <c r="AJ1242" i="3"/>
  <c r="AL1242" i="3"/>
  <c r="AO1242" i="3"/>
  <c r="AP1242" i="3"/>
  <c r="AE1243" i="3"/>
  <c r="AI1243" i="3" s="1"/>
  <c r="AF1243" i="3"/>
  <c r="AG1243" i="3"/>
  <c r="AO1243" i="3" s="1"/>
  <c r="AJ1243" i="3"/>
  <c r="AL1243" i="3"/>
  <c r="AM1243" i="3"/>
  <c r="AE1244" i="3"/>
  <c r="AF1244" i="3"/>
  <c r="AM1244" i="3" s="1"/>
  <c r="AG1244" i="3"/>
  <c r="AI1244" i="3"/>
  <c r="AJ1244" i="3"/>
  <c r="AL1244" i="3"/>
  <c r="AO1244" i="3"/>
  <c r="AP1244" i="3"/>
  <c r="AE1245" i="3"/>
  <c r="AI1245" i="3" s="1"/>
  <c r="AF1245" i="3"/>
  <c r="AG1245" i="3"/>
  <c r="AO1245" i="3" s="1"/>
  <c r="AJ1245" i="3"/>
  <c r="AL1245" i="3"/>
  <c r="AM1245" i="3"/>
  <c r="AP1245" i="3"/>
  <c r="AE1246" i="3"/>
  <c r="AF1246" i="3"/>
  <c r="AM1246" i="3" s="1"/>
  <c r="AG1246" i="3"/>
  <c r="AI1246" i="3"/>
  <c r="AJ1246" i="3"/>
  <c r="AL1246" i="3"/>
  <c r="AO1246" i="3"/>
  <c r="AP1246" i="3"/>
  <c r="AE1247" i="3"/>
  <c r="AI1247" i="3" s="1"/>
  <c r="AF1247" i="3"/>
  <c r="AG1247" i="3"/>
  <c r="AO1247" i="3" s="1"/>
  <c r="AJ1247" i="3"/>
  <c r="AL1247" i="3"/>
  <c r="AM1247" i="3"/>
  <c r="AE1248" i="3"/>
  <c r="AF1248" i="3"/>
  <c r="AM1248" i="3" s="1"/>
  <c r="AG1248" i="3"/>
  <c r="AI1248" i="3"/>
  <c r="AJ1248" i="3"/>
  <c r="AL1248" i="3"/>
  <c r="AO1248" i="3"/>
  <c r="AP1248" i="3"/>
  <c r="AE1249" i="3"/>
  <c r="AI1249" i="3" s="1"/>
  <c r="AF1249" i="3"/>
  <c r="AG1249" i="3"/>
  <c r="AO1249" i="3" s="1"/>
  <c r="AJ1249" i="3"/>
  <c r="AL1249" i="3"/>
  <c r="AM1249" i="3"/>
  <c r="AP1249" i="3"/>
  <c r="AE1250" i="3"/>
  <c r="AF1250" i="3"/>
  <c r="AM1250" i="3" s="1"/>
  <c r="AG1250" i="3"/>
  <c r="AI1250" i="3"/>
  <c r="AJ1250" i="3"/>
  <c r="AL1250" i="3"/>
  <c r="AO1250" i="3"/>
  <c r="AP1250" i="3"/>
  <c r="AE1251" i="3"/>
  <c r="AI1251" i="3" s="1"/>
  <c r="AF1251" i="3"/>
  <c r="AG1251" i="3"/>
  <c r="AO1251" i="3" s="1"/>
  <c r="AJ1251" i="3"/>
  <c r="AL1251" i="3"/>
  <c r="AM1251" i="3"/>
  <c r="AE1252" i="3"/>
  <c r="AF1252" i="3"/>
  <c r="AM1252" i="3" s="1"/>
  <c r="AG1252" i="3"/>
  <c r="AI1252" i="3"/>
  <c r="AJ1252" i="3"/>
  <c r="AL1252" i="3"/>
  <c r="AO1252" i="3"/>
  <c r="AP1252" i="3"/>
  <c r="AE1253" i="3"/>
  <c r="AI1253" i="3" s="1"/>
  <c r="AF1253" i="3"/>
  <c r="AG1253" i="3"/>
  <c r="AO1253" i="3" s="1"/>
  <c r="AJ1253" i="3"/>
  <c r="AL1253" i="3"/>
  <c r="AM1253" i="3"/>
  <c r="AP1253" i="3"/>
  <c r="AE1254" i="3"/>
  <c r="AF1254" i="3"/>
  <c r="AM1254" i="3" s="1"/>
  <c r="AG1254" i="3"/>
  <c r="AI1254" i="3"/>
  <c r="AJ1254" i="3"/>
  <c r="AL1254" i="3"/>
  <c r="AO1254" i="3"/>
  <c r="AP1254" i="3"/>
  <c r="AE1255" i="3"/>
  <c r="AI1255" i="3" s="1"/>
  <c r="AF1255" i="3"/>
  <c r="AG1255" i="3"/>
  <c r="AO1255" i="3" s="1"/>
  <c r="AJ1255" i="3"/>
  <c r="AL1255" i="3"/>
  <c r="AM1255" i="3"/>
  <c r="AE1256" i="3"/>
  <c r="AF1256" i="3"/>
  <c r="AM1256" i="3" s="1"/>
  <c r="AG1256" i="3"/>
  <c r="AI1256" i="3"/>
  <c r="AJ1256" i="3"/>
  <c r="AL1256" i="3"/>
  <c r="AO1256" i="3"/>
  <c r="AP1256" i="3"/>
  <c r="AE1257" i="3"/>
  <c r="AI1257" i="3" s="1"/>
  <c r="AF1257" i="3"/>
  <c r="AG1257" i="3"/>
  <c r="AO1257" i="3" s="1"/>
  <c r="AJ1257" i="3"/>
  <c r="AL1257" i="3"/>
  <c r="AM1257" i="3"/>
  <c r="AP1257" i="3"/>
  <c r="AE1258" i="3"/>
  <c r="AF1258" i="3"/>
  <c r="AM1258" i="3" s="1"/>
  <c r="AG1258" i="3"/>
  <c r="AI1258" i="3"/>
  <c r="AJ1258" i="3"/>
  <c r="AL1258" i="3"/>
  <c r="AO1258" i="3"/>
  <c r="AP1258" i="3"/>
  <c r="AE1259" i="3"/>
  <c r="AI1259" i="3" s="1"/>
  <c r="AF1259" i="3"/>
  <c r="AG1259" i="3"/>
  <c r="AO1259" i="3" s="1"/>
  <c r="AJ1259" i="3"/>
  <c r="AL1259" i="3"/>
  <c r="AM1259" i="3"/>
  <c r="AE1260" i="3"/>
  <c r="AF1260" i="3"/>
  <c r="AM1260" i="3" s="1"/>
  <c r="AG1260" i="3"/>
  <c r="AI1260" i="3"/>
  <c r="AJ1260" i="3"/>
  <c r="AL1260" i="3"/>
  <c r="AO1260" i="3"/>
  <c r="AP1260" i="3"/>
  <c r="AE1261" i="3"/>
  <c r="AI1261" i="3" s="1"/>
  <c r="AF1261" i="3"/>
  <c r="AG1261" i="3"/>
  <c r="AO1261" i="3" s="1"/>
  <c r="AJ1261" i="3"/>
  <c r="AL1261" i="3"/>
  <c r="AM1261" i="3"/>
  <c r="AP1261" i="3"/>
  <c r="AE1262" i="3"/>
  <c r="AF1262" i="3"/>
  <c r="AM1262" i="3" s="1"/>
  <c r="AG1262" i="3"/>
  <c r="AI1262" i="3"/>
  <c r="AJ1262" i="3"/>
  <c r="AL1262" i="3"/>
  <c r="AO1262" i="3"/>
  <c r="AP1262" i="3"/>
  <c r="AE1263" i="3"/>
  <c r="AI1263" i="3" s="1"/>
  <c r="AF1263" i="3"/>
  <c r="AG1263" i="3"/>
  <c r="AO1263" i="3" s="1"/>
  <c r="AJ1263" i="3"/>
  <c r="AL1263" i="3"/>
  <c r="AM1263" i="3"/>
  <c r="AE1264" i="3"/>
  <c r="AF1264" i="3"/>
  <c r="AM1264" i="3" s="1"/>
  <c r="AG1264" i="3"/>
  <c r="AI1264" i="3"/>
  <c r="AJ1264" i="3"/>
  <c r="AL1264" i="3"/>
  <c r="AO1264" i="3"/>
  <c r="AP1264" i="3"/>
  <c r="AE1265" i="3"/>
  <c r="AI1265" i="3" s="1"/>
  <c r="AF1265" i="3"/>
  <c r="AG1265" i="3"/>
  <c r="AO1265" i="3" s="1"/>
  <c r="AJ1265" i="3"/>
  <c r="AL1265" i="3"/>
  <c r="AM1265" i="3"/>
  <c r="AP1265" i="3"/>
  <c r="AE1266" i="3"/>
  <c r="AF1266" i="3"/>
  <c r="AM1266" i="3" s="1"/>
  <c r="AG1266" i="3"/>
  <c r="AI1266" i="3"/>
  <c r="AJ1266" i="3"/>
  <c r="AL1266" i="3"/>
  <c r="AO1266" i="3"/>
  <c r="AP1266" i="3"/>
  <c r="AE1267" i="3"/>
  <c r="AI1267" i="3" s="1"/>
  <c r="AF1267" i="3"/>
  <c r="AG1267" i="3"/>
  <c r="AO1267" i="3" s="1"/>
  <c r="AJ1267" i="3"/>
  <c r="AL1267" i="3"/>
  <c r="AM1267" i="3"/>
  <c r="AE1268" i="3"/>
  <c r="AF1268" i="3"/>
  <c r="AM1268" i="3" s="1"/>
  <c r="AG1268" i="3"/>
  <c r="AI1268" i="3"/>
  <c r="AJ1268" i="3"/>
  <c r="AL1268" i="3"/>
  <c r="AO1268" i="3"/>
  <c r="AP1268" i="3"/>
  <c r="AE1269" i="3"/>
  <c r="AI1269" i="3" s="1"/>
  <c r="AF1269" i="3"/>
  <c r="AG1269" i="3"/>
  <c r="AO1269" i="3" s="1"/>
  <c r="AJ1269" i="3"/>
  <c r="AL1269" i="3"/>
  <c r="AM1269" i="3"/>
  <c r="AP1269" i="3"/>
  <c r="AE1270" i="3"/>
  <c r="AF1270" i="3"/>
  <c r="AM1270" i="3" s="1"/>
  <c r="AG1270" i="3"/>
  <c r="AI1270" i="3"/>
  <c r="AJ1270" i="3"/>
  <c r="AL1270" i="3"/>
  <c r="AO1270" i="3"/>
  <c r="AP1270" i="3"/>
  <c r="AE1271" i="3"/>
  <c r="AI1271" i="3" s="1"/>
  <c r="AF1271" i="3"/>
  <c r="AG1271" i="3"/>
  <c r="AO1271" i="3" s="1"/>
  <c r="AJ1271" i="3"/>
  <c r="AL1271" i="3"/>
  <c r="AM1271" i="3"/>
  <c r="AE1272" i="3"/>
  <c r="AF1272" i="3"/>
  <c r="AM1272" i="3" s="1"/>
  <c r="AG1272" i="3"/>
  <c r="AI1272" i="3"/>
  <c r="AJ1272" i="3"/>
  <c r="AL1272" i="3"/>
  <c r="AO1272" i="3"/>
  <c r="AP1272" i="3"/>
  <c r="AE1273" i="3"/>
  <c r="AI1273" i="3" s="1"/>
  <c r="AF1273" i="3"/>
  <c r="AG1273" i="3"/>
  <c r="AO1273" i="3" s="1"/>
  <c r="AJ1273" i="3"/>
  <c r="AL1273" i="3"/>
  <c r="AM1273" i="3"/>
  <c r="AP1273" i="3"/>
  <c r="AE1274" i="3"/>
  <c r="AF1274" i="3"/>
  <c r="AM1274" i="3" s="1"/>
  <c r="AG1274" i="3"/>
  <c r="AI1274" i="3"/>
  <c r="AJ1274" i="3"/>
  <c r="AL1274" i="3"/>
  <c r="AO1274" i="3"/>
  <c r="AP1274" i="3"/>
  <c r="AE1275" i="3"/>
  <c r="AI1275" i="3" s="1"/>
  <c r="AF1275" i="3"/>
  <c r="AG1275" i="3"/>
  <c r="AO1275" i="3" s="1"/>
  <c r="AJ1275" i="3"/>
  <c r="AL1275" i="3"/>
  <c r="AM1275" i="3"/>
  <c r="AE1276" i="3"/>
  <c r="AF1276" i="3"/>
  <c r="AM1276" i="3" s="1"/>
  <c r="AG1276" i="3"/>
  <c r="AI1276" i="3"/>
  <c r="AJ1276" i="3"/>
  <c r="AL1276" i="3"/>
  <c r="AO1276" i="3"/>
  <c r="AP1276" i="3"/>
  <c r="AE1277" i="3"/>
  <c r="AI1277" i="3" s="1"/>
  <c r="AF1277" i="3"/>
  <c r="AG1277" i="3"/>
  <c r="AO1277" i="3" s="1"/>
  <c r="AJ1277" i="3"/>
  <c r="AL1277" i="3"/>
  <c r="AM1277" i="3"/>
  <c r="AP1277" i="3"/>
  <c r="AE1278" i="3"/>
  <c r="AF1278" i="3"/>
  <c r="AM1278" i="3" s="1"/>
  <c r="AG1278" i="3"/>
  <c r="AI1278" i="3"/>
  <c r="AJ1278" i="3"/>
  <c r="AL1278" i="3"/>
  <c r="AO1278" i="3"/>
  <c r="AP1278" i="3"/>
  <c r="AE1279" i="3"/>
  <c r="AI1279" i="3" s="1"/>
  <c r="AF1279" i="3"/>
  <c r="AG1279" i="3"/>
  <c r="AO1279" i="3" s="1"/>
  <c r="AJ1279" i="3"/>
  <c r="AL1279" i="3"/>
  <c r="AM1279" i="3"/>
  <c r="AE1280" i="3"/>
  <c r="AF1280" i="3"/>
  <c r="AM1280" i="3" s="1"/>
  <c r="AG1280" i="3"/>
  <c r="AI1280" i="3"/>
  <c r="AJ1280" i="3"/>
  <c r="AL1280" i="3"/>
  <c r="AO1280" i="3"/>
  <c r="AP1280" i="3"/>
  <c r="AE1281" i="3"/>
  <c r="AI1281" i="3" s="1"/>
  <c r="AF1281" i="3"/>
  <c r="AG1281" i="3"/>
  <c r="AO1281" i="3" s="1"/>
  <c r="AJ1281" i="3"/>
  <c r="AL1281" i="3"/>
  <c r="AM1281" i="3"/>
  <c r="AP1281" i="3"/>
  <c r="AE1282" i="3"/>
  <c r="AF1282" i="3"/>
  <c r="AM1282" i="3" s="1"/>
  <c r="AG1282" i="3"/>
  <c r="AI1282" i="3"/>
  <c r="AJ1282" i="3"/>
  <c r="AL1282" i="3"/>
  <c r="AO1282" i="3"/>
  <c r="AP1282" i="3"/>
  <c r="AE1283" i="3"/>
  <c r="AI1283" i="3" s="1"/>
  <c r="AF1283" i="3"/>
  <c r="AG1283" i="3"/>
  <c r="AO1283" i="3" s="1"/>
  <c r="AJ1283" i="3"/>
  <c r="AL1283" i="3"/>
  <c r="AM1283" i="3"/>
  <c r="AE1284" i="3"/>
  <c r="AF1284" i="3"/>
  <c r="AM1284" i="3" s="1"/>
  <c r="AG1284" i="3"/>
  <c r="AI1284" i="3"/>
  <c r="AJ1284" i="3"/>
  <c r="AL1284" i="3"/>
  <c r="AO1284" i="3"/>
  <c r="AP1284" i="3"/>
  <c r="AE1285" i="3"/>
  <c r="AI1285" i="3" s="1"/>
  <c r="AF1285" i="3"/>
  <c r="AG1285" i="3"/>
  <c r="AO1285" i="3" s="1"/>
  <c r="AJ1285" i="3"/>
  <c r="AL1285" i="3"/>
  <c r="AM1285" i="3"/>
  <c r="AP1285" i="3"/>
  <c r="AE1286" i="3"/>
  <c r="AF1286" i="3"/>
  <c r="AM1286" i="3" s="1"/>
  <c r="AG1286" i="3"/>
  <c r="AI1286" i="3"/>
  <c r="AJ1286" i="3"/>
  <c r="AL1286" i="3"/>
  <c r="AO1286" i="3"/>
  <c r="AP1286" i="3"/>
  <c r="AE1287" i="3"/>
  <c r="AI1287" i="3" s="1"/>
  <c r="AF1287" i="3"/>
  <c r="AG1287" i="3"/>
  <c r="AO1287" i="3" s="1"/>
  <c r="AJ1287" i="3"/>
  <c r="AL1287" i="3"/>
  <c r="AM1287" i="3"/>
  <c r="AE1288" i="3"/>
  <c r="AF1288" i="3"/>
  <c r="AM1288" i="3" s="1"/>
  <c r="AG1288" i="3"/>
  <c r="AI1288" i="3"/>
  <c r="AJ1288" i="3"/>
  <c r="AL1288" i="3"/>
  <c r="AO1288" i="3"/>
  <c r="AP1288" i="3"/>
  <c r="AE1289" i="3"/>
  <c r="AI1289" i="3" s="1"/>
  <c r="AF1289" i="3"/>
  <c r="AG1289" i="3"/>
  <c r="AO1289" i="3" s="1"/>
  <c r="AJ1289" i="3"/>
  <c r="AL1289" i="3"/>
  <c r="AM1289" i="3"/>
  <c r="AP1289" i="3"/>
  <c r="AE1290" i="3"/>
  <c r="AF1290" i="3"/>
  <c r="AM1290" i="3" s="1"/>
  <c r="AG1290" i="3"/>
  <c r="AI1290" i="3"/>
  <c r="AJ1290" i="3"/>
  <c r="AL1290" i="3"/>
  <c r="AO1290" i="3"/>
  <c r="AP1290" i="3"/>
  <c r="AE1291" i="3"/>
  <c r="AI1291" i="3" s="1"/>
  <c r="AF1291" i="3"/>
  <c r="AG1291" i="3"/>
  <c r="AO1291" i="3" s="1"/>
  <c r="AJ1291" i="3"/>
  <c r="AL1291" i="3"/>
  <c r="AM1291" i="3"/>
  <c r="AE1292" i="3"/>
  <c r="AF1292" i="3"/>
  <c r="AM1292" i="3" s="1"/>
  <c r="AG1292" i="3"/>
  <c r="AI1292" i="3"/>
  <c r="AJ1292" i="3"/>
  <c r="AL1292" i="3"/>
  <c r="AO1292" i="3"/>
  <c r="AP1292" i="3"/>
  <c r="AE1293" i="3"/>
  <c r="AI1293" i="3" s="1"/>
  <c r="AF1293" i="3"/>
  <c r="AG1293" i="3"/>
  <c r="AO1293" i="3" s="1"/>
  <c r="AJ1293" i="3"/>
  <c r="AL1293" i="3"/>
  <c r="AM1293" i="3"/>
  <c r="AP1293" i="3"/>
  <c r="AE1294" i="3"/>
  <c r="AF1294" i="3"/>
  <c r="AM1294" i="3" s="1"/>
  <c r="AG1294" i="3"/>
  <c r="AI1294" i="3"/>
  <c r="AJ1294" i="3"/>
  <c r="AL1294" i="3"/>
  <c r="AO1294" i="3"/>
  <c r="AP1294" i="3"/>
  <c r="AE1295" i="3"/>
  <c r="AI1295" i="3" s="1"/>
  <c r="AF1295" i="3"/>
  <c r="AG1295" i="3"/>
  <c r="AO1295" i="3" s="1"/>
  <c r="AJ1295" i="3"/>
  <c r="AL1295" i="3"/>
  <c r="AM1295" i="3"/>
  <c r="AE1296" i="3"/>
  <c r="AF1296" i="3"/>
  <c r="AM1296" i="3" s="1"/>
  <c r="AG1296" i="3"/>
  <c r="AI1296" i="3"/>
  <c r="AJ1296" i="3"/>
  <c r="AL1296" i="3"/>
  <c r="AO1296" i="3"/>
  <c r="AP1296" i="3"/>
  <c r="AE1297" i="3"/>
  <c r="AI1297" i="3" s="1"/>
  <c r="AF1297" i="3"/>
  <c r="AG1297" i="3"/>
  <c r="AO1297" i="3" s="1"/>
  <c r="AJ1297" i="3"/>
  <c r="AL1297" i="3"/>
  <c r="AM1297" i="3"/>
  <c r="AP1297" i="3"/>
  <c r="AE1298" i="3"/>
  <c r="AF1298" i="3"/>
  <c r="AM1298" i="3" s="1"/>
  <c r="AG1298" i="3"/>
  <c r="AI1298" i="3"/>
  <c r="AJ1298" i="3"/>
  <c r="AL1298" i="3"/>
  <c r="AO1298" i="3"/>
  <c r="AP1298" i="3"/>
  <c r="AE1299" i="3"/>
  <c r="AI1299" i="3" s="1"/>
  <c r="AF1299" i="3"/>
  <c r="AG1299" i="3"/>
  <c r="AO1299" i="3" s="1"/>
  <c r="AJ1299" i="3"/>
  <c r="AL1299" i="3"/>
  <c r="AM1299" i="3"/>
  <c r="AE1300" i="3"/>
  <c r="AF1300" i="3"/>
  <c r="AM1300" i="3" s="1"/>
  <c r="AG1300" i="3"/>
  <c r="AI1300" i="3"/>
  <c r="AJ1300" i="3"/>
  <c r="AL1300" i="3"/>
  <c r="AO1300" i="3"/>
  <c r="AP1300" i="3"/>
  <c r="AE1301" i="3"/>
  <c r="AI1301" i="3" s="1"/>
  <c r="AF1301" i="3"/>
  <c r="AG1301" i="3"/>
  <c r="AO1301" i="3" s="1"/>
  <c r="AJ1301" i="3"/>
  <c r="AL1301" i="3"/>
  <c r="AM1301" i="3"/>
  <c r="AP1301" i="3"/>
  <c r="AE1302" i="3"/>
  <c r="AF1302" i="3"/>
  <c r="AM1302" i="3" s="1"/>
  <c r="AG1302" i="3"/>
  <c r="AI1302" i="3"/>
  <c r="AJ1302" i="3"/>
  <c r="AL1302" i="3"/>
  <c r="AO1302" i="3"/>
  <c r="AP1302" i="3"/>
  <c r="AE1303" i="3"/>
  <c r="AI1303" i="3" s="1"/>
  <c r="AF1303" i="3"/>
  <c r="AG1303" i="3"/>
  <c r="AO1303" i="3" s="1"/>
  <c r="AJ1303" i="3"/>
  <c r="AL1303" i="3"/>
  <c r="AM1303" i="3"/>
  <c r="AE1304" i="3"/>
  <c r="AF1304" i="3"/>
  <c r="AM1304" i="3" s="1"/>
  <c r="AG1304" i="3"/>
  <c r="AI1304" i="3"/>
  <c r="AJ1304" i="3"/>
  <c r="AL1304" i="3"/>
  <c r="AO1304" i="3"/>
  <c r="AP1304" i="3"/>
  <c r="AE1305" i="3"/>
  <c r="AI1305" i="3" s="1"/>
  <c r="AF1305" i="3"/>
  <c r="AG1305" i="3"/>
  <c r="AO1305" i="3" s="1"/>
  <c r="AJ1305" i="3"/>
  <c r="AL1305" i="3"/>
  <c r="AM1305" i="3"/>
  <c r="AP1305" i="3"/>
  <c r="AE1306" i="3"/>
  <c r="AF1306" i="3"/>
  <c r="AM1306" i="3" s="1"/>
  <c r="AG1306" i="3"/>
  <c r="AI1306" i="3"/>
  <c r="AJ1306" i="3"/>
  <c r="AL1306" i="3"/>
  <c r="AO1306" i="3"/>
  <c r="AP1306" i="3"/>
  <c r="AE1307" i="3"/>
  <c r="AI1307" i="3" s="1"/>
  <c r="AF1307" i="3"/>
  <c r="AG1307" i="3"/>
  <c r="AO1307" i="3" s="1"/>
  <c r="AJ1307" i="3"/>
  <c r="AL1307" i="3"/>
  <c r="AM1307" i="3"/>
  <c r="AE1308" i="3"/>
  <c r="AF1308" i="3"/>
  <c r="AM1308" i="3" s="1"/>
  <c r="AG1308" i="3"/>
  <c r="AI1308" i="3"/>
  <c r="AJ1308" i="3"/>
  <c r="AL1308" i="3"/>
  <c r="AO1308" i="3"/>
  <c r="AP1308" i="3"/>
  <c r="AE1309" i="3"/>
  <c r="AI1309" i="3" s="1"/>
  <c r="AF1309" i="3"/>
  <c r="AG1309" i="3"/>
  <c r="AO1309" i="3" s="1"/>
  <c r="AJ1309" i="3"/>
  <c r="AL1309" i="3"/>
  <c r="AM1309" i="3"/>
  <c r="AP1309" i="3"/>
  <c r="AE1310" i="3"/>
  <c r="AF1310" i="3"/>
  <c r="AM1310" i="3" s="1"/>
  <c r="AG1310" i="3"/>
  <c r="AI1310" i="3"/>
  <c r="AJ1310" i="3"/>
  <c r="AL1310" i="3"/>
  <c r="AO1310" i="3"/>
  <c r="AP1310" i="3"/>
  <c r="AE1311" i="3"/>
  <c r="AI1311" i="3" s="1"/>
  <c r="AF1311" i="3"/>
  <c r="AG1311" i="3"/>
  <c r="AO1311" i="3" s="1"/>
  <c r="AJ1311" i="3"/>
  <c r="AL1311" i="3"/>
  <c r="AM1311" i="3"/>
  <c r="AE1312" i="3"/>
  <c r="AF1312" i="3"/>
  <c r="AM1312" i="3" s="1"/>
  <c r="AG1312" i="3"/>
  <c r="AI1312" i="3"/>
  <c r="AJ1312" i="3"/>
  <c r="AL1312" i="3"/>
  <c r="AO1312" i="3"/>
  <c r="AP1312" i="3"/>
  <c r="AE1313" i="3"/>
  <c r="AI1313" i="3" s="1"/>
  <c r="AF1313" i="3"/>
  <c r="AG1313" i="3"/>
  <c r="AO1313" i="3" s="1"/>
  <c r="AJ1313" i="3"/>
  <c r="AL1313" i="3"/>
  <c r="AM1313" i="3"/>
  <c r="AP1313" i="3"/>
  <c r="AE1314" i="3"/>
  <c r="AF1314" i="3"/>
  <c r="AM1314" i="3" s="1"/>
  <c r="AG1314" i="3"/>
  <c r="AI1314" i="3"/>
  <c r="AJ1314" i="3"/>
  <c r="AL1314" i="3"/>
  <c r="AO1314" i="3"/>
  <c r="AP1314" i="3"/>
  <c r="AE1315" i="3"/>
  <c r="AI1315" i="3" s="1"/>
  <c r="AF1315" i="3"/>
  <c r="AG1315" i="3"/>
  <c r="AO1315" i="3" s="1"/>
  <c r="AJ1315" i="3"/>
  <c r="AL1315" i="3"/>
  <c r="AM1315" i="3"/>
  <c r="AE1316" i="3"/>
  <c r="AF1316" i="3"/>
  <c r="AM1316" i="3" s="1"/>
  <c r="AG1316" i="3"/>
  <c r="AI1316" i="3"/>
  <c r="AJ1316" i="3"/>
  <c r="AL1316" i="3"/>
  <c r="AO1316" i="3"/>
  <c r="AP1316" i="3"/>
  <c r="AE1317" i="3"/>
  <c r="AI1317" i="3" s="1"/>
  <c r="AF1317" i="3"/>
  <c r="AG1317" i="3"/>
  <c r="AO1317" i="3" s="1"/>
  <c r="AJ1317" i="3"/>
  <c r="AL1317" i="3"/>
  <c r="AM1317" i="3"/>
  <c r="AP1317" i="3"/>
  <c r="AE1318" i="3"/>
  <c r="AF1318" i="3"/>
  <c r="AM1318" i="3" s="1"/>
  <c r="AG1318" i="3"/>
  <c r="AI1318" i="3"/>
  <c r="AJ1318" i="3"/>
  <c r="AL1318" i="3"/>
  <c r="AO1318" i="3"/>
  <c r="AP1318" i="3"/>
  <c r="AE1319" i="3"/>
  <c r="AI1319" i="3" s="1"/>
  <c r="AF1319" i="3"/>
  <c r="AG1319" i="3"/>
  <c r="AO1319" i="3" s="1"/>
  <c r="AJ1319" i="3"/>
  <c r="AL1319" i="3"/>
  <c r="AM1319" i="3"/>
  <c r="AE1320" i="3"/>
  <c r="AF1320" i="3"/>
  <c r="AM1320" i="3" s="1"/>
  <c r="AG1320" i="3"/>
  <c r="AI1320" i="3"/>
  <c r="AJ1320" i="3"/>
  <c r="AL1320" i="3"/>
  <c r="AO1320" i="3"/>
  <c r="AP1320" i="3"/>
  <c r="AE1321" i="3"/>
  <c r="AI1321" i="3" s="1"/>
  <c r="AF1321" i="3"/>
  <c r="AG1321" i="3"/>
  <c r="AO1321" i="3" s="1"/>
  <c r="AJ1321" i="3"/>
  <c r="AL1321" i="3"/>
  <c r="AM1321" i="3"/>
  <c r="AP1321" i="3"/>
  <c r="AE1322" i="3"/>
  <c r="AF1322" i="3"/>
  <c r="AM1322" i="3" s="1"/>
  <c r="AG1322" i="3"/>
  <c r="AI1322" i="3"/>
  <c r="AJ1322" i="3"/>
  <c r="AL1322" i="3"/>
  <c r="AO1322" i="3"/>
  <c r="AP1322" i="3"/>
  <c r="AE1323" i="3"/>
  <c r="AI1323" i="3" s="1"/>
  <c r="AF1323" i="3"/>
  <c r="AG1323" i="3"/>
  <c r="AO1323" i="3" s="1"/>
  <c r="AJ1323" i="3"/>
  <c r="AL1323" i="3"/>
  <c r="AM1323" i="3"/>
  <c r="AE1324" i="3"/>
  <c r="AF1324" i="3"/>
  <c r="AM1324" i="3" s="1"/>
  <c r="AG1324" i="3"/>
  <c r="AI1324" i="3"/>
  <c r="AJ1324" i="3"/>
  <c r="AL1324" i="3"/>
  <c r="AO1324" i="3"/>
  <c r="AP1324" i="3"/>
  <c r="AE1325" i="3"/>
  <c r="AI1325" i="3" s="1"/>
  <c r="AF1325" i="3"/>
  <c r="AG1325" i="3"/>
  <c r="AO1325" i="3" s="1"/>
  <c r="AJ1325" i="3"/>
  <c r="AL1325" i="3"/>
  <c r="AM1325" i="3"/>
  <c r="AP1325" i="3"/>
  <c r="AE1326" i="3"/>
  <c r="AF1326" i="3"/>
  <c r="AM1326" i="3" s="1"/>
  <c r="AG1326" i="3"/>
  <c r="AI1326" i="3"/>
  <c r="AJ1326" i="3"/>
  <c r="AL1326" i="3"/>
  <c r="AO1326" i="3"/>
  <c r="AP1326" i="3"/>
  <c r="AE1327" i="3"/>
  <c r="AI1327" i="3" s="1"/>
  <c r="AF1327" i="3"/>
  <c r="AG1327" i="3"/>
  <c r="AO1327" i="3" s="1"/>
  <c r="AJ1327" i="3"/>
  <c r="AL1327" i="3"/>
  <c r="AM1327" i="3"/>
  <c r="AE1328" i="3"/>
  <c r="AF1328" i="3"/>
  <c r="AM1328" i="3" s="1"/>
  <c r="AG1328" i="3"/>
  <c r="AI1328" i="3"/>
  <c r="AJ1328" i="3"/>
  <c r="AL1328" i="3"/>
  <c r="AO1328" i="3"/>
  <c r="AP1328" i="3"/>
  <c r="AE1329" i="3"/>
  <c r="AI1329" i="3" s="1"/>
  <c r="AF1329" i="3"/>
  <c r="AG1329" i="3"/>
  <c r="AO1329" i="3" s="1"/>
  <c r="AJ1329" i="3"/>
  <c r="AL1329" i="3"/>
  <c r="AM1329" i="3"/>
  <c r="AP1329" i="3"/>
  <c r="AE1330" i="3"/>
  <c r="AF1330" i="3"/>
  <c r="AM1330" i="3" s="1"/>
  <c r="AG1330" i="3"/>
  <c r="AI1330" i="3"/>
  <c r="AJ1330" i="3"/>
  <c r="AL1330" i="3"/>
  <c r="AO1330" i="3"/>
  <c r="AP1330" i="3"/>
  <c r="AE1331" i="3"/>
  <c r="AI1331" i="3" s="1"/>
  <c r="AF1331" i="3"/>
  <c r="AG1331" i="3"/>
  <c r="AO1331" i="3" s="1"/>
  <c r="AJ1331" i="3"/>
  <c r="AL1331" i="3"/>
  <c r="AM1331" i="3"/>
  <c r="AE1332" i="3"/>
  <c r="AF1332" i="3"/>
  <c r="AM1332" i="3" s="1"/>
  <c r="AG1332" i="3"/>
  <c r="AI1332" i="3"/>
  <c r="AJ1332" i="3"/>
  <c r="AL1332" i="3"/>
  <c r="AO1332" i="3"/>
  <c r="AP1332" i="3"/>
  <c r="AE1333" i="3"/>
  <c r="AI1333" i="3" s="1"/>
  <c r="AF1333" i="3"/>
  <c r="AG1333" i="3"/>
  <c r="AO1333" i="3" s="1"/>
  <c r="AJ1333" i="3"/>
  <c r="AL1333" i="3"/>
  <c r="AM1333" i="3"/>
  <c r="AP1333" i="3"/>
  <c r="AE1334" i="3"/>
  <c r="AF1334" i="3"/>
  <c r="AM1334" i="3" s="1"/>
  <c r="AG1334" i="3"/>
  <c r="AI1334" i="3"/>
  <c r="AJ1334" i="3"/>
  <c r="AL1334" i="3"/>
  <c r="AO1334" i="3"/>
  <c r="AP1334" i="3"/>
  <c r="AE1335" i="3"/>
  <c r="AI1335" i="3" s="1"/>
  <c r="AF1335" i="3"/>
  <c r="AG1335" i="3"/>
  <c r="AO1335" i="3" s="1"/>
  <c r="AJ1335" i="3"/>
  <c r="AL1335" i="3"/>
  <c r="AM1335" i="3"/>
  <c r="AE1336" i="3"/>
  <c r="AF1336" i="3"/>
  <c r="AM1336" i="3" s="1"/>
  <c r="AG1336" i="3"/>
  <c r="AI1336" i="3"/>
  <c r="AJ1336" i="3"/>
  <c r="AL1336" i="3"/>
  <c r="AO1336" i="3"/>
  <c r="AP1336" i="3"/>
  <c r="AE1337" i="3"/>
  <c r="AI1337" i="3" s="1"/>
  <c r="AF1337" i="3"/>
  <c r="AG1337" i="3"/>
  <c r="AO1337" i="3" s="1"/>
  <c r="AJ1337" i="3"/>
  <c r="AL1337" i="3"/>
  <c r="AM1337" i="3"/>
  <c r="AP1337" i="3"/>
  <c r="AE1338" i="3"/>
  <c r="AF1338" i="3"/>
  <c r="AM1338" i="3" s="1"/>
  <c r="AG1338" i="3"/>
  <c r="AI1338" i="3"/>
  <c r="AJ1338" i="3"/>
  <c r="AL1338" i="3"/>
  <c r="AO1338" i="3"/>
  <c r="AP1338" i="3"/>
  <c r="AE1339" i="3"/>
  <c r="AI1339" i="3" s="1"/>
  <c r="AF1339" i="3"/>
  <c r="AG1339" i="3"/>
  <c r="AO1339" i="3" s="1"/>
  <c r="AJ1339" i="3"/>
  <c r="AL1339" i="3"/>
  <c r="AM1339" i="3"/>
  <c r="AE1340" i="3"/>
  <c r="AF1340" i="3"/>
  <c r="AM1340" i="3" s="1"/>
  <c r="AG1340" i="3"/>
  <c r="AI1340" i="3"/>
  <c r="AJ1340" i="3"/>
  <c r="AL1340" i="3"/>
  <c r="AO1340" i="3"/>
  <c r="AP1340" i="3"/>
  <c r="AE1341" i="3"/>
  <c r="AI1341" i="3" s="1"/>
  <c r="AF1341" i="3"/>
  <c r="AG1341" i="3"/>
  <c r="AO1341" i="3" s="1"/>
  <c r="AJ1341" i="3"/>
  <c r="AL1341" i="3"/>
  <c r="AM1341" i="3"/>
  <c r="AP1341" i="3"/>
  <c r="AE1342" i="3"/>
  <c r="AF1342" i="3"/>
  <c r="AM1342" i="3" s="1"/>
  <c r="AG1342" i="3"/>
  <c r="AI1342" i="3"/>
  <c r="AJ1342" i="3"/>
  <c r="AL1342" i="3"/>
  <c r="AO1342" i="3"/>
  <c r="AP1342" i="3"/>
  <c r="AE1343" i="3"/>
  <c r="AI1343" i="3" s="1"/>
  <c r="AF1343" i="3"/>
  <c r="AG1343" i="3"/>
  <c r="AO1343" i="3" s="1"/>
  <c r="AJ1343" i="3"/>
  <c r="AL1343" i="3"/>
  <c r="AM1343" i="3"/>
  <c r="AE1344" i="3"/>
  <c r="AF1344" i="3"/>
  <c r="AM1344" i="3" s="1"/>
  <c r="AG1344" i="3"/>
  <c r="AP1344" i="3" s="1"/>
  <c r="AI1344" i="3"/>
  <c r="AJ1344" i="3"/>
  <c r="AL1344" i="3"/>
  <c r="AO1344" i="3"/>
  <c r="AE1345" i="3"/>
  <c r="AI1345" i="3" s="1"/>
  <c r="AF1345" i="3"/>
  <c r="AG1345" i="3"/>
  <c r="AO1345" i="3" s="1"/>
  <c r="AJ1345" i="3"/>
  <c r="AL1345" i="3"/>
  <c r="AM1345" i="3"/>
  <c r="AP1345" i="3"/>
  <c r="AE1346" i="3"/>
  <c r="AF1346" i="3"/>
  <c r="AM1346" i="3" s="1"/>
  <c r="AG1346" i="3"/>
  <c r="AI1346" i="3"/>
  <c r="AJ1346" i="3"/>
  <c r="AL1346" i="3"/>
  <c r="AO1346" i="3"/>
  <c r="AP1346" i="3"/>
  <c r="AE1347" i="3"/>
  <c r="AI1347" i="3" s="1"/>
  <c r="AF1347" i="3"/>
  <c r="AG1347" i="3"/>
  <c r="AO1347" i="3" s="1"/>
  <c r="AJ1347" i="3"/>
  <c r="AL1347" i="3"/>
  <c r="AM1347" i="3"/>
  <c r="AE1348" i="3"/>
  <c r="AF1348" i="3"/>
  <c r="AM1348" i="3" s="1"/>
  <c r="AG1348" i="3"/>
  <c r="AI1348" i="3"/>
  <c r="AJ1348" i="3"/>
  <c r="AL1348" i="3"/>
  <c r="AO1348" i="3"/>
  <c r="AP1348" i="3"/>
  <c r="AE1349" i="3"/>
  <c r="AI1349" i="3" s="1"/>
  <c r="AF1349" i="3"/>
  <c r="AG1349" i="3"/>
  <c r="AO1349" i="3" s="1"/>
  <c r="AJ1349" i="3"/>
  <c r="AL1349" i="3"/>
  <c r="AM1349" i="3"/>
  <c r="AP1349" i="3"/>
  <c r="AE1350" i="3"/>
  <c r="AF1350" i="3"/>
  <c r="AM1350" i="3" s="1"/>
  <c r="AG1350" i="3"/>
  <c r="AI1350" i="3"/>
  <c r="AJ1350" i="3"/>
  <c r="AL1350" i="3"/>
  <c r="AO1350" i="3"/>
  <c r="AP1350" i="3"/>
  <c r="AE1351" i="3"/>
  <c r="AI1351" i="3" s="1"/>
  <c r="AF1351" i="3"/>
  <c r="AG1351" i="3"/>
  <c r="AO1351" i="3" s="1"/>
  <c r="AJ1351" i="3"/>
  <c r="AL1351" i="3"/>
  <c r="AM1351" i="3"/>
  <c r="AE1352" i="3"/>
  <c r="AF1352" i="3"/>
  <c r="AM1352" i="3" s="1"/>
  <c r="AG1352" i="3"/>
  <c r="AI1352" i="3"/>
  <c r="AJ1352" i="3"/>
  <c r="AL1352" i="3"/>
  <c r="AO1352" i="3"/>
  <c r="AP1352" i="3"/>
  <c r="AE1353" i="3"/>
  <c r="AI1353" i="3" s="1"/>
  <c r="AF1353" i="3"/>
  <c r="AG1353" i="3"/>
  <c r="AO1353" i="3" s="1"/>
  <c r="AJ1353" i="3"/>
  <c r="AL1353" i="3"/>
  <c r="AM1353" i="3"/>
  <c r="AP1353" i="3"/>
  <c r="AE1354" i="3"/>
  <c r="AF1354" i="3"/>
  <c r="AM1354" i="3" s="1"/>
  <c r="AG1354" i="3"/>
  <c r="AI1354" i="3"/>
  <c r="AJ1354" i="3"/>
  <c r="AL1354" i="3"/>
  <c r="AO1354" i="3"/>
  <c r="AP1354" i="3"/>
  <c r="AE1355" i="3"/>
  <c r="AI1355" i="3" s="1"/>
  <c r="AF1355" i="3"/>
  <c r="AG1355" i="3"/>
  <c r="AO1355" i="3" s="1"/>
  <c r="AJ1355" i="3"/>
  <c r="AL1355" i="3"/>
  <c r="AM1355" i="3"/>
  <c r="AE1356" i="3"/>
  <c r="AF1356" i="3"/>
  <c r="AM1356" i="3" s="1"/>
  <c r="AG1356" i="3"/>
  <c r="AI1356" i="3"/>
  <c r="AJ1356" i="3"/>
  <c r="AL1356" i="3"/>
  <c r="AO1356" i="3"/>
  <c r="AP1356" i="3"/>
  <c r="AE1357" i="3"/>
  <c r="AI1357" i="3" s="1"/>
  <c r="AF1357" i="3"/>
  <c r="AG1357" i="3"/>
  <c r="AO1357" i="3" s="1"/>
  <c r="AJ1357" i="3"/>
  <c r="AL1357" i="3"/>
  <c r="AM1357" i="3"/>
  <c r="AP1357" i="3"/>
  <c r="AE1358" i="3"/>
  <c r="AF1358" i="3"/>
  <c r="AM1358" i="3" s="1"/>
  <c r="AG1358" i="3"/>
  <c r="AI1358" i="3"/>
  <c r="AJ1358" i="3"/>
  <c r="AL1358" i="3"/>
  <c r="AO1358" i="3"/>
  <c r="AP1358" i="3"/>
  <c r="AE1359" i="3"/>
  <c r="AI1359" i="3" s="1"/>
  <c r="AF1359" i="3"/>
  <c r="AG1359" i="3"/>
  <c r="AO1359" i="3" s="1"/>
  <c r="AJ1359" i="3"/>
  <c r="AL1359" i="3"/>
  <c r="AM1359" i="3"/>
  <c r="AE1360" i="3"/>
  <c r="AF1360" i="3"/>
  <c r="AM1360" i="3" s="1"/>
  <c r="AG1360" i="3"/>
  <c r="AI1360" i="3"/>
  <c r="AJ1360" i="3"/>
  <c r="AL1360" i="3"/>
  <c r="AO1360" i="3"/>
  <c r="AP1360" i="3"/>
  <c r="AE1361" i="3"/>
  <c r="AI1361" i="3" s="1"/>
  <c r="AF1361" i="3"/>
  <c r="AG1361" i="3"/>
  <c r="AO1361" i="3" s="1"/>
  <c r="AJ1361" i="3"/>
  <c r="AL1361" i="3"/>
  <c r="AM1361" i="3"/>
  <c r="AP1361" i="3"/>
  <c r="AE1362" i="3"/>
  <c r="AF1362" i="3"/>
  <c r="AM1362" i="3" s="1"/>
  <c r="AG1362" i="3"/>
  <c r="AI1362" i="3"/>
  <c r="AJ1362" i="3"/>
  <c r="AL1362" i="3"/>
  <c r="AO1362" i="3"/>
  <c r="AP1362" i="3"/>
  <c r="AE1363" i="3"/>
  <c r="AI1363" i="3" s="1"/>
  <c r="AF1363" i="3"/>
  <c r="AG1363" i="3"/>
  <c r="AO1363" i="3" s="1"/>
  <c r="AJ1363" i="3"/>
  <c r="AL1363" i="3"/>
  <c r="AM1363" i="3"/>
  <c r="AE1364" i="3"/>
  <c r="AF1364" i="3"/>
  <c r="AM1364" i="3" s="1"/>
  <c r="AG1364" i="3"/>
  <c r="AI1364" i="3"/>
  <c r="AJ1364" i="3"/>
  <c r="AL1364" i="3"/>
  <c r="AO1364" i="3"/>
  <c r="AP1364" i="3"/>
  <c r="AE1365" i="3"/>
  <c r="AI1365" i="3" s="1"/>
  <c r="AF1365" i="3"/>
  <c r="AG1365" i="3"/>
  <c r="AO1365" i="3" s="1"/>
  <c r="AJ1365" i="3"/>
  <c r="AL1365" i="3"/>
  <c r="AM1365" i="3"/>
  <c r="AP1365" i="3"/>
  <c r="AE1366" i="3"/>
  <c r="AF1366" i="3"/>
  <c r="AM1366" i="3" s="1"/>
  <c r="AG1366" i="3"/>
  <c r="AI1366" i="3"/>
  <c r="AJ1366" i="3"/>
  <c r="AL1366" i="3"/>
  <c r="AO1366" i="3"/>
  <c r="AP1366" i="3"/>
  <c r="AE1367" i="3"/>
  <c r="AI1367" i="3" s="1"/>
  <c r="AF1367" i="3"/>
  <c r="AG1367" i="3"/>
  <c r="AO1367" i="3" s="1"/>
  <c r="AJ1367" i="3"/>
  <c r="AL1367" i="3"/>
  <c r="AM1367" i="3"/>
  <c r="AE1368" i="3"/>
  <c r="AF1368" i="3"/>
  <c r="AM1368" i="3" s="1"/>
  <c r="AG1368" i="3"/>
  <c r="AI1368" i="3"/>
  <c r="AJ1368" i="3"/>
  <c r="AL1368" i="3"/>
  <c r="AO1368" i="3"/>
  <c r="AP1368" i="3"/>
  <c r="AE1369" i="3"/>
  <c r="AI1369" i="3" s="1"/>
  <c r="AF1369" i="3"/>
  <c r="AG1369" i="3"/>
  <c r="AO1369" i="3" s="1"/>
  <c r="AJ1369" i="3"/>
  <c r="AL1369" i="3"/>
  <c r="AM1369" i="3"/>
  <c r="AP1369" i="3"/>
  <c r="AE1370" i="3"/>
  <c r="AF1370" i="3"/>
  <c r="AM1370" i="3" s="1"/>
  <c r="AG1370" i="3"/>
  <c r="AI1370" i="3"/>
  <c r="AJ1370" i="3"/>
  <c r="AL1370" i="3"/>
  <c r="AO1370" i="3"/>
  <c r="AP1370" i="3"/>
  <c r="AE1371" i="3"/>
  <c r="AI1371" i="3" s="1"/>
  <c r="AF1371" i="3"/>
  <c r="AG1371" i="3"/>
  <c r="AO1371" i="3" s="1"/>
  <c r="AJ1371" i="3"/>
  <c r="AL1371" i="3"/>
  <c r="AM1371" i="3"/>
  <c r="AE1372" i="3"/>
  <c r="AF1372" i="3"/>
  <c r="AM1372" i="3" s="1"/>
  <c r="AG1372" i="3"/>
  <c r="AI1372" i="3"/>
  <c r="AJ1372" i="3"/>
  <c r="AL1372" i="3"/>
  <c r="AO1372" i="3"/>
  <c r="AP1372" i="3"/>
  <c r="AE1373" i="3"/>
  <c r="AI1373" i="3" s="1"/>
  <c r="AF1373" i="3"/>
  <c r="AG1373" i="3"/>
  <c r="AO1373" i="3" s="1"/>
  <c r="AJ1373" i="3"/>
  <c r="AL1373" i="3"/>
  <c r="AM1373" i="3"/>
  <c r="AP1373" i="3"/>
  <c r="AE1374" i="3"/>
  <c r="AF1374" i="3"/>
  <c r="AM1374" i="3" s="1"/>
  <c r="AG1374" i="3"/>
  <c r="AI1374" i="3"/>
  <c r="AJ1374" i="3"/>
  <c r="AL1374" i="3"/>
  <c r="AO1374" i="3"/>
  <c r="AP1374" i="3"/>
  <c r="AE1375" i="3"/>
  <c r="AI1375" i="3" s="1"/>
  <c r="AF1375" i="3"/>
  <c r="AG1375" i="3"/>
  <c r="AO1375" i="3" s="1"/>
  <c r="AJ1375" i="3"/>
  <c r="AL1375" i="3"/>
  <c r="AM1375" i="3"/>
  <c r="AE1376" i="3"/>
  <c r="AF1376" i="3"/>
  <c r="AM1376" i="3" s="1"/>
  <c r="AG1376" i="3"/>
  <c r="AI1376" i="3"/>
  <c r="AJ1376" i="3"/>
  <c r="AL1376" i="3"/>
  <c r="AO1376" i="3"/>
  <c r="AP1376" i="3"/>
  <c r="AE1377" i="3"/>
  <c r="AI1377" i="3" s="1"/>
  <c r="AF1377" i="3"/>
  <c r="AG1377" i="3"/>
  <c r="AO1377" i="3" s="1"/>
  <c r="AJ1377" i="3"/>
  <c r="AL1377" i="3"/>
  <c r="AM1377" i="3"/>
  <c r="AP1377" i="3"/>
  <c r="AE1378" i="3"/>
  <c r="AF1378" i="3"/>
  <c r="AM1378" i="3" s="1"/>
  <c r="AG1378" i="3"/>
  <c r="AI1378" i="3"/>
  <c r="AJ1378" i="3"/>
  <c r="AL1378" i="3"/>
  <c r="AO1378" i="3"/>
  <c r="AP1378" i="3"/>
  <c r="AE1379" i="3"/>
  <c r="AI1379" i="3" s="1"/>
  <c r="AF1379" i="3"/>
  <c r="AG1379" i="3"/>
  <c r="AO1379" i="3" s="1"/>
  <c r="AJ1379" i="3"/>
  <c r="AL1379" i="3"/>
  <c r="AM1379" i="3"/>
  <c r="AE1380" i="3"/>
  <c r="AF1380" i="3"/>
  <c r="AM1380" i="3" s="1"/>
  <c r="AG1380" i="3"/>
  <c r="AP1380" i="3" s="1"/>
  <c r="AI1380" i="3"/>
  <c r="AJ1380" i="3"/>
  <c r="AL1380" i="3"/>
  <c r="AO1380" i="3"/>
  <c r="AE1381" i="3"/>
  <c r="AI1381" i="3" s="1"/>
  <c r="AF1381" i="3"/>
  <c r="AG1381" i="3"/>
  <c r="AO1381" i="3" s="1"/>
  <c r="AJ1381" i="3"/>
  <c r="AL1381" i="3"/>
  <c r="AM1381" i="3"/>
  <c r="AP1381" i="3"/>
  <c r="AE1382" i="3"/>
  <c r="AF1382" i="3"/>
  <c r="AM1382" i="3" s="1"/>
  <c r="AG1382" i="3"/>
  <c r="AI1382" i="3"/>
  <c r="AJ1382" i="3"/>
  <c r="AL1382" i="3"/>
  <c r="AO1382" i="3"/>
  <c r="AP1382" i="3"/>
  <c r="AE1383" i="3"/>
  <c r="AI1383" i="3" s="1"/>
  <c r="AF1383" i="3"/>
  <c r="AG1383" i="3"/>
  <c r="AO1383" i="3" s="1"/>
  <c r="AJ1383" i="3"/>
  <c r="AL1383" i="3"/>
  <c r="AM1383" i="3"/>
  <c r="AE1384" i="3"/>
  <c r="AF1384" i="3"/>
  <c r="AM1384" i="3" s="1"/>
  <c r="AG1384" i="3"/>
  <c r="AP1384" i="3" s="1"/>
  <c r="AI1384" i="3"/>
  <c r="AJ1384" i="3"/>
  <c r="AL1384" i="3"/>
  <c r="AO1384" i="3"/>
  <c r="AE1385" i="3"/>
  <c r="AI1385" i="3" s="1"/>
  <c r="AF1385" i="3"/>
  <c r="AG1385" i="3"/>
  <c r="AO1385" i="3" s="1"/>
  <c r="AJ1385" i="3"/>
  <c r="AL1385" i="3"/>
  <c r="AM1385" i="3"/>
  <c r="AP1385" i="3"/>
  <c r="AE1386" i="3"/>
  <c r="AF1386" i="3"/>
  <c r="AM1386" i="3" s="1"/>
  <c r="AG1386" i="3"/>
  <c r="AI1386" i="3"/>
  <c r="AJ1386" i="3"/>
  <c r="AL1386" i="3"/>
  <c r="AO1386" i="3"/>
  <c r="AP1386" i="3"/>
  <c r="AE1387" i="3"/>
  <c r="AI1387" i="3" s="1"/>
  <c r="AF1387" i="3"/>
  <c r="AG1387" i="3"/>
  <c r="AO1387" i="3" s="1"/>
  <c r="AJ1387" i="3"/>
  <c r="AL1387" i="3"/>
  <c r="AM1387" i="3"/>
  <c r="AE1388" i="3"/>
  <c r="AF1388" i="3"/>
  <c r="AM1388" i="3" s="1"/>
  <c r="AG1388" i="3"/>
  <c r="AP1388" i="3" s="1"/>
  <c r="AI1388" i="3"/>
  <c r="AJ1388" i="3"/>
  <c r="AL1388" i="3"/>
  <c r="AO1388" i="3"/>
  <c r="AE1389" i="3"/>
  <c r="AI1389" i="3" s="1"/>
  <c r="AF1389" i="3"/>
  <c r="AG1389" i="3"/>
  <c r="AO1389" i="3" s="1"/>
  <c r="AJ1389" i="3"/>
  <c r="AL1389" i="3"/>
  <c r="AM1389" i="3"/>
  <c r="AP1389" i="3"/>
  <c r="AE1390" i="3"/>
  <c r="AF1390" i="3"/>
  <c r="AM1390" i="3" s="1"/>
  <c r="AG1390" i="3"/>
  <c r="AI1390" i="3"/>
  <c r="AJ1390" i="3"/>
  <c r="AL1390" i="3"/>
  <c r="AO1390" i="3"/>
  <c r="AP1390" i="3"/>
  <c r="AE1391" i="3"/>
  <c r="AI1391" i="3" s="1"/>
  <c r="AF1391" i="3"/>
  <c r="AG1391" i="3"/>
  <c r="AO1391" i="3" s="1"/>
  <c r="AJ1391" i="3"/>
  <c r="AL1391" i="3"/>
  <c r="AM1391" i="3"/>
  <c r="AE1392" i="3"/>
  <c r="AF1392" i="3"/>
  <c r="AM1392" i="3" s="1"/>
  <c r="AG1392" i="3"/>
  <c r="AP1392" i="3" s="1"/>
  <c r="AI1392" i="3"/>
  <c r="AJ1392" i="3"/>
  <c r="AL1392" i="3"/>
  <c r="AO1392" i="3"/>
  <c r="AE1393" i="3"/>
  <c r="AI1393" i="3" s="1"/>
  <c r="AF1393" i="3"/>
  <c r="AG1393" i="3"/>
  <c r="AO1393" i="3" s="1"/>
  <c r="AJ1393" i="3"/>
  <c r="AL1393" i="3"/>
  <c r="AM1393" i="3"/>
  <c r="AP1393" i="3"/>
  <c r="AE1394" i="3"/>
  <c r="AF1394" i="3"/>
  <c r="AM1394" i="3" s="1"/>
  <c r="AG1394" i="3"/>
  <c r="AI1394" i="3"/>
  <c r="AJ1394" i="3"/>
  <c r="AL1394" i="3"/>
  <c r="AO1394" i="3"/>
  <c r="AP1394" i="3"/>
  <c r="AE1395" i="3"/>
  <c r="AI1395" i="3" s="1"/>
  <c r="AF1395" i="3"/>
  <c r="AG1395" i="3"/>
  <c r="AO1395" i="3" s="1"/>
  <c r="AJ1395" i="3"/>
  <c r="AL1395" i="3"/>
  <c r="AM1395" i="3"/>
  <c r="AE1396" i="3"/>
  <c r="AF1396" i="3"/>
  <c r="AM1396" i="3" s="1"/>
  <c r="AG1396" i="3"/>
  <c r="AI1396" i="3"/>
  <c r="AJ1396" i="3"/>
  <c r="AL1396" i="3"/>
  <c r="AO1396" i="3"/>
  <c r="AP1396" i="3"/>
  <c r="AE1397" i="3"/>
  <c r="AI1397" i="3" s="1"/>
  <c r="AF1397" i="3"/>
  <c r="AG1397" i="3"/>
  <c r="AO1397" i="3" s="1"/>
  <c r="AJ1397" i="3"/>
  <c r="AL1397" i="3"/>
  <c r="AM1397" i="3"/>
  <c r="AP1397" i="3"/>
  <c r="AE1398" i="3"/>
  <c r="AF1398" i="3"/>
  <c r="AM1398" i="3" s="1"/>
  <c r="AG1398" i="3"/>
  <c r="AI1398" i="3"/>
  <c r="AJ1398" i="3"/>
  <c r="AL1398" i="3"/>
  <c r="AO1398" i="3"/>
  <c r="AP1398" i="3"/>
  <c r="AE1399" i="3"/>
  <c r="AI1399" i="3" s="1"/>
  <c r="AF1399" i="3"/>
  <c r="AG1399" i="3"/>
  <c r="AO1399" i="3" s="1"/>
  <c r="AJ1399" i="3"/>
  <c r="AL1399" i="3"/>
  <c r="AM1399" i="3"/>
  <c r="AE1400" i="3"/>
  <c r="AF1400" i="3"/>
  <c r="AM1400" i="3" s="1"/>
  <c r="AG1400" i="3"/>
  <c r="AI1400" i="3"/>
  <c r="AJ1400" i="3"/>
  <c r="AL1400" i="3"/>
  <c r="AO1400" i="3"/>
  <c r="AP1400" i="3"/>
  <c r="AE1401" i="3"/>
  <c r="AI1401" i="3" s="1"/>
  <c r="AF1401" i="3"/>
  <c r="AG1401" i="3"/>
  <c r="AO1401" i="3" s="1"/>
  <c r="AJ1401" i="3"/>
  <c r="AL1401" i="3"/>
  <c r="AM1401" i="3"/>
  <c r="AP1401" i="3"/>
  <c r="AE1402" i="3"/>
  <c r="AF1402" i="3"/>
  <c r="AM1402" i="3" s="1"/>
  <c r="AG1402" i="3"/>
  <c r="AI1402" i="3"/>
  <c r="AJ1402" i="3"/>
  <c r="AL1402" i="3"/>
  <c r="AO1402" i="3"/>
  <c r="AP1402" i="3"/>
  <c r="AE1403" i="3"/>
  <c r="AI1403" i="3" s="1"/>
  <c r="AF1403" i="3"/>
  <c r="AG1403" i="3"/>
  <c r="AO1403" i="3" s="1"/>
  <c r="AJ1403" i="3"/>
  <c r="AL1403" i="3"/>
  <c r="AM1403" i="3"/>
  <c r="AE1404" i="3"/>
  <c r="AF1404" i="3"/>
  <c r="AM1404" i="3" s="1"/>
  <c r="AG1404" i="3"/>
  <c r="AI1404" i="3"/>
  <c r="AJ1404" i="3"/>
  <c r="AL1404" i="3"/>
  <c r="AO1404" i="3"/>
  <c r="AP1404" i="3"/>
  <c r="AE1405" i="3"/>
  <c r="AI1405" i="3" s="1"/>
  <c r="AF1405" i="3"/>
  <c r="AG1405" i="3"/>
  <c r="AO1405" i="3" s="1"/>
  <c r="AJ1405" i="3"/>
  <c r="AL1405" i="3"/>
  <c r="AM1405" i="3"/>
  <c r="AP1405" i="3"/>
  <c r="AE1406" i="3"/>
  <c r="AF1406" i="3"/>
  <c r="AM1406" i="3" s="1"/>
  <c r="AG1406" i="3"/>
  <c r="AI1406" i="3"/>
  <c r="AJ1406" i="3"/>
  <c r="AL1406" i="3"/>
  <c r="AO1406" i="3"/>
  <c r="AP1406" i="3"/>
  <c r="AE1407" i="3"/>
  <c r="AI1407" i="3" s="1"/>
  <c r="AF1407" i="3"/>
  <c r="AG1407" i="3"/>
  <c r="AO1407" i="3" s="1"/>
  <c r="AJ1407" i="3"/>
  <c r="AL1407" i="3"/>
  <c r="AM1407" i="3"/>
  <c r="AE1408" i="3"/>
  <c r="AF1408" i="3"/>
  <c r="AM1408" i="3" s="1"/>
  <c r="AG1408" i="3"/>
  <c r="AI1408" i="3"/>
  <c r="AJ1408" i="3"/>
  <c r="AL1408" i="3"/>
  <c r="AO1408" i="3"/>
  <c r="AP1408" i="3"/>
  <c r="AE1409" i="3"/>
  <c r="AI1409" i="3" s="1"/>
  <c r="AF1409" i="3"/>
  <c r="AG1409" i="3"/>
  <c r="AO1409" i="3" s="1"/>
  <c r="AJ1409" i="3"/>
  <c r="AL1409" i="3"/>
  <c r="AM1409" i="3"/>
  <c r="AP1409" i="3"/>
  <c r="AE1410" i="3"/>
  <c r="AF1410" i="3"/>
  <c r="AM1410" i="3" s="1"/>
  <c r="AG1410" i="3"/>
  <c r="AI1410" i="3"/>
  <c r="AJ1410" i="3"/>
  <c r="AL1410" i="3"/>
  <c r="AO1410" i="3"/>
  <c r="AP1410" i="3"/>
  <c r="AE1411" i="3"/>
  <c r="AI1411" i="3" s="1"/>
  <c r="AF1411" i="3"/>
  <c r="AG1411" i="3"/>
  <c r="AO1411" i="3" s="1"/>
  <c r="AJ1411" i="3"/>
  <c r="AL1411" i="3"/>
  <c r="AM1411" i="3"/>
  <c r="AE1412" i="3"/>
  <c r="AF1412" i="3"/>
  <c r="AM1412" i="3" s="1"/>
  <c r="AG1412" i="3"/>
  <c r="AI1412" i="3"/>
  <c r="AJ1412" i="3"/>
  <c r="AL1412" i="3"/>
  <c r="AO1412" i="3"/>
  <c r="AP1412" i="3"/>
  <c r="AE1413" i="3"/>
  <c r="AI1413" i="3" s="1"/>
  <c r="AF1413" i="3"/>
  <c r="AG1413" i="3"/>
  <c r="AO1413" i="3" s="1"/>
  <c r="AJ1413" i="3"/>
  <c r="AL1413" i="3"/>
  <c r="AM1413" i="3"/>
  <c r="AP1413" i="3"/>
  <c r="AE1414" i="3"/>
  <c r="AF1414" i="3"/>
  <c r="AM1414" i="3" s="1"/>
  <c r="AG1414" i="3"/>
  <c r="AI1414" i="3"/>
  <c r="AJ1414" i="3"/>
  <c r="AL1414" i="3"/>
  <c r="AO1414" i="3"/>
  <c r="AP1414" i="3"/>
  <c r="AE1415" i="3"/>
  <c r="AI1415" i="3" s="1"/>
  <c r="AF1415" i="3"/>
  <c r="AG1415" i="3"/>
  <c r="AO1415" i="3" s="1"/>
  <c r="AJ1415" i="3"/>
  <c r="AL1415" i="3"/>
  <c r="AM1415" i="3"/>
  <c r="AE1416" i="3"/>
  <c r="AF1416" i="3"/>
  <c r="AM1416" i="3" s="1"/>
  <c r="AG1416" i="3"/>
  <c r="AI1416" i="3"/>
  <c r="AJ1416" i="3"/>
  <c r="AL1416" i="3"/>
  <c r="AO1416" i="3"/>
  <c r="AP1416" i="3"/>
  <c r="AE1417" i="3"/>
  <c r="AI1417" i="3" s="1"/>
  <c r="AF1417" i="3"/>
  <c r="AG1417" i="3"/>
  <c r="AO1417" i="3" s="1"/>
  <c r="AJ1417" i="3"/>
  <c r="AL1417" i="3"/>
  <c r="AM1417" i="3"/>
  <c r="AP1417" i="3"/>
  <c r="AE1418" i="3"/>
  <c r="AF1418" i="3"/>
  <c r="AM1418" i="3" s="1"/>
  <c r="AG1418" i="3"/>
  <c r="AI1418" i="3"/>
  <c r="AJ1418" i="3"/>
  <c r="AL1418" i="3"/>
  <c r="AO1418" i="3"/>
  <c r="AP1418" i="3"/>
  <c r="AE1419" i="3"/>
  <c r="AI1419" i="3" s="1"/>
  <c r="AF1419" i="3"/>
  <c r="AG1419" i="3"/>
  <c r="AO1419" i="3" s="1"/>
  <c r="AJ1419" i="3"/>
  <c r="AL1419" i="3"/>
  <c r="AM1419" i="3"/>
  <c r="AE1420" i="3"/>
  <c r="AF1420" i="3"/>
  <c r="AM1420" i="3" s="1"/>
  <c r="AG1420" i="3"/>
  <c r="AI1420" i="3"/>
  <c r="AJ1420" i="3"/>
  <c r="AL1420" i="3"/>
  <c r="AO1420" i="3"/>
  <c r="AP1420" i="3"/>
  <c r="AE1421" i="3"/>
  <c r="AI1421" i="3" s="1"/>
  <c r="AF1421" i="3"/>
  <c r="AG1421" i="3"/>
  <c r="AO1421" i="3" s="1"/>
  <c r="AJ1421" i="3"/>
  <c r="AL1421" i="3"/>
  <c r="AM1421" i="3"/>
  <c r="AP1421" i="3"/>
  <c r="AE1422" i="3"/>
  <c r="AF1422" i="3"/>
  <c r="AM1422" i="3" s="1"/>
  <c r="AG1422" i="3"/>
  <c r="AI1422" i="3"/>
  <c r="AJ1422" i="3"/>
  <c r="AL1422" i="3"/>
  <c r="AO1422" i="3"/>
  <c r="AP1422" i="3"/>
  <c r="AE1423" i="3"/>
  <c r="AI1423" i="3" s="1"/>
  <c r="AF1423" i="3"/>
  <c r="AG1423" i="3"/>
  <c r="AO1423" i="3" s="1"/>
  <c r="AJ1423" i="3"/>
  <c r="AL1423" i="3"/>
  <c r="AM1423" i="3"/>
  <c r="AE1424" i="3"/>
  <c r="AF1424" i="3"/>
  <c r="AM1424" i="3" s="1"/>
  <c r="AG1424" i="3"/>
  <c r="AI1424" i="3"/>
  <c r="AJ1424" i="3"/>
  <c r="AL1424" i="3"/>
  <c r="AO1424" i="3"/>
  <c r="AP1424" i="3"/>
  <c r="AE1425" i="3"/>
  <c r="AI1425" i="3" s="1"/>
  <c r="AF1425" i="3"/>
  <c r="AG1425" i="3"/>
  <c r="AO1425" i="3" s="1"/>
  <c r="AJ1425" i="3"/>
  <c r="AL1425" i="3"/>
  <c r="AM1425" i="3"/>
  <c r="AP1425" i="3"/>
  <c r="AE1426" i="3"/>
  <c r="AF1426" i="3"/>
  <c r="AM1426" i="3" s="1"/>
  <c r="AG1426" i="3"/>
  <c r="AI1426" i="3"/>
  <c r="AJ1426" i="3"/>
  <c r="AL1426" i="3"/>
  <c r="AO1426" i="3"/>
  <c r="AP1426" i="3"/>
  <c r="AE1427" i="3"/>
  <c r="AI1427" i="3" s="1"/>
  <c r="AF1427" i="3"/>
  <c r="AG1427" i="3"/>
  <c r="AO1427" i="3" s="1"/>
  <c r="AJ1427" i="3"/>
  <c r="AL1427" i="3"/>
  <c r="AM1427" i="3"/>
  <c r="AE1428" i="3"/>
  <c r="AF1428" i="3"/>
  <c r="AM1428" i="3" s="1"/>
  <c r="AG1428" i="3"/>
  <c r="AI1428" i="3"/>
  <c r="AJ1428" i="3"/>
  <c r="AL1428" i="3"/>
  <c r="AO1428" i="3"/>
  <c r="AP1428" i="3"/>
  <c r="AE1429" i="3"/>
  <c r="AI1429" i="3" s="1"/>
  <c r="AF1429" i="3"/>
  <c r="AG1429" i="3"/>
  <c r="AO1429" i="3" s="1"/>
  <c r="AJ1429" i="3"/>
  <c r="AL1429" i="3"/>
  <c r="AM1429" i="3"/>
  <c r="AP1429" i="3"/>
  <c r="AG14" i="3"/>
  <c r="AP14" i="3" s="1"/>
  <c r="AE12" i="3"/>
  <c r="AI12" i="3" s="1"/>
  <c r="Y12" i="3"/>
  <c r="AG11" i="3"/>
  <c r="AP11" i="3" s="1"/>
  <c r="Y11" i="3"/>
  <c r="AG13" i="3" s="1"/>
  <c r="AP10" i="3"/>
  <c r="AG10" i="3"/>
  <c r="AO10" i="3" s="1"/>
  <c r="AE10" i="3"/>
  <c r="AI10" i="3" s="1"/>
  <c r="AO9" i="3"/>
  <c r="AG9" i="3"/>
  <c r="AP9" i="3" s="1"/>
  <c r="Y9" i="3"/>
  <c r="AO8" i="3"/>
  <c r="AG8" i="3"/>
  <c r="AP8" i="3" s="1"/>
  <c r="Y8" i="3"/>
  <c r="AF14" i="3" s="1"/>
  <c r="AO7" i="3"/>
  <c r="AG7" i="3"/>
  <c r="AP7" i="3" s="1"/>
  <c r="AF7" i="3"/>
  <c r="AM7" i="3" s="1"/>
  <c r="AG6" i="3"/>
  <c r="AP6" i="3" s="1"/>
  <c r="Y6" i="3"/>
  <c r="AP5" i="3"/>
  <c r="AG5" i="3"/>
  <c r="AO5" i="3" s="1"/>
  <c r="AE5" i="3"/>
  <c r="AI5" i="3" s="1"/>
  <c r="Y5" i="3"/>
  <c r="AE15" i="3" s="1"/>
  <c r="AI4" i="3"/>
  <c r="AG4" i="3"/>
  <c r="AP4" i="3" s="1"/>
  <c r="AE4" i="3"/>
  <c r="AJ4" i="3" s="1"/>
  <c r="AP3" i="3"/>
  <c r="AO3" i="3"/>
  <c r="AI3" i="3"/>
  <c r="AG3" i="3"/>
  <c r="AE3" i="3"/>
  <c r="AJ3" i="3" s="1"/>
  <c r="AP2" i="3"/>
  <c r="AG2" i="3"/>
  <c r="AO2" i="3" s="1"/>
  <c r="AE2" i="3"/>
  <c r="AI2" i="3" s="1"/>
  <c r="V5" i="3"/>
  <c r="W5" i="3" s="1"/>
  <c r="V6" i="3"/>
  <c r="W6" i="3" s="1"/>
  <c r="V7" i="3"/>
  <c r="W7" i="3" s="1"/>
  <c r="V8" i="3"/>
  <c r="W8" i="3" s="1"/>
  <c r="V9" i="3"/>
  <c r="W9" i="3" s="1"/>
  <c r="V10" i="3"/>
  <c r="W10" i="3" s="1"/>
  <c r="V11" i="3"/>
  <c r="W11" i="3" s="1"/>
  <c r="V12" i="3"/>
  <c r="W12" i="3" s="1"/>
  <c r="V13" i="3"/>
  <c r="W13" i="3" s="1"/>
  <c r="V14" i="3"/>
  <c r="W14" i="3" s="1"/>
  <c r="V15" i="3"/>
  <c r="W15" i="3" s="1"/>
  <c r="V16" i="3"/>
  <c r="W16" i="3" s="1"/>
  <c r="V17" i="3"/>
  <c r="W17" i="3" s="1"/>
  <c r="V18" i="3"/>
  <c r="W18" i="3" s="1"/>
  <c r="V19" i="3"/>
  <c r="W19" i="3" s="1"/>
  <c r="V20" i="3"/>
  <c r="W20" i="3" s="1"/>
  <c r="V21" i="3"/>
  <c r="W21" i="3" s="1"/>
  <c r="V22" i="3"/>
  <c r="W22" i="3" s="1"/>
  <c r="V23" i="3"/>
  <c r="W23" i="3" s="1"/>
  <c r="V24" i="3"/>
  <c r="W24" i="3" s="1"/>
  <c r="V25" i="3"/>
  <c r="W25" i="3" s="1"/>
  <c r="V26" i="3"/>
  <c r="W26" i="3" s="1"/>
  <c r="V27" i="3"/>
  <c r="W27" i="3" s="1"/>
  <c r="V28" i="3"/>
  <c r="W28" i="3" s="1"/>
  <c r="V29" i="3"/>
  <c r="W29" i="3" s="1"/>
  <c r="V30" i="3"/>
  <c r="W30" i="3" s="1"/>
  <c r="V31" i="3"/>
  <c r="W31" i="3" s="1"/>
  <c r="V32" i="3"/>
  <c r="W32" i="3" s="1"/>
  <c r="V33" i="3"/>
  <c r="W33" i="3" s="1"/>
  <c r="V34" i="3"/>
  <c r="W34" i="3" s="1"/>
  <c r="V35" i="3"/>
  <c r="W35" i="3" s="1"/>
  <c r="V36" i="3"/>
  <c r="W36" i="3" s="1"/>
  <c r="V37" i="3"/>
  <c r="W37" i="3" s="1"/>
  <c r="V38" i="3"/>
  <c r="W38" i="3" s="1"/>
  <c r="V39" i="3"/>
  <c r="W39" i="3" s="1"/>
  <c r="V40" i="3"/>
  <c r="W40" i="3" s="1"/>
  <c r="V41" i="3"/>
  <c r="W41" i="3" s="1"/>
  <c r="V42" i="3"/>
  <c r="W42" i="3" s="1"/>
  <c r="V43" i="3"/>
  <c r="W43" i="3" s="1"/>
  <c r="V44" i="3"/>
  <c r="W44" i="3" s="1"/>
  <c r="V45" i="3"/>
  <c r="W45" i="3" s="1"/>
  <c r="V46" i="3"/>
  <c r="W46" i="3" s="1"/>
  <c r="V47" i="3"/>
  <c r="W47" i="3" s="1"/>
  <c r="V48" i="3"/>
  <c r="W48" i="3" s="1"/>
  <c r="V49" i="3"/>
  <c r="W49" i="3" s="1"/>
  <c r="V50" i="3"/>
  <c r="W50" i="3" s="1"/>
  <c r="V51" i="3"/>
  <c r="W51" i="3" s="1"/>
  <c r="V52" i="3"/>
  <c r="W52" i="3" s="1"/>
  <c r="V53" i="3"/>
  <c r="W53" i="3" s="1"/>
  <c r="V54" i="3"/>
  <c r="W54" i="3" s="1"/>
  <c r="V55" i="3"/>
  <c r="W55" i="3" s="1"/>
  <c r="V56" i="3"/>
  <c r="W56" i="3" s="1"/>
  <c r="V57" i="3"/>
  <c r="W57" i="3" s="1"/>
  <c r="V58" i="3"/>
  <c r="W58" i="3" s="1"/>
  <c r="V59" i="3"/>
  <c r="W59" i="3" s="1"/>
  <c r="V60" i="3"/>
  <c r="W60" i="3" s="1"/>
  <c r="V61" i="3"/>
  <c r="W61" i="3" s="1"/>
  <c r="V62" i="3"/>
  <c r="W62" i="3" s="1"/>
  <c r="V63" i="3"/>
  <c r="W63" i="3" s="1"/>
  <c r="V64" i="3"/>
  <c r="W64" i="3" s="1"/>
  <c r="V65" i="3"/>
  <c r="W65" i="3" s="1"/>
  <c r="V66" i="3"/>
  <c r="W66" i="3" s="1"/>
  <c r="V67" i="3"/>
  <c r="W67" i="3" s="1"/>
  <c r="V68" i="3"/>
  <c r="W68" i="3" s="1"/>
  <c r="V69" i="3"/>
  <c r="W69" i="3" s="1"/>
  <c r="V70" i="3"/>
  <c r="W70" i="3" s="1"/>
  <c r="V71" i="3"/>
  <c r="W71" i="3" s="1"/>
  <c r="V72" i="3"/>
  <c r="W72" i="3" s="1"/>
  <c r="V73" i="3"/>
  <c r="W73" i="3" s="1"/>
  <c r="V74" i="3"/>
  <c r="W74" i="3" s="1"/>
  <c r="V75" i="3"/>
  <c r="W75" i="3" s="1"/>
  <c r="V76" i="3"/>
  <c r="W76" i="3" s="1"/>
  <c r="V77" i="3"/>
  <c r="W77" i="3" s="1"/>
  <c r="V78" i="3"/>
  <c r="W78" i="3" s="1"/>
  <c r="V79" i="3"/>
  <c r="W79" i="3" s="1"/>
  <c r="V80" i="3"/>
  <c r="W80" i="3" s="1"/>
  <c r="V81" i="3"/>
  <c r="W81" i="3" s="1"/>
  <c r="V82" i="3"/>
  <c r="W82" i="3" s="1"/>
  <c r="V83" i="3"/>
  <c r="W83" i="3" s="1"/>
  <c r="V84" i="3"/>
  <c r="W84" i="3" s="1"/>
  <c r="V85" i="3"/>
  <c r="W85" i="3" s="1"/>
  <c r="V86" i="3"/>
  <c r="W86" i="3" s="1"/>
  <c r="V87" i="3"/>
  <c r="W87" i="3" s="1"/>
  <c r="V88" i="3"/>
  <c r="W88" i="3" s="1"/>
  <c r="V89" i="3"/>
  <c r="W89" i="3" s="1"/>
  <c r="V90" i="3"/>
  <c r="W90" i="3" s="1"/>
  <c r="V91" i="3"/>
  <c r="W91" i="3" s="1"/>
  <c r="V92" i="3"/>
  <c r="W92" i="3" s="1"/>
  <c r="V93" i="3"/>
  <c r="W93" i="3" s="1"/>
  <c r="V94" i="3"/>
  <c r="W94" i="3" s="1"/>
  <c r="V95" i="3"/>
  <c r="W95" i="3" s="1"/>
  <c r="V96" i="3"/>
  <c r="W96" i="3" s="1"/>
  <c r="V97" i="3"/>
  <c r="W97" i="3" s="1"/>
  <c r="V98" i="3"/>
  <c r="W98" i="3" s="1"/>
  <c r="V99" i="3"/>
  <c r="W99" i="3" s="1"/>
  <c r="V100" i="3"/>
  <c r="W100" i="3" s="1"/>
  <c r="V101" i="3"/>
  <c r="W101" i="3" s="1"/>
  <c r="V102" i="3"/>
  <c r="W102" i="3" s="1"/>
  <c r="V103" i="3"/>
  <c r="W103" i="3" s="1"/>
  <c r="V104" i="3"/>
  <c r="W104" i="3" s="1"/>
  <c r="V105" i="3"/>
  <c r="W105" i="3" s="1"/>
  <c r="V106" i="3"/>
  <c r="W106" i="3" s="1"/>
  <c r="V107" i="3"/>
  <c r="W107" i="3" s="1"/>
  <c r="V108" i="3"/>
  <c r="W108" i="3" s="1"/>
  <c r="V109" i="3"/>
  <c r="W109" i="3" s="1"/>
  <c r="V110" i="3"/>
  <c r="W110" i="3" s="1"/>
  <c r="V111" i="3"/>
  <c r="W111" i="3" s="1"/>
  <c r="V112" i="3"/>
  <c r="W112" i="3" s="1"/>
  <c r="V113" i="3"/>
  <c r="W113" i="3" s="1"/>
  <c r="V114" i="3"/>
  <c r="W114" i="3" s="1"/>
  <c r="V115" i="3"/>
  <c r="W115" i="3" s="1"/>
  <c r="V116" i="3"/>
  <c r="W116" i="3" s="1"/>
  <c r="V117" i="3"/>
  <c r="W117" i="3" s="1"/>
  <c r="V118" i="3"/>
  <c r="W118" i="3" s="1"/>
  <c r="V119" i="3"/>
  <c r="W119" i="3" s="1"/>
  <c r="V120" i="3"/>
  <c r="W120" i="3" s="1"/>
  <c r="V121" i="3"/>
  <c r="W121" i="3" s="1"/>
  <c r="V122" i="3"/>
  <c r="W122" i="3" s="1"/>
  <c r="V123" i="3"/>
  <c r="W123" i="3" s="1"/>
  <c r="V124" i="3"/>
  <c r="W124" i="3" s="1"/>
  <c r="V125" i="3"/>
  <c r="W125" i="3" s="1"/>
  <c r="V126" i="3"/>
  <c r="W126" i="3" s="1"/>
  <c r="V127" i="3"/>
  <c r="W127" i="3" s="1"/>
  <c r="V128" i="3"/>
  <c r="W128" i="3" s="1"/>
  <c r="V129" i="3"/>
  <c r="W129" i="3" s="1"/>
  <c r="V130" i="3"/>
  <c r="W130" i="3" s="1"/>
  <c r="V131" i="3"/>
  <c r="W131" i="3" s="1"/>
  <c r="V132" i="3"/>
  <c r="W132" i="3" s="1"/>
  <c r="V133" i="3"/>
  <c r="W133" i="3" s="1"/>
  <c r="V134" i="3"/>
  <c r="W134" i="3" s="1"/>
  <c r="V135" i="3"/>
  <c r="W135" i="3" s="1"/>
  <c r="V136" i="3"/>
  <c r="W136" i="3" s="1"/>
  <c r="V137" i="3"/>
  <c r="W137" i="3" s="1"/>
  <c r="V138" i="3"/>
  <c r="W138" i="3" s="1"/>
  <c r="V139" i="3"/>
  <c r="W139" i="3" s="1"/>
  <c r="V140" i="3"/>
  <c r="W140" i="3" s="1"/>
  <c r="V141" i="3"/>
  <c r="W141" i="3" s="1"/>
  <c r="V142" i="3"/>
  <c r="W142" i="3" s="1"/>
  <c r="V143" i="3"/>
  <c r="W143" i="3" s="1"/>
  <c r="V144" i="3"/>
  <c r="W144" i="3" s="1"/>
  <c r="V145" i="3"/>
  <c r="W145" i="3" s="1"/>
  <c r="V146" i="3"/>
  <c r="W146" i="3" s="1"/>
  <c r="V147" i="3"/>
  <c r="W147" i="3" s="1"/>
  <c r="V148" i="3"/>
  <c r="W148" i="3" s="1"/>
  <c r="V149" i="3"/>
  <c r="W149" i="3" s="1"/>
  <c r="V150" i="3"/>
  <c r="W150" i="3" s="1"/>
  <c r="V151" i="3"/>
  <c r="W151" i="3" s="1"/>
  <c r="V152" i="3"/>
  <c r="W152" i="3" s="1"/>
  <c r="V153" i="3"/>
  <c r="W153" i="3" s="1"/>
  <c r="V154" i="3"/>
  <c r="W154" i="3" s="1"/>
  <c r="V155" i="3"/>
  <c r="W155" i="3" s="1"/>
  <c r="V156" i="3"/>
  <c r="W156" i="3" s="1"/>
  <c r="V157" i="3"/>
  <c r="W157" i="3" s="1"/>
  <c r="V158" i="3"/>
  <c r="W158" i="3" s="1"/>
  <c r="V159" i="3"/>
  <c r="W159" i="3" s="1"/>
  <c r="V160" i="3"/>
  <c r="W160" i="3" s="1"/>
  <c r="V161" i="3"/>
  <c r="W161" i="3" s="1"/>
  <c r="V162" i="3"/>
  <c r="W162" i="3" s="1"/>
  <c r="V163" i="3"/>
  <c r="W163" i="3" s="1"/>
  <c r="V164" i="3"/>
  <c r="W164" i="3" s="1"/>
  <c r="V165" i="3"/>
  <c r="W165" i="3" s="1"/>
  <c r="V166" i="3"/>
  <c r="W166" i="3" s="1"/>
  <c r="V167" i="3"/>
  <c r="W167" i="3" s="1"/>
  <c r="V168" i="3"/>
  <c r="W168" i="3" s="1"/>
  <c r="V169" i="3"/>
  <c r="W169" i="3" s="1"/>
  <c r="V170" i="3"/>
  <c r="W170" i="3" s="1"/>
  <c r="V171" i="3"/>
  <c r="W171" i="3" s="1"/>
  <c r="V172" i="3"/>
  <c r="W172" i="3" s="1"/>
  <c r="V173" i="3"/>
  <c r="W173" i="3" s="1"/>
  <c r="V174" i="3"/>
  <c r="W174" i="3" s="1"/>
  <c r="V175" i="3"/>
  <c r="W175" i="3"/>
  <c r="V176" i="3"/>
  <c r="W176" i="3"/>
  <c r="V177" i="3"/>
  <c r="W177" i="3"/>
  <c r="V178" i="3"/>
  <c r="W178" i="3"/>
  <c r="V179" i="3"/>
  <c r="W179" i="3"/>
  <c r="V180" i="3"/>
  <c r="W180" i="3"/>
  <c r="V181" i="3"/>
  <c r="W181" i="3"/>
  <c r="V182" i="3"/>
  <c r="W182" i="3"/>
  <c r="V183" i="3"/>
  <c r="W183" i="3"/>
  <c r="V184" i="3"/>
  <c r="W184" i="3"/>
  <c r="V185" i="3"/>
  <c r="W185" i="3"/>
  <c r="V186" i="3"/>
  <c r="W186" i="3"/>
  <c r="V187" i="3"/>
  <c r="W187" i="3"/>
  <c r="V188" i="3"/>
  <c r="W188" i="3"/>
  <c r="V189" i="3"/>
  <c r="W189" i="3"/>
  <c r="V190" i="3"/>
  <c r="W190" i="3"/>
  <c r="V191" i="3"/>
  <c r="W191" i="3"/>
  <c r="V192" i="3"/>
  <c r="W192" i="3"/>
  <c r="V193" i="3"/>
  <c r="W193" i="3"/>
  <c r="V194" i="3"/>
  <c r="W194" i="3"/>
  <c r="V195" i="3"/>
  <c r="W195" i="3"/>
  <c r="V196" i="3"/>
  <c r="W196" i="3"/>
  <c r="V197" i="3"/>
  <c r="W197" i="3"/>
  <c r="V198" i="3"/>
  <c r="W198" i="3"/>
  <c r="V199" i="3"/>
  <c r="W199" i="3"/>
  <c r="V200" i="3"/>
  <c r="W200" i="3"/>
  <c r="V201" i="3"/>
  <c r="W201" i="3"/>
  <c r="V202" i="3"/>
  <c r="W202" i="3"/>
  <c r="V203" i="3"/>
  <c r="W203" i="3"/>
  <c r="V204" i="3"/>
  <c r="W204" i="3"/>
  <c r="V205" i="3"/>
  <c r="W205" i="3"/>
  <c r="V206" i="3"/>
  <c r="W206" i="3"/>
  <c r="V207" i="3"/>
  <c r="W207" i="3"/>
  <c r="V208" i="3"/>
  <c r="W208" i="3"/>
  <c r="V209" i="3"/>
  <c r="W209" i="3"/>
  <c r="V210" i="3"/>
  <c r="W210" i="3"/>
  <c r="V211" i="3"/>
  <c r="W211" i="3"/>
  <c r="V212" i="3"/>
  <c r="W212" i="3"/>
  <c r="V213" i="3"/>
  <c r="W213" i="3"/>
  <c r="V214" i="3"/>
  <c r="W214" i="3"/>
  <c r="V215" i="3"/>
  <c r="W215" i="3"/>
  <c r="V216" i="3"/>
  <c r="W216" i="3"/>
  <c r="V217" i="3"/>
  <c r="W217" i="3"/>
  <c r="V218" i="3"/>
  <c r="W218" i="3"/>
  <c r="V219" i="3"/>
  <c r="W219" i="3"/>
  <c r="V220" i="3"/>
  <c r="W220" i="3"/>
  <c r="V221" i="3"/>
  <c r="W221" i="3"/>
  <c r="V222" i="3"/>
  <c r="W222" i="3"/>
  <c r="V223" i="3"/>
  <c r="W223" i="3"/>
  <c r="V224" i="3"/>
  <c r="W224" i="3"/>
  <c r="V225" i="3"/>
  <c r="W225" i="3"/>
  <c r="V226" i="3"/>
  <c r="W226" i="3"/>
  <c r="V227" i="3"/>
  <c r="W227" i="3"/>
  <c r="V228" i="3"/>
  <c r="W228" i="3"/>
  <c r="V229" i="3"/>
  <c r="W229" i="3"/>
  <c r="V230" i="3"/>
  <c r="W230" i="3"/>
  <c r="V231" i="3"/>
  <c r="W231" i="3"/>
  <c r="V232" i="3"/>
  <c r="W232" i="3"/>
  <c r="V233" i="3"/>
  <c r="W233" i="3"/>
  <c r="V234" i="3"/>
  <c r="W234" i="3"/>
  <c r="V235" i="3"/>
  <c r="W235" i="3"/>
  <c r="V236" i="3"/>
  <c r="W236" i="3"/>
  <c r="V237" i="3"/>
  <c r="W237" i="3"/>
  <c r="V238" i="3"/>
  <c r="W238" i="3"/>
  <c r="V239" i="3"/>
  <c r="W239" i="3"/>
  <c r="V240" i="3"/>
  <c r="W240" i="3"/>
  <c r="V241" i="3"/>
  <c r="W241" i="3"/>
  <c r="V242" i="3"/>
  <c r="W242" i="3"/>
  <c r="V243" i="3"/>
  <c r="W243" i="3"/>
  <c r="V244" i="3"/>
  <c r="W244" i="3"/>
  <c r="V245" i="3"/>
  <c r="W245" i="3"/>
  <c r="V246" i="3"/>
  <c r="W246" i="3"/>
  <c r="V247" i="3"/>
  <c r="W247" i="3"/>
  <c r="V248" i="3"/>
  <c r="W248" i="3"/>
  <c r="V249" i="3"/>
  <c r="W249" i="3"/>
  <c r="V250" i="3"/>
  <c r="W250" i="3"/>
  <c r="V251" i="3"/>
  <c r="W251" i="3"/>
  <c r="V252" i="3"/>
  <c r="W252" i="3"/>
  <c r="V253" i="3"/>
  <c r="W253" i="3"/>
  <c r="V254" i="3"/>
  <c r="W254" i="3"/>
  <c r="V255" i="3"/>
  <c r="W255" i="3"/>
  <c r="V256" i="3"/>
  <c r="W256" i="3"/>
  <c r="V257" i="3"/>
  <c r="W257" i="3"/>
  <c r="V258" i="3"/>
  <c r="W258" i="3"/>
  <c r="V259" i="3"/>
  <c r="W259" i="3"/>
  <c r="V260" i="3"/>
  <c r="W260" i="3"/>
  <c r="V261" i="3"/>
  <c r="W261" i="3"/>
  <c r="V262" i="3"/>
  <c r="W262" i="3"/>
  <c r="V263" i="3"/>
  <c r="W263" i="3"/>
  <c r="V264" i="3"/>
  <c r="W264" i="3"/>
  <c r="V265" i="3"/>
  <c r="W265" i="3"/>
  <c r="V266" i="3"/>
  <c r="W266" i="3"/>
  <c r="V267" i="3"/>
  <c r="W267" i="3"/>
  <c r="V268" i="3"/>
  <c r="W268" i="3"/>
  <c r="V269" i="3"/>
  <c r="W269" i="3"/>
  <c r="V270" i="3"/>
  <c r="W270" i="3"/>
  <c r="V271" i="3"/>
  <c r="W271" i="3"/>
  <c r="V272" i="3"/>
  <c r="W272" i="3"/>
  <c r="V273" i="3"/>
  <c r="W273" i="3"/>
  <c r="V274" i="3"/>
  <c r="W274" i="3"/>
  <c r="V275" i="3"/>
  <c r="W275" i="3"/>
  <c r="V276" i="3"/>
  <c r="W276" i="3"/>
  <c r="V277" i="3"/>
  <c r="W277" i="3"/>
  <c r="V278" i="3"/>
  <c r="W278" i="3"/>
  <c r="V279" i="3"/>
  <c r="W279" i="3"/>
  <c r="V280" i="3"/>
  <c r="W280" i="3"/>
  <c r="V281" i="3"/>
  <c r="W281" i="3"/>
  <c r="V282" i="3"/>
  <c r="W282" i="3"/>
  <c r="V283" i="3"/>
  <c r="W283" i="3"/>
  <c r="V284" i="3"/>
  <c r="W284" i="3"/>
  <c r="V285" i="3"/>
  <c r="W285" i="3"/>
  <c r="V286" i="3"/>
  <c r="W286" i="3"/>
  <c r="V287" i="3"/>
  <c r="W287" i="3"/>
  <c r="V288" i="3"/>
  <c r="W288" i="3"/>
  <c r="V289" i="3"/>
  <c r="W289" i="3"/>
  <c r="V290" i="3"/>
  <c r="W290" i="3"/>
  <c r="V291" i="3"/>
  <c r="W291" i="3"/>
  <c r="V292" i="3"/>
  <c r="W292" i="3"/>
  <c r="V293" i="3"/>
  <c r="W293" i="3"/>
  <c r="V294" i="3"/>
  <c r="W294" i="3"/>
  <c r="V295" i="3"/>
  <c r="W295" i="3"/>
  <c r="V296" i="3"/>
  <c r="W296" i="3"/>
  <c r="V297" i="3"/>
  <c r="W297" i="3"/>
  <c r="V298" i="3"/>
  <c r="W298" i="3"/>
  <c r="V299" i="3"/>
  <c r="W299" i="3"/>
  <c r="V300" i="3"/>
  <c r="W300" i="3"/>
  <c r="V301" i="3"/>
  <c r="W301" i="3"/>
  <c r="V302" i="3"/>
  <c r="W302" i="3"/>
  <c r="V303" i="3"/>
  <c r="W303" i="3"/>
  <c r="V304" i="3"/>
  <c r="W304" i="3"/>
  <c r="V305" i="3"/>
  <c r="W305" i="3"/>
  <c r="V306" i="3"/>
  <c r="W306" i="3"/>
  <c r="V307" i="3"/>
  <c r="W307" i="3"/>
  <c r="V308" i="3"/>
  <c r="W308" i="3"/>
  <c r="V309" i="3"/>
  <c r="W309" i="3"/>
  <c r="V310" i="3"/>
  <c r="W310" i="3"/>
  <c r="V311" i="3"/>
  <c r="W311" i="3"/>
  <c r="V312" i="3"/>
  <c r="W312" i="3"/>
  <c r="V313" i="3"/>
  <c r="W313" i="3"/>
  <c r="V314" i="3"/>
  <c r="W314" i="3"/>
  <c r="V315" i="3"/>
  <c r="W315" i="3"/>
  <c r="V316" i="3"/>
  <c r="W316" i="3"/>
  <c r="V317" i="3"/>
  <c r="W317" i="3"/>
  <c r="V318" i="3"/>
  <c r="W318" i="3"/>
  <c r="V319" i="3"/>
  <c r="W319" i="3"/>
  <c r="V320" i="3"/>
  <c r="W320" i="3"/>
  <c r="V321" i="3"/>
  <c r="W321" i="3"/>
  <c r="V322" i="3"/>
  <c r="W322" i="3"/>
  <c r="V323" i="3"/>
  <c r="W323" i="3"/>
  <c r="V324" i="3"/>
  <c r="W324" i="3"/>
  <c r="V325" i="3"/>
  <c r="W325" i="3"/>
  <c r="V326" i="3"/>
  <c r="W326" i="3"/>
  <c r="V327" i="3"/>
  <c r="W327" i="3"/>
  <c r="V328" i="3"/>
  <c r="W328" i="3"/>
  <c r="V329" i="3"/>
  <c r="W329" i="3"/>
  <c r="V330" i="3"/>
  <c r="W330" i="3"/>
  <c r="V331" i="3"/>
  <c r="W331" i="3"/>
  <c r="V332" i="3"/>
  <c r="W332" i="3"/>
  <c r="V333" i="3"/>
  <c r="W333" i="3"/>
  <c r="V334" i="3"/>
  <c r="W334" i="3"/>
  <c r="V335" i="3"/>
  <c r="W335" i="3"/>
  <c r="V336" i="3"/>
  <c r="W336" i="3"/>
  <c r="V337" i="3"/>
  <c r="W337" i="3"/>
  <c r="V338" i="3"/>
  <c r="W338" i="3"/>
  <c r="V339" i="3"/>
  <c r="W339" i="3"/>
  <c r="V340" i="3"/>
  <c r="W340" i="3"/>
  <c r="V341" i="3"/>
  <c r="W341" i="3"/>
  <c r="V342" i="3"/>
  <c r="W342" i="3"/>
  <c r="V343" i="3"/>
  <c r="W343" i="3"/>
  <c r="V344" i="3"/>
  <c r="W344" i="3"/>
  <c r="V345" i="3"/>
  <c r="W345" i="3"/>
  <c r="V346" i="3"/>
  <c r="W346" i="3"/>
  <c r="V347" i="3"/>
  <c r="W347" i="3"/>
  <c r="V348" i="3"/>
  <c r="W348" i="3"/>
  <c r="V349" i="3"/>
  <c r="W349" i="3"/>
  <c r="V350" i="3"/>
  <c r="W350" i="3"/>
  <c r="V351" i="3"/>
  <c r="W351" i="3"/>
  <c r="V352" i="3"/>
  <c r="W352" i="3"/>
  <c r="V353" i="3"/>
  <c r="W353" i="3"/>
  <c r="V354" i="3"/>
  <c r="W354" i="3"/>
  <c r="V355" i="3"/>
  <c r="W355" i="3"/>
  <c r="V356" i="3"/>
  <c r="W356" i="3"/>
  <c r="V357" i="3"/>
  <c r="W357" i="3"/>
  <c r="V358" i="3"/>
  <c r="W358" i="3"/>
  <c r="V359" i="3"/>
  <c r="W359" i="3"/>
  <c r="V360" i="3"/>
  <c r="W360" i="3"/>
  <c r="V361" i="3"/>
  <c r="W361" i="3"/>
  <c r="V362" i="3"/>
  <c r="W362" i="3"/>
  <c r="V363" i="3"/>
  <c r="W363" i="3"/>
  <c r="V364" i="3"/>
  <c r="W364" i="3"/>
  <c r="V365" i="3"/>
  <c r="W365" i="3"/>
  <c r="V366" i="3"/>
  <c r="W366" i="3"/>
  <c r="V367" i="3"/>
  <c r="W367" i="3"/>
  <c r="V368" i="3"/>
  <c r="W368" i="3"/>
  <c r="V369" i="3"/>
  <c r="W369" i="3"/>
  <c r="V370" i="3"/>
  <c r="W370" i="3"/>
  <c r="V371" i="3"/>
  <c r="W371" i="3"/>
  <c r="V372" i="3"/>
  <c r="W372" i="3"/>
  <c r="V373" i="3"/>
  <c r="W373" i="3"/>
  <c r="V374" i="3"/>
  <c r="W374" i="3"/>
  <c r="V375" i="3"/>
  <c r="W375" i="3"/>
  <c r="V376" i="3"/>
  <c r="W376" i="3"/>
  <c r="V377" i="3"/>
  <c r="W377" i="3"/>
  <c r="V378" i="3"/>
  <c r="W378" i="3"/>
  <c r="V379" i="3"/>
  <c r="W379" i="3"/>
  <c r="V380" i="3"/>
  <c r="W380" i="3"/>
  <c r="V381" i="3"/>
  <c r="W381" i="3"/>
  <c r="V382" i="3"/>
  <c r="W382" i="3"/>
  <c r="V383" i="3"/>
  <c r="W383" i="3"/>
  <c r="V384" i="3"/>
  <c r="W384" i="3"/>
  <c r="V385" i="3"/>
  <c r="W385" i="3"/>
  <c r="V386" i="3"/>
  <c r="W386" i="3"/>
  <c r="V387" i="3"/>
  <c r="W387" i="3"/>
  <c r="V388" i="3"/>
  <c r="W388" i="3"/>
  <c r="V389" i="3"/>
  <c r="W389" i="3"/>
  <c r="V390" i="3"/>
  <c r="W390" i="3"/>
  <c r="V391" i="3"/>
  <c r="W391" i="3"/>
  <c r="V392" i="3"/>
  <c r="W392" i="3"/>
  <c r="V393" i="3"/>
  <c r="W393" i="3"/>
  <c r="V394" i="3"/>
  <c r="W394" i="3"/>
  <c r="V395" i="3"/>
  <c r="W395" i="3"/>
  <c r="V396" i="3"/>
  <c r="W396" i="3"/>
  <c r="V397" i="3"/>
  <c r="W397" i="3"/>
  <c r="V398" i="3"/>
  <c r="W398" i="3"/>
  <c r="V399" i="3"/>
  <c r="W399" i="3"/>
  <c r="V400" i="3"/>
  <c r="W400" i="3"/>
  <c r="V401" i="3"/>
  <c r="W401" i="3"/>
  <c r="V402" i="3"/>
  <c r="W402" i="3"/>
  <c r="V403" i="3"/>
  <c r="W403" i="3"/>
  <c r="V404" i="3"/>
  <c r="W404" i="3"/>
  <c r="V405" i="3"/>
  <c r="W405" i="3"/>
  <c r="V406" i="3"/>
  <c r="W406" i="3"/>
  <c r="V407" i="3"/>
  <c r="W407" i="3"/>
  <c r="V408" i="3"/>
  <c r="W408" i="3"/>
  <c r="V409" i="3"/>
  <c r="W409" i="3"/>
  <c r="V410" i="3"/>
  <c r="W410" i="3"/>
  <c r="V411" i="3"/>
  <c r="W411" i="3"/>
  <c r="V412" i="3"/>
  <c r="W412" i="3"/>
  <c r="V413" i="3"/>
  <c r="W413" i="3"/>
  <c r="V414" i="3"/>
  <c r="W414" i="3"/>
  <c r="V415" i="3"/>
  <c r="W415" i="3"/>
  <c r="V416" i="3"/>
  <c r="W416" i="3"/>
  <c r="V417" i="3"/>
  <c r="W417" i="3"/>
  <c r="V418" i="3"/>
  <c r="W418" i="3"/>
  <c r="V419" i="3"/>
  <c r="W419" i="3"/>
  <c r="V420" i="3"/>
  <c r="W420" i="3"/>
  <c r="V421" i="3"/>
  <c r="W421" i="3"/>
  <c r="V422" i="3"/>
  <c r="W422" i="3"/>
  <c r="V423" i="3"/>
  <c r="W423" i="3"/>
  <c r="V424" i="3"/>
  <c r="W424" i="3"/>
  <c r="V425" i="3"/>
  <c r="W425" i="3"/>
  <c r="V426" i="3"/>
  <c r="W426" i="3"/>
  <c r="V427" i="3"/>
  <c r="W427" i="3"/>
  <c r="V428" i="3"/>
  <c r="W428" i="3"/>
  <c r="V429" i="3"/>
  <c r="W429" i="3"/>
  <c r="V430" i="3"/>
  <c r="W430" i="3"/>
  <c r="V431" i="3"/>
  <c r="W431" i="3"/>
  <c r="V432" i="3"/>
  <c r="W432" i="3"/>
  <c r="V433" i="3"/>
  <c r="W433" i="3"/>
  <c r="V434" i="3"/>
  <c r="W434" i="3"/>
  <c r="V435" i="3"/>
  <c r="W435" i="3"/>
  <c r="V436" i="3"/>
  <c r="W436" i="3"/>
  <c r="V437" i="3"/>
  <c r="W437" i="3"/>
  <c r="V438" i="3"/>
  <c r="W438" i="3"/>
  <c r="V439" i="3"/>
  <c r="W439" i="3"/>
  <c r="V440" i="3"/>
  <c r="W440" i="3"/>
  <c r="V441" i="3"/>
  <c r="W441" i="3"/>
  <c r="V442" i="3"/>
  <c r="W442" i="3"/>
  <c r="V443" i="3"/>
  <c r="W443" i="3"/>
  <c r="V444" i="3"/>
  <c r="W444" i="3"/>
  <c r="V445" i="3"/>
  <c r="W445" i="3"/>
  <c r="V446" i="3"/>
  <c r="W446" i="3"/>
  <c r="V447" i="3"/>
  <c r="W447" i="3"/>
  <c r="V448" i="3"/>
  <c r="W448" i="3"/>
  <c r="V449" i="3"/>
  <c r="W449" i="3"/>
  <c r="V450" i="3"/>
  <c r="W450" i="3"/>
  <c r="V451" i="3"/>
  <c r="W451" i="3"/>
  <c r="V452" i="3"/>
  <c r="W452" i="3"/>
  <c r="V453" i="3"/>
  <c r="W453" i="3"/>
  <c r="V454" i="3"/>
  <c r="W454" i="3"/>
  <c r="V455" i="3"/>
  <c r="W455" i="3"/>
  <c r="V456" i="3"/>
  <c r="W456" i="3"/>
  <c r="V457" i="3"/>
  <c r="W457" i="3"/>
  <c r="V458" i="3"/>
  <c r="W458" i="3"/>
  <c r="V459" i="3"/>
  <c r="W459" i="3"/>
  <c r="V460" i="3"/>
  <c r="W460" i="3"/>
  <c r="V461" i="3"/>
  <c r="W461" i="3"/>
  <c r="V462" i="3"/>
  <c r="W462" i="3"/>
  <c r="V463" i="3"/>
  <c r="W463" i="3"/>
  <c r="V464" i="3"/>
  <c r="W464" i="3"/>
  <c r="V465" i="3"/>
  <c r="W465" i="3"/>
  <c r="V466" i="3"/>
  <c r="W466" i="3"/>
  <c r="V467" i="3"/>
  <c r="W467" i="3" s="1"/>
  <c r="V468" i="3"/>
  <c r="W468" i="3"/>
  <c r="V469" i="3"/>
  <c r="W469" i="3"/>
  <c r="V470" i="3"/>
  <c r="W470" i="3"/>
  <c r="V471" i="3"/>
  <c r="W471" i="3" s="1"/>
  <c r="V472" i="3"/>
  <c r="W472" i="3"/>
  <c r="V473" i="3"/>
  <c r="W473" i="3" s="1"/>
  <c r="V474" i="3"/>
  <c r="W474" i="3"/>
  <c r="V475" i="3"/>
  <c r="W475" i="3" s="1"/>
  <c r="V476" i="3"/>
  <c r="W476" i="3"/>
  <c r="V477" i="3"/>
  <c r="W477" i="3" s="1"/>
  <c r="V478" i="3"/>
  <c r="W478" i="3"/>
  <c r="V479" i="3"/>
  <c r="W479" i="3" s="1"/>
  <c r="V480" i="3"/>
  <c r="W480" i="3"/>
  <c r="V481" i="3"/>
  <c r="W481" i="3" s="1"/>
  <c r="V482" i="3"/>
  <c r="W482" i="3"/>
  <c r="V483" i="3"/>
  <c r="W483" i="3" s="1"/>
  <c r="V484" i="3"/>
  <c r="W484" i="3"/>
  <c r="V485" i="3"/>
  <c r="W485" i="3" s="1"/>
  <c r="V486" i="3"/>
  <c r="W486" i="3"/>
  <c r="V487" i="3"/>
  <c r="W487" i="3" s="1"/>
  <c r="V488" i="3"/>
  <c r="W488" i="3"/>
  <c r="V489" i="3"/>
  <c r="W489" i="3" s="1"/>
  <c r="V490" i="3"/>
  <c r="W490" i="3"/>
  <c r="V491" i="3"/>
  <c r="W491" i="3" s="1"/>
  <c r="V492" i="3"/>
  <c r="W492" i="3"/>
  <c r="V493" i="3"/>
  <c r="W493" i="3" s="1"/>
  <c r="V494" i="3"/>
  <c r="W494" i="3"/>
  <c r="V495" i="3"/>
  <c r="W495" i="3" s="1"/>
  <c r="V496" i="3"/>
  <c r="W496" i="3"/>
  <c r="V497" i="3"/>
  <c r="W497" i="3" s="1"/>
  <c r="V498" i="3"/>
  <c r="W498" i="3"/>
  <c r="V499" i="3"/>
  <c r="W499" i="3" s="1"/>
  <c r="V500" i="3"/>
  <c r="W500" i="3"/>
  <c r="V501" i="3"/>
  <c r="W501" i="3" s="1"/>
  <c r="V502" i="3"/>
  <c r="W502" i="3"/>
  <c r="V503" i="3"/>
  <c r="W503" i="3" s="1"/>
  <c r="V504" i="3"/>
  <c r="W504" i="3"/>
  <c r="V505" i="3"/>
  <c r="W505" i="3" s="1"/>
  <c r="V506" i="3"/>
  <c r="W506" i="3"/>
  <c r="V507" i="3"/>
  <c r="W507" i="3" s="1"/>
  <c r="V508" i="3"/>
  <c r="W508" i="3"/>
  <c r="V509" i="3"/>
  <c r="W509" i="3" s="1"/>
  <c r="V510" i="3"/>
  <c r="W510" i="3"/>
  <c r="V511" i="3"/>
  <c r="W511" i="3" s="1"/>
  <c r="V512" i="3"/>
  <c r="W512" i="3"/>
  <c r="V513" i="3"/>
  <c r="W513" i="3" s="1"/>
  <c r="V514" i="3"/>
  <c r="W514" i="3"/>
  <c r="V515" i="3"/>
  <c r="W515" i="3" s="1"/>
  <c r="V516" i="3"/>
  <c r="W516" i="3"/>
  <c r="V517" i="3"/>
  <c r="W517" i="3" s="1"/>
  <c r="V518" i="3"/>
  <c r="W518" i="3"/>
  <c r="V519" i="3"/>
  <c r="W519" i="3" s="1"/>
  <c r="V520" i="3"/>
  <c r="W520" i="3"/>
  <c r="V521" i="3"/>
  <c r="W521" i="3" s="1"/>
  <c r="V522" i="3"/>
  <c r="W522" i="3"/>
  <c r="V523" i="3"/>
  <c r="W523" i="3" s="1"/>
  <c r="V524" i="3"/>
  <c r="W524" i="3"/>
  <c r="V525" i="3"/>
  <c r="W525" i="3" s="1"/>
  <c r="V526" i="3"/>
  <c r="W526" i="3"/>
  <c r="V527" i="3"/>
  <c r="W527" i="3" s="1"/>
  <c r="V528" i="3"/>
  <c r="W528" i="3"/>
  <c r="V529" i="3"/>
  <c r="W529" i="3" s="1"/>
  <c r="V530" i="3"/>
  <c r="W530" i="3"/>
  <c r="V531" i="3"/>
  <c r="W531" i="3" s="1"/>
  <c r="V532" i="3"/>
  <c r="W532" i="3"/>
  <c r="V533" i="3"/>
  <c r="W533" i="3" s="1"/>
  <c r="V534" i="3"/>
  <c r="W534" i="3"/>
  <c r="V535" i="3"/>
  <c r="W535" i="3" s="1"/>
  <c r="V536" i="3"/>
  <c r="W536" i="3"/>
  <c r="V537" i="3"/>
  <c r="W537" i="3" s="1"/>
  <c r="V538" i="3"/>
  <c r="W538" i="3"/>
  <c r="V539" i="3"/>
  <c r="W539" i="3" s="1"/>
  <c r="V540" i="3"/>
  <c r="W540" i="3"/>
  <c r="V541" i="3"/>
  <c r="W541" i="3" s="1"/>
  <c r="V542" i="3"/>
  <c r="W542" i="3"/>
  <c r="V543" i="3"/>
  <c r="W543" i="3" s="1"/>
  <c r="V544" i="3"/>
  <c r="W544" i="3"/>
  <c r="V545" i="3"/>
  <c r="W545" i="3" s="1"/>
  <c r="V546" i="3"/>
  <c r="W546" i="3"/>
  <c r="V547" i="3"/>
  <c r="W547" i="3" s="1"/>
  <c r="V548" i="3"/>
  <c r="W548" i="3"/>
  <c r="V549" i="3"/>
  <c r="W549" i="3" s="1"/>
  <c r="V550" i="3"/>
  <c r="W550" i="3"/>
  <c r="V551" i="3"/>
  <c r="W551" i="3" s="1"/>
  <c r="V552" i="3"/>
  <c r="W552" i="3"/>
  <c r="V553" i="3"/>
  <c r="W553" i="3" s="1"/>
  <c r="V554" i="3"/>
  <c r="W554" i="3"/>
  <c r="V555" i="3"/>
  <c r="W555" i="3" s="1"/>
  <c r="V556" i="3"/>
  <c r="W556" i="3"/>
  <c r="V557" i="3"/>
  <c r="W557" i="3" s="1"/>
  <c r="V558" i="3"/>
  <c r="W558" i="3"/>
  <c r="V559" i="3"/>
  <c r="W559" i="3" s="1"/>
  <c r="V560" i="3"/>
  <c r="W560" i="3"/>
  <c r="V561" i="3"/>
  <c r="W561" i="3" s="1"/>
  <c r="V562" i="3"/>
  <c r="W562" i="3"/>
  <c r="V563" i="3"/>
  <c r="W563" i="3" s="1"/>
  <c r="V564" i="3"/>
  <c r="W564" i="3"/>
  <c r="V565" i="3"/>
  <c r="W565" i="3" s="1"/>
  <c r="V566" i="3"/>
  <c r="W566" i="3"/>
  <c r="V567" i="3"/>
  <c r="W567" i="3" s="1"/>
  <c r="V568" i="3"/>
  <c r="W568" i="3"/>
  <c r="V569" i="3"/>
  <c r="W569" i="3" s="1"/>
  <c r="V570" i="3"/>
  <c r="W570" i="3"/>
  <c r="V571" i="3"/>
  <c r="W571" i="3" s="1"/>
  <c r="V572" i="3"/>
  <c r="W572" i="3"/>
  <c r="V573" i="3"/>
  <c r="W573" i="3" s="1"/>
  <c r="V574" i="3"/>
  <c r="W574" i="3"/>
  <c r="V575" i="3"/>
  <c r="W575" i="3" s="1"/>
  <c r="V576" i="3"/>
  <c r="W576" i="3"/>
  <c r="V577" i="3"/>
  <c r="W577" i="3" s="1"/>
  <c r="V578" i="3"/>
  <c r="W578" i="3"/>
  <c r="V579" i="3"/>
  <c r="W579" i="3" s="1"/>
  <c r="V580" i="3"/>
  <c r="W580" i="3"/>
  <c r="V581" i="3"/>
  <c r="W581" i="3" s="1"/>
  <c r="V582" i="3"/>
  <c r="W582" i="3"/>
  <c r="V583" i="3"/>
  <c r="W583" i="3" s="1"/>
  <c r="V584" i="3"/>
  <c r="W584" i="3"/>
  <c r="V585" i="3"/>
  <c r="W585" i="3" s="1"/>
  <c r="V586" i="3"/>
  <c r="W586" i="3"/>
  <c r="V587" i="3"/>
  <c r="W587" i="3" s="1"/>
  <c r="V588" i="3"/>
  <c r="W588" i="3"/>
  <c r="V589" i="3"/>
  <c r="W589" i="3" s="1"/>
  <c r="V590" i="3"/>
  <c r="W590" i="3"/>
  <c r="V591" i="3"/>
  <c r="W591" i="3" s="1"/>
  <c r="V592" i="3"/>
  <c r="W592" i="3"/>
  <c r="V593" i="3"/>
  <c r="W593" i="3" s="1"/>
  <c r="V594" i="3"/>
  <c r="W594" i="3"/>
  <c r="V595" i="3"/>
  <c r="W595" i="3" s="1"/>
  <c r="V596" i="3"/>
  <c r="W596" i="3"/>
  <c r="V597" i="3"/>
  <c r="W597" i="3" s="1"/>
  <c r="V598" i="3"/>
  <c r="W598" i="3"/>
  <c r="V599" i="3"/>
  <c r="W599" i="3" s="1"/>
  <c r="V600" i="3"/>
  <c r="W600" i="3"/>
  <c r="V601" i="3"/>
  <c r="W601" i="3" s="1"/>
  <c r="V602" i="3"/>
  <c r="W602" i="3"/>
  <c r="V603" i="3"/>
  <c r="W603" i="3" s="1"/>
  <c r="V604" i="3"/>
  <c r="W604" i="3"/>
  <c r="V605" i="3"/>
  <c r="W605" i="3" s="1"/>
  <c r="V606" i="3"/>
  <c r="W606" i="3"/>
  <c r="V607" i="3"/>
  <c r="W607" i="3" s="1"/>
  <c r="V608" i="3"/>
  <c r="W608" i="3"/>
  <c r="V609" i="3"/>
  <c r="W609" i="3" s="1"/>
  <c r="V610" i="3"/>
  <c r="W610" i="3"/>
  <c r="V611" i="3"/>
  <c r="W611" i="3" s="1"/>
  <c r="V612" i="3"/>
  <c r="W612" i="3"/>
  <c r="V613" i="3"/>
  <c r="W613" i="3" s="1"/>
  <c r="V614" i="3"/>
  <c r="W614" i="3"/>
  <c r="V615" i="3"/>
  <c r="W615" i="3" s="1"/>
  <c r="V616" i="3"/>
  <c r="W616" i="3"/>
  <c r="V617" i="3"/>
  <c r="W617" i="3" s="1"/>
  <c r="V618" i="3"/>
  <c r="W618" i="3"/>
  <c r="V619" i="3"/>
  <c r="W619" i="3" s="1"/>
  <c r="V620" i="3"/>
  <c r="W620" i="3"/>
  <c r="V621" i="3"/>
  <c r="W621" i="3" s="1"/>
  <c r="V622" i="3"/>
  <c r="W622" i="3"/>
  <c r="V623" i="3"/>
  <c r="W623" i="3" s="1"/>
  <c r="V624" i="3"/>
  <c r="W624" i="3"/>
  <c r="V625" i="3"/>
  <c r="W625" i="3" s="1"/>
  <c r="V626" i="3"/>
  <c r="W626" i="3"/>
  <c r="V627" i="3"/>
  <c r="W627" i="3" s="1"/>
  <c r="V628" i="3"/>
  <c r="W628" i="3"/>
  <c r="V629" i="3"/>
  <c r="W629" i="3" s="1"/>
  <c r="V630" i="3"/>
  <c r="W630" i="3"/>
  <c r="V631" i="3"/>
  <c r="W631" i="3" s="1"/>
  <c r="V632" i="3"/>
  <c r="W632" i="3"/>
  <c r="V633" i="3"/>
  <c r="W633" i="3" s="1"/>
  <c r="V634" i="3"/>
  <c r="W634" i="3"/>
  <c r="V635" i="3"/>
  <c r="W635" i="3" s="1"/>
  <c r="V636" i="3"/>
  <c r="W636" i="3"/>
  <c r="V637" i="3"/>
  <c r="W637" i="3" s="1"/>
  <c r="V638" i="3"/>
  <c r="W638" i="3" s="1"/>
  <c r="V639" i="3"/>
  <c r="W639" i="3"/>
  <c r="V640" i="3"/>
  <c r="W640" i="3" s="1"/>
  <c r="V641" i="3"/>
  <c r="W641" i="3" s="1"/>
  <c r="V642" i="3"/>
  <c r="W642" i="3" s="1"/>
  <c r="V643" i="3"/>
  <c r="W643" i="3" s="1"/>
  <c r="V644" i="3"/>
  <c r="W644" i="3" s="1"/>
  <c r="V645" i="3"/>
  <c r="W645" i="3" s="1"/>
  <c r="V646" i="3"/>
  <c r="W646" i="3" s="1"/>
  <c r="V647" i="3"/>
  <c r="W647" i="3" s="1"/>
  <c r="V648" i="3"/>
  <c r="W648" i="3" s="1"/>
  <c r="V649" i="3"/>
  <c r="W649" i="3" s="1"/>
  <c r="V650" i="3"/>
  <c r="W650" i="3" s="1"/>
  <c r="V651" i="3"/>
  <c r="W651" i="3" s="1"/>
  <c r="V652" i="3"/>
  <c r="W652" i="3" s="1"/>
  <c r="V653" i="3"/>
  <c r="W653" i="3" s="1"/>
  <c r="V654" i="3"/>
  <c r="W654" i="3" s="1"/>
  <c r="V655" i="3"/>
  <c r="W655" i="3" s="1"/>
  <c r="V656" i="3"/>
  <c r="W656" i="3" s="1"/>
  <c r="V657" i="3"/>
  <c r="W657" i="3" s="1"/>
  <c r="V658" i="3"/>
  <c r="W658" i="3" s="1"/>
  <c r="V659" i="3"/>
  <c r="W659" i="3" s="1"/>
  <c r="V660" i="3"/>
  <c r="W660" i="3" s="1"/>
  <c r="V661" i="3"/>
  <c r="W661" i="3" s="1"/>
  <c r="V662" i="3"/>
  <c r="W662" i="3" s="1"/>
  <c r="V663" i="3"/>
  <c r="W663" i="3" s="1"/>
  <c r="V664" i="3"/>
  <c r="W664" i="3" s="1"/>
  <c r="V665" i="3"/>
  <c r="W665" i="3" s="1"/>
  <c r="V666" i="3"/>
  <c r="W666" i="3" s="1"/>
  <c r="V667" i="3"/>
  <c r="W667" i="3" s="1"/>
  <c r="V668" i="3"/>
  <c r="W668" i="3" s="1"/>
  <c r="V669" i="3"/>
  <c r="W669" i="3" s="1"/>
  <c r="V670" i="3"/>
  <c r="W670" i="3" s="1"/>
  <c r="V671" i="3"/>
  <c r="W671" i="3" s="1"/>
  <c r="V672" i="3"/>
  <c r="W672" i="3" s="1"/>
  <c r="V673" i="3"/>
  <c r="W673" i="3" s="1"/>
  <c r="V674" i="3"/>
  <c r="W674" i="3" s="1"/>
  <c r="V675" i="3"/>
  <c r="W675" i="3" s="1"/>
  <c r="V676" i="3"/>
  <c r="W676" i="3" s="1"/>
  <c r="V677" i="3"/>
  <c r="W677" i="3" s="1"/>
  <c r="V678" i="3"/>
  <c r="W678" i="3" s="1"/>
  <c r="V679" i="3"/>
  <c r="W679" i="3" s="1"/>
  <c r="V680" i="3"/>
  <c r="W680" i="3" s="1"/>
  <c r="V681" i="3"/>
  <c r="W681" i="3" s="1"/>
  <c r="V682" i="3"/>
  <c r="W682" i="3" s="1"/>
  <c r="V683" i="3"/>
  <c r="W683" i="3" s="1"/>
  <c r="V684" i="3"/>
  <c r="W684" i="3" s="1"/>
  <c r="V685" i="3"/>
  <c r="W685" i="3" s="1"/>
  <c r="V686" i="3"/>
  <c r="W686" i="3" s="1"/>
  <c r="V687" i="3"/>
  <c r="W687" i="3" s="1"/>
  <c r="V688" i="3"/>
  <c r="W688" i="3" s="1"/>
  <c r="V689" i="3"/>
  <c r="W689" i="3" s="1"/>
  <c r="V690" i="3"/>
  <c r="W690" i="3" s="1"/>
  <c r="V691" i="3"/>
  <c r="W691" i="3" s="1"/>
  <c r="V692" i="3"/>
  <c r="W692" i="3" s="1"/>
  <c r="V693" i="3"/>
  <c r="W693" i="3" s="1"/>
  <c r="V694" i="3"/>
  <c r="W694" i="3" s="1"/>
  <c r="V695" i="3"/>
  <c r="W695" i="3" s="1"/>
  <c r="V696" i="3"/>
  <c r="W696" i="3" s="1"/>
  <c r="V697" i="3"/>
  <c r="W697" i="3" s="1"/>
  <c r="V698" i="3"/>
  <c r="W698" i="3" s="1"/>
  <c r="V699" i="3"/>
  <c r="W699" i="3" s="1"/>
  <c r="V700" i="3"/>
  <c r="W700" i="3" s="1"/>
  <c r="V701" i="3"/>
  <c r="W701" i="3" s="1"/>
  <c r="V702" i="3"/>
  <c r="W702" i="3" s="1"/>
  <c r="V703" i="3"/>
  <c r="W703" i="3" s="1"/>
  <c r="V704" i="3"/>
  <c r="W704" i="3" s="1"/>
  <c r="V705" i="3"/>
  <c r="W705" i="3" s="1"/>
  <c r="V706" i="3"/>
  <c r="W706" i="3" s="1"/>
  <c r="V707" i="3"/>
  <c r="W707" i="3" s="1"/>
  <c r="V708" i="3"/>
  <c r="W708" i="3" s="1"/>
  <c r="V709" i="3"/>
  <c r="W709" i="3" s="1"/>
  <c r="V710" i="3"/>
  <c r="W710" i="3" s="1"/>
  <c r="V711" i="3"/>
  <c r="W711" i="3" s="1"/>
  <c r="V712" i="3"/>
  <c r="W712" i="3" s="1"/>
  <c r="V713" i="3"/>
  <c r="W713" i="3" s="1"/>
  <c r="V714" i="3"/>
  <c r="W714" i="3" s="1"/>
  <c r="V715" i="3"/>
  <c r="W715" i="3" s="1"/>
  <c r="V716" i="3"/>
  <c r="W716" i="3" s="1"/>
  <c r="V717" i="3"/>
  <c r="W717" i="3" s="1"/>
  <c r="V718" i="3"/>
  <c r="W718" i="3" s="1"/>
  <c r="V719" i="3"/>
  <c r="W719" i="3" s="1"/>
  <c r="V720" i="3"/>
  <c r="W720" i="3" s="1"/>
  <c r="V721" i="3"/>
  <c r="W721" i="3" s="1"/>
  <c r="V722" i="3"/>
  <c r="W722" i="3" s="1"/>
  <c r="V723" i="3"/>
  <c r="W723" i="3" s="1"/>
  <c r="V724" i="3"/>
  <c r="W724" i="3" s="1"/>
  <c r="V725" i="3"/>
  <c r="W725" i="3" s="1"/>
  <c r="V726" i="3"/>
  <c r="W726" i="3" s="1"/>
  <c r="V727" i="3"/>
  <c r="W727" i="3" s="1"/>
  <c r="V728" i="3"/>
  <c r="W728" i="3" s="1"/>
  <c r="V729" i="3"/>
  <c r="W729" i="3" s="1"/>
  <c r="V730" i="3"/>
  <c r="W730" i="3" s="1"/>
  <c r="V731" i="3"/>
  <c r="W731" i="3" s="1"/>
  <c r="V732" i="3"/>
  <c r="W732" i="3" s="1"/>
  <c r="V733" i="3"/>
  <c r="W733" i="3" s="1"/>
  <c r="V734" i="3"/>
  <c r="W734" i="3" s="1"/>
  <c r="V735" i="3"/>
  <c r="W735" i="3" s="1"/>
  <c r="V736" i="3"/>
  <c r="W736" i="3" s="1"/>
  <c r="V737" i="3"/>
  <c r="W737" i="3" s="1"/>
  <c r="V738" i="3"/>
  <c r="W738" i="3" s="1"/>
  <c r="V739" i="3"/>
  <c r="W739" i="3" s="1"/>
  <c r="V740" i="3"/>
  <c r="W740" i="3" s="1"/>
  <c r="V741" i="3"/>
  <c r="W741" i="3" s="1"/>
  <c r="V742" i="3"/>
  <c r="W742" i="3" s="1"/>
  <c r="V743" i="3"/>
  <c r="W743" i="3" s="1"/>
  <c r="V744" i="3"/>
  <c r="W744" i="3" s="1"/>
  <c r="V745" i="3"/>
  <c r="W745" i="3" s="1"/>
  <c r="V746" i="3"/>
  <c r="W746" i="3" s="1"/>
  <c r="V747" i="3"/>
  <c r="W747" i="3" s="1"/>
  <c r="V748" i="3"/>
  <c r="W748" i="3" s="1"/>
  <c r="V749" i="3"/>
  <c r="W749" i="3" s="1"/>
  <c r="V750" i="3"/>
  <c r="W750" i="3" s="1"/>
  <c r="V751" i="3"/>
  <c r="W751" i="3" s="1"/>
  <c r="V752" i="3"/>
  <c r="W752" i="3" s="1"/>
  <c r="V753" i="3"/>
  <c r="W753" i="3" s="1"/>
  <c r="V754" i="3"/>
  <c r="W754" i="3" s="1"/>
  <c r="V755" i="3"/>
  <c r="W755" i="3" s="1"/>
  <c r="V756" i="3"/>
  <c r="W756" i="3" s="1"/>
  <c r="V757" i="3"/>
  <c r="W757" i="3" s="1"/>
  <c r="V758" i="3"/>
  <c r="W758" i="3" s="1"/>
  <c r="V759" i="3"/>
  <c r="W759" i="3" s="1"/>
  <c r="V760" i="3"/>
  <c r="W760" i="3" s="1"/>
  <c r="V761" i="3"/>
  <c r="W761" i="3" s="1"/>
  <c r="V762" i="3"/>
  <c r="W762" i="3" s="1"/>
  <c r="V763" i="3"/>
  <c r="W763" i="3" s="1"/>
  <c r="V764" i="3"/>
  <c r="W764" i="3" s="1"/>
  <c r="V765" i="3"/>
  <c r="W765" i="3" s="1"/>
  <c r="V766" i="3"/>
  <c r="W766" i="3" s="1"/>
  <c r="V767" i="3"/>
  <c r="W767" i="3" s="1"/>
  <c r="V768" i="3"/>
  <c r="W768" i="3" s="1"/>
  <c r="V769" i="3"/>
  <c r="W769" i="3" s="1"/>
  <c r="V770" i="3"/>
  <c r="W770" i="3" s="1"/>
  <c r="V771" i="3"/>
  <c r="W771" i="3" s="1"/>
  <c r="V772" i="3"/>
  <c r="W772" i="3" s="1"/>
  <c r="V773" i="3"/>
  <c r="W773" i="3" s="1"/>
  <c r="V774" i="3"/>
  <c r="W774" i="3" s="1"/>
  <c r="V775" i="3"/>
  <c r="W775" i="3" s="1"/>
  <c r="V776" i="3"/>
  <c r="W776" i="3" s="1"/>
  <c r="V777" i="3"/>
  <c r="W777" i="3" s="1"/>
  <c r="V778" i="3"/>
  <c r="W778" i="3" s="1"/>
  <c r="V779" i="3"/>
  <c r="W779" i="3" s="1"/>
  <c r="V780" i="3"/>
  <c r="W780" i="3" s="1"/>
  <c r="V781" i="3"/>
  <c r="W781" i="3" s="1"/>
  <c r="V782" i="3"/>
  <c r="W782" i="3" s="1"/>
  <c r="V783" i="3"/>
  <c r="W783" i="3" s="1"/>
  <c r="V784" i="3"/>
  <c r="W784" i="3" s="1"/>
  <c r="V785" i="3"/>
  <c r="W785" i="3" s="1"/>
  <c r="V786" i="3"/>
  <c r="W786" i="3" s="1"/>
  <c r="V787" i="3"/>
  <c r="W787" i="3" s="1"/>
  <c r="V788" i="3"/>
  <c r="W788" i="3" s="1"/>
  <c r="V789" i="3"/>
  <c r="W789" i="3" s="1"/>
  <c r="V790" i="3"/>
  <c r="W790" i="3" s="1"/>
  <c r="V791" i="3"/>
  <c r="W791" i="3" s="1"/>
  <c r="V792" i="3"/>
  <c r="W792" i="3" s="1"/>
  <c r="V793" i="3"/>
  <c r="W793" i="3" s="1"/>
  <c r="V794" i="3"/>
  <c r="W794" i="3" s="1"/>
  <c r="V795" i="3"/>
  <c r="W795" i="3" s="1"/>
  <c r="V796" i="3"/>
  <c r="W796" i="3" s="1"/>
  <c r="V797" i="3"/>
  <c r="W797" i="3" s="1"/>
  <c r="V798" i="3"/>
  <c r="W798" i="3" s="1"/>
  <c r="V799" i="3"/>
  <c r="W799" i="3" s="1"/>
  <c r="V800" i="3"/>
  <c r="W800" i="3" s="1"/>
  <c r="V801" i="3"/>
  <c r="W801" i="3" s="1"/>
  <c r="V802" i="3"/>
  <c r="W802" i="3" s="1"/>
  <c r="V803" i="3"/>
  <c r="W803" i="3" s="1"/>
  <c r="V804" i="3"/>
  <c r="W804" i="3" s="1"/>
  <c r="V805" i="3"/>
  <c r="W805" i="3"/>
  <c r="V806" i="3"/>
  <c r="W806" i="3" s="1"/>
  <c r="V807" i="3"/>
  <c r="W807" i="3" s="1"/>
  <c r="V808" i="3"/>
  <c r="W808" i="3"/>
  <c r="V809" i="3"/>
  <c r="W809" i="3" s="1"/>
  <c r="V810" i="3"/>
  <c r="W810" i="3"/>
  <c r="V811" i="3"/>
  <c r="W811" i="3" s="1"/>
  <c r="V812" i="3"/>
  <c r="W812" i="3"/>
  <c r="V813" i="3"/>
  <c r="W813" i="3" s="1"/>
  <c r="V814" i="3"/>
  <c r="W814" i="3"/>
  <c r="V815" i="3"/>
  <c r="W815" i="3" s="1"/>
  <c r="V816" i="3"/>
  <c r="W816" i="3"/>
  <c r="V817" i="3"/>
  <c r="W817" i="3" s="1"/>
  <c r="V818" i="3"/>
  <c r="W818" i="3"/>
  <c r="V819" i="3"/>
  <c r="W819" i="3" s="1"/>
  <c r="V820" i="3"/>
  <c r="W820" i="3"/>
  <c r="V821" i="3"/>
  <c r="W821" i="3" s="1"/>
  <c r="V822" i="3"/>
  <c r="W822" i="3"/>
  <c r="V823" i="3"/>
  <c r="W823" i="3" s="1"/>
  <c r="V824" i="3"/>
  <c r="W824" i="3"/>
  <c r="V825" i="3"/>
  <c r="W825" i="3" s="1"/>
  <c r="V826" i="3"/>
  <c r="W826" i="3" s="1"/>
  <c r="V827" i="3"/>
  <c r="W827" i="3" s="1"/>
  <c r="V828" i="3"/>
  <c r="W828" i="3"/>
  <c r="V829" i="3"/>
  <c r="W829" i="3" s="1"/>
  <c r="V830" i="3"/>
  <c r="W830" i="3"/>
  <c r="V831" i="3"/>
  <c r="W831" i="3" s="1"/>
  <c r="V832" i="3"/>
  <c r="W832" i="3"/>
  <c r="V833" i="3"/>
  <c r="W833" i="3" s="1"/>
  <c r="V834" i="3"/>
  <c r="W834" i="3" s="1"/>
  <c r="V835" i="3"/>
  <c r="W835" i="3" s="1"/>
  <c r="V836" i="3"/>
  <c r="W836" i="3"/>
  <c r="V837" i="3"/>
  <c r="W837" i="3" s="1"/>
  <c r="V838" i="3"/>
  <c r="W838" i="3" s="1"/>
  <c r="V839" i="3"/>
  <c r="W839" i="3" s="1"/>
  <c r="V840" i="3"/>
  <c r="W840" i="3"/>
  <c r="V841" i="3"/>
  <c r="W841" i="3" s="1"/>
  <c r="V842" i="3"/>
  <c r="W842" i="3" s="1"/>
  <c r="V843" i="3"/>
  <c r="W843" i="3" s="1"/>
  <c r="V844" i="3"/>
  <c r="W844" i="3"/>
  <c r="V845" i="3"/>
  <c r="W845" i="3" s="1"/>
  <c r="V846" i="3"/>
  <c r="W846" i="3" s="1"/>
  <c r="V847" i="3"/>
  <c r="W847" i="3" s="1"/>
  <c r="V848" i="3"/>
  <c r="W848" i="3"/>
  <c r="V849" i="3"/>
  <c r="W849" i="3" s="1"/>
  <c r="V850" i="3"/>
  <c r="W850" i="3" s="1"/>
  <c r="V851" i="3"/>
  <c r="W851" i="3" s="1"/>
  <c r="V852" i="3"/>
  <c r="W852" i="3"/>
  <c r="V853" i="3"/>
  <c r="W853" i="3" s="1"/>
  <c r="V854" i="3"/>
  <c r="W854" i="3" s="1"/>
  <c r="V855" i="3"/>
  <c r="W855" i="3" s="1"/>
  <c r="V856" i="3"/>
  <c r="W856" i="3"/>
  <c r="V857" i="3"/>
  <c r="W857" i="3" s="1"/>
  <c r="V858" i="3"/>
  <c r="W858" i="3" s="1"/>
  <c r="V859" i="3"/>
  <c r="W859" i="3" s="1"/>
  <c r="V860" i="3"/>
  <c r="W860" i="3"/>
  <c r="V861" i="3"/>
  <c r="W861" i="3" s="1"/>
  <c r="V862" i="3"/>
  <c r="W862" i="3" s="1"/>
  <c r="V863" i="3"/>
  <c r="W863" i="3" s="1"/>
  <c r="V864" i="3"/>
  <c r="W864" i="3"/>
  <c r="V865" i="3"/>
  <c r="W865" i="3" s="1"/>
  <c r="V866" i="3"/>
  <c r="W866" i="3" s="1"/>
  <c r="V867" i="3"/>
  <c r="W867" i="3" s="1"/>
  <c r="V868" i="3"/>
  <c r="W868" i="3"/>
  <c r="V869" i="3"/>
  <c r="W869" i="3" s="1"/>
  <c r="V870" i="3"/>
  <c r="W870" i="3" s="1"/>
  <c r="V871" i="3"/>
  <c r="W871" i="3" s="1"/>
  <c r="V872" i="3"/>
  <c r="W872" i="3"/>
  <c r="V873" i="3"/>
  <c r="W873" i="3" s="1"/>
  <c r="V874" i="3"/>
  <c r="W874" i="3" s="1"/>
  <c r="V875" i="3"/>
  <c r="W875" i="3" s="1"/>
  <c r="V876" i="3"/>
  <c r="W876" i="3"/>
  <c r="V877" i="3"/>
  <c r="W877" i="3" s="1"/>
  <c r="V878" i="3"/>
  <c r="W878" i="3" s="1"/>
  <c r="V879" i="3"/>
  <c r="W879" i="3" s="1"/>
  <c r="V880" i="3"/>
  <c r="W880" i="3"/>
  <c r="V881" i="3"/>
  <c r="W881" i="3" s="1"/>
  <c r="V882" i="3"/>
  <c r="W882" i="3" s="1"/>
  <c r="V883" i="3"/>
  <c r="W883" i="3" s="1"/>
  <c r="V884" i="3"/>
  <c r="W884" i="3"/>
  <c r="V885" i="3"/>
  <c r="W885" i="3" s="1"/>
  <c r="V886" i="3"/>
  <c r="W886" i="3" s="1"/>
  <c r="V887" i="3"/>
  <c r="W887" i="3" s="1"/>
  <c r="V888" i="3"/>
  <c r="W888" i="3"/>
  <c r="V889" i="3"/>
  <c r="W889" i="3" s="1"/>
  <c r="V890" i="3"/>
  <c r="W890" i="3" s="1"/>
  <c r="V891" i="3"/>
  <c r="W891" i="3" s="1"/>
  <c r="V892" i="3"/>
  <c r="W892" i="3"/>
  <c r="V893" i="3"/>
  <c r="W893" i="3" s="1"/>
  <c r="V894" i="3"/>
  <c r="W894" i="3" s="1"/>
  <c r="V895" i="3"/>
  <c r="W895" i="3" s="1"/>
  <c r="V896" i="3"/>
  <c r="W896" i="3"/>
  <c r="V897" i="3"/>
  <c r="W897" i="3" s="1"/>
  <c r="V898" i="3"/>
  <c r="W898" i="3" s="1"/>
  <c r="V899" i="3"/>
  <c r="W899" i="3" s="1"/>
  <c r="V900" i="3"/>
  <c r="W900" i="3"/>
  <c r="V901" i="3"/>
  <c r="W901" i="3" s="1"/>
  <c r="V902" i="3"/>
  <c r="W902" i="3" s="1"/>
  <c r="V903" i="3"/>
  <c r="W903" i="3" s="1"/>
  <c r="V904" i="3"/>
  <c r="W904" i="3"/>
  <c r="V905" i="3"/>
  <c r="W905" i="3" s="1"/>
  <c r="V906" i="3"/>
  <c r="W906" i="3" s="1"/>
  <c r="V907" i="3"/>
  <c r="W907" i="3" s="1"/>
  <c r="V908" i="3"/>
  <c r="W908" i="3"/>
  <c r="V909" i="3"/>
  <c r="W909" i="3" s="1"/>
  <c r="V910" i="3"/>
  <c r="W910" i="3" s="1"/>
  <c r="V911" i="3"/>
  <c r="W911" i="3" s="1"/>
  <c r="V912" i="3"/>
  <c r="W912" i="3"/>
  <c r="V913" i="3"/>
  <c r="W913" i="3" s="1"/>
  <c r="V914" i="3"/>
  <c r="W914" i="3" s="1"/>
  <c r="V915" i="3"/>
  <c r="W915" i="3" s="1"/>
  <c r="V916" i="3"/>
  <c r="W916" i="3"/>
  <c r="V917" i="3"/>
  <c r="W917" i="3" s="1"/>
  <c r="V918" i="3"/>
  <c r="W918" i="3" s="1"/>
  <c r="V919" i="3"/>
  <c r="W919" i="3" s="1"/>
  <c r="V920" i="3"/>
  <c r="W920" i="3"/>
  <c r="V921" i="3"/>
  <c r="W921" i="3" s="1"/>
  <c r="V922" i="3"/>
  <c r="W922" i="3" s="1"/>
  <c r="V923" i="3"/>
  <c r="W923" i="3" s="1"/>
  <c r="V924" i="3"/>
  <c r="W924" i="3"/>
  <c r="V925" i="3"/>
  <c r="W925" i="3" s="1"/>
  <c r="V926" i="3"/>
  <c r="W926" i="3" s="1"/>
  <c r="V927" i="3"/>
  <c r="W927" i="3" s="1"/>
  <c r="V928" i="3"/>
  <c r="W928" i="3"/>
  <c r="V929" i="3"/>
  <c r="W929" i="3" s="1"/>
  <c r="V930" i="3"/>
  <c r="W930" i="3" s="1"/>
  <c r="V931" i="3"/>
  <c r="W931" i="3" s="1"/>
  <c r="V932" i="3"/>
  <c r="W932" i="3"/>
  <c r="V933" i="3"/>
  <c r="W933" i="3" s="1"/>
  <c r="V934" i="3"/>
  <c r="W934" i="3" s="1"/>
  <c r="V935" i="3"/>
  <c r="W935" i="3" s="1"/>
  <c r="V936" i="3"/>
  <c r="W936" i="3"/>
  <c r="V937" i="3"/>
  <c r="W937" i="3" s="1"/>
  <c r="V938" i="3"/>
  <c r="W938" i="3" s="1"/>
  <c r="V939" i="3"/>
  <c r="W939" i="3" s="1"/>
  <c r="V940" i="3"/>
  <c r="W940" i="3"/>
  <c r="V941" i="3"/>
  <c r="W941" i="3" s="1"/>
  <c r="V942" i="3"/>
  <c r="W942" i="3" s="1"/>
  <c r="V943" i="3"/>
  <c r="W943" i="3" s="1"/>
  <c r="V944" i="3"/>
  <c r="W944" i="3"/>
  <c r="V945" i="3"/>
  <c r="W945" i="3" s="1"/>
  <c r="V946" i="3"/>
  <c r="W946" i="3" s="1"/>
  <c r="V947" i="3"/>
  <c r="W947" i="3" s="1"/>
  <c r="V948" i="3"/>
  <c r="W948" i="3"/>
  <c r="V949" i="3"/>
  <c r="W949" i="3" s="1"/>
  <c r="V950" i="3"/>
  <c r="W950" i="3" s="1"/>
  <c r="V951" i="3"/>
  <c r="W951" i="3" s="1"/>
  <c r="V952" i="3"/>
  <c r="W952" i="3"/>
  <c r="V953" i="3"/>
  <c r="W953" i="3" s="1"/>
  <c r="V954" i="3"/>
  <c r="W954" i="3" s="1"/>
  <c r="V955" i="3"/>
  <c r="W955" i="3" s="1"/>
  <c r="V956" i="3"/>
  <c r="W956" i="3"/>
  <c r="V957" i="3"/>
  <c r="W957" i="3" s="1"/>
  <c r="V958" i="3"/>
  <c r="W958" i="3" s="1"/>
  <c r="V959" i="3"/>
  <c r="W959" i="3" s="1"/>
  <c r="V960" i="3"/>
  <c r="W960" i="3"/>
  <c r="V961" i="3"/>
  <c r="W961" i="3" s="1"/>
  <c r="V962" i="3"/>
  <c r="W962" i="3" s="1"/>
  <c r="V963" i="3"/>
  <c r="W963" i="3" s="1"/>
  <c r="V964" i="3"/>
  <c r="W964" i="3"/>
  <c r="V965" i="3"/>
  <c r="W965" i="3" s="1"/>
  <c r="V966" i="3"/>
  <c r="W966" i="3" s="1"/>
  <c r="V967" i="3"/>
  <c r="W967" i="3" s="1"/>
  <c r="V968" i="3"/>
  <c r="W968" i="3"/>
  <c r="V969" i="3"/>
  <c r="W969" i="3" s="1"/>
  <c r="V970" i="3"/>
  <c r="W970" i="3" s="1"/>
  <c r="V971" i="3"/>
  <c r="W971" i="3" s="1"/>
  <c r="V972" i="3"/>
  <c r="W972" i="3"/>
  <c r="V973" i="3"/>
  <c r="W973" i="3" s="1"/>
  <c r="V974" i="3"/>
  <c r="W974" i="3" s="1"/>
  <c r="V975" i="3"/>
  <c r="W975" i="3" s="1"/>
  <c r="V976" i="3"/>
  <c r="W976" i="3"/>
  <c r="V977" i="3"/>
  <c r="W977" i="3" s="1"/>
  <c r="V978" i="3"/>
  <c r="W978" i="3" s="1"/>
  <c r="V979" i="3"/>
  <c r="W979" i="3" s="1"/>
  <c r="V980" i="3"/>
  <c r="W980" i="3"/>
  <c r="V981" i="3"/>
  <c r="W981" i="3" s="1"/>
  <c r="V982" i="3"/>
  <c r="W982" i="3" s="1"/>
  <c r="V983" i="3"/>
  <c r="W983" i="3" s="1"/>
  <c r="V984" i="3"/>
  <c r="W984" i="3"/>
  <c r="V985" i="3"/>
  <c r="W985" i="3" s="1"/>
  <c r="V986" i="3"/>
  <c r="W986" i="3" s="1"/>
  <c r="V987" i="3"/>
  <c r="W987" i="3" s="1"/>
  <c r="V988" i="3"/>
  <c r="W988" i="3"/>
  <c r="V989" i="3"/>
  <c r="W989" i="3" s="1"/>
  <c r="V990" i="3"/>
  <c r="W990" i="3" s="1"/>
  <c r="V991" i="3"/>
  <c r="W991" i="3" s="1"/>
  <c r="V992" i="3"/>
  <c r="W992" i="3"/>
  <c r="V993" i="3"/>
  <c r="W993" i="3" s="1"/>
  <c r="V994" i="3"/>
  <c r="W994" i="3" s="1"/>
  <c r="V995" i="3"/>
  <c r="W995" i="3" s="1"/>
  <c r="V996" i="3"/>
  <c r="W996" i="3"/>
  <c r="V997" i="3"/>
  <c r="W997" i="3" s="1"/>
  <c r="V998" i="3"/>
  <c r="W998" i="3" s="1"/>
  <c r="V999" i="3"/>
  <c r="W999" i="3" s="1"/>
  <c r="V1000" i="3"/>
  <c r="W1000" i="3"/>
  <c r="V1001" i="3"/>
  <c r="W1001" i="3" s="1"/>
  <c r="V1002" i="3"/>
  <c r="W1002" i="3" s="1"/>
  <c r="V1003" i="3"/>
  <c r="W1003" i="3" s="1"/>
  <c r="V1004" i="3"/>
  <c r="W1004" i="3"/>
  <c r="V1005" i="3"/>
  <c r="W1005" i="3" s="1"/>
  <c r="V1006" i="3"/>
  <c r="W1006" i="3" s="1"/>
  <c r="V1007" i="3"/>
  <c r="W1007" i="3" s="1"/>
  <c r="V1008" i="3"/>
  <c r="W1008" i="3"/>
  <c r="V1009" i="3"/>
  <c r="W1009" i="3" s="1"/>
  <c r="V1010" i="3"/>
  <c r="W1010" i="3" s="1"/>
  <c r="V1011" i="3"/>
  <c r="W1011" i="3" s="1"/>
  <c r="V1012" i="3"/>
  <c r="W1012" i="3"/>
  <c r="V1013" i="3"/>
  <c r="W1013" i="3" s="1"/>
  <c r="V1014" i="3"/>
  <c r="W1014" i="3" s="1"/>
  <c r="V1015" i="3"/>
  <c r="W1015" i="3" s="1"/>
  <c r="V1016" i="3"/>
  <c r="W1016" i="3"/>
  <c r="V1017" i="3"/>
  <c r="W1017" i="3" s="1"/>
  <c r="V1018" i="3"/>
  <c r="W1018" i="3" s="1"/>
  <c r="V1019" i="3"/>
  <c r="W1019" i="3" s="1"/>
  <c r="V1020" i="3"/>
  <c r="W1020" i="3"/>
  <c r="V1021" i="3"/>
  <c r="W1021" i="3" s="1"/>
  <c r="V1022" i="3"/>
  <c r="W1022" i="3" s="1"/>
  <c r="V1023" i="3"/>
  <c r="W1023" i="3" s="1"/>
  <c r="V1024" i="3"/>
  <c r="W1024" i="3"/>
  <c r="V1025" i="3"/>
  <c r="W1025" i="3" s="1"/>
  <c r="V1026" i="3"/>
  <c r="W1026" i="3" s="1"/>
  <c r="V1027" i="3"/>
  <c r="W1027" i="3" s="1"/>
  <c r="V1028" i="3"/>
  <c r="W1028" i="3"/>
  <c r="V1029" i="3"/>
  <c r="W1029" i="3" s="1"/>
  <c r="V1030" i="3"/>
  <c r="W1030" i="3" s="1"/>
  <c r="V1031" i="3"/>
  <c r="W1031" i="3" s="1"/>
  <c r="V1032" i="3"/>
  <c r="W1032" i="3"/>
  <c r="V1033" i="3"/>
  <c r="W1033" i="3" s="1"/>
  <c r="V1034" i="3"/>
  <c r="W1034" i="3" s="1"/>
  <c r="V1035" i="3"/>
  <c r="W1035" i="3" s="1"/>
  <c r="V1036" i="3"/>
  <c r="W1036" i="3"/>
  <c r="V1037" i="3"/>
  <c r="W1037" i="3" s="1"/>
  <c r="V1038" i="3"/>
  <c r="W1038" i="3" s="1"/>
  <c r="V1039" i="3"/>
  <c r="W1039" i="3" s="1"/>
  <c r="V1040" i="3"/>
  <c r="W1040" i="3"/>
  <c r="V1041" i="3"/>
  <c r="W1041" i="3" s="1"/>
  <c r="V1042" i="3"/>
  <c r="W1042" i="3" s="1"/>
  <c r="V1043" i="3"/>
  <c r="W1043" i="3" s="1"/>
  <c r="V1044" i="3"/>
  <c r="W1044" i="3"/>
  <c r="V1045" i="3"/>
  <c r="W1045" i="3" s="1"/>
  <c r="V1046" i="3"/>
  <c r="W1046" i="3" s="1"/>
  <c r="V1047" i="3"/>
  <c r="W1047" i="3" s="1"/>
  <c r="V1048" i="3"/>
  <c r="W1048" i="3"/>
  <c r="V1049" i="3"/>
  <c r="W1049" i="3" s="1"/>
  <c r="V1050" i="3"/>
  <c r="W1050" i="3" s="1"/>
  <c r="V1051" i="3"/>
  <c r="W1051" i="3" s="1"/>
  <c r="V1052" i="3"/>
  <c r="W1052" i="3"/>
  <c r="V1053" i="3"/>
  <c r="W1053" i="3" s="1"/>
  <c r="V1054" i="3"/>
  <c r="W1054" i="3" s="1"/>
  <c r="V1055" i="3"/>
  <c r="W1055" i="3" s="1"/>
  <c r="V1056" i="3"/>
  <c r="W1056" i="3"/>
  <c r="V1057" i="3"/>
  <c r="W1057" i="3" s="1"/>
  <c r="V1058" i="3"/>
  <c r="W1058" i="3" s="1"/>
  <c r="V1059" i="3"/>
  <c r="W1059" i="3" s="1"/>
  <c r="V1060" i="3"/>
  <c r="W1060" i="3"/>
  <c r="V1061" i="3"/>
  <c r="W1061" i="3" s="1"/>
  <c r="V1062" i="3"/>
  <c r="W1062" i="3" s="1"/>
  <c r="V1063" i="3"/>
  <c r="W1063" i="3" s="1"/>
  <c r="V1064" i="3"/>
  <c r="W1064" i="3"/>
  <c r="V1065" i="3"/>
  <c r="W1065" i="3" s="1"/>
  <c r="V1066" i="3"/>
  <c r="W1066" i="3" s="1"/>
  <c r="V1067" i="3"/>
  <c r="W1067" i="3" s="1"/>
  <c r="V1068" i="3"/>
  <c r="W1068" i="3"/>
  <c r="V1069" i="3"/>
  <c r="W1069" i="3" s="1"/>
  <c r="V1070" i="3"/>
  <c r="W1070" i="3" s="1"/>
  <c r="V1071" i="3"/>
  <c r="W1071" i="3" s="1"/>
  <c r="V1072" i="3"/>
  <c r="W1072" i="3"/>
  <c r="V1073" i="3"/>
  <c r="W1073" i="3" s="1"/>
  <c r="V1074" i="3"/>
  <c r="W1074" i="3" s="1"/>
  <c r="V1075" i="3"/>
  <c r="W1075" i="3" s="1"/>
  <c r="V1076" i="3"/>
  <c r="W1076" i="3"/>
  <c r="V1077" i="3"/>
  <c r="W1077" i="3" s="1"/>
  <c r="V1078" i="3"/>
  <c r="W1078" i="3" s="1"/>
  <c r="V1079" i="3"/>
  <c r="W1079" i="3" s="1"/>
  <c r="V1080" i="3"/>
  <c r="W1080" i="3"/>
  <c r="V1081" i="3"/>
  <c r="W1081" i="3" s="1"/>
  <c r="V1082" i="3"/>
  <c r="W1082" i="3" s="1"/>
  <c r="V1083" i="3"/>
  <c r="W1083" i="3" s="1"/>
  <c r="V1084" i="3"/>
  <c r="W1084" i="3"/>
  <c r="V1085" i="3"/>
  <c r="W1085" i="3" s="1"/>
  <c r="V1086" i="3"/>
  <c r="W1086" i="3" s="1"/>
  <c r="V1087" i="3"/>
  <c r="W1087" i="3" s="1"/>
  <c r="V1088" i="3"/>
  <c r="W1088" i="3"/>
  <c r="V1089" i="3"/>
  <c r="W1089" i="3" s="1"/>
  <c r="V1090" i="3"/>
  <c r="W1090" i="3" s="1"/>
  <c r="V1091" i="3"/>
  <c r="W1091" i="3" s="1"/>
  <c r="V1092" i="3"/>
  <c r="W1092" i="3"/>
  <c r="V1093" i="3"/>
  <c r="W1093" i="3" s="1"/>
  <c r="V1094" i="3"/>
  <c r="W1094" i="3" s="1"/>
  <c r="V1095" i="3"/>
  <c r="W1095" i="3" s="1"/>
  <c r="V1096" i="3"/>
  <c r="W1096" i="3"/>
  <c r="V1097" i="3"/>
  <c r="W1097" i="3" s="1"/>
  <c r="V1098" i="3"/>
  <c r="W1098" i="3" s="1"/>
  <c r="V1099" i="3"/>
  <c r="W1099" i="3" s="1"/>
  <c r="V1100" i="3"/>
  <c r="W1100" i="3"/>
  <c r="V1101" i="3"/>
  <c r="W1101" i="3" s="1"/>
  <c r="V1102" i="3"/>
  <c r="W1102" i="3" s="1"/>
  <c r="V1103" i="3"/>
  <c r="W1103" i="3" s="1"/>
  <c r="V1104" i="3"/>
  <c r="W1104" i="3"/>
  <c r="V1105" i="3"/>
  <c r="W1105" i="3" s="1"/>
  <c r="V1106" i="3"/>
  <c r="W1106" i="3" s="1"/>
  <c r="V1107" i="3"/>
  <c r="W1107" i="3" s="1"/>
  <c r="V1108" i="3"/>
  <c r="W1108" i="3"/>
  <c r="V1109" i="3"/>
  <c r="W1109" i="3" s="1"/>
  <c r="V1110" i="3"/>
  <c r="W1110" i="3" s="1"/>
  <c r="V1111" i="3"/>
  <c r="W1111" i="3" s="1"/>
  <c r="V1112" i="3"/>
  <c r="W1112" i="3"/>
  <c r="V1113" i="3"/>
  <c r="W1113" i="3" s="1"/>
  <c r="V1114" i="3"/>
  <c r="W1114" i="3" s="1"/>
  <c r="V1115" i="3"/>
  <c r="W1115" i="3" s="1"/>
  <c r="V1116" i="3"/>
  <c r="W1116" i="3"/>
  <c r="V1117" i="3"/>
  <c r="W1117" i="3" s="1"/>
  <c r="V1118" i="3"/>
  <c r="W1118" i="3" s="1"/>
  <c r="V1119" i="3"/>
  <c r="W1119" i="3" s="1"/>
  <c r="V1120" i="3"/>
  <c r="W1120" i="3"/>
  <c r="V1121" i="3"/>
  <c r="W1121" i="3" s="1"/>
  <c r="V1122" i="3"/>
  <c r="W1122" i="3" s="1"/>
  <c r="V1123" i="3"/>
  <c r="W1123" i="3" s="1"/>
  <c r="V1124" i="3"/>
  <c r="W1124" i="3"/>
  <c r="V1125" i="3"/>
  <c r="W1125" i="3" s="1"/>
  <c r="V1126" i="3"/>
  <c r="W1126" i="3" s="1"/>
  <c r="V1127" i="3"/>
  <c r="W1127" i="3" s="1"/>
  <c r="V1128" i="3"/>
  <c r="W1128" i="3"/>
  <c r="V1129" i="3"/>
  <c r="W1129" i="3" s="1"/>
  <c r="V1130" i="3"/>
  <c r="W1130" i="3" s="1"/>
  <c r="V1131" i="3"/>
  <c r="W1131" i="3" s="1"/>
  <c r="V1132" i="3"/>
  <c r="W1132" i="3"/>
  <c r="V1133" i="3"/>
  <c r="W1133" i="3" s="1"/>
  <c r="V1134" i="3"/>
  <c r="W1134" i="3" s="1"/>
  <c r="V1135" i="3"/>
  <c r="W1135" i="3" s="1"/>
  <c r="V1136" i="3"/>
  <c r="W1136" i="3"/>
  <c r="V1137" i="3"/>
  <c r="W1137" i="3" s="1"/>
  <c r="V1138" i="3"/>
  <c r="W1138" i="3" s="1"/>
  <c r="V1139" i="3"/>
  <c r="W1139" i="3" s="1"/>
  <c r="V1140" i="3"/>
  <c r="W1140" i="3"/>
  <c r="V1141" i="3"/>
  <c r="W1141" i="3" s="1"/>
  <c r="V1142" i="3"/>
  <c r="W1142" i="3" s="1"/>
  <c r="V1143" i="3"/>
  <c r="W1143" i="3" s="1"/>
  <c r="V1144" i="3"/>
  <c r="W1144" i="3"/>
  <c r="V1145" i="3"/>
  <c r="W1145" i="3" s="1"/>
  <c r="V1146" i="3"/>
  <c r="W1146" i="3" s="1"/>
  <c r="V1147" i="3"/>
  <c r="W1147" i="3" s="1"/>
  <c r="V1148" i="3"/>
  <c r="W1148" i="3" s="1"/>
  <c r="V1149" i="3"/>
  <c r="W1149" i="3" s="1"/>
  <c r="V1150" i="3"/>
  <c r="W1150" i="3" s="1"/>
  <c r="V1151" i="3"/>
  <c r="W1151" i="3" s="1"/>
  <c r="V1152" i="3"/>
  <c r="W1152" i="3" s="1"/>
  <c r="V1153" i="3"/>
  <c r="W1153" i="3" s="1"/>
  <c r="V1154" i="3"/>
  <c r="W1154" i="3" s="1"/>
  <c r="V1155" i="3"/>
  <c r="W1155" i="3" s="1"/>
  <c r="V1156" i="3"/>
  <c r="W1156" i="3" s="1"/>
  <c r="V1157" i="3"/>
  <c r="W1157" i="3" s="1"/>
  <c r="V1158" i="3"/>
  <c r="W1158" i="3" s="1"/>
  <c r="V1159" i="3"/>
  <c r="W1159" i="3" s="1"/>
  <c r="V1160" i="3"/>
  <c r="W1160" i="3" s="1"/>
  <c r="V1161" i="3"/>
  <c r="W1161" i="3" s="1"/>
  <c r="V1162" i="3"/>
  <c r="W1162" i="3" s="1"/>
  <c r="V1163" i="3"/>
  <c r="W1163" i="3" s="1"/>
  <c r="V1164" i="3"/>
  <c r="W1164" i="3" s="1"/>
  <c r="V1165" i="3"/>
  <c r="W1165" i="3" s="1"/>
  <c r="V1166" i="3"/>
  <c r="W1166" i="3" s="1"/>
  <c r="V1167" i="3"/>
  <c r="W1167" i="3" s="1"/>
  <c r="V1168" i="3"/>
  <c r="W1168" i="3" s="1"/>
  <c r="V1169" i="3"/>
  <c r="W1169" i="3" s="1"/>
  <c r="V1170" i="3"/>
  <c r="W1170" i="3" s="1"/>
  <c r="V1171" i="3"/>
  <c r="W1171" i="3" s="1"/>
  <c r="V1172" i="3"/>
  <c r="W1172" i="3" s="1"/>
  <c r="V1173" i="3"/>
  <c r="W1173" i="3" s="1"/>
  <c r="V1174" i="3"/>
  <c r="W1174" i="3" s="1"/>
  <c r="V1175" i="3"/>
  <c r="W1175" i="3" s="1"/>
  <c r="V1176" i="3"/>
  <c r="W1176" i="3" s="1"/>
  <c r="V1177" i="3"/>
  <c r="W1177" i="3" s="1"/>
  <c r="V1178" i="3"/>
  <c r="W1178" i="3" s="1"/>
  <c r="V1179" i="3"/>
  <c r="W1179" i="3" s="1"/>
  <c r="V1180" i="3"/>
  <c r="W1180" i="3" s="1"/>
  <c r="V1181" i="3"/>
  <c r="W1181" i="3" s="1"/>
  <c r="V1182" i="3"/>
  <c r="W1182" i="3" s="1"/>
  <c r="V1183" i="3"/>
  <c r="W1183" i="3" s="1"/>
  <c r="V1184" i="3"/>
  <c r="W1184" i="3" s="1"/>
  <c r="V1185" i="3"/>
  <c r="W1185" i="3" s="1"/>
  <c r="V1186" i="3"/>
  <c r="W1186" i="3" s="1"/>
  <c r="V1187" i="3"/>
  <c r="W1187" i="3" s="1"/>
  <c r="V1188" i="3"/>
  <c r="W1188" i="3" s="1"/>
  <c r="V1189" i="3"/>
  <c r="W1189" i="3" s="1"/>
  <c r="V1190" i="3"/>
  <c r="W1190" i="3" s="1"/>
  <c r="V1191" i="3"/>
  <c r="W1191" i="3" s="1"/>
  <c r="V1192" i="3"/>
  <c r="W1192" i="3" s="1"/>
  <c r="V1193" i="3"/>
  <c r="W1193" i="3" s="1"/>
  <c r="V1194" i="3"/>
  <c r="W1194" i="3" s="1"/>
  <c r="V1195" i="3"/>
  <c r="W1195" i="3" s="1"/>
  <c r="V1196" i="3"/>
  <c r="W1196" i="3" s="1"/>
  <c r="V1197" i="3"/>
  <c r="W1197" i="3" s="1"/>
  <c r="V1198" i="3"/>
  <c r="W1198" i="3" s="1"/>
  <c r="V1199" i="3"/>
  <c r="W1199" i="3" s="1"/>
  <c r="V1200" i="3"/>
  <c r="W1200" i="3" s="1"/>
  <c r="V1201" i="3"/>
  <c r="W1201" i="3" s="1"/>
  <c r="V1202" i="3"/>
  <c r="W1202" i="3" s="1"/>
  <c r="V1203" i="3"/>
  <c r="W1203" i="3" s="1"/>
  <c r="V1204" i="3"/>
  <c r="W1204" i="3" s="1"/>
  <c r="V1205" i="3"/>
  <c r="W1205" i="3" s="1"/>
  <c r="V1206" i="3"/>
  <c r="W1206" i="3" s="1"/>
  <c r="V1207" i="3"/>
  <c r="W1207" i="3" s="1"/>
  <c r="V1208" i="3"/>
  <c r="W1208" i="3" s="1"/>
  <c r="V1209" i="3"/>
  <c r="W1209" i="3" s="1"/>
  <c r="V1210" i="3"/>
  <c r="W1210" i="3" s="1"/>
  <c r="V1211" i="3"/>
  <c r="W1211" i="3" s="1"/>
  <c r="V1212" i="3"/>
  <c r="W1212" i="3" s="1"/>
  <c r="V1213" i="3"/>
  <c r="W1213" i="3" s="1"/>
  <c r="V1214" i="3"/>
  <c r="W1214" i="3" s="1"/>
  <c r="V1215" i="3"/>
  <c r="W1215" i="3" s="1"/>
  <c r="V1216" i="3"/>
  <c r="W1216" i="3" s="1"/>
  <c r="V1217" i="3"/>
  <c r="W1217" i="3" s="1"/>
  <c r="V1218" i="3"/>
  <c r="W1218" i="3" s="1"/>
  <c r="V1219" i="3"/>
  <c r="W1219" i="3" s="1"/>
  <c r="V1220" i="3"/>
  <c r="W1220" i="3" s="1"/>
  <c r="V1221" i="3"/>
  <c r="W1221" i="3" s="1"/>
  <c r="V1222" i="3"/>
  <c r="W1222" i="3" s="1"/>
  <c r="V1223" i="3"/>
  <c r="W1223" i="3" s="1"/>
  <c r="V1224" i="3"/>
  <c r="W1224" i="3" s="1"/>
  <c r="V1225" i="3"/>
  <c r="W1225" i="3" s="1"/>
  <c r="V1226" i="3"/>
  <c r="W1226" i="3" s="1"/>
  <c r="V1227" i="3"/>
  <c r="W1227" i="3" s="1"/>
  <c r="V1228" i="3"/>
  <c r="W1228" i="3" s="1"/>
  <c r="V1229" i="3"/>
  <c r="W1229" i="3" s="1"/>
  <c r="V1230" i="3"/>
  <c r="W1230" i="3" s="1"/>
  <c r="V1231" i="3"/>
  <c r="W1231" i="3" s="1"/>
  <c r="V1232" i="3"/>
  <c r="W1232" i="3" s="1"/>
  <c r="V1233" i="3"/>
  <c r="W1233" i="3" s="1"/>
  <c r="V1234" i="3"/>
  <c r="W1234" i="3" s="1"/>
  <c r="V1235" i="3"/>
  <c r="W1235" i="3" s="1"/>
  <c r="V1236" i="3"/>
  <c r="W1236" i="3" s="1"/>
  <c r="V1237" i="3"/>
  <c r="W1237" i="3" s="1"/>
  <c r="V1238" i="3"/>
  <c r="W1238" i="3" s="1"/>
  <c r="V1239" i="3"/>
  <c r="W1239" i="3" s="1"/>
  <c r="V1240" i="3"/>
  <c r="W1240" i="3" s="1"/>
  <c r="V1241" i="3"/>
  <c r="W1241" i="3" s="1"/>
  <c r="V1242" i="3"/>
  <c r="W1242" i="3" s="1"/>
  <c r="V1243" i="3"/>
  <c r="W1243" i="3" s="1"/>
  <c r="V1244" i="3"/>
  <c r="W1244" i="3" s="1"/>
  <c r="V1245" i="3"/>
  <c r="W1245" i="3" s="1"/>
  <c r="V1246" i="3"/>
  <c r="W1246" i="3" s="1"/>
  <c r="V1247" i="3"/>
  <c r="W1247" i="3" s="1"/>
  <c r="V1248" i="3"/>
  <c r="W1248" i="3" s="1"/>
  <c r="V1249" i="3"/>
  <c r="W1249" i="3" s="1"/>
  <c r="V1250" i="3"/>
  <c r="W1250" i="3" s="1"/>
  <c r="V1251" i="3"/>
  <c r="W1251" i="3" s="1"/>
  <c r="V1252" i="3"/>
  <c r="W1252" i="3" s="1"/>
  <c r="V1253" i="3"/>
  <c r="W1253" i="3" s="1"/>
  <c r="V1254" i="3"/>
  <c r="W1254" i="3" s="1"/>
  <c r="V1255" i="3"/>
  <c r="W1255" i="3" s="1"/>
  <c r="V1256" i="3"/>
  <c r="W1256" i="3" s="1"/>
  <c r="V1257" i="3"/>
  <c r="W1257" i="3" s="1"/>
  <c r="V1258" i="3"/>
  <c r="W1258" i="3" s="1"/>
  <c r="V1259" i="3"/>
  <c r="W1259" i="3" s="1"/>
  <c r="V1260" i="3"/>
  <c r="W1260" i="3" s="1"/>
  <c r="V1261" i="3"/>
  <c r="W1261" i="3" s="1"/>
  <c r="V1262" i="3"/>
  <c r="W1262" i="3" s="1"/>
  <c r="V1263" i="3"/>
  <c r="W1263" i="3" s="1"/>
  <c r="V1264" i="3"/>
  <c r="W1264" i="3" s="1"/>
  <c r="V1265" i="3"/>
  <c r="W1265" i="3" s="1"/>
  <c r="V1266" i="3"/>
  <c r="W1266" i="3" s="1"/>
  <c r="V1267" i="3"/>
  <c r="W1267" i="3" s="1"/>
  <c r="V1268" i="3"/>
  <c r="W1268" i="3" s="1"/>
  <c r="V1269" i="3"/>
  <c r="W1269" i="3" s="1"/>
  <c r="V1270" i="3"/>
  <c r="W1270" i="3" s="1"/>
  <c r="V1271" i="3"/>
  <c r="W1271" i="3" s="1"/>
  <c r="V1272" i="3"/>
  <c r="W1272" i="3" s="1"/>
  <c r="V1273" i="3"/>
  <c r="W1273" i="3" s="1"/>
  <c r="V1274" i="3"/>
  <c r="W1274" i="3" s="1"/>
  <c r="V1275" i="3"/>
  <c r="W1275" i="3" s="1"/>
  <c r="V1276" i="3"/>
  <c r="W1276" i="3" s="1"/>
  <c r="V1277" i="3"/>
  <c r="W1277" i="3" s="1"/>
  <c r="V1278" i="3"/>
  <c r="W1278" i="3" s="1"/>
  <c r="V1279" i="3"/>
  <c r="W1279" i="3" s="1"/>
  <c r="V1280" i="3"/>
  <c r="W1280" i="3" s="1"/>
  <c r="V1281" i="3"/>
  <c r="W1281" i="3" s="1"/>
  <c r="V1282" i="3"/>
  <c r="W1282" i="3" s="1"/>
  <c r="V1283" i="3"/>
  <c r="W1283" i="3" s="1"/>
  <c r="V1284" i="3"/>
  <c r="W1284" i="3" s="1"/>
  <c r="V1285" i="3"/>
  <c r="W1285" i="3" s="1"/>
  <c r="V1286" i="3"/>
  <c r="W1286" i="3" s="1"/>
  <c r="V1287" i="3"/>
  <c r="W1287" i="3" s="1"/>
  <c r="V1288" i="3"/>
  <c r="W1288" i="3" s="1"/>
  <c r="V1289" i="3"/>
  <c r="W1289" i="3" s="1"/>
  <c r="V1290" i="3"/>
  <c r="W1290" i="3" s="1"/>
  <c r="V1291" i="3"/>
  <c r="W1291" i="3" s="1"/>
  <c r="V1292" i="3"/>
  <c r="W1292" i="3" s="1"/>
  <c r="V1293" i="3"/>
  <c r="W1293" i="3" s="1"/>
  <c r="V1294" i="3"/>
  <c r="W1294" i="3" s="1"/>
  <c r="V1295" i="3"/>
  <c r="W1295" i="3" s="1"/>
  <c r="V1296" i="3"/>
  <c r="W1296" i="3" s="1"/>
  <c r="V1297" i="3"/>
  <c r="W1297" i="3" s="1"/>
  <c r="V1298" i="3"/>
  <c r="W1298" i="3" s="1"/>
  <c r="V1299" i="3"/>
  <c r="W1299" i="3" s="1"/>
  <c r="V1300" i="3"/>
  <c r="W1300" i="3" s="1"/>
  <c r="V1301" i="3"/>
  <c r="W1301" i="3" s="1"/>
  <c r="V1302" i="3"/>
  <c r="W1302" i="3" s="1"/>
  <c r="V1303" i="3"/>
  <c r="W1303" i="3" s="1"/>
  <c r="V1304" i="3"/>
  <c r="W1304" i="3" s="1"/>
  <c r="V1305" i="3"/>
  <c r="W1305" i="3" s="1"/>
  <c r="V1306" i="3"/>
  <c r="W1306" i="3" s="1"/>
  <c r="V1307" i="3"/>
  <c r="W1307" i="3" s="1"/>
  <c r="V1308" i="3"/>
  <c r="W1308" i="3" s="1"/>
  <c r="V1309" i="3"/>
  <c r="W1309" i="3" s="1"/>
  <c r="V1310" i="3"/>
  <c r="W1310" i="3" s="1"/>
  <c r="V1311" i="3"/>
  <c r="W1311" i="3" s="1"/>
  <c r="V1312" i="3"/>
  <c r="W1312" i="3" s="1"/>
  <c r="V1313" i="3"/>
  <c r="W1313" i="3" s="1"/>
  <c r="V1314" i="3"/>
  <c r="W1314" i="3" s="1"/>
  <c r="V1315" i="3"/>
  <c r="W1315" i="3" s="1"/>
  <c r="V1316" i="3"/>
  <c r="W1316" i="3" s="1"/>
  <c r="V1317" i="3"/>
  <c r="W1317" i="3" s="1"/>
  <c r="V1318" i="3"/>
  <c r="W1318" i="3" s="1"/>
  <c r="V1319" i="3"/>
  <c r="W1319" i="3" s="1"/>
  <c r="V1320" i="3"/>
  <c r="W1320" i="3" s="1"/>
  <c r="V1321" i="3"/>
  <c r="W1321" i="3" s="1"/>
  <c r="V1322" i="3"/>
  <c r="W1322" i="3" s="1"/>
  <c r="V1323" i="3"/>
  <c r="W1323" i="3" s="1"/>
  <c r="V1324" i="3"/>
  <c r="W1324" i="3" s="1"/>
  <c r="V1325" i="3"/>
  <c r="W1325" i="3" s="1"/>
  <c r="V1326" i="3"/>
  <c r="W1326" i="3" s="1"/>
  <c r="V1327" i="3"/>
  <c r="W1327" i="3" s="1"/>
  <c r="V1328" i="3"/>
  <c r="W1328" i="3" s="1"/>
  <c r="V1329" i="3"/>
  <c r="W1329" i="3" s="1"/>
  <c r="V1330" i="3"/>
  <c r="W1330" i="3" s="1"/>
  <c r="V1331" i="3"/>
  <c r="W1331" i="3" s="1"/>
  <c r="V1332" i="3"/>
  <c r="W1332" i="3" s="1"/>
  <c r="V1333" i="3"/>
  <c r="W1333" i="3" s="1"/>
  <c r="V1334" i="3"/>
  <c r="W1334" i="3" s="1"/>
  <c r="V1335" i="3"/>
  <c r="W1335" i="3" s="1"/>
  <c r="V1336" i="3"/>
  <c r="W1336" i="3" s="1"/>
  <c r="V1337" i="3"/>
  <c r="W1337" i="3" s="1"/>
  <c r="V1338" i="3"/>
  <c r="W1338" i="3" s="1"/>
  <c r="V1339" i="3"/>
  <c r="W1339" i="3" s="1"/>
  <c r="V1340" i="3"/>
  <c r="W1340" i="3" s="1"/>
  <c r="V1341" i="3"/>
  <c r="W1341" i="3" s="1"/>
  <c r="V1342" i="3"/>
  <c r="W1342" i="3" s="1"/>
  <c r="V1343" i="3"/>
  <c r="W1343" i="3" s="1"/>
  <c r="V1344" i="3"/>
  <c r="W1344" i="3" s="1"/>
  <c r="V1345" i="3"/>
  <c r="W1345" i="3" s="1"/>
  <c r="V1346" i="3"/>
  <c r="W1346" i="3" s="1"/>
  <c r="V1347" i="3"/>
  <c r="W1347" i="3" s="1"/>
  <c r="V1348" i="3"/>
  <c r="W1348" i="3" s="1"/>
  <c r="V1349" i="3"/>
  <c r="W1349" i="3" s="1"/>
  <c r="V1350" i="3"/>
  <c r="W1350" i="3" s="1"/>
  <c r="V1351" i="3"/>
  <c r="W1351" i="3" s="1"/>
  <c r="V1352" i="3"/>
  <c r="W1352" i="3" s="1"/>
  <c r="V1353" i="3"/>
  <c r="W1353" i="3" s="1"/>
  <c r="V1354" i="3"/>
  <c r="W1354" i="3" s="1"/>
  <c r="V1355" i="3"/>
  <c r="W1355" i="3" s="1"/>
  <c r="V1356" i="3"/>
  <c r="W1356" i="3" s="1"/>
  <c r="V1357" i="3"/>
  <c r="W1357" i="3" s="1"/>
  <c r="V1358" i="3"/>
  <c r="W1358" i="3" s="1"/>
  <c r="V1359" i="3"/>
  <c r="W1359" i="3" s="1"/>
  <c r="V1360" i="3"/>
  <c r="W1360" i="3" s="1"/>
  <c r="V1361" i="3"/>
  <c r="W1361" i="3" s="1"/>
  <c r="V1362" i="3"/>
  <c r="W1362" i="3" s="1"/>
  <c r="V1363" i="3"/>
  <c r="W1363" i="3" s="1"/>
  <c r="V1364" i="3"/>
  <c r="W1364" i="3" s="1"/>
  <c r="V1365" i="3"/>
  <c r="W1365" i="3" s="1"/>
  <c r="V1366" i="3"/>
  <c r="W1366" i="3" s="1"/>
  <c r="V1367" i="3"/>
  <c r="W1367" i="3" s="1"/>
  <c r="V1368" i="3"/>
  <c r="W1368" i="3" s="1"/>
  <c r="V1369" i="3"/>
  <c r="W1369" i="3" s="1"/>
  <c r="V1370" i="3"/>
  <c r="W1370" i="3" s="1"/>
  <c r="V1371" i="3"/>
  <c r="W1371" i="3" s="1"/>
  <c r="V1372" i="3"/>
  <c r="W1372" i="3" s="1"/>
  <c r="V1373" i="3"/>
  <c r="W1373" i="3" s="1"/>
  <c r="V1374" i="3"/>
  <c r="W1374" i="3" s="1"/>
  <c r="V1375" i="3"/>
  <c r="W1375" i="3" s="1"/>
  <c r="V1376" i="3"/>
  <c r="W1376" i="3" s="1"/>
  <c r="V1377" i="3"/>
  <c r="W1377" i="3" s="1"/>
  <c r="V1378" i="3"/>
  <c r="W1378" i="3" s="1"/>
  <c r="V1379" i="3"/>
  <c r="W1379" i="3" s="1"/>
  <c r="V1380" i="3"/>
  <c r="W1380" i="3" s="1"/>
  <c r="V1381" i="3"/>
  <c r="W1381" i="3" s="1"/>
  <c r="V1382" i="3"/>
  <c r="W1382" i="3" s="1"/>
  <c r="V1383" i="3"/>
  <c r="W1383" i="3" s="1"/>
  <c r="V1384" i="3"/>
  <c r="W1384" i="3" s="1"/>
  <c r="V1385" i="3"/>
  <c r="W1385" i="3" s="1"/>
  <c r="V1386" i="3"/>
  <c r="W1386" i="3" s="1"/>
  <c r="V1387" i="3"/>
  <c r="W1387" i="3" s="1"/>
  <c r="V1388" i="3"/>
  <c r="W1388" i="3" s="1"/>
  <c r="V1389" i="3"/>
  <c r="W1389" i="3" s="1"/>
  <c r="V1390" i="3"/>
  <c r="W1390" i="3" s="1"/>
  <c r="V1391" i="3"/>
  <c r="W1391" i="3" s="1"/>
  <c r="V1392" i="3"/>
  <c r="W1392" i="3" s="1"/>
  <c r="V1393" i="3"/>
  <c r="W1393" i="3" s="1"/>
  <c r="V1394" i="3"/>
  <c r="W1394" i="3" s="1"/>
  <c r="V1395" i="3"/>
  <c r="W1395" i="3" s="1"/>
  <c r="V1396" i="3"/>
  <c r="W1396" i="3" s="1"/>
  <c r="V1397" i="3"/>
  <c r="W1397" i="3" s="1"/>
  <c r="V1398" i="3"/>
  <c r="W1398" i="3" s="1"/>
  <c r="V1399" i="3"/>
  <c r="W1399" i="3" s="1"/>
  <c r="V1400" i="3"/>
  <c r="W1400" i="3" s="1"/>
  <c r="V1401" i="3"/>
  <c r="W1401" i="3" s="1"/>
  <c r="V1402" i="3"/>
  <c r="W1402" i="3" s="1"/>
  <c r="V1403" i="3"/>
  <c r="W1403" i="3" s="1"/>
  <c r="V1404" i="3"/>
  <c r="W1404" i="3" s="1"/>
  <c r="V1405" i="3"/>
  <c r="W1405" i="3" s="1"/>
  <c r="V1406" i="3"/>
  <c r="W1406" i="3" s="1"/>
  <c r="V1407" i="3"/>
  <c r="W1407" i="3" s="1"/>
  <c r="V1408" i="3"/>
  <c r="W1408" i="3" s="1"/>
  <c r="V1409" i="3"/>
  <c r="W1409" i="3" s="1"/>
  <c r="V1410" i="3"/>
  <c r="W1410" i="3" s="1"/>
  <c r="V1411" i="3"/>
  <c r="W1411" i="3" s="1"/>
  <c r="V1412" i="3"/>
  <c r="W1412" i="3" s="1"/>
  <c r="V1413" i="3"/>
  <c r="W1413" i="3"/>
  <c r="V1414" i="3"/>
  <c r="W1414" i="3" s="1"/>
  <c r="V1415" i="3"/>
  <c r="W1415" i="3" s="1"/>
  <c r="V1416" i="3"/>
  <c r="W1416" i="3" s="1"/>
  <c r="V1417" i="3"/>
  <c r="W1417" i="3" s="1"/>
  <c r="V1418" i="3"/>
  <c r="W1418" i="3" s="1"/>
  <c r="V1419" i="3"/>
  <c r="W1419" i="3" s="1"/>
  <c r="V1420" i="3"/>
  <c r="W1420" i="3" s="1"/>
  <c r="V1421" i="3"/>
  <c r="W1421" i="3"/>
  <c r="V1422" i="3"/>
  <c r="W1422" i="3" s="1"/>
  <c r="V1423" i="3"/>
  <c r="W1423" i="3" s="1"/>
  <c r="V1424" i="3"/>
  <c r="W1424" i="3" s="1"/>
  <c r="V1425" i="3"/>
  <c r="W1425" i="3" s="1"/>
  <c r="V1426" i="3"/>
  <c r="W1426" i="3" s="1"/>
  <c r="V1427" i="3"/>
  <c r="W1427" i="3" s="1"/>
  <c r="V1428" i="3"/>
  <c r="W1428" i="3" s="1"/>
  <c r="V1429" i="3"/>
  <c r="W1429" i="3"/>
  <c r="V1430" i="3"/>
  <c r="W1430" i="3" s="1"/>
  <c r="V1431" i="3"/>
  <c r="W1431" i="3" s="1"/>
  <c r="V1432" i="3"/>
  <c r="W1432" i="3" s="1"/>
  <c r="V1433" i="3"/>
  <c r="W1433" i="3" s="1"/>
  <c r="V1434" i="3"/>
  <c r="W1434" i="3" s="1"/>
  <c r="V1435" i="3"/>
  <c r="W1435" i="3" s="1"/>
  <c r="V1436" i="3"/>
  <c r="W1436" i="3" s="1"/>
  <c r="V1437" i="3"/>
  <c r="W1437" i="3"/>
  <c r="V1438" i="3"/>
  <c r="W1438" i="3" s="1"/>
  <c r="V1439" i="3"/>
  <c r="W1439" i="3" s="1"/>
  <c r="J5" i="3"/>
  <c r="K5" i="3"/>
  <c r="L5" i="3"/>
  <c r="M5" i="3"/>
  <c r="O5" i="3" s="1"/>
  <c r="P5" i="3" s="1"/>
  <c r="J6" i="3"/>
  <c r="K6" i="3"/>
  <c r="O6" i="3" s="1"/>
  <c r="P6" i="3" s="1"/>
  <c r="L6" i="3"/>
  <c r="M6" i="3"/>
  <c r="J7" i="3"/>
  <c r="K7" i="3"/>
  <c r="L7" i="3"/>
  <c r="M7" i="3"/>
  <c r="O7" i="3" s="1"/>
  <c r="P7" i="3" s="1"/>
  <c r="J8" i="3"/>
  <c r="K8" i="3"/>
  <c r="O8" i="3" s="1"/>
  <c r="P8" i="3" s="1"/>
  <c r="L8" i="3"/>
  <c r="M8" i="3"/>
  <c r="J9" i="3"/>
  <c r="K9" i="3"/>
  <c r="L9" i="3"/>
  <c r="M9" i="3"/>
  <c r="O9" i="3" s="1"/>
  <c r="P9" i="3" s="1"/>
  <c r="J10" i="3"/>
  <c r="K10" i="3"/>
  <c r="O10" i="3" s="1"/>
  <c r="P10" i="3" s="1"/>
  <c r="L10" i="3"/>
  <c r="M10" i="3"/>
  <c r="J11" i="3"/>
  <c r="K11" i="3"/>
  <c r="L11" i="3"/>
  <c r="M11" i="3"/>
  <c r="O11" i="3" s="1"/>
  <c r="P11" i="3" s="1"/>
  <c r="J12" i="3"/>
  <c r="K12" i="3"/>
  <c r="O12" i="3" s="1"/>
  <c r="P12" i="3" s="1"/>
  <c r="L12" i="3"/>
  <c r="M12" i="3"/>
  <c r="J13" i="3"/>
  <c r="K13" i="3"/>
  <c r="L13" i="3"/>
  <c r="M13" i="3"/>
  <c r="O13" i="3" s="1"/>
  <c r="P13" i="3" s="1"/>
  <c r="J14" i="3"/>
  <c r="K14" i="3"/>
  <c r="O14" i="3" s="1"/>
  <c r="P14" i="3" s="1"/>
  <c r="L14" i="3"/>
  <c r="M14" i="3"/>
  <c r="J15" i="3"/>
  <c r="K15" i="3"/>
  <c r="L15" i="3"/>
  <c r="M15" i="3"/>
  <c r="O15" i="3" s="1"/>
  <c r="P15" i="3" s="1"/>
  <c r="J16" i="3"/>
  <c r="K16" i="3"/>
  <c r="O16" i="3" s="1"/>
  <c r="P16" i="3" s="1"/>
  <c r="L16" i="3"/>
  <c r="M16" i="3"/>
  <c r="J17" i="3"/>
  <c r="K17" i="3"/>
  <c r="L17" i="3"/>
  <c r="M17" i="3"/>
  <c r="O17" i="3" s="1"/>
  <c r="P17" i="3" s="1"/>
  <c r="J18" i="3"/>
  <c r="K18" i="3"/>
  <c r="O18" i="3" s="1"/>
  <c r="P18" i="3" s="1"/>
  <c r="L18" i="3"/>
  <c r="M18" i="3"/>
  <c r="J19" i="3"/>
  <c r="K19" i="3"/>
  <c r="L19" i="3"/>
  <c r="M19" i="3"/>
  <c r="O19" i="3" s="1"/>
  <c r="P19" i="3" s="1"/>
  <c r="J20" i="3"/>
  <c r="K20" i="3"/>
  <c r="O20" i="3" s="1"/>
  <c r="P20" i="3" s="1"/>
  <c r="L20" i="3"/>
  <c r="M20" i="3"/>
  <c r="J21" i="3"/>
  <c r="K21" i="3"/>
  <c r="L21" i="3"/>
  <c r="M21" i="3"/>
  <c r="O21" i="3" s="1"/>
  <c r="P21" i="3" s="1"/>
  <c r="J22" i="3"/>
  <c r="K22" i="3"/>
  <c r="O22" i="3" s="1"/>
  <c r="P22" i="3" s="1"/>
  <c r="L22" i="3"/>
  <c r="M22" i="3"/>
  <c r="J23" i="3"/>
  <c r="K23" i="3"/>
  <c r="L23" i="3"/>
  <c r="M23" i="3"/>
  <c r="O23" i="3" s="1"/>
  <c r="P23" i="3" s="1"/>
  <c r="J24" i="3"/>
  <c r="K24" i="3"/>
  <c r="O24" i="3" s="1"/>
  <c r="P24" i="3" s="1"/>
  <c r="L24" i="3"/>
  <c r="M24" i="3"/>
  <c r="J25" i="3"/>
  <c r="K25" i="3"/>
  <c r="L25" i="3"/>
  <c r="M25" i="3"/>
  <c r="O25" i="3" s="1"/>
  <c r="P25" i="3" s="1"/>
  <c r="J26" i="3"/>
  <c r="K26" i="3"/>
  <c r="O26" i="3" s="1"/>
  <c r="P26" i="3" s="1"/>
  <c r="L26" i="3"/>
  <c r="M26" i="3"/>
  <c r="J27" i="3"/>
  <c r="K27" i="3"/>
  <c r="L27" i="3"/>
  <c r="M27" i="3"/>
  <c r="O27" i="3" s="1"/>
  <c r="P27" i="3" s="1"/>
  <c r="J28" i="3"/>
  <c r="K28" i="3"/>
  <c r="O28" i="3" s="1"/>
  <c r="P28" i="3" s="1"/>
  <c r="L28" i="3"/>
  <c r="M28" i="3"/>
  <c r="J29" i="3"/>
  <c r="K29" i="3"/>
  <c r="L29" i="3"/>
  <c r="M29" i="3"/>
  <c r="O29" i="3" s="1"/>
  <c r="P29" i="3" s="1"/>
  <c r="J30" i="3"/>
  <c r="K30" i="3"/>
  <c r="O30" i="3" s="1"/>
  <c r="P30" i="3" s="1"/>
  <c r="L30" i="3"/>
  <c r="M30" i="3"/>
  <c r="J31" i="3"/>
  <c r="K31" i="3"/>
  <c r="L31" i="3"/>
  <c r="M31" i="3"/>
  <c r="O31" i="3" s="1"/>
  <c r="P31" i="3" s="1"/>
  <c r="J32" i="3"/>
  <c r="K32" i="3"/>
  <c r="O32" i="3" s="1"/>
  <c r="P32" i="3" s="1"/>
  <c r="L32" i="3"/>
  <c r="M32" i="3"/>
  <c r="J33" i="3"/>
  <c r="K33" i="3"/>
  <c r="L33" i="3"/>
  <c r="M33" i="3"/>
  <c r="O33" i="3"/>
  <c r="P33" i="3" s="1"/>
  <c r="J34" i="3"/>
  <c r="K34" i="3"/>
  <c r="O34" i="3" s="1"/>
  <c r="P34" i="3" s="1"/>
  <c r="L34" i="3"/>
  <c r="M34" i="3"/>
  <c r="J35" i="3"/>
  <c r="K35" i="3"/>
  <c r="L35" i="3"/>
  <c r="M35" i="3"/>
  <c r="O35" i="3"/>
  <c r="P35" i="3" s="1"/>
  <c r="J36" i="3"/>
  <c r="K36" i="3"/>
  <c r="O36" i="3" s="1"/>
  <c r="P36" i="3" s="1"/>
  <c r="L36" i="3"/>
  <c r="M36" i="3"/>
  <c r="J37" i="3"/>
  <c r="K37" i="3"/>
  <c r="L37" i="3"/>
  <c r="M37" i="3"/>
  <c r="O37" i="3"/>
  <c r="P37" i="3" s="1"/>
  <c r="J38" i="3"/>
  <c r="K38" i="3"/>
  <c r="O38" i="3" s="1"/>
  <c r="P38" i="3" s="1"/>
  <c r="L38" i="3"/>
  <c r="M38" i="3"/>
  <c r="J39" i="3"/>
  <c r="K39" i="3"/>
  <c r="L39" i="3"/>
  <c r="M39" i="3"/>
  <c r="O39" i="3"/>
  <c r="P39" i="3" s="1"/>
  <c r="J40" i="3"/>
  <c r="K40" i="3"/>
  <c r="O40" i="3" s="1"/>
  <c r="P40" i="3" s="1"/>
  <c r="L40" i="3"/>
  <c r="M40" i="3"/>
  <c r="J41" i="3"/>
  <c r="K41" i="3"/>
  <c r="L41" i="3"/>
  <c r="M41" i="3"/>
  <c r="O41" i="3"/>
  <c r="P41" i="3" s="1"/>
  <c r="J42" i="3"/>
  <c r="K42" i="3"/>
  <c r="O42" i="3" s="1"/>
  <c r="P42" i="3" s="1"/>
  <c r="L42" i="3"/>
  <c r="M42" i="3"/>
  <c r="J43" i="3"/>
  <c r="K43" i="3"/>
  <c r="L43" i="3"/>
  <c r="M43" i="3"/>
  <c r="O43" i="3"/>
  <c r="P43" i="3" s="1"/>
  <c r="J44" i="3"/>
  <c r="K44" i="3"/>
  <c r="O44" i="3" s="1"/>
  <c r="P44" i="3" s="1"/>
  <c r="L44" i="3"/>
  <c r="M44" i="3"/>
  <c r="J45" i="3"/>
  <c r="K45" i="3"/>
  <c r="L45" i="3"/>
  <c r="M45" i="3"/>
  <c r="O45" i="3"/>
  <c r="P45" i="3" s="1"/>
  <c r="J46" i="3"/>
  <c r="K46" i="3"/>
  <c r="O46" i="3" s="1"/>
  <c r="P46" i="3" s="1"/>
  <c r="L46" i="3"/>
  <c r="M46" i="3"/>
  <c r="J47" i="3"/>
  <c r="K47" i="3"/>
  <c r="L47" i="3"/>
  <c r="M47" i="3"/>
  <c r="O47" i="3"/>
  <c r="P47" i="3" s="1"/>
  <c r="J48" i="3"/>
  <c r="K48" i="3"/>
  <c r="O48" i="3" s="1"/>
  <c r="P48" i="3" s="1"/>
  <c r="L48" i="3"/>
  <c r="M48" i="3"/>
  <c r="J49" i="3"/>
  <c r="K49" i="3"/>
  <c r="L49" i="3"/>
  <c r="M49" i="3"/>
  <c r="O49" i="3"/>
  <c r="P49" i="3" s="1"/>
  <c r="J50" i="3"/>
  <c r="K50" i="3"/>
  <c r="O50" i="3" s="1"/>
  <c r="P50" i="3" s="1"/>
  <c r="L50" i="3"/>
  <c r="M50" i="3"/>
  <c r="J51" i="3"/>
  <c r="K51" i="3"/>
  <c r="L51" i="3"/>
  <c r="M51" i="3"/>
  <c r="O51" i="3"/>
  <c r="P51" i="3" s="1"/>
  <c r="J52" i="3"/>
  <c r="K52" i="3"/>
  <c r="O52" i="3" s="1"/>
  <c r="P52" i="3" s="1"/>
  <c r="L52" i="3"/>
  <c r="M52" i="3"/>
  <c r="J53" i="3"/>
  <c r="K53" i="3"/>
  <c r="L53" i="3"/>
  <c r="M53" i="3"/>
  <c r="O53" i="3"/>
  <c r="P53" i="3" s="1"/>
  <c r="J54" i="3"/>
  <c r="K54" i="3"/>
  <c r="O54" i="3" s="1"/>
  <c r="P54" i="3" s="1"/>
  <c r="L54" i="3"/>
  <c r="M54" i="3"/>
  <c r="J55" i="3"/>
  <c r="K55" i="3"/>
  <c r="L55" i="3"/>
  <c r="M55" i="3"/>
  <c r="O55" i="3"/>
  <c r="P55" i="3" s="1"/>
  <c r="J56" i="3"/>
  <c r="K56" i="3"/>
  <c r="O56" i="3" s="1"/>
  <c r="P56" i="3" s="1"/>
  <c r="L56" i="3"/>
  <c r="M56" i="3"/>
  <c r="J57" i="3"/>
  <c r="K57" i="3"/>
  <c r="L57" i="3"/>
  <c r="M57" i="3"/>
  <c r="O57" i="3"/>
  <c r="P57" i="3" s="1"/>
  <c r="J58" i="3"/>
  <c r="K58" i="3"/>
  <c r="O58" i="3" s="1"/>
  <c r="P58" i="3" s="1"/>
  <c r="L58" i="3"/>
  <c r="M58" i="3"/>
  <c r="J59" i="3"/>
  <c r="K59" i="3"/>
  <c r="L59" i="3"/>
  <c r="M59" i="3"/>
  <c r="O59" i="3"/>
  <c r="P59" i="3" s="1"/>
  <c r="J60" i="3"/>
  <c r="K60" i="3"/>
  <c r="O60" i="3" s="1"/>
  <c r="P60" i="3" s="1"/>
  <c r="L60" i="3"/>
  <c r="M60" i="3"/>
  <c r="J61" i="3"/>
  <c r="K61" i="3"/>
  <c r="L61" i="3"/>
  <c r="M61" i="3"/>
  <c r="O61" i="3"/>
  <c r="P61" i="3" s="1"/>
  <c r="J62" i="3"/>
  <c r="K62" i="3"/>
  <c r="O62" i="3" s="1"/>
  <c r="P62" i="3" s="1"/>
  <c r="L62" i="3"/>
  <c r="M62" i="3"/>
  <c r="J63" i="3"/>
  <c r="K63" i="3"/>
  <c r="L63" i="3"/>
  <c r="M63" i="3"/>
  <c r="O63" i="3"/>
  <c r="P63" i="3" s="1"/>
  <c r="J64" i="3"/>
  <c r="K64" i="3"/>
  <c r="O64" i="3" s="1"/>
  <c r="P64" i="3" s="1"/>
  <c r="L64" i="3"/>
  <c r="M64" i="3"/>
  <c r="J65" i="3"/>
  <c r="K65" i="3"/>
  <c r="L65" i="3"/>
  <c r="M65" i="3"/>
  <c r="O65" i="3"/>
  <c r="P65" i="3" s="1"/>
  <c r="J66" i="3"/>
  <c r="K66" i="3"/>
  <c r="O66" i="3" s="1"/>
  <c r="P66" i="3" s="1"/>
  <c r="L66" i="3"/>
  <c r="M66" i="3"/>
  <c r="J67" i="3"/>
  <c r="K67" i="3"/>
  <c r="L67" i="3"/>
  <c r="M67" i="3"/>
  <c r="O67" i="3"/>
  <c r="P67" i="3" s="1"/>
  <c r="J68" i="3"/>
  <c r="K68" i="3"/>
  <c r="O68" i="3" s="1"/>
  <c r="P68" i="3" s="1"/>
  <c r="L68" i="3"/>
  <c r="M68" i="3"/>
  <c r="J69" i="3"/>
  <c r="K69" i="3"/>
  <c r="L69" i="3"/>
  <c r="M69" i="3"/>
  <c r="O69" i="3"/>
  <c r="P69" i="3" s="1"/>
  <c r="J70" i="3"/>
  <c r="K70" i="3"/>
  <c r="O70" i="3" s="1"/>
  <c r="P70" i="3" s="1"/>
  <c r="L70" i="3"/>
  <c r="M70" i="3"/>
  <c r="J71" i="3"/>
  <c r="K71" i="3"/>
  <c r="L71" i="3"/>
  <c r="M71" i="3"/>
  <c r="O71" i="3"/>
  <c r="P71" i="3" s="1"/>
  <c r="J72" i="3"/>
  <c r="K72" i="3"/>
  <c r="O72" i="3" s="1"/>
  <c r="P72" i="3" s="1"/>
  <c r="L72" i="3"/>
  <c r="M72" i="3"/>
  <c r="J73" i="3"/>
  <c r="K73" i="3"/>
  <c r="L73" i="3"/>
  <c r="M73" i="3"/>
  <c r="O73" i="3"/>
  <c r="P73" i="3" s="1"/>
  <c r="J74" i="3"/>
  <c r="K74" i="3"/>
  <c r="O74" i="3" s="1"/>
  <c r="P74" i="3" s="1"/>
  <c r="L74" i="3"/>
  <c r="M74" i="3"/>
  <c r="J75" i="3"/>
  <c r="K75" i="3"/>
  <c r="L75" i="3"/>
  <c r="M75" i="3"/>
  <c r="O75" i="3"/>
  <c r="P75" i="3" s="1"/>
  <c r="J76" i="3"/>
  <c r="K76" i="3"/>
  <c r="O76" i="3" s="1"/>
  <c r="P76" i="3" s="1"/>
  <c r="L76" i="3"/>
  <c r="M76" i="3"/>
  <c r="J77" i="3"/>
  <c r="K77" i="3"/>
  <c r="L77" i="3"/>
  <c r="M77" i="3"/>
  <c r="O77" i="3"/>
  <c r="P77" i="3" s="1"/>
  <c r="J78" i="3"/>
  <c r="K78" i="3"/>
  <c r="O78" i="3" s="1"/>
  <c r="P78" i="3" s="1"/>
  <c r="L78" i="3"/>
  <c r="M78" i="3"/>
  <c r="J79" i="3"/>
  <c r="K79" i="3"/>
  <c r="L79" i="3"/>
  <c r="M79" i="3"/>
  <c r="O79" i="3"/>
  <c r="P79" i="3" s="1"/>
  <c r="J80" i="3"/>
  <c r="K80" i="3"/>
  <c r="O80" i="3" s="1"/>
  <c r="P80" i="3" s="1"/>
  <c r="L80" i="3"/>
  <c r="M80" i="3"/>
  <c r="J81" i="3"/>
  <c r="K81" i="3"/>
  <c r="L81" i="3"/>
  <c r="M81" i="3"/>
  <c r="O81" i="3"/>
  <c r="P81" i="3" s="1"/>
  <c r="J82" i="3"/>
  <c r="K82" i="3"/>
  <c r="O82" i="3" s="1"/>
  <c r="P82" i="3" s="1"/>
  <c r="L82" i="3"/>
  <c r="M82" i="3"/>
  <c r="J83" i="3"/>
  <c r="K83" i="3"/>
  <c r="L83" i="3"/>
  <c r="M83" i="3"/>
  <c r="O83" i="3"/>
  <c r="P83" i="3" s="1"/>
  <c r="J84" i="3"/>
  <c r="K84" i="3"/>
  <c r="O84" i="3" s="1"/>
  <c r="P84" i="3" s="1"/>
  <c r="L84" i="3"/>
  <c r="M84" i="3"/>
  <c r="J85" i="3"/>
  <c r="K85" i="3"/>
  <c r="L85" i="3"/>
  <c r="M85" i="3"/>
  <c r="O85" i="3"/>
  <c r="P85" i="3" s="1"/>
  <c r="J86" i="3"/>
  <c r="K86" i="3"/>
  <c r="O86" i="3" s="1"/>
  <c r="P86" i="3" s="1"/>
  <c r="L86" i="3"/>
  <c r="M86" i="3"/>
  <c r="J87" i="3"/>
  <c r="K87" i="3"/>
  <c r="L87" i="3"/>
  <c r="M87" i="3"/>
  <c r="O87" i="3"/>
  <c r="P87" i="3" s="1"/>
  <c r="J88" i="3"/>
  <c r="K88" i="3"/>
  <c r="O88" i="3" s="1"/>
  <c r="P88" i="3" s="1"/>
  <c r="L88" i="3"/>
  <c r="M88" i="3"/>
  <c r="J89" i="3"/>
  <c r="K89" i="3"/>
  <c r="L89" i="3"/>
  <c r="M89" i="3"/>
  <c r="O89" i="3"/>
  <c r="P89" i="3" s="1"/>
  <c r="J90" i="3"/>
  <c r="K90" i="3"/>
  <c r="O90" i="3" s="1"/>
  <c r="P90" i="3" s="1"/>
  <c r="L90" i="3"/>
  <c r="M90" i="3"/>
  <c r="J91" i="3"/>
  <c r="K91" i="3"/>
  <c r="L91" i="3"/>
  <c r="M91" i="3"/>
  <c r="O91" i="3"/>
  <c r="P91" i="3" s="1"/>
  <c r="J92" i="3"/>
  <c r="K92" i="3"/>
  <c r="O92" i="3" s="1"/>
  <c r="P92" i="3" s="1"/>
  <c r="L92" i="3"/>
  <c r="M92" i="3"/>
  <c r="J93" i="3"/>
  <c r="K93" i="3"/>
  <c r="L93" i="3"/>
  <c r="M93" i="3"/>
  <c r="O93" i="3"/>
  <c r="P93" i="3" s="1"/>
  <c r="J94" i="3"/>
  <c r="K94" i="3"/>
  <c r="O94" i="3" s="1"/>
  <c r="P94" i="3" s="1"/>
  <c r="L94" i="3"/>
  <c r="M94" i="3"/>
  <c r="J95" i="3"/>
  <c r="K95" i="3"/>
  <c r="L95" i="3"/>
  <c r="M95" i="3"/>
  <c r="O95" i="3"/>
  <c r="P95" i="3" s="1"/>
  <c r="J96" i="3"/>
  <c r="K96" i="3"/>
  <c r="O96" i="3" s="1"/>
  <c r="P96" i="3" s="1"/>
  <c r="L96" i="3"/>
  <c r="M96" i="3"/>
  <c r="J97" i="3"/>
  <c r="K97" i="3"/>
  <c r="L97" i="3"/>
  <c r="M97" i="3"/>
  <c r="O97" i="3"/>
  <c r="P97" i="3" s="1"/>
  <c r="J98" i="3"/>
  <c r="K98" i="3"/>
  <c r="O98" i="3" s="1"/>
  <c r="P98" i="3" s="1"/>
  <c r="L98" i="3"/>
  <c r="M98" i="3"/>
  <c r="J99" i="3"/>
  <c r="K99" i="3"/>
  <c r="L99" i="3"/>
  <c r="M99" i="3"/>
  <c r="O99" i="3"/>
  <c r="P99" i="3" s="1"/>
  <c r="J100" i="3"/>
  <c r="K100" i="3"/>
  <c r="O100" i="3" s="1"/>
  <c r="P100" i="3" s="1"/>
  <c r="L100" i="3"/>
  <c r="M100" i="3"/>
  <c r="J101" i="3"/>
  <c r="K101" i="3"/>
  <c r="L101" i="3"/>
  <c r="M101" i="3"/>
  <c r="O101" i="3"/>
  <c r="P101" i="3" s="1"/>
  <c r="J102" i="3"/>
  <c r="K102" i="3"/>
  <c r="O102" i="3" s="1"/>
  <c r="P102" i="3" s="1"/>
  <c r="L102" i="3"/>
  <c r="M102" i="3"/>
  <c r="J103" i="3"/>
  <c r="K103" i="3"/>
  <c r="L103" i="3"/>
  <c r="M103" i="3"/>
  <c r="O103" i="3"/>
  <c r="P103" i="3" s="1"/>
  <c r="J104" i="3"/>
  <c r="K104" i="3"/>
  <c r="O104" i="3" s="1"/>
  <c r="P104" i="3" s="1"/>
  <c r="L104" i="3"/>
  <c r="M104" i="3"/>
  <c r="J105" i="3"/>
  <c r="K105" i="3"/>
  <c r="L105" i="3"/>
  <c r="M105" i="3"/>
  <c r="O105" i="3"/>
  <c r="P105" i="3" s="1"/>
  <c r="J106" i="3"/>
  <c r="K106" i="3"/>
  <c r="O106" i="3" s="1"/>
  <c r="P106" i="3" s="1"/>
  <c r="L106" i="3"/>
  <c r="M106" i="3"/>
  <c r="J107" i="3"/>
  <c r="K107" i="3"/>
  <c r="L107" i="3"/>
  <c r="M107" i="3"/>
  <c r="O107" i="3"/>
  <c r="P107" i="3" s="1"/>
  <c r="J108" i="3"/>
  <c r="K108" i="3"/>
  <c r="O108" i="3" s="1"/>
  <c r="P108" i="3" s="1"/>
  <c r="L108" i="3"/>
  <c r="M108" i="3"/>
  <c r="J109" i="3"/>
  <c r="K109" i="3"/>
  <c r="L109" i="3"/>
  <c r="M109" i="3"/>
  <c r="O109" i="3"/>
  <c r="P109" i="3" s="1"/>
  <c r="J110" i="3"/>
  <c r="K110" i="3"/>
  <c r="O110" i="3" s="1"/>
  <c r="P110" i="3" s="1"/>
  <c r="L110" i="3"/>
  <c r="M110" i="3"/>
  <c r="J111" i="3"/>
  <c r="K111" i="3"/>
  <c r="L111" i="3"/>
  <c r="M111" i="3"/>
  <c r="O111" i="3"/>
  <c r="P111" i="3" s="1"/>
  <c r="J112" i="3"/>
  <c r="K112" i="3"/>
  <c r="O112" i="3" s="1"/>
  <c r="P112" i="3" s="1"/>
  <c r="L112" i="3"/>
  <c r="M112" i="3"/>
  <c r="J113" i="3"/>
  <c r="K113" i="3"/>
  <c r="L113" i="3"/>
  <c r="M113" i="3"/>
  <c r="O113" i="3"/>
  <c r="P113" i="3" s="1"/>
  <c r="J114" i="3"/>
  <c r="K114" i="3"/>
  <c r="O114" i="3" s="1"/>
  <c r="P114" i="3" s="1"/>
  <c r="L114" i="3"/>
  <c r="M114" i="3"/>
  <c r="J115" i="3"/>
  <c r="K115" i="3"/>
  <c r="L115" i="3"/>
  <c r="M115" i="3"/>
  <c r="O115" i="3"/>
  <c r="P115" i="3" s="1"/>
  <c r="J116" i="3"/>
  <c r="K116" i="3"/>
  <c r="O116" i="3" s="1"/>
  <c r="P116" i="3" s="1"/>
  <c r="L116" i="3"/>
  <c r="M116" i="3"/>
  <c r="J117" i="3"/>
  <c r="K117" i="3"/>
  <c r="L117" i="3"/>
  <c r="M117" i="3"/>
  <c r="O117" i="3"/>
  <c r="P117" i="3" s="1"/>
  <c r="J118" i="3"/>
  <c r="K118" i="3"/>
  <c r="O118" i="3" s="1"/>
  <c r="P118" i="3" s="1"/>
  <c r="L118" i="3"/>
  <c r="M118" i="3"/>
  <c r="J119" i="3"/>
  <c r="K119" i="3"/>
  <c r="L119" i="3"/>
  <c r="M119" i="3"/>
  <c r="O119" i="3"/>
  <c r="P119" i="3" s="1"/>
  <c r="J120" i="3"/>
  <c r="K120" i="3"/>
  <c r="O120" i="3" s="1"/>
  <c r="P120" i="3" s="1"/>
  <c r="L120" i="3"/>
  <c r="M120" i="3"/>
  <c r="J121" i="3"/>
  <c r="K121" i="3"/>
  <c r="L121" i="3"/>
  <c r="M121" i="3"/>
  <c r="O121" i="3"/>
  <c r="P121" i="3" s="1"/>
  <c r="J122" i="3"/>
  <c r="K122" i="3"/>
  <c r="O122" i="3" s="1"/>
  <c r="P122" i="3" s="1"/>
  <c r="L122" i="3"/>
  <c r="M122" i="3"/>
  <c r="J123" i="3"/>
  <c r="K123" i="3"/>
  <c r="L123" i="3"/>
  <c r="M123" i="3"/>
  <c r="O123" i="3"/>
  <c r="P123" i="3" s="1"/>
  <c r="J124" i="3"/>
  <c r="K124" i="3"/>
  <c r="O124" i="3" s="1"/>
  <c r="P124" i="3" s="1"/>
  <c r="L124" i="3"/>
  <c r="M124" i="3"/>
  <c r="J125" i="3"/>
  <c r="K125" i="3"/>
  <c r="L125" i="3"/>
  <c r="M125" i="3"/>
  <c r="O125" i="3"/>
  <c r="P125" i="3" s="1"/>
  <c r="J126" i="3"/>
  <c r="K126" i="3"/>
  <c r="O126" i="3" s="1"/>
  <c r="P126" i="3" s="1"/>
  <c r="L126" i="3"/>
  <c r="M126" i="3"/>
  <c r="J127" i="3"/>
  <c r="K127" i="3"/>
  <c r="L127" i="3"/>
  <c r="M127" i="3"/>
  <c r="O127" i="3"/>
  <c r="P127" i="3" s="1"/>
  <c r="J128" i="3"/>
  <c r="K128" i="3"/>
  <c r="O128" i="3" s="1"/>
  <c r="P128" i="3" s="1"/>
  <c r="L128" i="3"/>
  <c r="M128" i="3"/>
  <c r="J129" i="3"/>
  <c r="K129" i="3"/>
  <c r="L129" i="3"/>
  <c r="M129" i="3"/>
  <c r="O129" i="3"/>
  <c r="P129" i="3" s="1"/>
  <c r="J130" i="3"/>
  <c r="K130" i="3"/>
  <c r="O130" i="3" s="1"/>
  <c r="P130" i="3" s="1"/>
  <c r="L130" i="3"/>
  <c r="M130" i="3"/>
  <c r="J131" i="3"/>
  <c r="K131" i="3"/>
  <c r="L131" i="3"/>
  <c r="M131" i="3"/>
  <c r="O131" i="3"/>
  <c r="P131" i="3" s="1"/>
  <c r="J132" i="3"/>
  <c r="K132" i="3"/>
  <c r="O132" i="3" s="1"/>
  <c r="P132" i="3" s="1"/>
  <c r="L132" i="3"/>
  <c r="M132" i="3"/>
  <c r="J133" i="3"/>
  <c r="K133" i="3"/>
  <c r="L133" i="3"/>
  <c r="M133" i="3"/>
  <c r="O133" i="3" s="1"/>
  <c r="P133" i="3" s="1"/>
  <c r="J134" i="3"/>
  <c r="K134" i="3"/>
  <c r="O134" i="3" s="1"/>
  <c r="L134" i="3"/>
  <c r="M134" i="3"/>
  <c r="P134" i="3"/>
  <c r="J135" i="3"/>
  <c r="K135" i="3"/>
  <c r="L135" i="3"/>
  <c r="M135" i="3"/>
  <c r="O135" i="3" s="1"/>
  <c r="P135" i="3" s="1"/>
  <c r="J136" i="3"/>
  <c r="K136" i="3"/>
  <c r="L136" i="3"/>
  <c r="M136" i="3"/>
  <c r="O136" i="3"/>
  <c r="P136" i="3" s="1"/>
  <c r="J137" i="3"/>
  <c r="K137" i="3"/>
  <c r="L137" i="3"/>
  <c r="M137" i="3"/>
  <c r="O137" i="3"/>
  <c r="P137" i="3" s="1"/>
  <c r="J138" i="3"/>
  <c r="K138" i="3"/>
  <c r="O138" i="3" s="1"/>
  <c r="P138" i="3" s="1"/>
  <c r="L138" i="3"/>
  <c r="M138" i="3"/>
  <c r="J139" i="3"/>
  <c r="K139" i="3"/>
  <c r="L139" i="3"/>
  <c r="M139" i="3"/>
  <c r="O139" i="3" s="1"/>
  <c r="P139" i="3" s="1"/>
  <c r="J140" i="3"/>
  <c r="K140" i="3"/>
  <c r="L140" i="3"/>
  <c r="M140" i="3"/>
  <c r="O140" i="3"/>
  <c r="P140" i="3" s="1"/>
  <c r="J141" i="3"/>
  <c r="K141" i="3"/>
  <c r="L141" i="3"/>
  <c r="M141" i="3"/>
  <c r="O141" i="3"/>
  <c r="P141" i="3" s="1"/>
  <c r="J142" i="3"/>
  <c r="K142" i="3"/>
  <c r="O142" i="3" s="1"/>
  <c r="P142" i="3" s="1"/>
  <c r="L142" i="3"/>
  <c r="M142" i="3"/>
  <c r="J143" i="3"/>
  <c r="K143" i="3"/>
  <c r="L143" i="3"/>
  <c r="M143" i="3"/>
  <c r="O143" i="3" s="1"/>
  <c r="P143" i="3" s="1"/>
  <c r="J144" i="3"/>
  <c r="K144" i="3"/>
  <c r="L144" i="3"/>
  <c r="M144" i="3"/>
  <c r="O144" i="3"/>
  <c r="P144" i="3" s="1"/>
  <c r="J145" i="3"/>
  <c r="K145" i="3"/>
  <c r="L145" i="3"/>
  <c r="M145" i="3"/>
  <c r="O145" i="3"/>
  <c r="P145" i="3" s="1"/>
  <c r="J146" i="3"/>
  <c r="K146" i="3"/>
  <c r="O146" i="3" s="1"/>
  <c r="P146" i="3" s="1"/>
  <c r="L146" i="3"/>
  <c r="M146" i="3"/>
  <c r="J147" i="3"/>
  <c r="K147" i="3"/>
  <c r="L147" i="3"/>
  <c r="M147" i="3"/>
  <c r="O147" i="3" s="1"/>
  <c r="P147" i="3" s="1"/>
  <c r="J148" i="3"/>
  <c r="K148" i="3"/>
  <c r="L148" i="3"/>
  <c r="M148" i="3"/>
  <c r="O148" i="3"/>
  <c r="P148" i="3" s="1"/>
  <c r="J149" i="3"/>
  <c r="K149" i="3"/>
  <c r="L149" i="3"/>
  <c r="M149" i="3"/>
  <c r="O149" i="3"/>
  <c r="P149" i="3" s="1"/>
  <c r="J150" i="3"/>
  <c r="K150" i="3"/>
  <c r="O150" i="3" s="1"/>
  <c r="P150" i="3" s="1"/>
  <c r="L150" i="3"/>
  <c r="M150" i="3"/>
  <c r="J151" i="3"/>
  <c r="K151" i="3"/>
  <c r="L151" i="3"/>
  <c r="M151" i="3"/>
  <c r="O151" i="3" s="1"/>
  <c r="P151" i="3" s="1"/>
  <c r="J152" i="3"/>
  <c r="K152" i="3"/>
  <c r="L152" i="3"/>
  <c r="M152" i="3"/>
  <c r="O152" i="3"/>
  <c r="P152" i="3" s="1"/>
  <c r="J153" i="3"/>
  <c r="K153" i="3"/>
  <c r="L153" i="3"/>
  <c r="M153" i="3"/>
  <c r="O153" i="3"/>
  <c r="P153" i="3" s="1"/>
  <c r="J154" i="3"/>
  <c r="K154" i="3"/>
  <c r="O154" i="3" s="1"/>
  <c r="P154" i="3" s="1"/>
  <c r="L154" i="3"/>
  <c r="M154" i="3"/>
  <c r="J155" i="3"/>
  <c r="K155" i="3"/>
  <c r="L155" i="3"/>
  <c r="M155" i="3"/>
  <c r="O155" i="3" s="1"/>
  <c r="P155" i="3" s="1"/>
  <c r="J156" i="3"/>
  <c r="K156" i="3"/>
  <c r="L156" i="3"/>
  <c r="M156" i="3"/>
  <c r="O156" i="3"/>
  <c r="P156" i="3" s="1"/>
  <c r="J157" i="3"/>
  <c r="K157" i="3"/>
  <c r="L157" i="3"/>
  <c r="M157" i="3"/>
  <c r="O157" i="3"/>
  <c r="P157" i="3" s="1"/>
  <c r="J158" i="3"/>
  <c r="K158" i="3"/>
  <c r="O158" i="3" s="1"/>
  <c r="P158" i="3" s="1"/>
  <c r="L158" i="3"/>
  <c r="M158" i="3"/>
  <c r="J159" i="3"/>
  <c r="K159" i="3"/>
  <c r="L159" i="3"/>
  <c r="M159" i="3"/>
  <c r="O159" i="3" s="1"/>
  <c r="P159" i="3" s="1"/>
  <c r="J160" i="3"/>
  <c r="K160" i="3"/>
  <c r="L160" i="3"/>
  <c r="M160" i="3"/>
  <c r="O160" i="3"/>
  <c r="P160" i="3" s="1"/>
  <c r="J161" i="3"/>
  <c r="K161" i="3"/>
  <c r="L161" i="3"/>
  <c r="M161" i="3"/>
  <c r="O161" i="3"/>
  <c r="P161" i="3" s="1"/>
  <c r="J162" i="3"/>
  <c r="K162" i="3"/>
  <c r="O162" i="3" s="1"/>
  <c r="P162" i="3" s="1"/>
  <c r="L162" i="3"/>
  <c r="M162" i="3"/>
  <c r="J163" i="3"/>
  <c r="K163" i="3"/>
  <c r="L163" i="3"/>
  <c r="M163" i="3"/>
  <c r="O163" i="3" s="1"/>
  <c r="P163" i="3" s="1"/>
  <c r="J164" i="3"/>
  <c r="K164" i="3"/>
  <c r="L164" i="3"/>
  <c r="M164" i="3"/>
  <c r="O164" i="3"/>
  <c r="P164" i="3" s="1"/>
  <c r="J165" i="3"/>
  <c r="K165" i="3"/>
  <c r="L165" i="3"/>
  <c r="M165" i="3"/>
  <c r="O165" i="3"/>
  <c r="P165" i="3" s="1"/>
  <c r="J166" i="3"/>
  <c r="K166" i="3"/>
  <c r="O166" i="3" s="1"/>
  <c r="P166" i="3" s="1"/>
  <c r="L166" i="3"/>
  <c r="M166" i="3"/>
  <c r="J167" i="3"/>
  <c r="K167" i="3"/>
  <c r="L167" i="3"/>
  <c r="M167" i="3"/>
  <c r="O167" i="3" s="1"/>
  <c r="P167" i="3" s="1"/>
  <c r="J168" i="3"/>
  <c r="K168" i="3"/>
  <c r="L168" i="3"/>
  <c r="M168" i="3"/>
  <c r="O168" i="3"/>
  <c r="P168" i="3" s="1"/>
  <c r="J169" i="3"/>
  <c r="K169" i="3"/>
  <c r="L169" i="3"/>
  <c r="M169" i="3"/>
  <c r="O169" i="3"/>
  <c r="P169" i="3" s="1"/>
  <c r="J170" i="3"/>
  <c r="K170" i="3"/>
  <c r="O170" i="3" s="1"/>
  <c r="P170" i="3" s="1"/>
  <c r="L170" i="3"/>
  <c r="M170" i="3"/>
  <c r="J171" i="3"/>
  <c r="K171" i="3"/>
  <c r="L171" i="3"/>
  <c r="M171" i="3"/>
  <c r="O171" i="3" s="1"/>
  <c r="P171" i="3" s="1"/>
  <c r="J172" i="3"/>
  <c r="K172" i="3"/>
  <c r="L172" i="3"/>
  <c r="M172" i="3"/>
  <c r="O172" i="3"/>
  <c r="P172" i="3" s="1"/>
  <c r="J173" i="3"/>
  <c r="K173" i="3"/>
  <c r="L173" i="3"/>
  <c r="M173" i="3"/>
  <c r="O173" i="3"/>
  <c r="P173" i="3" s="1"/>
  <c r="J174" i="3"/>
  <c r="K174" i="3"/>
  <c r="O174" i="3" s="1"/>
  <c r="P174" i="3" s="1"/>
  <c r="L174" i="3"/>
  <c r="M174" i="3"/>
  <c r="J175" i="3"/>
  <c r="K175" i="3"/>
  <c r="O175" i="3" s="1"/>
  <c r="P175" i="3" s="1"/>
  <c r="L175" i="3"/>
  <c r="M175" i="3"/>
  <c r="J176" i="3"/>
  <c r="K176" i="3"/>
  <c r="O176" i="3" s="1"/>
  <c r="P176" i="3" s="1"/>
  <c r="L176" i="3"/>
  <c r="M176" i="3"/>
  <c r="J177" i="3"/>
  <c r="K177" i="3"/>
  <c r="O177" i="3" s="1"/>
  <c r="P177" i="3" s="1"/>
  <c r="L177" i="3"/>
  <c r="M177" i="3"/>
  <c r="J178" i="3"/>
  <c r="K178" i="3"/>
  <c r="O178" i="3" s="1"/>
  <c r="P178" i="3" s="1"/>
  <c r="L178" i="3"/>
  <c r="M178" i="3"/>
  <c r="J179" i="3"/>
  <c r="K179" i="3"/>
  <c r="O179" i="3" s="1"/>
  <c r="P179" i="3" s="1"/>
  <c r="L179" i="3"/>
  <c r="M179" i="3"/>
  <c r="J180" i="3"/>
  <c r="K180" i="3"/>
  <c r="O180" i="3" s="1"/>
  <c r="P180" i="3" s="1"/>
  <c r="L180" i="3"/>
  <c r="M180" i="3"/>
  <c r="J181" i="3"/>
  <c r="K181" i="3"/>
  <c r="O181" i="3" s="1"/>
  <c r="P181" i="3" s="1"/>
  <c r="L181" i="3"/>
  <c r="M181" i="3"/>
  <c r="J182" i="3"/>
  <c r="K182" i="3"/>
  <c r="O182" i="3" s="1"/>
  <c r="P182" i="3" s="1"/>
  <c r="L182" i="3"/>
  <c r="M182" i="3"/>
  <c r="J183" i="3"/>
  <c r="K183" i="3"/>
  <c r="O183" i="3" s="1"/>
  <c r="P183" i="3" s="1"/>
  <c r="L183" i="3"/>
  <c r="M183" i="3"/>
  <c r="J184" i="3"/>
  <c r="K184" i="3"/>
  <c r="O184" i="3" s="1"/>
  <c r="P184" i="3" s="1"/>
  <c r="L184" i="3"/>
  <c r="M184" i="3"/>
  <c r="J185" i="3"/>
  <c r="K185" i="3"/>
  <c r="O185" i="3" s="1"/>
  <c r="P185" i="3" s="1"/>
  <c r="L185" i="3"/>
  <c r="M185" i="3"/>
  <c r="J186" i="3"/>
  <c r="K186" i="3"/>
  <c r="O186" i="3" s="1"/>
  <c r="P186" i="3" s="1"/>
  <c r="L186" i="3"/>
  <c r="M186" i="3"/>
  <c r="J187" i="3"/>
  <c r="K187" i="3"/>
  <c r="O187" i="3" s="1"/>
  <c r="P187" i="3" s="1"/>
  <c r="L187" i="3"/>
  <c r="M187" i="3"/>
  <c r="J188" i="3"/>
  <c r="K188" i="3"/>
  <c r="O188" i="3" s="1"/>
  <c r="P188" i="3" s="1"/>
  <c r="L188" i="3"/>
  <c r="M188" i="3"/>
  <c r="J189" i="3"/>
  <c r="K189" i="3"/>
  <c r="O189" i="3" s="1"/>
  <c r="P189" i="3" s="1"/>
  <c r="L189" i="3"/>
  <c r="M189" i="3"/>
  <c r="J190" i="3"/>
  <c r="K190" i="3"/>
  <c r="O190" i="3" s="1"/>
  <c r="P190" i="3" s="1"/>
  <c r="L190" i="3"/>
  <c r="M190" i="3"/>
  <c r="J191" i="3"/>
  <c r="K191" i="3"/>
  <c r="O191" i="3" s="1"/>
  <c r="P191" i="3" s="1"/>
  <c r="L191" i="3"/>
  <c r="M191" i="3"/>
  <c r="J192" i="3"/>
  <c r="K192" i="3"/>
  <c r="O192" i="3" s="1"/>
  <c r="P192" i="3" s="1"/>
  <c r="L192" i="3"/>
  <c r="M192" i="3"/>
  <c r="J193" i="3"/>
  <c r="K193" i="3"/>
  <c r="O193" i="3" s="1"/>
  <c r="P193" i="3" s="1"/>
  <c r="L193" i="3"/>
  <c r="M193" i="3"/>
  <c r="J194" i="3"/>
  <c r="K194" i="3"/>
  <c r="O194" i="3" s="1"/>
  <c r="P194" i="3" s="1"/>
  <c r="L194" i="3"/>
  <c r="M194" i="3"/>
  <c r="J195" i="3"/>
  <c r="K195" i="3"/>
  <c r="O195" i="3" s="1"/>
  <c r="P195" i="3" s="1"/>
  <c r="L195" i="3"/>
  <c r="M195" i="3"/>
  <c r="J196" i="3"/>
  <c r="K196" i="3"/>
  <c r="O196" i="3" s="1"/>
  <c r="P196" i="3" s="1"/>
  <c r="L196" i="3"/>
  <c r="M196" i="3"/>
  <c r="J197" i="3"/>
  <c r="K197" i="3"/>
  <c r="O197" i="3" s="1"/>
  <c r="P197" i="3" s="1"/>
  <c r="L197" i="3"/>
  <c r="M197" i="3"/>
  <c r="J198" i="3"/>
  <c r="K198" i="3"/>
  <c r="O198" i="3" s="1"/>
  <c r="P198" i="3" s="1"/>
  <c r="L198" i="3"/>
  <c r="M198" i="3"/>
  <c r="J199" i="3"/>
  <c r="K199" i="3"/>
  <c r="O199" i="3" s="1"/>
  <c r="P199" i="3" s="1"/>
  <c r="L199" i="3"/>
  <c r="M199" i="3"/>
  <c r="J200" i="3"/>
  <c r="K200" i="3"/>
  <c r="O200" i="3" s="1"/>
  <c r="P200" i="3" s="1"/>
  <c r="L200" i="3"/>
  <c r="M200" i="3"/>
  <c r="J201" i="3"/>
  <c r="K201" i="3"/>
  <c r="O201" i="3" s="1"/>
  <c r="P201" i="3" s="1"/>
  <c r="L201" i="3"/>
  <c r="M201" i="3"/>
  <c r="J202" i="3"/>
  <c r="K202" i="3"/>
  <c r="O202" i="3" s="1"/>
  <c r="P202" i="3" s="1"/>
  <c r="L202" i="3"/>
  <c r="M202" i="3"/>
  <c r="J203" i="3"/>
  <c r="K203" i="3"/>
  <c r="O203" i="3" s="1"/>
  <c r="P203" i="3" s="1"/>
  <c r="L203" i="3"/>
  <c r="M203" i="3"/>
  <c r="J204" i="3"/>
  <c r="K204" i="3"/>
  <c r="O204" i="3" s="1"/>
  <c r="P204" i="3" s="1"/>
  <c r="L204" i="3"/>
  <c r="M204" i="3"/>
  <c r="J205" i="3"/>
  <c r="K205" i="3"/>
  <c r="O205" i="3" s="1"/>
  <c r="P205" i="3" s="1"/>
  <c r="L205" i="3"/>
  <c r="M205" i="3"/>
  <c r="J206" i="3"/>
  <c r="K206" i="3"/>
  <c r="O206" i="3" s="1"/>
  <c r="P206" i="3" s="1"/>
  <c r="L206" i="3"/>
  <c r="M206" i="3"/>
  <c r="J207" i="3"/>
  <c r="K207" i="3"/>
  <c r="O207" i="3" s="1"/>
  <c r="P207" i="3" s="1"/>
  <c r="L207" i="3"/>
  <c r="M207" i="3"/>
  <c r="J208" i="3"/>
  <c r="K208" i="3"/>
  <c r="O208" i="3" s="1"/>
  <c r="P208" i="3" s="1"/>
  <c r="L208" i="3"/>
  <c r="M208" i="3"/>
  <c r="J209" i="3"/>
  <c r="K209" i="3"/>
  <c r="O209" i="3" s="1"/>
  <c r="P209" i="3" s="1"/>
  <c r="L209" i="3"/>
  <c r="M209" i="3"/>
  <c r="J210" i="3"/>
  <c r="K210" i="3"/>
  <c r="O210" i="3" s="1"/>
  <c r="P210" i="3" s="1"/>
  <c r="L210" i="3"/>
  <c r="M210" i="3"/>
  <c r="J211" i="3"/>
  <c r="K211" i="3"/>
  <c r="O211" i="3" s="1"/>
  <c r="P211" i="3" s="1"/>
  <c r="L211" i="3"/>
  <c r="M211" i="3"/>
  <c r="J212" i="3"/>
  <c r="K212" i="3"/>
  <c r="O212" i="3" s="1"/>
  <c r="P212" i="3" s="1"/>
  <c r="L212" i="3"/>
  <c r="M212" i="3"/>
  <c r="J213" i="3"/>
  <c r="K213" i="3"/>
  <c r="O213" i="3" s="1"/>
  <c r="P213" i="3" s="1"/>
  <c r="L213" i="3"/>
  <c r="M213" i="3"/>
  <c r="J214" i="3"/>
  <c r="K214" i="3"/>
  <c r="O214" i="3" s="1"/>
  <c r="P214" i="3" s="1"/>
  <c r="L214" i="3"/>
  <c r="M214" i="3"/>
  <c r="J215" i="3"/>
  <c r="K215" i="3"/>
  <c r="O215" i="3" s="1"/>
  <c r="P215" i="3" s="1"/>
  <c r="L215" i="3"/>
  <c r="M215" i="3"/>
  <c r="J216" i="3"/>
  <c r="K216" i="3"/>
  <c r="O216" i="3" s="1"/>
  <c r="P216" i="3" s="1"/>
  <c r="L216" i="3"/>
  <c r="M216" i="3"/>
  <c r="J217" i="3"/>
  <c r="K217" i="3"/>
  <c r="O217" i="3" s="1"/>
  <c r="P217" i="3" s="1"/>
  <c r="L217" i="3"/>
  <c r="M217" i="3"/>
  <c r="J218" i="3"/>
  <c r="K218" i="3"/>
  <c r="O218" i="3" s="1"/>
  <c r="P218" i="3" s="1"/>
  <c r="L218" i="3"/>
  <c r="M218" i="3"/>
  <c r="J219" i="3"/>
  <c r="K219" i="3"/>
  <c r="O219" i="3" s="1"/>
  <c r="P219" i="3" s="1"/>
  <c r="L219" i="3"/>
  <c r="M219" i="3"/>
  <c r="J220" i="3"/>
  <c r="K220" i="3"/>
  <c r="O220" i="3" s="1"/>
  <c r="P220" i="3" s="1"/>
  <c r="L220" i="3"/>
  <c r="M220" i="3"/>
  <c r="J221" i="3"/>
  <c r="K221" i="3"/>
  <c r="O221" i="3" s="1"/>
  <c r="P221" i="3" s="1"/>
  <c r="L221" i="3"/>
  <c r="M221" i="3"/>
  <c r="J222" i="3"/>
  <c r="K222" i="3"/>
  <c r="O222" i="3" s="1"/>
  <c r="P222" i="3" s="1"/>
  <c r="L222" i="3"/>
  <c r="M222" i="3"/>
  <c r="J223" i="3"/>
  <c r="K223" i="3"/>
  <c r="O223" i="3" s="1"/>
  <c r="P223" i="3" s="1"/>
  <c r="L223" i="3"/>
  <c r="M223" i="3"/>
  <c r="J224" i="3"/>
  <c r="K224" i="3"/>
  <c r="O224" i="3" s="1"/>
  <c r="P224" i="3" s="1"/>
  <c r="L224" i="3"/>
  <c r="M224" i="3"/>
  <c r="J225" i="3"/>
  <c r="K225" i="3"/>
  <c r="O225" i="3" s="1"/>
  <c r="P225" i="3" s="1"/>
  <c r="L225" i="3"/>
  <c r="M225" i="3"/>
  <c r="J226" i="3"/>
  <c r="K226" i="3"/>
  <c r="O226" i="3" s="1"/>
  <c r="P226" i="3" s="1"/>
  <c r="L226" i="3"/>
  <c r="M226" i="3"/>
  <c r="J227" i="3"/>
  <c r="K227" i="3"/>
  <c r="O227" i="3" s="1"/>
  <c r="P227" i="3" s="1"/>
  <c r="L227" i="3"/>
  <c r="M227" i="3"/>
  <c r="J228" i="3"/>
  <c r="K228" i="3"/>
  <c r="O228" i="3" s="1"/>
  <c r="P228" i="3" s="1"/>
  <c r="L228" i="3"/>
  <c r="M228" i="3"/>
  <c r="J229" i="3"/>
  <c r="K229" i="3"/>
  <c r="O229" i="3" s="1"/>
  <c r="P229" i="3" s="1"/>
  <c r="L229" i="3"/>
  <c r="M229" i="3"/>
  <c r="J230" i="3"/>
  <c r="K230" i="3"/>
  <c r="O230" i="3" s="1"/>
  <c r="P230" i="3" s="1"/>
  <c r="L230" i="3"/>
  <c r="M230" i="3"/>
  <c r="J231" i="3"/>
  <c r="K231" i="3"/>
  <c r="O231" i="3" s="1"/>
  <c r="P231" i="3" s="1"/>
  <c r="L231" i="3"/>
  <c r="M231" i="3"/>
  <c r="J232" i="3"/>
  <c r="K232" i="3"/>
  <c r="O232" i="3" s="1"/>
  <c r="P232" i="3" s="1"/>
  <c r="L232" i="3"/>
  <c r="M232" i="3"/>
  <c r="J233" i="3"/>
  <c r="K233" i="3"/>
  <c r="O233" i="3" s="1"/>
  <c r="P233" i="3" s="1"/>
  <c r="L233" i="3"/>
  <c r="M233" i="3"/>
  <c r="J234" i="3"/>
  <c r="K234" i="3"/>
  <c r="O234" i="3" s="1"/>
  <c r="P234" i="3" s="1"/>
  <c r="L234" i="3"/>
  <c r="M234" i="3"/>
  <c r="J235" i="3"/>
  <c r="K235" i="3"/>
  <c r="O235" i="3" s="1"/>
  <c r="P235" i="3" s="1"/>
  <c r="L235" i="3"/>
  <c r="M235" i="3"/>
  <c r="J236" i="3"/>
  <c r="K236" i="3"/>
  <c r="O236" i="3" s="1"/>
  <c r="P236" i="3" s="1"/>
  <c r="L236" i="3"/>
  <c r="M236" i="3"/>
  <c r="J237" i="3"/>
  <c r="K237" i="3"/>
  <c r="O237" i="3" s="1"/>
  <c r="P237" i="3" s="1"/>
  <c r="L237" i="3"/>
  <c r="M237" i="3"/>
  <c r="J238" i="3"/>
  <c r="K238" i="3"/>
  <c r="O238" i="3" s="1"/>
  <c r="P238" i="3" s="1"/>
  <c r="L238" i="3"/>
  <c r="M238" i="3"/>
  <c r="J239" i="3"/>
  <c r="K239" i="3"/>
  <c r="O239" i="3" s="1"/>
  <c r="P239" i="3" s="1"/>
  <c r="L239" i="3"/>
  <c r="M239" i="3"/>
  <c r="J240" i="3"/>
  <c r="K240" i="3"/>
  <c r="O240" i="3" s="1"/>
  <c r="P240" i="3" s="1"/>
  <c r="L240" i="3"/>
  <c r="M240" i="3"/>
  <c r="J241" i="3"/>
  <c r="K241" i="3"/>
  <c r="O241" i="3" s="1"/>
  <c r="P241" i="3" s="1"/>
  <c r="L241" i="3"/>
  <c r="M241" i="3"/>
  <c r="J242" i="3"/>
  <c r="K242" i="3"/>
  <c r="O242" i="3" s="1"/>
  <c r="P242" i="3" s="1"/>
  <c r="L242" i="3"/>
  <c r="M242" i="3"/>
  <c r="J243" i="3"/>
  <c r="K243" i="3"/>
  <c r="O243" i="3" s="1"/>
  <c r="P243" i="3" s="1"/>
  <c r="L243" i="3"/>
  <c r="M243" i="3"/>
  <c r="J244" i="3"/>
  <c r="K244" i="3"/>
  <c r="O244" i="3" s="1"/>
  <c r="P244" i="3" s="1"/>
  <c r="L244" i="3"/>
  <c r="M244" i="3"/>
  <c r="J245" i="3"/>
  <c r="K245" i="3"/>
  <c r="O245" i="3" s="1"/>
  <c r="P245" i="3" s="1"/>
  <c r="L245" i="3"/>
  <c r="M245" i="3"/>
  <c r="J246" i="3"/>
  <c r="K246" i="3"/>
  <c r="O246" i="3" s="1"/>
  <c r="P246" i="3" s="1"/>
  <c r="L246" i="3"/>
  <c r="M246" i="3"/>
  <c r="J247" i="3"/>
  <c r="K247" i="3"/>
  <c r="O247" i="3" s="1"/>
  <c r="P247" i="3" s="1"/>
  <c r="L247" i="3"/>
  <c r="M247" i="3"/>
  <c r="J248" i="3"/>
  <c r="K248" i="3"/>
  <c r="O248" i="3" s="1"/>
  <c r="P248" i="3" s="1"/>
  <c r="L248" i="3"/>
  <c r="M248" i="3"/>
  <c r="J249" i="3"/>
  <c r="K249" i="3"/>
  <c r="O249" i="3" s="1"/>
  <c r="P249" i="3" s="1"/>
  <c r="L249" i="3"/>
  <c r="M249" i="3"/>
  <c r="J250" i="3"/>
  <c r="K250" i="3"/>
  <c r="O250" i="3" s="1"/>
  <c r="P250" i="3" s="1"/>
  <c r="L250" i="3"/>
  <c r="M250" i="3"/>
  <c r="J251" i="3"/>
  <c r="K251" i="3"/>
  <c r="O251" i="3" s="1"/>
  <c r="P251" i="3" s="1"/>
  <c r="L251" i="3"/>
  <c r="M251" i="3"/>
  <c r="J252" i="3"/>
  <c r="K252" i="3"/>
  <c r="O252" i="3" s="1"/>
  <c r="P252" i="3" s="1"/>
  <c r="L252" i="3"/>
  <c r="M252" i="3"/>
  <c r="J253" i="3"/>
  <c r="K253" i="3"/>
  <c r="O253" i="3" s="1"/>
  <c r="P253" i="3" s="1"/>
  <c r="L253" i="3"/>
  <c r="M253" i="3"/>
  <c r="J254" i="3"/>
  <c r="K254" i="3"/>
  <c r="O254" i="3" s="1"/>
  <c r="P254" i="3" s="1"/>
  <c r="L254" i="3"/>
  <c r="M254" i="3"/>
  <c r="J255" i="3"/>
  <c r="K255" i="3"/>
  <c r="O255" i="3" s="1"/>
  <c r="P255" i="3" s="1"/>
  <c r="L255" i="3"/>
  <c r="M255" i="3"/>
  <c r="J256" i="3"/>
  <c r="K256" i="3"/>
  <c r="O256" i="3" s="1"/>
  <c r="P256" i="3" s="1"/>
  <c r="L256" i="3"/>
  <c r="M256" i="3"/>
  <c r="J257" i="3"/>
  <c r="K257" i="3"/>
  <c r="O257" i="3" s="1"/>
  <c r="P257" i="3" s="1"/>
  <c r="L257" i="3"/>
  <c r="M257" i="3"/>
  <c r="J258" i="3"/>
  <c r="K258" i="3"/>
  <c r="O258" i="3" s="1"/>
  <c r="P258" i="3" s="1"/>
  <c r="L258" i="3"/>
  <c r="M258" i="3"/>
  <c r="J259" i="3"/>
  <c r="K259" i="3"/>
  <c r="O259" i="3" s="1"/>
  <c r="P259" i="3" s="1"/>
  <c r="L259" i="3"/>
  <c r="M259" i="3"/>
  <c r="J260" i="3"/>
  <c r="K260" i="3"/>
  <c r="O260" i="3" s="1"/>
  <c r="P260" i="3" s="1"/>
  <c r="L260" i="3"/>
  <c r="M260" i="3"/>
  <c r="J261" i="3"/>
  <c r="K261" i="3"/>
  <c r="O261" i="3" s="1"/>
  <c r="P261" i="3" s="1"/>
  <c r="L261" i="3"/>
  <c r="M261" i="3"/>
  <c r="J262" i="3"/>
  <c r="K262" i="3"/>
  <c r="O262" i="3" s="1"/>
  <c r="P262" i="3" s="1"/>
  <c r="L262" i="3"/>
  <c r="M262" i="3"/>
  <c r="J263" i="3"/>
  <c r="K263" i="3"/>
  <c r="O263" i="3" s="1"/>
  <c r="P263" i="3" s="1"/>
  <c r="L263" i="3"/>
  <c r="M263" i="3"/>
  <c r="J264" i="3"/>
  <c r="K264" i="3"/>
  <c r="O264" i="3" s="1"/>
  <c r="P264" i="3" s="1"/>
  <c r="L264" i="3"/>
  <c r="M264" i="3"/>
  <c r="J265" i="3"/>
  <c r="K265" i="3"/>
  <c r="O265" i="3" s="1"/>
  <c r="P265" i="3" s="1"/>
  <c r="L265" i="3"/>
  <c r="M265" i="3"/>
  <c r="J266" i="3"/>
  <c r="K266" i="3"/>
  <c r="L266" i="3"/>
  <c r="M266" i="3"/>
  <c r="O266" i="3" s="1"/>
  <c r="P266" i="3" s="1"/>
  <c r="J267" i="3"/>
  <c r="K267" i="3"/>
  <c r="O267" i="3" s="1"/>
  <c r="P267" i="3" s="1"/>
  <c r="L267" i="3"/>
  <c r="M267" i="3"/>
  <c r="J268" i="3"/>
  <c r="K268" i="3"/>
  <c r="L268" i="3"/>
  <c r="M268" i="3"/>
  <c r="O268" i="3" s="1"/>
  <c r="P268" i="3" s="1"/>
  <c r="J269" i="3"/>
  <c r="K269" i="3"/>
  <c r="O269" i="3" s="1"/>
  <c r="P269" i="3" s="1"/>
  <c r="L269" i="3"/>
  <c r="M269" i="3"/>
  <c r="J270" i="3"/>
  <c r="K270" i="3"/>
  <c r="L270" i="3"/>
  <c r="M270" i="3"/>
  <c r="O270" i="3" s="1"/>
  <c r="P270" i="3" s="1"/>
  <c r="J271" i="3"/>
  <c r="K271" i="3"/>
  <c r="O271" i="3" s="1"/>
  <c r="P271" i="3" s="1"/>
  <c r="L271" i="3"/>
  <c r="M271" i="3"/>
  <c r="J272" i="3"/>
  <c r="K272" i="3"/>
  <c r="L272" i="3"/>
  <c r="M272" i="3"/>
  <c r="O272" i="3" s="1"/>
  <c r="P272" i="3" s="1"/>
  <c r="J273" i="3"/>
  <c r="K273" i="3"/>
  <c r="O273" i="3" s="1"/>
  <c r="P273" i="3" s="1"/>
  <c r="L273" i="3"/>
  <c r="M273" i="3"/>
  <c r="J274" i="3"/>
  <c r="K274" i="3"/>
  <c r="L274" i="3"/>
  <c r="M274" i="3"/>
  <c r="O274" i="3" s="1"/>
  <c r="P274" i="3" s="1"/>
  <c r="J275" i="3"/>
  <c r="K275" i="3"/>
  <c r="O275" i="3" s="1"/>
  <c r="P275" i="3" s="1"/>
  <c r="L275" i="3"/>
  <c r="M275" i="3"/>
  <c r="J276" i="3"/>
  <c r="K276" i="3"/>
  <c r="L276" i="3"/>
  <c r="M276" i="3"/>
  <c r="O276" i="3" s="1"/>
  <c r="P276" i="3" s="1"/>
  <c r="J277" i="3"/>
  <c r="K277" i="3"/>
  <c r="O277" i="3" s="1"/>
  <c r="P277" i="3" s="1"/>
  <c r="L277" i="3"/>
  <c r="M277" i="3"/>
  <c r="J278" i="3"/>
  <c r="K278" i="3"/>
  <c r="L278" i="3"/>
  <c r="M278" i="3"/>
  <c r="O278" i="3" s="1"/>
  <c r="P278" i="3" s="1"/>
  <c r="J279" i="3"/>
  <c r="K279" i="3"/>
  <c r="O279" i="3" s="1"/>
  <c r="P279" i="3" s="1"/>
  <c r="L279" i="3"/>
  <c r="M279" i="3"/>
  <c r="J280" i="3"/>
  <c r="K280" i="3"/>
  <c r="L280" i="3"/>
  <c r="M280" i="3"/>
  <c r="O280" i="3" s="1"/>
  <c r="P280" i="3" s="1"/>
  <c r="J281" i="3"/>
  <c r="K281" i="3"/>
  <c r="O281" i="3" s="1"/>
  <c r="P281" i="3" s="1"/>
  <c r="L281" i="3"/>
  <c r="M281" i="3"/>
  <c r="J282" i="3"/>
  <c r="K282" i="3"/>
  <c r="L282" i="3"/>
  <c r="M282" i="3"/>
  <c r="O282" i="3" s="1"/>
  <c r="P282" i="3" s="1"/>
  <c r="J283" i="3"/>
  <c r="K283" i="3"/>
  <c r="O283" i="3" s="1"/>
  <c r="P283" i="3" s="1"/>
  <c r="L283" i="3"/>
  <c r="M283" i="3"/>
  <c r="J284" i="3"/>
  <c r="K284" i="3"/>
  <c r="L284" i="3"/>
  <c r="M284" i="3"/>
  <c r="O284" i="3" s="1"/>
  <c r="P284" i="3" s="1"/>
  <c r="J285" i="3"/>
  <c r="K285" i="3"/>
  <c r="O285" i="3" s="1"/>
  <c r="P285" i="3" s="1"/>
  <c r="L285" i="3"/>
  <c r="M285" i="3"/>
  <c r="J286" i="3"/>
  <c r="K286" i="3"/>
  <c r="L286" i="3"/>
  <c r="M286" i="3"/>
  <c r="O286" i="3"/>
  <c r="P286" i="3" s="1"/>
  <c r="J287" i="3"/>
  <c r="K287" i="3"/>
  <c r="O287" i="3" s="1"/>
  <c r="P287" i="3" s="1"/>
  <c r="L287" i="3"/>
  <c r="M287" i="3"/>
  <c r="J288" i="3"/>
  <c r="K288" i="3"/>
  <c r="L288" i="3"/>
  <c r="M288" i="3"/>
  <c r="O288" i="3"/>
  <c r="P288" i="3" s="1"/>
  <c r="J289" i="3"/>
  <c r="K289" i="3"/>
  <c r="O289" i="3" s="1"/>
  <c r="P289" i="3" s="1"/>
  <c r="L289" i="3"/>
  <c r="M289" i="3"/>
  <c r="J290" i="3"/>
  <c r="K290" i="3"/>
  <c r="L290" i="3"/>
  <c r="M290" i="3"/>
  <c r="O290" i="3"/>
  <c r="P290" i="3" s="1"/>
  <c r="J291" i="3"/>
  <c r="K291" i="3"/>
  <c r="O291" i="3" s="1"/>
  <c r="P291" i="3" s="1"/>
  <c r="L291" i="3"/>
  <c r="M291" i="3"/>
  <c r="J292" i="3"/>
  <c r="K292" i="3"/>
  <c r="L292" i="3"/>
  <c r="M292" i="3"/>
  <c r="O292" i="3"/>
  <c r="P292" i="3" s="1"/>
  <c r="J293" i="3"/>
  <c r="K293" i="3"/>
  <c r="O293" i="3" s="1"/>
  <c r="P293" i="3" s="1"/>
  <c r="L293" i="3"/>
  <c r="M293" i="3"/>
  <c r="J294" i="3"/>
  <c r="K294" i="3"/>
  <c r="L294" i="3"/>
  <c r="M294" i="3"/>
  <c r="O294" i="3"/>
  <c r="P294" i="3" s="1"/>
  <c r="J295" i="3"/>
  <c r="K295" i="3"/>
  <c r="O295" i="3" s="1"/>
  <c r="P295" i="3" s="1"/>
  <c r="L295" i="3"/>
  <c r="M295" i="3"/>
  <c r="J296" i="3"/>
  <c r="K296" i="3"/>
  <c r="L296" i="3"/>
  <c r="M296" i="3"/>
  <c r="O296" i="3"/>
  <c r="P296" i="3" s="1"/>
  <c r="J297" i="3"/>
  <c r="K297" i="3"/>
  <c r="O297" i="3" s="1"/>
  <c r="P297" i="3" s="1"/>
  <c r="L297" i="3"/>
  <c r="M297" i="3"/>
  <c r="J298" i="3"/>
  <c r="K298" i="3"/>
  <c r="L298" i="3"/>
  <c r="M298" i="3"/>
  <c r="O298" i="3"/>
  <c r="P298" i="3" s="1"/>
  <c r="J299" i="3"/>
  <c r="K299" i="3"/>
  <c r="O299" i="3" s="1"/>
  <c r="P299" i="3" s="1"/>
  <c r="L299" i="3"/>
  <c r="M299" i="3"/>
  <c r="J300" i="3"/>
  <c r="K300" i="3"/>
  <c r="L300" i="3"/>
  <c r="M300" i="3"/>
  <c r="O300" i="3"/>
  <c r="P300" i="3" s="1"/>
  <c r="J301" i="3"/>
  <c r="K301" i="3"/>
  <c r="O301" i="3" s="1"/>
  <c r="P301" i="3" s="1"/>
  <c r="L301" i="3"/>
  <c r="M301" i="3"/>
  <c r="J302" i="3"/>
  <c r="K302" i="3"/>
  <c r="L302" i="3"/>
  <c r="M302" i="3"/>
  <c r="O302" i="3"/>
  <c r="P302" i="3" s="1"/>
  <c r="J303" i="3"/>
  <c r="K303" i="3"/>
  <c r="O303" i="3" s="1"/>
  <c r="P303" i="3" s="1"/>
  <c r="L303" i="3"/>
  <c r="M303" i="3"/>
  <c r="J304" i="3"/>
  <c r="K304" i="3"/>
  <c r="L304" i="3"/>
  <c r="M304" i="3"/>
  <c r="O304" i="3"/>
  <c r="P304" i="3" s="1"/>
  <c r="J305" i="3"/>
  <c r="K305" i="3"/>
  <c r="O305" i="3" s="1"/>
  <c r="P305" i="3" s="1"/>
  <c r="L305" i="3"/>
  <c r="M305" i="3"/>
  <c r="J306" i="3"/>
  <c r="K306" i="3"/>
  <c r="L306" i="3"/>
  <c r="M306" i="3"/>
  <c r="O306" i="3"/>
  <c r="P306" i="3" s="1"/>
  <c r="J307" i="3"/>
  <c r="K307" i="3"/>
  <c r="O307" i="3" s="1"/>
  <c r="P307" i="3" s="1"/>
  <c r="L307" i="3"/>
  <c r="M307" i="3"/>
  <c r="J308" i="3"/>
  <c r="K308" i="3"/>
  <c r="L308" i="3"/>
  <c r="M308" i="3"/>
  <c r="O308" i="3"/>
  <c r="P308" i="3" s="1"/>
  <c r="J309" i="3"/>
  <c r="K309" i="3"/>
  <c r="O309" i="3" s="1"/>
  <c r="P309" i="3" s="1"/>
  <c r="L309" i="3"/>
  <c r="M309" i="3"/>
  <c r="J310" i="3"/>
  <c r="K310" i="3"/>
  <c r="L310" i="3"/>
  <c r="M310" i="3"/>
  <c r="O310" i="3"/>
  <c r="P310" i="3" s="1"/>
  <c r="J311" i="3"/>
  <c r="K311" i="3"/>
  <c r="O311" i="3" s="1"/>
  <c r="P311" i="3" s="1"/>
  <c r="L311" i="3"/>
  <c r="M311" i="3"/>
  <c r="J312" i="3"/>
  <c r="K312" i="3"/>
  <c r="L312" i="3"/>
  <c r="M312" i="3"/>
  <c r="O312" i="3"/>
  <c r="P312" i="3" s="1"/>
  <c r="J313" i="3"/>
  <c r="K313" i="3"/>
  <c r="O313" i="3" s="1"/>
  <c r="P313" i="3" s="1"/>
  <c r="L313" i="3"/>
  <c r="M313" i="3"/>
  <c r="J314" i="3"/>
  <c r="K314" i="3"/>
  <c r="L314" i="3"/>
  <c r="M314" i="3"/>
  <c r="O314" i="3"/>
  <c r="P314" i="3" s="1"/>
  <c r="J315" i="3"/>
  <c r="K315" i="3"/>
  <c r="O315" i="3" s="1"/>
  <c r="P315" i="3" s="1"/>
  <c r="L315" i="3"/>
  <c r="M315" i="3"/>
  <c r="J316" i="3"/>
  <c r="K316" i="3"/>
  <c r="O316" i="3" s="1"/>
  <c r="P316" i="3" s="1"/>
  <c r="L316" i="3"/>
  <c r="M316" i="3"/>
  <c r="J317" i="3"/>
  <c r="K317" i="3"/>
  <c r="O317" i="3" s="1"/>
  <c r="P317" i="3" s="1"/>
  <c r="L317" i="3"/>
  <c r="M317" i="3"/>
  <c r="J318" i="3"/>
  <c r="K318" i="3"/>
  <c r="O318" i="3" s="1"/>
  <c r="P318" i="3" s="1"/>
  <c r="L318" i="3"/>
  <c r="M318" i="3"/>
  <c r="J319" i="3"/>
  <c r="K319" i="3"/>
  <c r="O319" i="3" s="1"/>
  <c r="P319" i="3" s="1"/>
  <c r="L319" i="3"/>
  <c r="M319" i="3"/>
  <c r="J320" i="3"/>
  <c r="K320" i="3"/>
  <c r="O320" i="3" s="1"/>
  <c r="P320" i="3" s="1"/>
  <c r="L320" i="3"/>
  <c r="M320" i="3"/>
  <c r="J321" i="3"/>
  <c r="K321" i="3"/>
  <c r="O321" i="3" s="1"/>
  <c r="P321" i="3" s="1"/>
  <c r="L321" i="3"/>
  <c r="M321" i="3"/>
  <c r="J322" i="3"/>
  <c r="K322" i="3"/>
  <c r="O322" i="3" s="1"/>
  <c r="P322" i="3" s="1"/>
  <c r="L322" i="3"/>
  <c r="M322" i="3"/>
  <c r="J323" i="3"/>
  <c r="K323" i="3"/>
  <c r="O323" i="3" s="1"/>
  <c r="P323" i="3" s="1"/>
  <c r="L323" i="3"/>
  <c r="M323" i="3"/>
  <c r="J324" i="3"/>
  <c r="K324" i="3"/>
  <c r="O324" i="3" s="1"/>
  <c r="P324" i="3" s="1"/>
  <c r="L324" i="3"/>
  <c r="M324" i="3"/>
  <c r="J325" i="3"/>
  <c r="K325" i="3"/>
  <c r="O325" i="3" s="1"/>
  <c r="P325" i="3" s="1"/>
  <c r="L325" i="3"/>
  <c r="M325" i="3"/>
  <c r="J326" i="3"/>
  <c r="K326" i="3"/>
  <c r="O326" i="3" s="1"/>
  <c r="P326" i="3" s="1"/>
  <c r="L326" i="3"/>
  <c r="M326" i="3"/>
  <c r="J327" i="3"/>
  <c r="K327" i="3"/>
  <c r="O327" i="3" s="1"/>
  <c r="P327" i="3" s="1"/>
  <c r="L327" i="3"/>
  <c r="M327" i="3"/>
  <c r="J328" i="3"/>
  <c r="K328" i="3"/>
  <c r="O328" i="3" s="1"/>
  <c r="P328" i="3" s="1"/>
  <c r="L328" i="3"/>
  <c r="M328" i="3"/>
  <c r="J329" i="3"/>
  <c r="K329" i="3"/>
  <c r="O329" i="3" s="1"/>
  <c r="P329" i="3" s="1"/>
  <c r="L329" i="3"/>
  <c r="M329" i="3"/>
  <c r="J330" i="3"/>
  <c r="K330" i="3"/>
  <c r="O330" i="3" s="1"/>
  <c r="P330" i="3" s="1"/>
  <c r="L330" i="3"/>
  <c r="M330" i="3"/>
  <c r="J331" i="3"/>
  <c r="K331" i="3"/>
  <c r="O331" i="3" s="1"/>
  <c r="P331" i="3" s="1"/>
  <c r="L331" i="3"/>
  <c r="M331" i="3"/>
  <c r="J332" i="3"/>
  <c r="K332" i="3"/>
  <c r="O332" i="3" s="1"/>
  <c r="P332" i="3" s="1"/>
  <c r="L332" i="3"/>
  <c r="M332" i="3"/>
  <c r="J333" i="3"/>
  <c r="K333" i="3"/>
  <c r="O333" i="3" s="1"/>
  <c r="P333" i="3" s="1"/>
  <c r="L333" i="3"/>
  <c r="M333" i="3"/>
  <c r="J334" i="3"/>
  <c r="K334" i="3"/>
  <c r="O334" i="3" s="1"/>
  <c r="P334" i="3" s="1"/>
  <c r="L334" i="3"/>
  <c r="M334" i="3"/>
  <c r="J335" i="3"/>
  <c r="K335" i="3"/>
  <c r="O335" i="3" s="1"/>
  <c r="P335" i="3" s="1"/>
  <c r="L335" i="3"/>
  <c r="M335" i="3"/>
  <c r="J336" i="3"/>
  <c r="K336" i="3"/>
  <c r="O336" i="3" s="1"/>
  <c r="P336" i="3" s="1"/>
  <c r="L336" i="3"/>
  <c r="M336" i="3"/>
  <c r="J337" i="3"/>
  <c r="K337" i="3"/>
  <c r="O337" i="3" s="1"/>
  <c r="P337" i="3" s="1"/>
  <c r="L337" i="3"/>
  <c r="M337" i="3"/>
  <c r="J338" i="3"/>
  <c r="K338" i="3"/>
  <c r="O338" i="3" s="1"/>
  <c r="P338" i="3" s="1"/>
  <c r="L338" i="3"/>
  <c r="M338" i="3"/>
  <c r="J339" i="3"/>
  <c r="K339" i="3"/>
  <c r="O339" i="3" s="1"/>
  <c r="P339" i="3" s="1"/>
  <c r="L339" i="3"/>
  <c r="M339" i="3"/>
  <c r="J340" i="3"/>
  <c r="K340" i="3"/>
  <c r="O340" i="3" s="1"/>
  <c r="P340" i="3" s="1"/>
  <c r="L340" i="3"/>
  <c r="M340" i="3"/>
  <c r="J341" i="3"/>
  <c r="K341" i="3"/>
  <c r="O341" i="3" s="1"/>
  <c r="P341" i="3" s="1"/>
  <c r="L341" i="3"/>
  <c r="M341" i="3"/>
  <c r="J342" i="3"/>
  <c r="K342" i="3"/>
  <c r="O342" i="3" s="1"/>
  <c r="P342" i="3" s="1"/>
  <c r="L342" i="3"/>
  <c r="M342" i="3"/>
  <c r="J343" i="3"/>
  <c r="K343" i="3"/>
  <c r="O343" i="3" s="1"/>
  <c r="P343" i="3" s="1"/>
  <c r="L343" i="3"/>
  <c r="M343" i="3"/>
  <c r="J344" i="3"/>
  <c r="K344" i="3"/>
  <c r="O344" i="3" s="1"/>
  <c r="P344" i="3" s="1"/>
  <c r="L344" i="3"/>
  <c r="M344" i="3"/>
  <c r="J345" i="3"/>
  <c r="K345" i="3"/>
  <c r="O345" i="3" s="1"/>
  <c r="P345" i="3" s="1"/>
  <c r="L345" i="3"/>
  <c r="M345" i="3"/>
  <c r="J346" i="3"/>
  <c r="K346" i="3"/>
  <c r="O346" i="3" s="1"/>
  <c r="P346" i="3" s="1"/>
  <c r="L346" i="3"/>
  <c r="M346" i="3"/>
  <c r="J347" i="3"/>
  <c r="K347" i="3"/>
  <c r="O347" i="3" s="1"/>
  <c r="P347" i="3" s="1"/>
  <c r="L347" i="3"/>
  <c r="M347" i="3"/>
  <c r="J348" i="3"/>
  <c r="K348" i="3"/>
  <c r="O348" i="3" s="1"/>
  <c r="P348" i="3" s="1"/>
  <c r="L348" i="3"/>
  <c r="M348" i="3"/>
  <c r="J349" i="3"/>
  <c r="K349" i="3"/>
  <c r="O349" i="3" s="1"/>
  <c r="P349" i="3" s="1"/>
  <c r="L349" i="3"/>
  <c r="M349" i="3"/>
  <c r="J350" i="3"/>
  <c r="K350" i="3"/>
  <c r="O350" i="3" s="1"/>
  <c r="P350" i="3" s="1"/>
  <c r="L350" i="3"/>
  <c r="M350" i="3"/>
  <c r="J351" i="3"/>
  <c r="K351" i="3"/>
  <c r="O351" i="3" s="1"/>
  <c r="P351" i="3" s="1"/>
  <c r="L351" i="3"/>
  <c r="M351" i="3"/>
  <c r="J352" i="3"/>
  <c r="K352" i="3"/>
  <c r="O352" i="3" s="1"/>
  <c r="P352" i="3" s="1"/>
  <c r="L352" i="3"/>
  <c r="M352" i="3"/>
  <c r="J353" i="3"/>
  <c r="K353" i="3"/>
  <c r="O353" i="3" s="1"/>
  <c r="P353" i="3" s="1"/>
  <c r="L353" i="3"/>
  <c r="M353" i="3"/>
  <c r="J354" i="3"/>
  <c r="K354" i="3"/>
  <c r="O354" i="3" s="1"/>
  <c r="P354" i="3" s="1"/>
  <c r="L354" i="3"/>
  <c r="M354" i="3"/>
  <c r="J355" i="3"/>
  <c r="K355" i="3"/>
  <c r="O355" i="3" s="1"/>
  <c r="P355" i="3" s="1"/>
  <c r="L355" i="3"/>
  <c r="M355" i="3"/>
  <c r="J356" i="3"/>
  <c r="K356" i="3"/>
  <c r="O356" i="3" s="1"/>
  <c r="P356" i="3" s="1"/>
  <c r="L356" i="3"/>
  <c r="M356" i="3"/>
  <c r="J357" i="3"/>
  <c r="K357" i="3"/>
  <c r="O357" i="3" s="1"/>
  <c r="P357" i="3" s="1"/>
  <c r="L357" i="3"/>
  <c r="M357" i="3"/>
  <c r="J358" i="3"/>
  <c r="K358" i="3"/>
  <c r="O358" i="3" s="1"/>
  <c r="P358" i="3" s="1"/>
  <c r="L358" i="3"/>
  <c r="M358" i="3"/>
  <c r="J359" i="3"/>
  <c r="K359" i="3"/>
  <c r="O359" i="3" s="1"/>
  <c r="P359" i="3" s="1"/>
  <c r="L359" i="3"/>
  <c r="M359" i="3"/>
  <c r="J360" i="3"/>
  <c r="K360" i="3"/>
  <c r="O360" i="3" s="1"/>
  <c r="P360" i="3" s="1"/>
  <c r="L360" i="3"/>
  <c r="M360" i="3"/>
  <c r="J361" i="3"/>
  <c r="K361" i="3"/>
  <c r="O361" i="3" s="1"/>
  <c r="P361" i="3" s="1"/>
  <c r="L361" i="3"/>
  <c r="M361" i="3"/>
  <c r="J362" i="3"/>
  <c r="K362" i="3"/>
  <c r="O362" i="3" s="1"/>
  <c r="P362" i="3" s="1"/>
  <c r="L362" i="3"/>
  <c r="M362" i="3"/>
  <c r="J363" i="3"/>
  <c r="K363" i="3"/>
  <c r="O363" i="3" s="1"/>
  <c r="P363" i="3" s="1"/>
  <c r="L363" i="3"/>
  <c r="M363" i="3"/>
  <c r="J364" i="3"/>
  <c r="K364" i="3"/>
  <c r="O364" i="3" s="1"/>
  <c r="P364" i="3" s="1"/>
  <c r="L364" i="3"/>
  <c r="M364" i="3"/>
  <c r="J365" i="3"/>
  <c r="K365" i="3"/>
  <c r="O365" i="3" s="1"/>
  <c r="P365" i="3" s="1"/>
  <c r="L365" i="3"/>
  <c r="M365" i="3"/>
  <c r="J366" i="3"/>
  <c r="K366" i="3"/>
  <c r="O366" i="3" s="1"/>
  <c r="P366" i="3" s="1"/>
  <c r="L366" i="3"/>
  <c r="M366" i="3"/>
  <c r="J367" i="3"/>
  <c r="K367" i="3"/>
  <c r="O367" i="3" s="1"/>
  <c r="P367" i="3" s="1"/>
  <c r="L367" i="3"/>
  <c r="M367" i="3"/>
  <c r="J368" i="3"/>
  <c r="K368" i="3"/>
  <c r="O368" i="3" s="1"/>
  <c r="P368" i="3" s="1"/>
  <c r="L368" i="3"/>
  <c r="M368" i="3"/>
  <c r="J369" i="3"/>
  <c r="K369" i="3"/>
  <c r="O369" i="3" s="1"/>
  <c r="P369" i="3" s="1"/>
  <c r="L369" i="3"/>
  <c r="M369" i="3"/>
  <c r="J370" i="3"/>
  <c r="K370" i="3"/>
  <c r="O370" i="3" s="1"/>
  <c r="P370" i="3" s="1"/>
  <c r="L370" i="3"/>
  <c r="M370" i="3"/>
  <c r="J371" i="3"/>
  <c r="K371" i="3"/>
  <c r="O371" i="3" s="1"/>
  <c r="P371" i="3" s="1"/>
  <c r="L371" i="3"/>
  <c r="M371" i="3"/>
  <c r="J372" i="3"/>
  <c r="K372" i="3"/>
  <c r="O372" i="3" s="1"/>
  <c r="P372" i="3" s="1"/>
  <c r="L372" i="3"/>
  <c r="M372" i="3"/>
  <c r="J373" i="3"/>
  <c r="K373" i="3"/>
  <c r="O373" i="3" s="1"/>
  <c r="P373" i="3" s="1"/>
  <c r="L373" i="3"/>
  <c r="M373" i="3"/>
  <c r="J374" i="3"/>
  <c r="K374" i="3"/>
  <c r="O374" i="3" s="1"/>
  <c r="P374" i="3" s="1"/>
  <c r="L374" i="3"/>
  <c r="M374" i="3"/>
  <c r="J375" i="3"/>
  <c r="K375" i="3"/>
  <c r="O375" i="3" s="1"/>
  <c r="P375" i="3" s="1"/>
  <c r="L375" i="3"/>
  <c r="M375" i="3"/>
  <c r="J376" i="3"/>
  <c r="K376" i="3"/>
  <c r="O376" i="3" s="1"/>
  <c r="P376" i="3" s="1"/>
  <c r="L376" i="3"/>
  <c r="M376" i="3"/>
  <c r="J377" i="3"/>
  <c r="K377" i="3"/>
  <c r="O377" i="3" s="1"/>
  <c r="P377" i="3" s="1"/>
  <c r="L377" i="3"/>
  <c r="M377" i="3"/>
  <c r="J378" i="3"/>
  <c r="K378" i="3"/>
  <c r="O378" i="3" s="1"/>
  <c r="P378" i="3" s="1"/>
  <c r="L378" i="3"/>
  <c r="M378" i="3"/>
  <c r="J379" i="3"/>
  <c r="K379" i="3"/>
  <c r="O379" i="3" s="1"/>
  <c r="P379" i="3" s="1"/>
  <c r="L379" i="3"/>
  <c r="M379" i="3"/>
  <c r="J380" i="3"/>
  <c r="K380" i="3"/>
  <c r="O380" i="3" s="1"/>
  <c r="P380" i="3" s="1"/>
  <c r="L380" i="3"/>
  <c r="M380" i="3"/>
  <c r="J381" i="3"/>
  <c r="K381" i="3"/>
  <c r="O381" i="3" s="1"/>
  <c r="P381" i="3" s="1"/>
  <c r="L381" i="3"/>
  <c r="M381" i="3"/>
  <c r="J382" i="3"/>
  <c r="K382" i="3"/>
  <c r="O382" i="3" s="1"/>
  <c r="P382" i="3" s="1"/>
  <c r="L382" i="3"/>
  <c r="M382" i="3"/>
  <c r="J383" i="3"/>
  <c r="K383" i="3"/>
  <c r="O383" i="3" s="1"/>
  <c r="P383" i="3" s="1"/>
  <c r="L383" i="3"/>
  <c r="M383" i="3"/>
  <c r="J384" i="3"/>
  <c r="K384" i="3"/>
  <c r="O384" i="3" s="1"/>
  <c r="P384" i="3" s="1"/>
  <c r="L384" i="3"/>
  <c r="M384" i="3"/>
  <c r="J385" i="3"/>
  <c r="K385" i="3"/>
  <c r="O385" i="3" s="1"/>
  <c r="P385" i="3" s="1"/>
  <c r="L385" i="3"/>
  <c r="M385" i="3"/>
  <c r="J386" i="3"/>
  <c r="K386" i="3"/>
  <c r="O386" i="3" s="1"/>
  <c r="P386" i="3" s="1"/>
  <c r="L386" i="3"/>
  <c r="M386" i="3"/>
  <c r="J387" i="3"/>
  <c r="K387" i="3"/>
  <c r="O387" i="3" s="1"/>
  <c r="P387" i="3" s="1"/>
  <c r="L387" i="3"/>
  <c r="M387" i="3"/>
  <c r="J388" i="3"/>
  <c r="K388" i="3"/>
  <c r="O388" i="3" s="1"/>
  <c r="P388" i="3" s="1"/>
  <c r="L388" i="3"/>
  <c r="M388" i="3"/>
  <c r="J389" i="3"/>
  <c r="K389" i="3"/>
  <c r="O389" i="3" s="1"/>
  <c r="P389" i="3" s="1"/>
  <c r="L389" i="3"/>
  <c r="M389" i="3"/>
  <c r="J390" i="3"/>
  <c r="K390" i="3"/>
  <c r="O390" i="3" s="1"/>
  <c r="P390" i="3" s="1"/>
  <c r="L390" i="3"/>
  <c r="M390" i="3"/>
  <c r="J391" i="3"/>
  <c r="K391" i="3"/>
  <c r="O391" i="3" s="1"/>
  <c r="P391" i="3" s="1"/>
  <c r="L391" i="3"/>
  <c r="M391" i="3"/>
  <c r="J392" i="3"/>
  <c r="K392" i="3"/>
  <c r="O392" i="3" s="1"/>
  <c r="P392" i="3" s="1"/>
  <c r="L392" i="3"/>
  <c r="M392" i="3"/>
  <c r="J393" i="3"/>
  <c r="K393" i="3"/>
  <c r="L393" i="3"/>
  <c r="M393" i="3"/>
  <c r="J394" i="3"/>
  <c r="K394" i="3"/>
  <c r="O394" i="3" s="1"/>
  <c r="L394" i="3"/>
  <c r="M394" i="3"/>
  <c r="P394" i="3"/>
  <c r="J395" i="3"/>
  <c r="K395" i="3"/>
  <c r="L395" i="3"/>
  <c r="M395" i="3"/>
  <c r="J396" i="3"/>
  <c r="K396" i="3"/>
  <c r="O396" i="3" s="1"/>
  <c r="P396" i="3" s="1"/>
  <c r="L396" i="3"/>
  <c r="M396" i="3"/>
  <c r="J397" i="3"/>
  <c r="K397" i="3"/>
  <c r="O397" i="3" s="1"/>
  <c r="P397" i="3" s="1"/>
  <c r="L397" i="3"/>
  <c r="M397" i="3"/>
  <c r="J398" i="3"/>
  <c r="K398" i="3"/>
  <c r="O398" i="3" s="1"/>
  <c r="P398" i="3" s="1"/>
  <c r="L398" i="3"/>
  <c r="M398" i="3"/>
  <c r="J399" i="3"/>
  <c r="K399" i="3"/>
  <c r="O399" i="3" s="1"/>
  <c r="P399" i="3" s="1"/>
  <c r="L399" i="3"/>
  <c r="M399" i="3"/>
  <c r="J400" i="3"/>
  <c r="K400" i="3"/>
  <c r="O400" i="3" s="1"/>
  <c r="P400" i="3" s="1"/>
  <c r="L400" i="3"/>
  <c r="M400" i="3"/>
  <c r="J401" i="3"/>
  <c r="K401" i="3"/>
  <c r="L401" i="3"/>
  <c r="M401" i="3"/>
  <c r="O401" i="3" s="1"/>
  <c r="P401" i="3" s="1"/>
  <c r="J402" i="3"/>
  <c r="K402" i="3"/>
  <c r="O402" i="3" s="1"/>
  <c r="L402" i="3"/>
  <c r="M402" i="3"/>
  <c r="P402" i="3"/>
  <c r="J403" i="3"/>
  <c r="K403" i="3"/>
  <c r="L403" i="3"/>
  <c r="M403" i="3"/>
  <c r="O403" i="3" s="1"/>
  <c r="P403" i="3" s="1"/>
  <c r="J404" i="3"/>
  <c r="K404" i="3"/>
  <c r="O404" i="3" s="1"/>
  <c r="P404" i="3" s="1"/>
  <c r="L404" i="3"/>
  <c r="M404" i="3"/>
  <c r="J405" i="3"/>
  <c r="K405" i="3"/>
  <c r="L405" i="3"/>
  <c r="M405" i="3"/>
  <c r="O405" i="3" s="1"/>
  <c r="P405" i="3" s="1"/>
  <c r="J406" i="3"/>
  <c r="K406" i="3"/>
  <c r="O406" i="3" s="1"/>
  <c r="P406" i="3" s="1"/>
  <c r="L406" i="3"/>
  <c r="M406" i="3"/>
  <c r="J407" i="3"/>
  <c r="K407" i="3"/>
  <c r="L407" i="3"/>
  <c r="M407" i="3"/>
  <c r="O407" i="3" s="1"/>
  <c r="P407" i="3" s="1"/>
  <c r="J408" i="3"/>
  <c r="K408" i="3"/>
  <c r="O408" i="3" s="1"/>
  <c r="P408" i="3" s="1"/>
  <c r="L408" i="3"/>
  <c r="M408" i="3"/>
  <c r="J409" i="3"/>
  <c r="K409" i="3"/>
  <c r="L409" i="3"/>
  <c r="M409" i="3"/>
  <c r="O409" i="3" s="1"/>
  <c r="P409" i="3" s="1"/>
  <c r="J410" i="3"/>
  <c r="K410" i="3"/>
  <c r="O410" i="3" s="1"/>
  <c r="L410" i="3"/>
  <c r="M410" i="3"/>
  <c r="P410" i="3"/>
  <c r="J411" i="3"/>
  <c r="K411" i="3"/>
  <c r="L411" i="3"/>
  <c r="M411" i="3"/>
  <c r="O411" i="3" s="1"/>
  <c r="P411" i="3" s="1"/>
  <c r="J412" i="3"/>
  <c r="K412" i="3"/>
  <c r="O412" i="3" s="1"/>
  <c r="P412" i="3" s="1"/>
  <c r="L412" i="3"/>
  <c r="M412" i="3"/>
  <c r="J413" i="3"/>
  <c r="K413" i="3"/>
  <c r="L413" i="3"/>
  <c r="M413" i="3"/>
  <c r="O413" i="3" s="1"/>
  <c r="P413" i="3" s="1"/>
  <c r="J414" i="3"/>
  <c r="K414" i="3"/>
  <c r="O414" i="3" s="1"/>
  <c r="P414" i="3" s="1"/>
  <c r="L414" i="3"/>
  <c r="M414" i="3"/>
  <c r="J415" i="3"/>
  <c r="K415" i="3"/>
  <c r="L415" i="3"/>
  <c r="M415" i="3"/>
  <c r="O415" i="3" s="1"/>
  <c r="P415" i="3" s="1"/>
  <c r="J416" i="3"/>
  <c r="K416" i="3"/>
  <c r="O416" i="3" s="1"/>
  <c r="P416" i="3" s="1"/>
  <c r="L416" i="3"/>
  <c r="M416" i="3"/>
  <c r="J417" i="3"/>
  <c r="K417" i="3"/>
  <c r="L417" i="3"/>
  <c r="M417" i="3"/>
  <c r="O417" i="3" s="1"/>
  <c r="P417" i="3" s="1"/>
  <c r="J418" i="3"/>
  <c r="K418" i="3"/>
  <c r="O418" i="3" s="1"/>
  <c r="L418" i="3"/>
  <c r="M418" i="3"/>
  <c r="P418" i="3"/>
  <c r="J419" i="3"/>
  <c r="K419" i="3"/>
  <c r="L419" i="3"/>
  <c r="M419" i="3"/>
  <c r="O419" i="3" s="1"/>
  <c r="P419" i="3" s="1"/>
  <c r="J420" i="3"/>
  <c r="K420" i="3"/>
  <c r="O420" i="3" s="1"/>
  <c r="P420" i="3" s="1"/>
  <c r="L420" i="3"/>
  <c r="M420" i="3"/>
  <c r="J421" i="3"/>
  <c r="K421" i="3"/>
  <c r="L421" i="3"/>
  <c r="M421" i="3"/>
  <c r="O421" i="3" s="1"/>
  <c r="P421" i="3" s="1"/>
  <c r="J422" i="3"/>
  <c r="K422" i="3"/>
  <c r="O422" i="3" s="1"/>
  <c r="P422" i="3" s="1"/>
  <c r="L422" i="3"/>
  <c r="M422" i="3"/>
  <c r="J423" i="3"/>
  <c r="K423" i="3"/>
  <c r="L423" i="3"/>
  <c r="M423" i="3"/>
  <c r="O423" i="3" s="1"/>
  <c r="P423" i="3" s="1"/>
  <c r="J424" i="3"/>
  <c r="K424" i="3"/>
  <c r="O424" i="3" s="1"/>
  <c r="P424" i="3" s="1"/>
  <c r="L424" i="3"/>
  <c r="M424" i="3"/>
  <c r="J425" i="3"/>
  <c r="K425" i="3"/>
  <c r="L425" i="3"/>
  <c r="M425" i="3"/>
  <c r="O425" i="3" s="1"/>
  <c r="P425" i="3" s="1"/>
  <c r="J426" i="3"/>
  <c r="K426" i="3"/>
  <c r="O426" i="3" s="1"/>
  <c r="L426" i="3"/>
  <c r="M426" i="3"/>
  <c r="P426" i="3"/>
  <c r="J427" i="3"/>
  <c r="K427" i="3"/>
  <c r="L427" i="3"/>
  <c r="M427" i="3"/>
  <c r="O427" i="3" s="1"/>
  <c r="P427" i="3" s="1"/>
  <c r="J428" i="3"/>
  <c r="K428" i="3"/>
  <c r="O428" i="3" s="1"/>
  <c r="P428" i="3" s="1"/>
  <c r="L428" i="3"/>
  <c r="M428" i="3"/>
  <c r="J429" i="3"/>
  <c r="K429" i="3"/>
  <c r="L429" i="3"/>
  <c r="M429" i="3"/>
  <c r="O429" i="3" s="1"/>
  <c r="P429" i="3" s="1"/>
  <c r="J430" i="3"/>
  <c r="K430" i="3"/>
  <c r="O430" i="3" s="1"/>
  <c r="P430" i="3" s="1"/>
  <c r="L430" i="3"/>
  <c r="M430" i="3"/>
  <c r="J431" i="3"/>
  <c r="K431" i="3"/>
  <c r="L431" i="3"/>
  <c r="M431" i="3"/>
  <c r="O431" i="3" s="1"/>
  <c r="P431" i="3" s="1"/>
  <c r="J432" i="3"/>
  <c r="K432" i="3"/>
  <c r="O432" i="3" s="1"/>
  <c r="P432" i="3" s="1"/>
  <c r="L432" i="3"/>
  <c r="M432" i="3"/>
  <c r="J433" i="3"/>
  <c r="K433" i="3"/>
  <c r="L433" i="3"/>
  <c r="M433" i="3"/>
  <c r="O433" i="3" s="1"/>
  <c r="P433" i="3" s="1"/>
  <c r="J434" i="3"/>
  <c r="K434" i="3"/>
  <c r="O434" i="3" s="1"/>
  <c r="L434" i="3"/>
  <c r="M434" i="3"/>
  <c r="P434" i="3"/>
  <c r="J435" i="3"/>
  <c r="K435" i="3"/>
  <c r="L435" i="3"/>
  <c r="M435" i="3"/>
  <c r="O435" i="3" s="1"/>
  <c r="P435" i="3" s="1"/>
  <c r="J436" i="3"/>
  <c r="K436" i="3"/>
  <c r="O436" i="3" s="1"/>
  <c r="P436" i="3" s="1"/>
  <c r="L436" i="3"/>
  <c r="M436" i="3"/>
  <c r="J437" i="3"/>
  <c r="K437" i="3"/>
  <c r="L437" i="3"/>
  <c r="M437" i="3"/>
  <c r="O437" i="3" s="1"/>
  <c r="P437" i="3" s="1"/>
  <c r="J438" i="3"/>
  <c r="K438" i="3"/>
  <c r="O438" i="3" s="1"/>
  <c r="P438" i="3" s="1"/>
  <c r="L438" i="3"/>
  <c r="M438" i="3"/>
  <c r="J439" i="3"/>
  <c r="K439" i="3"/>
  <c r="L439" i="3"/>
  <c r="M439" i="3"/>
  <c r="O439" i="3" s="1"/>
  <c r="P439" i="3" s="1"/>
  <c r="J440" i="3"/>
  <c r="K440" i="3"/>
  <c r="O440" i="3" s="1"/>
  <c r="P440" i="3" s="1"/>
  <c r="L440" i="3"/>
  <c r="M440" i="3"/>
  <c r="J441" i="3"/>
  <c r="K441" i="3"/>
  <c r="L441" i="3"/>
  <c r="M441" i="3"/>
  <c r="O441" i="3" s="1"/>
  <c r="P441" i="3" s="1"/>
  <c r="J442" i="3"/>
  <c r="K442" i="3"/>
  <c r="O442" i="3" s="1"/>
  <c r="L442" i="3"/>
  <c r="M442" i="3"/>
  <c r="P442" i="3"/>
  <c r="J443" i="3"/>
  <c r="K443" i="3"/>
  <c r="L443" i="3"/>
  <c r="M443" i="3"/>
  <c r="O443" i="3" s="1"/>
  <c r="P443" i="3" s="1"/>
  <c r="J444" i="3"/>
  <c r="K444" i="3"/>
  <c r="O444" i="3" s="1"/>
  <c r="P444" i="3" s="1"/>
  <c r="L444" i="3"/>
  <c r="M444" i="3"/>
  <c r="J445" i="3"/>
  <c r="K445" i="3"/>
  <c r="L445" i="3"/>
  <c r="M445" i="3"/>
  <c r="O445" i="3" s="1"/>
  <c r="P445" i="3" s="1"/>
  <c r="J446" i="3"/>
  <c r="K446" i="3"/>
  <c r="O446" i="3" s="1"/>
  <c r="P446" i="3" s="1"/>
  <c r="L446" i="3"/>
  <c r="M446" i="3"/>
  <c r="J447" i="3"/>
  <c r="K447" i="3"/>
  <c r="L447" i="3"/>
  <c r="M447" i="3"/>
  <c r="O447" i="3" s="1"/>
  <c r="P447" i="3" s="1"/>
  <c r="J448" i="3"/>
  <c r="K448" i="3"/>
  <c r="O448" i="3" s="1"/>
  <c r="P448" i="3" s="1"/>
  <c r="L448" i="3"/>
  <c r="M448" i="3"/>
  <c r="J449" i="3"/>
  <c r="K449" i="3"/>
  <c r="L449" i="3"/>
  <c r="M449" i="3"/>
  <c r="O449" i="3" s="1"/>
  <c r="P449" i="3" s="1"/>
  <c r="J450" i="3"/>
  <c r="K450" i="3"/>
  <c r="O450" i="3" s="1"/>
  <c r="L450" i="3"/>
  <c r="M450" i="3"/>
  <c r="P450" i="3"/>
  <c r="J451" i="3"/>
  <c r="K451" i="3"/>
  <c r="L451" i="3"/>
  <c r="M451" i="3"/>
  <c r="O451" i="3" s="1"/>
  <c r="P451" i="3" s="1"/>
  <c r="J452" i="3"/>
  <c r="K452" i="3"/>
  <c r="O452" i="3" s="1"/>
  <c r="P452" i="3" s="1"/>
  <c r="L452" i="3"/>
  <c r="M452" i="3"/>
  <c r="J453" i="3"/>
  <c r="K453" i="3"/>
  <c r="L453" i="3"/>
  <c r="M453" i="3"/>
  <c r="O453" i="3" s="1"/>
  <c r="P453" i="3" s="1"/>
  <c r="J454" i="3"/>
  <c r="K454" i="3"/>
  <c r="O454" i="3" s="1"/>
  <c r="P454" i="3" s="1"/>
  <c r="L454" i="3"/>
  <c r="M454" i="3"/>
  <c r="J455" i="3"/>
  <c r="K455" i="3"/>
  <c r="L455" i="3"/>
  <c r="M455" i="3"/>
  <c r="O455" i="3" s="1"/>
  <c r="P455" i="3" s="1"/>
  <c r="J456" i="3"/>
  <c r="K456" i="3"/>
  <c r="O456" i="3" s="1"/>
  <c r="P456" i="3" s="1"/>
  <c r="L456" i="3"/>
  <c r="M456" i="3"/>
  <c r="J457" i="3"/>
  <c r="K457" i="3"/>
  <c r="L457" i="3"/>
  <c r="M457" i="3"/>
  <c r="O457" i="3" s="1"/>
  <c r="P457" i="3" s="1"/>
  <c r="J458" i="3"/>
  <c r="K458" i="3"/>
  <c r="O458" i="3" s="1"/>
  <c r="L458" i="3"/>
  <c r="M458" i="3"/>
  <c r="P458" i="3"/>
  <c r="J459" i="3"/>
  <c r="K459" i="3"/>
  <c r="L459" i="3"/>
  <c r="M459" i="3"/>
  <c r="O459" i="3" s="1"/>
  <c r="P459" i="3" s="1"/>
  <c r="J460" i="3"/>
  <c r="K460" i="3"/>
  <c r="O460" i="3" s="1"/>
  <c r="P460" i="3" s="1"/>
  <c r="L460" i="3"/>
  <c r="M460" i="3"/>
  <c r="J461" i="3"/>
  <c r="K461" i="3"/>
  <c r="L461" i="3"/>
  <c r="M461" i="3"/>
  <c r="O461" i="3" s="1"/>
  <c r="P461" i="3" s="1"/>
  <c r="J462" i="3"/>
  <c r="K462" i="3"/>
  <c r="O462" i="3" s="1"/>
  <c r="P462" i="3" s="1"/>
  <c r="L462" i="3"/>
  <c r="M462" i="3"/>
  <c r="J463" i="3"/>
  <c r="K463" i="3"/>
  <c r="L463" i="3"/>
  <c r="M463" i="3"/>
  <c r="O463" i="3" s="1"/>
  <c r="P463" i="3" s="1"/>
  <c r="J464" i="3"/>
  <c r="K464" i="3"/>
  <c r="O464" i="3" s="1"/>
  <c r="P464" i="3" s="1"/>
  <c r="L464" i="3"/>
  <c r="M464" i="3"/>
  <c r="J465" i="3"/>
  <c r="K465" i="3"/>
  <c r="L465" i="3"/>
  <c r="M465" i="3"/>
  <c r="O465" i="3" s="1"/>
  <c r="P465" i="3" s="1"/>
  <c r="J466" i="3"/>
  <c r="K466" i="3"/>
  <c r="O466" i="3" s="1"/>
  <c r="L466" i="3"/>
  <c r="M466" i="3"/>
  <c r="P466" i="3"/>
  <c r="J467" i="3"/>
  <c r="K467" i="3"/>
  <c r="L467" i="3"/>
  <c r="M467" i="3"/>
  <c r="O467" i="3" s="1"/>
  <c r="P467" i="3" s="1"/>
  <c r="J468" i="3"/>
  <c r="K468" i="3"/>
  <c r="O468" i="3" s="1"/>
  <c r="P468" i="3" s="1"/>
  <c r="L468" i="3"/>
  <c r="M468" i="3"/>
  <c r="J469" i="3"/>
  <c r="K469" i="3"/>
  <c r="L469" i="3"/>
  <c r="M469" i="3"/>
  <c r="O469" i="3" s="1"/>
  <c r="P469" i="3" s="1"/>
  <c r="J470" i="3"/>
  <c r="K470" i="3"/>
  <c r="O470" i="3" s="1"/>
  <c r="P470" i="3" s="1"/>
  <c r="L470" i="3"/>
  <c r="M470" i="3"/>
  <c r="J471" i="3"/>
  <c r="K471" i="3"/>
  <c r="L471" i="3"/>
  <c r="M471" i="3"/>
  <c r="O471" i="3" s="1"/>
  <c r="P471" i="3" s="1"/>
  <c r="J472" i="3"/>
  <c r="K472" i="3"/>
  <c r="O472" i="3" s="1"/>
  <c r="P472" i="3" s="1"/>
  <c r="L472" i="3"/>
  <c r="M472" i="3"/>
  <c r="J473" i="3"/>
  <c r="K473" i="3"/>
  <c r="L473" i="3"/>
  <c r="M473" i="3"/>
  <c r="O473" i="3" s="1"/>
  <c r="P473" i="3" s="1"/>
  <c r="J474" i="3"/>
  <c r="K474" i="3"/>
  <c r="O474" i="3" s="1"/>
  <c r="L474" i="3"/>
  <c r="M474" i="3"/>
  <c r="P474" i="3"/>
  <c r="J475" i="3"/>
  <c r="K475" i="3"/>
  <c r="L475" i="3"/>
  <c r="M475" i="3"/>
  <c r="O475" i="3" s="1"/>
  <c r="P475" i="3" s="1"/>
  <c r="J476" i="3"/>
  <c r="K476" i="3"/>
  <c r="O476" i="3" s="1"/>
  <c r="P476" i="3" s="1"/>
  <c r="L476" i="3"/>
  <c r="M476" i="3"/>
  <c r="J477" i="3"/>
  <c r="K477" i="3"/>
  <c r="L477" i="3"/>
  <c r="M477" i="3"/>
  <c r="O477" i="3" s="1"/>
  <c r="P477" i="3" s="1"/>
  <c r="J478" i="3"/>
  <c r="K478" i="3"/>
  <c r="O478" i="3" s="1"/>
  <c r="P478" i="3" s="1"/>
  <c r="L478" i="3"/>
  <c r="M478" i="3"/>
  <c r="J479" i="3"/>
  <c r="K479" i="3"/>
  <c r="L479" i="3"/>
  <c r="M479" i="3"/>
  <c r="O479" i="3" s="1"/>
  <c r="P479" i="3" s="1"/>
  <c r="J480" i="3"/>
  <c r="K480" i="3"/>
  <c r="O480" i="3" s="1"/>
  <c r="P480" i="3" s="1"/>
  <c r="L480" i="3"/>
  <c r="M480" i="3"/>
  <c r="J481" i="3"/>
  <c r="K481" i="3"/>
  <c r="L481" i="3"/>
  <c r="M481" i="3"/>
  <c r="O481" i="3" s="1"/>
  <c r="P481" i="3" s="1"/>
  <c r="J482" i="3"/>
  <c r="K482" i="3"/>
  <c r="O482" i="3" s="1"/>
  <c r="P482" i="3" s="1"/>
  <c r="L482" i="3"/>
  <c r="M482" i="3"/>
  <c r="J483" i="3"/>
  <c r="K483" i="3"/>
  <c r="L483" i="3"/>
  <c r="M483" i="3"/>
  <c r="O483" i="3" s="1"/>
  <c r="P483" i="3" s="1"/>
  <c r="J484" i="3"/>
  <c r="K484" i="3"/>
  <c r="O484" i="3" s="1"/>
  <c r="P484" i="3" s="1"/>
  <c r="L484" i="3"/>
  <c r="M484" i="3"/>
  <c r="J485" i="3"/>
  <c r="K485" i="3"/>
  <c r="O485" i="3" s="1"/>
  <c r="P485" i="3" s="1"/>
  <c r="L485" i="3"/>
  <c r="M485" i="3"/>
  <c r="J486" i="3"/>
  <c r="K486" i="3"/>
  <c r="O486" i="3" s="1"/>
  <c r="P486" i="3" s="1"/>
  <c r="L486" i="3"/>
  <c r="M486" i="3"/>
  <c r="J487" i="3"/>
  <c r="K487" i="3"/>
  <c r="O487" i="3" s="1"/>
  <c r="P487" i="3" s="1"/>
  <c r="L487" i="3"/>
  <c r="M487" i="3"/>
  <c r="J488" i="3"/>
  <c r="K488" i="3"/>
  <c r="O488" i="3" s="1"/>
  <c r="P488" i="3" s="1"/>
  <c r="L488" i="3"/>
  <c r="M488" i="3"/>
  <c r="J489" i="3"/>
  <c r="K489" i="3"/>
  <c r="O489" i="3" s="1"/>
  <c r="P489" i="3" s="1"/>
  <c r="L489" i="3"/>
  <c r="M489" i="3"/>
  <c r="J490" i="3"/>
  <c r="K490" i="3"/>
  <c r="O490" i="3" s="1"/>
  <c r="P490" i="3" s="1"/>
  <c r="L490" i="3"/>
  <c r="M490" i="3"/>
  <c r="J491" i="3"/>
  <c r="K491" i="3"/>
  <c r="O491" i="3" s="1"/>
  <c r="P491" i="3" s="1"/>
  <c r="L491" i="3"/>
  <c r="M491" i="3"/>
  <c r="J492" i="3"/>
  <c r="K492" i="3"/>
  <c r="O492" i="3" s="1"/>
  <c r="P492" i="3" s="1"/>
  <c r="L492" i="3"/>
  <c r="M492" i="3"/>
  <c r="J493" i="3"/>
  <c r="K493" i="3"/>
  <c r="O493" i="3" s="1"/>
  <c r="P493" i="3" s="1"/>
  <c r="L493" i="3"/>
  <c r="M493" i="3"/>
  <c r="J494" i="3"/>
  <c r="K494" i="3"/>
  <c r="O494" i="3" s="1"/>
  <c r="P494" i="3" s="1"/>
  <c r="L494" i="3"/>
  <c r="M494" i="3"/>
  <c r="J495" i="3"/>
  <c r="K495" i="3"/>
  <c r="O495" i="3" s="1"/>
  <c r="P495" i="3" s="1"/>
  <c r="L495" i="3"/>
  <c r="M495" i="3"/>
  <c r="J496" i="3"/>
  <c r="K496" i="3"/>
  <c r="O496" i="3" s="1"/>
  <c r="P496" i="3" s="1"/>
  <c r="L496" i="3"/>
  <c r="M496" i="3"/>
  <c r="J497" i="3"/>
  <c r="K497" i="3"/>
  <c r="O497" i="3" s="1"/>
  <c r="P497" i="3" s="1"/>
  <c r="L497" i="3"/>
  <c r="M497" i="3"/>
  <c r="J498" i="3"/>
  <c r="K498" i="3"/>
  <c r="O498" i="3" s="1"/>
  <c r="P498" i="3" s="1"/>
  <c r="L498" i="3"/>
  <c r="M498" i="3"/>
  <c r="J499" i="3"/>
  <c r="K499" i="3"/>
  <c r="O499" i="3" s="1"/>
  <c r="P499" i="3" s="1"/>
  <c r="L499" i="3"/>
  <c r="M499" i="3"/>
  <c r="J500" i="3"/>
  <c r="K500" i="3"/>
  <c r="O500" i="3" s="1"/>
  <c r="P500" i="3" s="1"/>
  <c r="L500" i="3"/>
  <c r="M500" i="3"/>
  <c r="J501" i="3"/>
  <c r="K501" i="3"/>
  <c r="O501" i="3" s="1"/>
  <c r="P501" i="3" s="1"/>
  <c r="L501" i="3"/>
  <c r="M501" i="3"/>
  <c r="J502" i="3"/>
  <c r="K502" i="3"/>
  <c r="O502" i="3" s="1"/>
  <c r="P502" i="3" s="1"/>
  <c r="L502" i="3"/>
  <c r="M502" i="3"/>
  <c r="J503" i="3"/>
  <c r="K503" i="3"/>
  <c r="O503" i="3" s="1"/>
  <c r="P503" i="3" s="1"/>
  <c r="L503" i="3"/>
  <c r="M503" i="3"/>
  <c r="J504" i="3"/>
  <c r="K504" i="3"/>
  <c r="O504" i="3" s="1"/>
  <c r="P504" i="3" s="1"/>
  <c r="L504" i="3"/>
  <c r="M504" i="3"/>
  <c r="J505" i="3"/>
  <c r="K505" i="3"/>
  <c r="O505" i="3" s="1"/>
  <c r="P505" i="3" s="1"/>
  <c r="L505" i="3"/>
  <c r="M505" i="3"/>
  <c r="J506" i="3"/>
  <c r="K506" i="3"/>
  <c r="O506" i="3" s="1"/>
  <c r="P506" i="3" s="1"/>
  <c r="L506" i="3"/>
  <c r="M506" i="3"/>
  <c r="J507" i="3"/>
  <c r="K507" i="3"/>
  <c r="O507" i="3" s="1"/>
  <c r="P507" i="3" s="1"/>
  <c r="L507" i="3"/>
  <c r="M507" i="3"/>
  <c r="J508" i="3"/>
  <c r="K508" i="3"/>
  <c r="O508" i="3" s="1"/>
  <c r="P508" i="3" s="1"/>
  <c r="L508" i="3"/>
  <c r="M508" i="3"/>
  <c r="J509" i="3"/>
  <c r="K509" i="3"/>
  <c r="O509" i="3" s="1"/>
  <c r="P509" i="3" s="1"/>
  <c r="L509" i="3"/>
  <c r="M509" i="3"/>
  <c r="J510" i="3"/>
  <c r="K510" i="3"/>
  <c r="O510" i="3" s="1"/>
  <c r="P510" i="3" s="1"/>
  <c r="L510" i="3"/>
  <c r="M510" i="3"/>
  <c r="J511" i="3"/>
  <c r="K511" i="3"/>
  <c r="O511" i="3" s="1"/>
  <c r="P511" i="3" s="1"/>
  <c r="L511" i="3"/>
  <c r="M511" i="3"/>
  <c r="J512" i="3"/>
  <c r="K512" i="3"/>
  <c r="O512" i="3" s="1"/>
  <c r="P512" i="3" s="1"/>
  <c r="L512" i="3"/>
  <c r="M512" i="3"/>
  <c r="J513" i="3"/>
  <c r="K513" i="3"/>
  <c r="O513" i="3" s="1"/>
  <c r="P513" i="3" s="1"/>
  <c r="L513" i="3"/>
  <c r="M513" i="3"/>
  <c r="J514" i="3"/>
  <c r="K514" i="3"/>
  <c r="O514" i="3" s="1"/>
  <c r="P514" i="3" s="1"/>
  <c r="L514" i="3"/>
  <c r="M514" i="3"/>
  <c r="J515" i="3"/>
  <c r="K515" i="3"/>
  <c r="O515" i="3" s="1"/>
  <c r="P515" i="3" s="1"/>
  <c r="L515" i="3"/>
  <c r="M515" i="3"/>
  <c r="J516" i="3"/>
  <c r="K516" i="3"/>
  <c r="O516" i="3" s="1"/>
  <c r="P516" i="3" s="1"/>
  <c r="L516" i="3"/>
  <c r="M516" i="3"/>
  <c r="J517" i="3"/>
  <c r="K517" i="3"/>
  <c r="O517" i="3" s="1"/>
  <c r="P517" i="3" s="1"/>
  <c r="L517" i="3"/>
  <c r="M517" i="3"/>
  <c r="J518" i="3"/>
  <c r="K518" i="3"/>
  <c r="O518" i="3" s="1"/>
  <c r="P518" i="3" s="1"/>
  <c r="L518" i="3"/>
  <c r="M518" i="3"/>
  <c r="J519" i="3"/>
  <c r="K519" i="3"/>
  <c r="O519" i="3" s="1"/>
  <c r="P519" i="3" s="1"/>
  <c r="L519" i="3"/>
  <c r="M519" i="3"/>
  <c r="J520" i="3"/>
  <c r="K520" i="3"/>
  <c r="O520" i="3" s="1"/>
  <c r="P520" i="3" s="1"/>
  <c r="L520" i="3"/>
  <c r="M520" i="3"/>
  <c r="J521" i="3"/>
  <c r="K521" i="3"/>
  <c r="O521" i="3" s="1"/>
  <c r="P521" i="3" s="1"/>
  <c r="L521" i="3"/>
  <c r="M521" i="3"/>
  <c r="J522" i="3"/>
  <c r="K522" i="3"/>
  <c r="O522" i="3" s="1"/>
  <c r="P522" i="3" s="1"/>
  <c r="L522" i="3"/>
  <c r="M522" i="3"/>
  <c r="J523" i="3"/>
  <c r="K523" i="3"/>
  <c r="O523" i="3" s="1"/>
  <c r="P523" i="3" s="1"/>
  <c r="L523" i="3"/>
  <c r="M523" i="3"/>
  <c r="J524" i="3"/>
  <c r="K524" i="3"/>
  <c r="O524" i="3" s="1"/>
  <c r="P524" i="3" s="1"/>
  <c r="L524" i="3"/>
  <c r="M524" i="3"/>
  <c r="J525" i="3"/>
  <c r="K525" i="3"/>
  <c r="O525" i="3" s="1"/>
  <c r="P525" i="3" s="1"/>
  <c r="L525" i="3"/>
  <c r="M525" i="3"/>
  <c r="J526" i="3"/>
  <c r="K526" i="3"/>
  <c r="O526" i="3" s="1"/>
  <c r="P526" i="3" s="1"/>
  <c r="L526" i="3"/>
  <c r="M526" i="3"/>
  <c r="J527" i="3"/>
  <c r="K527" i="3"/>
  <c r="O527" i="3" s="1"/>
  <c r="P527" i="3" s="1"/>
  <c r="L527" i="3"/>
  <c r="M527" i="3"/>
  <c r="J528" i="3"/>
  <c r="K528" i="3"/>
  <c r="O528" i="3" s="1"/>
  <c r="P528" i="3" s="1"/>
  <c r="L528" i="3"/>
  <c r="M528" i="3"/>
  <c r="J529" i="3"/>
  <c r="K529" i="3"/>
  <c r="O529" i="3" s="1"/>
  <c r="P529" i="3" s="1"/>
  <c r="L529" i="3"/>
  <c r="M529" i="3"/>
  <c r="J530" i="3"/>
  <c r="K530" i="3"/>
  <c r="O530" i="3" s="1"/>
  <c r="P530" i="3" s="1"/>
  <c r="L530" i="3"/>
  <c r="M530" i="3"/>
  <c r="J531" i="3"/>
  <c r="K531" i="3"/>
  <c r="O531" i="3" s="1"/>
  <c r="P531" i="3" s="1"/>
  <c r="L531" i="3"/>
  <c r="M531" i="3"/>
  <c r="J532" i="3"/>
  <c r="K532" i="3"/>
  <c r="O532" i="3" s="1"/>
  <c r="P532" i="3" s="1"/>
  <c r="L532" i="3"/>
  <c r="M532" i="3"/>
  <c r="J533" i="3"/>
  <c r="K533" i="3"/>
  <c r="L533" i="3"/>
  <c r="M533" i="3"/>
  <c r="O533" i="3" s="1"/>
  <c r="P533" i="3" s="1"/>
  <c r="J534" i="3"/>
  <c r="K534" i="3"/>
  <c r="O534" i="3" s="1"/>
  <c r="P534" i="3" s="1"/>
  <c r="L534" i="3"/>
  <c r="M534" i="3"/>
  <c r="J535" i="3"/>
  <c r="K535" i="3"/>
  <c r="L535" i="3"/>
  <c r="M535" i="3"/>
  <c r="O535" i="3" s="1"/>
  <c r="P535" i="3" s="1"/>
  <c r="J536" i="3"/>
  <c r="K536" i="3"/>
  <c r="O536" i="3" s="1"/>
  <c r="P536" i="3" s="1"/>
  <c r="L536" i="3"/>
  <c r="M536" i="3"/>
  <c r="J537" i="3"/>
  <c r="K537" i="3"/>
  <c r="L537" i="3"/>
  <c r="M537" i="3"/>
  <c r="O537" i="3" s="1"/>
  <c r="P537" i="3" s="1"/>
  <c r="J538" i="3"/>
  <c r="K538" i="3"/>
  <c r="O538" i="3" s="1"/>
  <c r="P538" i="3" s="1"/>
  <c r="L538" i="3"/>
  <c r="M538" i="3"/>
  <c r="J539" i="3"/>
  <c r="K539" i="3"/>
  <c r="L539" i="3"/>
  <c r="M539" i="3"/>
  <c r="O539" i="3" s="1"/>
  <c r="P539" i="3" s="1"/>
  <c r="J540" i="3"/>
  <c r="K540" i="3"/>
  <c r="O540" i="3" s="1"/>
  <c r="P540" i="3" s="1"/>
  <c r="L540" i="3"/>
  <c r="M540" i="3"/>
  <c r="J541" i="3"/>
  <c r="K541" i="3"/>
  <c r="L541" i="3"/>
  <c r="M541" i="3"/>
  <c r="O541" i="3" s="1"/>
  <c r="P541" i="3" s="1"/>
  <c r="J542" i="3"/>
  <c r="K542" i="3"/>
  <c r="O542" i="3" s="1"/>
  <c r="P542" i="3" s="1"/>
  <c r="L542" i="3"/>
  <c r="M542" i="3"/>
  <c r="J543" i="3"/>
  <c r="K543" i="3"/>
  <c r="L543" i="3"/>
  <c r="M543" i="3"/>
  <c r="O543" i="3" s="1"/>
  <c r="P543" i="3" s="1"/>
  <c r="J544" i="3"/>
  <c r="K544" i="3"/>
  <c r="O544" i="3" s="1"/>
  <c r="P544" i="3" s="1"/>
  <c r="L544" i="3"/>
  <c r="M544" i="3"/>
  <c r="J545" i="3"/>
  <c r="K545" i="3"/>
  <c r="L545" i="3"/>
  <c r="M545" i="3"/>
  <c r="O545" i="3" s="1"/>
  <c r="P545" i="3" s="1"/>
  <c r="J546" i="3"/>
  <c r="K546" i="3"/>
  <c r="O546" i="3" s="1"/>
  <c r="P546" i="3" s="1"/>
  <c r="L546" i="3"/>
  <c r="M546" i="3"/>
  <c r="J547" i="3"/>
  <c r="K547" i="3"/>
  <c r="L547" i="3"/>
  <c r="M547" i="3"/>
  <c r="O547" i="3" s="1"/>
  <c r="P547" i="3" s="1"/>
  <c r="J548" i="3"/>
  <c r="K548" i="3"/>
  <c r="O548" i="3" s="1"/>
  <c r="P548" i="3" s="1"/>
  <c r="L548" i="3"/>
  <c r="M548" i="3"/>
  <c r="J549" i="3"/>
  <c r="K549" i="3"/>
  <c r="L549" i="3"/>
  <c r="M549" i="3"/>
  <c r="O549" i="3" s="1"/>
  <c r="P549" i="3" s="1"/>
  <c r="J550" i="3"/>
  <c r="K550" i="3"/>
  <c r="O550" i="3" s="1"/>
  <c r="P550" i="3" s="1"/>
  <c r="L550" i="3"/>
  <c r="M550" i="3"/>
  <c r="J551" i="3"/>
  <c r="K551" i="3"/>
  <c r="L551" i="3"/>
  <c r="M551" i="3"/>
  <c r="O551" i="3" s="1"/>
  <c r="P551" i="3" s="1"/>
  <c r="J552" i="3"/>
  <c r="K552" i="3"/>
  <c r="O552" i="3" s="1"/>
  <c r="P552" i="3" s="1"/>
  <c r="L552" i="3"/>
  <c r="M552" i="3"/>
  <c r="J553" i="3"/>
  <c r="K553" i="3"/>
  <c r="L553" i="3"/>
  <c r="M553" i="3"/>
  <c r="O553" i="3" s="1"/>
  <c r="P553" i="3" s="1"/>
  <c r="J554" i="3"/>
  <c r="K554" i="3"/>
  <c r="O554" i="3" s="1"/>
  <c r="P554" i="3" s="1"/>
  <c r="L554" i="3"/>
  <c r="M554" i="3"/>
  <c r="J555" i="3"/>
  <c r="K555" i="3"/>
  <c r="L555" i="3"/>
  <c r="M555" i="3"/>
  <c r="O555" i="3" s="1"/>
  <c r="P555" i="3" s="1"/>
  <c r="J556" i="3"/>
  <c r="K556" i="3"/>
  <c r="O556" i="3" s="1"/>
  <c r="P556" i="3" s="1"/>
  <c r="L556" i="3"/>
  <c r="M556" i="3"/>
  <c r="J557" i="3"/>
  <c r="K557" i="3"/>
  <c r="L557" i="3"/>
  <c r="M557" i="3"/>
  <c r="O557" i="3" s="1"/>
  <c r="P557" i="3" s="1"/>
  <c r="J558" i="3"/>
  <c r="K558" i="3"/>
  <c r="O558" i="3" s="1"/>
  <c r="P558" i="3" s="1"/>
  <c r="L558" i="3"/>
  <c r="M558" i="3"/>
  <c r="J559" i="3"/>
  <c r="K559" i="3"/>
  <c r="L559" i="3"/>
  <c r="M559" i="3"/>
  <c r="O559" i="3" s="1"/>
  <c r="P559" i="3" s="1"/>
  <c r="J560" i="3"/>
  <c r="K560" i="3"/>
  <c r="O560" i="3" s="1"/>
  <c r="P560" i="3" s="1"/>
  <c r="L560" i="3"/>
  <c r="M560" i="3"/>
  <c r="J561" i="3"/>
  <c r="K561" i="3"/>
  <c r="L561" i="3"/>
  <c r="M561" i="3"/>
  <c r="O561" i="3" s="1"/>
  <c r="P561" i="3" s="1"/>
  <c r="J562" i="3"/>
  <c r="K562" i="3"/>
  <c r="O562" i="3" s="1"/>
  <c r="P562" i="3" s="1"/>
  <c r="L562" i="3"/>
  <c r="M562" i="3"/>
  <c r="J563" i="3"/>
  <c r="K563" i="3"/>
  <c r="L563" i="3"/>
  <c r="M563" i="3"/>
  <c r="O563" i="3" s="1"/>
  <c r="P563" i="3" s="1"/>
  <c r="J564" i="3"/>
  <c r="K564" i="3"/>
  <c r="O564" i="3" s="1"/>
  <c r="P564" i="3" s="1"/>
  <c r="L564" i="3"/>
  <c r="M564" i="3"/>
  <c r="J565" i="3"/>
  <c r="K565" i="3"/>
  <c r="L565" i="3"/>
  <c r="M565" i="3"/>
  <c r="O565" i="3" s="1"/>
  <c r="P565" i="3" s="1"/>
  <c r="J566" i="3"/>
  <c r="K566" i="3"/>
  <c r="O566" i="3" s="1"/>
  <c r="P566" i="3" s="1"/>
  <c r="L566" i="3"/>
  <c r="M566" i="3"/>
  <c r="J567" i="3"/>
  <c r="K567" i="3"/>
  <c r="L567" i="3"/>
  <c r="M567" i="3"/>
  <c r="O567" i="3" s="1"/>
  <c r="P567" i="3" s="1"/>
  <c r="J568" i="3"/>
  <c r="K568" i="3"/>
  <c r="O568" i="3" s="1"/>
  <c r="P568" i="3" s="1"/>
  <c r="L568" i="3"/>
  <c r="M568" i="3"/>
  <c r="J569" i="3"/>
  <c r="K569" i="3"/>
  <c r="L569" i="3"/>
  <c r="M569" i="3"/>
  <c r="O569" i="3" s="1"/>
  <c r="P569" i="3" s="1"/>
  <c r="J570" i="3"/>
  <c r="K570" i="3"/>
  <c r="O570" i="3" s="1"/>
  <c r="P570" i="3" s="1"/>
  <c r="L570" i="3"/>
  <c r="M570" i="3"/>
  <c r="J571" i="3"/>
  <c r="K571" i="3"/>
  <c r="L571" i="3"/>
  <c r="M571" i="3"/>
  <c r="O571" i="3" s="1"/>
  <c r="P571" i="3" s="1"/>
  <c r="J572" i="3"/>
  <c r="K572" i="3"/>
  <c r="O572" i="3" s="1"/>
  <c r="P572" i="3" s="1"/>
  <c r="L572" i="3"/>
  <c r="M572" i="3"/>
  <c r="J573" i="3"/>
  <c r="K573" i="3"/>
  <c r="L573" i="3"/>
  <c r="M573" i="3"/>
  <c r="O573" i="3" s="1"/>
  <c r="P573" i="3" s="1"/>
  <c r="J574" i="3"/>
  <c r="K574" i="3"/>
  <c r="O574" i="3" s="1"/>
  <c r="P574" i="3" s="1"/>
  <c r="L574" i="3"/>
  <c r="M574" i="3"/>
  <c r="J575" i="3"/>
  <c r="K575" i="3"/>
  <c r="L575" i="3"/>
  <c r="M575" i="3"/>
  <c r="O575" i="3" s="1"/>
  <c r="P575" i="3" s="1"/>
  <c r="J576" i="3"/>
  <c r="K576" i="3"/>
  <c r="O576" i="3" s="1"/>
  <c r="P576" i="3" s="1"/>
  <c r="L576" i="3"/>
  <c r="M576" i="3"/>
  <c r="J577" i="3"/>
  <c r="K577" i="3"/>
  <c r="L577" i="3"/>
  <c r="M577" i="3"/>
  <c r="O577" i="3" s="1"/>
  <c r="P577" i="3" s="1"/>
  <c r="J578" i="3"/>
  <c r="K578" i="3"/>
  <c r="O578" i="3" s="1"/>
  <c r="P578" i="3" s="1"/>
  <c r="L578" i="3"/>
  <c r="M578" i="3"/>
  <c r="J579" i="3"/>
  <c r="K579" i="3"/>
  <c r="L579" i="3"/>
  <c r="M579" i="3"/>
  <c r="O579" i="3" s="1"/>
  <c r="P579" i="3" s="1"/>
  <c r="J580" i="3"/>
  <c r="K580" i="3"/>
  <c r="O580" i="3" s="1"/>
  <c r="P580" i="3" s="1"/>
  <c r="L580" i="3"/>
  <c r="M580" i="3"/>
  <c r="J581" i="3"/>
  <c r="K581" i="3"/>
  <c r="L581" i="3"/>
  <c r="M581" i="3"/>
  <c r="O581" i="3" s="1"/>
  <c r="P581" i="3" s="1"/>
  <c r="J582" i="3"/>
  <c r="K582" i="3"/>
  <c r="O582" i="3" s="1"/>
  <c r="P582" i="3" s="1"/>
  <c r="L582" i="3"/>
  <c r="M582" i="3"/>
  <c r="J583" i="3"/>
  <c r="K583" i="3"/>
  <c r="L583" i="3"/>
  <c r="M583" i="3"/>
  <c r="O583" i="3" s="1"/>
  <c r="P583" i="3" s="1"/>
  <c r="J584" i="3"/>
  <c r="K584" i="3"/>
  <c r="O584" i="3" s="1"/>
  <c r="P584" i="3" s="1"/>
  <c r="L584" i="3"/>
  <c r="M584" i="3"/>
  <c r="J585" i="3"/>
  <c r="K585" i="3"/>
  <c r="L585" i="3"/>
  <c r="M585" i="3"/>
  <c r="O585" i="3" s="1"/>
  <c r="P585" i="3" s="1"/>
  <c r="J586" i="3"/>
  <c r="K586" i="3"/>
  <c r="O586" i="3" s="1"/>
  <c r="P586" i="3" s="1"/>
  <c r="L586" i="3"/>
  <c r="M586" i="3"/>
  <c r="J587" i="3"/>
  <c r="K587" i="3"/>
  <c r="L587" i="3"/>
  <c r="M587" i="3"/>
  <c r="O587" i="3" s="1"/>
  <c r="P587" i="3" s="1"/>
  <c r="J588" i="3"/>
  <c r="K588" i="3"/>
  <c r="O588" i="3" s="1"/>
  <c r="P588" i="3" s="1"/>
  <c r="L588" i="3"/>
  <c r="M588" i="3"/>
  <c r="J589" i="3"/>
  <c r="K589" i="3"/>
  <c r="L589" i="3"/>
  <c r="M589" i="3"/>
  <c r="O589" i="3" s="1"/>
  <c r="P589" i="3" s="1"/>
  <c r="J590" i="3"/>
  <c r="K590" i="3"/>
  <c r="O590" i="3" s="1"/>
  <c r="P590" i="3" s="1"/>
  <c r="L590" i="3"/>
  <c r="M590" i="3"/>
  <c r="J591" i="3"/>
  <c r="K591" i="3"/>
  <c r="L591" i="3"/>
  <c r="M591" i="3"/>
  <c r="O591" i="3" s="1"/>
  <c r="P591" i="3" s="1"/>
  <c r="J592" i="3"/>
  <c r="K592" i="3"/>
  <c r="O592" i="3" s="1"/>
  <c r="P592" i="3" s="1"/>
  <c r="L592" i="3"/>
  <c r="M592" i="3"/>
  <c r="J593" i="3"/>
  <c r="K593" i="3"/>
  <c r="L593" i="3"/>
  <c r="M593" i="3"/>
  <c r="O593" i="3" s="1"/>
  <c r="P593" i="3" s="1"/>
  <c r="J594" i="3"/>
  <c r="K594" i="3"/>
  <c r="O594" i="3" s="1"/>
  <c r="P594" i="3" s="1"/>
  <c r="L594" i="3"/>
  <c r="M594" i="3"/>
  <c r="J595" i="3"/>
  <c r="K595" i="3"/>
  <c r="L595" i="3"/>
  <c r="M595" i="3"/>
  <c r="O595" i="3" s="1"/>
  <c r="P595" i="3" s="1"/>
  <c r="J596" i="3"/>
  <c r="K596" i="3"/>
  <c r="O596" i="3" s="1"/>
  <c r="P596" i="3" s="1"/>
  <c r="L596" i="3"/>
  <c r="M596" i="3"/>
  <c r="J597" i="3"/>
  <c r="K597" i="3"/>
  <c r="L597" i="3"/>
  <c r="M597" i="3"/>
  <c r="O597" i="3" s="1"/>
  <c r="P597" i="3" s="1"/>
  <c r="J598" i="3"/>
  <c r="K598" i="3"/>
  <c r="O598" i="3" s="1"/>
  <c r="P598" i="3" s="1"/>
  <c r="L598" i="3"/>
  <c r="M598" i="3"/>
  <c r="J599" i="3"/>
  <c r="K599" i="3"/>
  <c r="L599" i="3"/>
  <c r="M599" i="3"/>
  <c r="O599" i="3" s="1"/>
  <c r="P599" i="3" s="1"/>
  <c r="J600" i="3"/>
  <c r="K600" i="3"/>
  <c r="O600" i="3" s="1"/>
  <c r="P600" i="3" s="1"/>
  <c r="L600" i="3"/>
  <c r="M600" i="3"/>
  <c r="J601" i="3"/>
  <c r="K601" i="3"/>
  <c r="L601" i="3"/>
  <c r="M601" i="3"/>
  <c r="O601" i="3" s="1"/>
  <c r="P601" i="3" s="1"/>
  <c r="J602" i="3"/>
  <c r="K602" i="3"/>
  <c r="O602" i="3" s="1"/>
  <c r="P602" i="3" s="1"/>
  <c r="L602" i="3"/>
  <c r="M602" i="3"/>
  <c r="J603" i="3"/>
  <c r="K603" i="3"/>
  <c r="L603" i="3"/>
  <c r="M603" i="3"/>
  <c r="O603" i="3" s="1"/>
  <c r="P603" i="3" s="1"/>
  <c r="J604" i="3"/>
  <c r="K604" i="3"/>
  <c r="O604" i="3" s="1"/>
  <c r="P604" i="3" s="1"/>
  <c r="L604" i="3"/>
  <c r="M604" i="3"/>
  <c r="J605" i="3"/>
  <c r="K605" i="3"/>
  <c r="L605" i="3"/>
  <c r="M605" i="3"/>
  <c r="O605" i="3" s="1"/>
  <c r="P605" i="3" s="1"/>
  <c r="J606" i="3"/>
  <c r="K606" i="3"/>
  <c r="O606" i="3" s="1"/>
  <c r="P606" i="3" s="1"/>
  <c r="L606" i="3"/>
  <c r="M606" i="3"/>
  <c r="J607" i="3"/>
  <c r="K607" i="3"/>
  <c r="L607" i="3"/>
  <c r="M607" i="3"/>
  <c r="O607" i="3" s="1"/>
  <c r="P607" i="3" s="1"/>
  <c r="J608" i="3"/>
  <c r="K608" i="3"/>
  <c r="O608" i="3" s="1"/>
  <c r="P608" i="3" s="1"/>
  <c r="L608" i="3"/>
  <c r="M608" i="3"/>
  <c r="J609" i="3"/>
  <c r="K609" i="3"/>
  <c r="L609" i="3"/>
  <c r="M609" i="3"/>
  <c r="O609" i="3" s="1"/>
  <c r="P609" i="3" s="1"/>
  <c r="J610" i="3"/>
  <c r="K610" i="3"/>
  <c r="O610" i="3" s="1"/>
  <c r="P610" i="3" s="1"/>
  <c r="L610" i="3"/>
  <c r="M610" i="3"/>
  <c r="J611" i="3"/>
  <c r="K611" i="3"/>
  <c r="L611" i="3"/>
  <c r="M611" i="3"/>
  <c r="O611" i="3" s="1"/>
  <c r="P611" i="3" s="1"/>
  <c r="J612" i="3"/>
  <c r="K612" i="3"/>
  <c r="O612" i="3" s="1"/>
  <c r="P612" i="3" s="1"/>
  <c r="L612" i="3"/>
  <c r="M612" i="3"/>
  <c r="J613" i="3"/>
  <c r="K613" i="3"/>
  <c r="L613" i="3"/>
  <c r="M613" i="3"/>
  <c r="O613" i="3" s="1"/>
  <c r="P613" i="3" s="1"/>
  <c r="J614" i="3"/>
  <c r="K614" i="3"/>
  <c r="O614" i="3" s="1"/>
  <c r="P614" i="3" s="1"/>
  <c r="L614" i="3"/>
  <c r="M614" i="3"/>
  <c r="J615" i="3"/>
  <c r="K615" i="3"/>
  <c r="L615" i="3"/>
  <c r="M615" i="3"/>
  <c r="O615" i="3" s="1"/>
  <c r="P615" i="3" s="1"/>
  <c r="J616" i="3"/>
  <c r="K616" i="3"/>
  <c r="O616" i="3" s="1"/>
  <c r="P616" i="3" s="1"/>
  <c r="L616" i="3"/>
  <c r="M616" i="3"/>
  <c r="J617" i="3"/>
  <c r="K617" i="3"/>
  <c r="L617" i="3"/>
  <c r="M617" i="3"/>
  <c r="O617" i="3" s="1"/>
  <c r="P617" i="3" s="1"/>
  <c r="J618" i="3"/>
  <c r="K618" i="3"/>
  <c r="O618" i="3" s="1"/>
  <c r="P618" i="3" s="1"/>
  <c r="L618" i="3"/>
  <c r="M618" i="3"/>
  <c r="J619" i="3"/>
  <c r="K619" i="3"/>
  <c r="L619" i="3"/>
  <c r="M619" i="3"/>
  <c r="O619" i="3" s="1"/>
  <c r="P619" i="3" s="1"/>
  <c r="J620" i="3"/>
  <c r="K620" i="3"/>
  <c r="O620" i="3" s="1"/>
  <c r="P620" i="3" s="1"/>
  <c r="L620" i="3"/>
  <c r="M620" i="3"/>
  <c r="J621" i="3"/>
  <c r="K621" i="3"/>
  <c r="L621" i="3"/>
  <c r="M621" i="3"/>
  <c r="O621" i="3" s="1"/>
  <c r="P621" i="3" s="1"/>
  <c r="J622" i="3"/>
  <c r="K622" i="3"/>
  <c r="O622" i="3" s="1"/>
  <c r="P622" i="3" s="1"/>
  <c r="L622" i="3"/>
  <c r="M622" i="3"/>
  <c r="J623" i="3"/>
  <c r="K623" i="3"/>
  <c r="L623" i="3"/>
  <c r="M623" i="3"/>
  <c r="O623" i="3" s="1"/>
  <c r="P623" i="3" s="1"/>
  <c r="J624" i="3"/>
  <c r="K624" i="3"/>
  <c r="O624" i="3" s="1"/>
  <c r="P624" i="3" s="1"/>
  <c r="L624" i="3"/>
  <c r="M624" i="3"/>
  <c r="J625" i="3"/>
  <c r="K625" i="3"/>
  <c r="L625" i="3"/>
  <c r="M625" i="3"/>
  <c r="O625" i="3" s="1"/>
  <c r="P625" i="3" s="1"/>
  <c r="J626" i="3"/>
  <c r="K626" i="3"/>
  <c r="O626" i="3" s="1"/>
  <c r="P626" i="3" s="1"/>
  <c r="L626" i="3"/>
  <c r="M626" i="3"/>
  <c r="J627" i="3"/>
  <c r="K627" i="3"/>
  <c r="L627" i="3"/>
  <c r="M627" i="3"/>
  <c r="O627" i="3" s="1"/>
  <c r="P627" i="3" s="1"/>
  <c r="J628" i="3"/>
  <c r="K628" i="3"/>
  <c r="O628" i="3" s="1"/>
  <c r="P628" i="3" s="1"/>
  <c r="L628" i="3"/>
  <c r="M628" i="3"/>
  <c r="J629" i="3"/>
  <c r="K629" i="3"/>
  <c r="L629" i="3"/>
  <c r="M629" i="3"/>
  <c r="O629" i="3" s="1"/>
  <c r="P629" i="3" s="1"/>
  <c r="J630" i="3"/>
  <c r="K630" i="3"/>
  <c r="O630" i="3" s="1"/>
  <c r="P630" i="3" s="1"/>
  <c r="L630" i="3"/>
  <c r="M630" i="3"/>
  <c r="J631" i="3"/>
  <c r="K631" i="3"/>
  <c r="L631" i="3"/>
  <c r="M631" i="3"/>
  <c r="O631" i="3" s="1"/>
  <c r="P631" i="3" s="1"/>
  <c r="J632" i="3"/>
  <c r="K632" i="3"/>
  <c r="O632" i="3" s="1"/>
  <c r="P632" i="3" s="1"/>
  <c r="L632" i="3"/>
  <c r="M632" i="3"/>
  <c r="J633" i="3"/>
  <c r="K633" i="3"/>
  <c r="L633" i="3"/>
  <c r="M633" i="3"/>
  <c r="O633" i="3" s="1"/>
  <c r="P633" i="3" s="1"/>
  <c r="J634" i="3"/>
  <c r="K634" i="3"/>
  <c r="O634" i="3" s="1"/>
  <c r="P634" i="3" s="1"/>
  <c r="L634" i="3"/>
  <c r="M634" i="3"/>
  <c r="J635" i="3"/>
  <c r="K635" i="3"/>
  <c r="L635" i="3"/>
  <c r="M635" i="3"/>
  <c r="O635" i="3" s="1"/>
  <c r="P635" i="3" s="1"/>
  <c r="J636" i="3"/>
  <c r="K636" i="3"/>
  <c r="O636" i="3" s="1"/>
  <c r="P636" i="3" s="1"/>
  <c r="L636" i="3"/>
  <c r="M636" i="3"/>
  <c r="J637" i="3"/>
  <c r="K637" i="3"/>
  <c r="L637" i="3"/>
  <c r="M637" i="3"/>
  <c r="O637" i="3" s="1"/>
  <c r="P637" i="3" s="1"/>
  <c r="J638" i="3"/>
  <c r="K638" i="3"/>
  <c r="O638" i="3" s="1"/>
  <c r="P638" i="3" s="1"/>
  <c r="L638" i="3"/>
  <c r="M638" i="3"/>
  <c r="J639" i="3"/>
  <c r="K639" i="3"/>
  <c r="L639" i="3"/>
  <c r="M639" i="3"/>
  <c r="O639" i="3" s="1"/>
  <c r="P639" i="3" s="1"/>
  <c r="J640" i="3"/>
  <c r="K640" i="3"/>
  <c r="O640" i="3" s="1"/>
  <c r="P640" i="3" s="1"/>
  <c r="L640" i="3"/>
  <c r="M640" i="3"/>
  <c r="J641" i="3"/>
  <c r="K641" i="3"/>
  <c r="L641" i="3"/>
  <c r="M641" i="3"/>
  <c r="O641" i="3" s="1"/>
  <c r="P641" i="3" s="1"/>
  <c r="J642" i="3"/>
  <c r="K642" i="3"/>
  <c r="O642" i="3" s="1"/>
  <c r="P642" i="3" s="1"/>
  <c r="L642" i="3"/>
  <c r="M642" i="3"/>
  <c r="J643" i="3"/>
  <c r="K643" i="3"/>
  <c r="L643" i="3"/>
  <c r="M643" i="3"/>
  <c r="O643" i="3" s="1"/>
  <c r="P643" i="3" s="1"/>
  <c r="J644" i="3"/>
  <c r="K644" i="3"/>
  <c r="O644" i="3" s="1"/>
  <c r="P644" i="3" s="1"/>
  <c r="L644" i="3"/>
  <c r="M644" i="3"/>
  <c r="J645" i="3"/>
  <c r="K645" i="3"/>
  <c r="L645" i="3"/>
  <c r="M645" i="3"/>
  <c r="O645" i="3" s="1"/>
  <c r="P645" i="3" s="1"/>
  <c r="J646" i="3"/>
  <c r="K646" i="3"/>
  <c r="O646" i="3" s="1"/>
  <c r="P646" i="3" s="1"/>
  <c r="L646" i="3"/>
  <c r="M646" i="3"/>
  <c r="J647" i="3"/>
  <c r="K647" i="3"/>
  <c r="L647" i="3"/>
  <c r="M647" i="3"/>
  <c r="O647" i="3" s="1"/>
  <c r="P647" i="3" s="1"/>
  <c r="J648" i="3"/>
  <c r="K648" i="3"/>
  <c r="O648" i="3" s="1"/>
  <c r="P648" i="3" s="1"/>
  <c r="L648" i="3"/>
  <c r="M648" i="3"/>
  <c r="J649" i="3"/>
  <c r="K649" i="3"/>
  <c r="L649" i="3"/>
  <c r="M649" i="3"/>
  <c r="O649" i="3" s="1"/>
  <c r="P649" i="3" s="1"/>
  <c r="J650" i="3"/>
  <c r="K650" i="3"/>
  <c r="O650" i="3" s="1"/>
  <c r="P650" i="3" s="1"/>
  <c r="L650" i="3"/>
  <c r="M650" i="3"/>
  <c r="J651" i="3"/>
  <c r="K651" i="3"/>
  <c r="L651" i="3"/>
  <c r="M651" i="3"/>
  <c r="O651" i="3" s="1"/>
  <c r="P651" i="3" s="1"/>
  <c r="J652" i="3"/>
  <c r="K652" i="3"/>
  <c r="O652" i="3" s="1"/>
  <c r="P652" i="3" s="1"/>
  <c r="L652" i="3"/>
  <c r="M652" i="3"/>
  <c r="J653" i="3"/>
  <c r="K653" i="3"/>
  <c r="L653" i="3"/>
  <c r="M653" i="3"/>
  <c r="O653" i="3" s="1"/>
  <c r="P653" i="3" s="1"/>
  <c r="J654" i="3"/>
  <c r="K654" i="3"/>
  <c r="O654" i="3" s="1"/>
  <c r="L654" i="3"/>
  <c r="M654" i="3"/>
  <c r="P654" i="3"/>
  <c r="J655" i="3"/>
  <c r="K655" i="3"/>
  <c r="L655" i="3"/>
  <c r="M655" i="3"/>
  <c r="O655" i="3" s="1"/>
  <c r="P655" i="3" s="1"/>
  <c r="J656" i="3"/>
  <c r="K656" i="3"/>
  <c r="O656" i="3" s="1"/>
  <c r="P656" i="3" s="1"/>
  <c r="L656" i="3"/>
  <c r="M656" i="3"/>
  <c r="J657" i="3"/>
  <c r="K657" i="3"/>
  <c r="L657" i="3"/>
  <c r="M657" i="3"/>
  <c r="O657" i="3" s="1"/>
  <c r="P657" i="3" s="1"/>
  <c r="J658" i="3"/>
  <c r="K658" i="3"/>
  <c r="O658" i="3" s="1"/>
  <c r="P658" i="3" s="1"/>
  <c r="L658" i="3"/>
  <c r="M658" i="3"/>
  <c r="J659" i="3"/>
  <c r="K659" i="3"/>
  <c r="L659" i="3"/>
  <c r="M659" i="3"/>
  <c r="O659" i="3" s="1"/>
  <c r="P659" i="3" s="1"/>
  <c r="J660" i="3"/>
  <c r="K660" i="3"/>
  <c r="O660" i="3" s="1"/>
  <c r="P660" i="3" s="1"/>
  <c r="L660" i="3"/>
  <c r="M660" i="3"/>
  <c r="J661" i="3"/>
  <c r="K661" i="3"/>
  <c r="L661" i="3"/>
  <c r="M661" i="3"/>
  <c r="O661" i="3" s="1"/>
  <c r="P661" i="3" s="1"/>
  <c r="J662" i="3"/>
  <c r="K662" i="3"/>
  <c r="O662" i="3" s="1"/>
  <c r="L662" i="3"/>
  <c r="M662" i="3"/>
  <c r="P662" i="3"/>
  <c r="J663" i="3"/>
  <c r="K663" i="3"/>
  <c r="L663" i="3"/>
  <c r="M663" i="3"/>
  <c r="O663" i="3" s="1"/>
  <c r="P663" i="3" s="1"/>
  <c r="J664" i="3"/>
  <c r="K664" i="3"/>
  <c r="O664" i="3" s="1"/>
  <c r="P664" i="3" s="1"/>
  <c r="L664" i="3"/>
  <c r="M664" i="3"/>
  <c r="J665" i="3"/>
  <c r="K665" i="3"/>
  <c r="L665" i="3"/>
  <c r="M665" i="3"/>
  <c r="O665" i="3" s="1"/>
  <c r="P665" i="3" s="1"/>
  <c r="J666" i="3"/>
  <c r="K666" i="3"/>
  <c r="O666" i="3" s="1"/>
  <c r="P666" i="3" s="1"/>
  <c r="L666" i="3"/>
  <c r="M666" i="3"/>
  <c r="J667" i="3"/>
  <c r="K667" i="3"/>
  <c r="L667" i="3"/>
  <c r="M667" i="3"/>
  <c r="O667" i="3" s="1"/>
  <c r="P667" i="3" s="1"/>
  <c r="J668" i="3"/>
  <c r="K668" i="3"/>
  <c r="O668" i="3" s="1"/>
  <c r="P668" i="3" s="1"/>
  <c r="L668" i="3"/>
  <c r="M668" i="3"/>
  <c r="J669" i="3"/>
  <c r="K669" i="3"/>
  <c r="L669" i="3"/>
  <c r="M669" i="3"/>
  <c r="O669" i="3" s="1"/>
  <c r="P669" i="3" s="1"/>
  <c r="J670" i="3"/>
  <c r="K670" i="3"/>
  <c r="O670" i="3" s="1"/>
  <c r="L670" i="3"/>
  <c r="M670" i="3"/>
  <c r="P670" i="3"/>
  <c r="J671" i="3"/>
  <c r="K671" i="3"/>
  <c r="L671" i="3"/>
  <c r="M671" i="3"/>
  <c r="O671" i="3" s="1"/>
  <c r="P671" i="3" s="1"/>
  <c r="J672" i="3"/>
  <c r="K672" i="3"/>
  <c r="O672" i="3" s="1"/>
  <c r="P672" i="3" s="1"/>
  <c r="L672" i="3"/>
  <c r="M672" i="3"/>
  <c r="J673" i="3"/>
  <c r="K673" i="3"/>
  <c r="L673" i="3"/>
  <c r="M673" i="3"/>
  <c r="O673" i="3" s="1"/>
  <c r="P673" i="3" s="1"/>
  <c r="J674" i="3"/>
  <c r="K674" i="3"/>
  <c r="O674" i="3" s="1"/>
  <c r="P674" i="3" s="1"/>
  <c r="L674" i="3"/>
  <c r="M674" i="3"/>
  <c r="J675" i="3"/>
  <c r="K675" i="3"/>
  <c r="L675" i="3"/>
  <c r="M675" i="3"/>
  <c r="O675" i="3" s="1"/>
  <c r="P675" i="3" s="1"/>
  <c r="J676" i="3"/>
  <c r="K676" i="3"/>
  <c r="O676" i="3" s="1"/>
  <c r="P676" i="3" s="1"/>
  <c r="L676" i="3"/>
  <c r="M676" i="3"/>
  <c r="J677" i="3"/>
  <c r="K677" i="3"/>
  <c r="L677" i="3"/>
  <c r="M677" i="3"/>
  <c r="O677" i="3" s="1"/>
  <c r="P677" i="3" s="1"/>
  <c r="J678" i="3"/>
  <c r="K678" i="3"/>
  <c r="O678" i="3" s="1"/>
  <c r="L678" i="3"/>
  <c r="M678" i="3"/>
  <c r="P678" i="3"/>
  <c r="J679" i="3"/>
  <c r="K679" i="3"/>
  <c r="L679" i="3"/>
  <c r="M679" i="3"/>
  <c r="O679" i="3" s="1"/>
  <c r="P679" i="3" s="1"/>
  <c r="J680" i="3"/>
  <c r="K680" i="3"/>
  <c r="O680" i="3" s="1"/>
  <c r="P680" i="3" s="1"/>
  <c r="L680" i="3"/>
  <c r="M680" i="3"/>
  <c r="J681" i="3"/>
  <c r="K681" i="3"/>
  <c r="L681" i="3"/>
  <c r="M681" i="3"/>
  <c r="O681" i="3" s="1"/>
  <c r="P681" i="3" s="1"/>
  <c r="J682" i="3"/>
  <c r="K682" i="3"/>
  <c r="O682" i="3" s="1"/>
  <c r="P682" i="3" s="1"/>
  <c r="L682" i="3"/>
  <c r="M682" i="3"/>
  <c r="J683" i="3"/>
  <c r="K683" i="3"/>
  <c r="L683" i="3"/>
  <c r="M683" i="3"/>
  <c r="O683" i="3" s="1"/>
  <c r="P683" i="3" s="1"/>
  <c r="J684" i="3"/>
  <c r="K684" i="3"/>
  <c r="O684" i="3" s="1"/>
  <c r="P684" i="3" s="1"/>
  <c r="L684" i="3"/>
  <c r="M684" i="3"/>
  <c r="J685" i="3"/>
  <c r="K685" i="3"/>
  <c r="L685" i="3"/>
  <c r="M685" i="3"/>
  <c r="O685" i="3" s="1"/>
  <c r="P685" i="3" s="1"/>
  <c r="J686" i="3"/>
  <c r="K686" i="3"/>
  <c r="O686" i="3" s="1"/>
  <c r="L686" i="3"/>
  <c r="M686" i="3"/>
  <c r="P686" i="3"/>
  <c r="J687" i="3"/>
  <c r="K687" i="3"/>
  <c r="L687" i="3"/>
  <c r="M687" i="3"/>
  <c r="O687" i="3" s="1"/>
  <c r="P687" i="3" s="1"/>
  <c r="J688" i="3"/>
  <c r="K688" i="3"/>
  <c r="O688" i="3" s="1"/>
  <c r="P688" i="3" s="1"/>
  <c r="L688" i="3"/>
  <c r="M688" i="3"/>
  <c r="J689" i="3"/>
  <c r="K689" i="3"/>
  <c r="L689" i="3"/>
  <c r="M689" i="3"/>
  <c r="O689" i="3" s="1"/>
  <c r="P689" i="3" s="1"/>
  <c r="J690" i="3"/>
  <c r="K690" i="3"/>
  <c r="O690" i="3" s="1"/>
  <c r="P690" i="3" s="1"/>
  <c r="L690" i="3"/>
  <c r="M690" i="3"/>
  <c r="J691" i="3"/>
  <c r="K691" i="3"/>
  <c r="L691" i="3"/>
  <c r="M691" i="3"/>
  <c r="O691" i="3" s="1"/>
  <c r="P691" i="3" s="1"/>
  <c r="J692" i="3"/>
  <c r="K692" i="3"/>
  <c r="O692" i="3" s="1"/>
  <c r="P692" i="3" s="1"/>
  <c r="L692" i="3"/>
  <c r="M692" i="3"/>
  <c r="J693" i="3"/>
  <c r="K693" i="3"/>
  <c r="L693" i="3"/>
  <c r="M693" i="3"/>
  <c r="O693" i="3" s="1"/>
  <c r="P693" i="3" s="1"/>
  <c r="J694" i="3"/>
  <c r="K694" i="3"/>
  <c r="O694" i="3" s="1"/>
  <c r="L694" i="3"/>
  <c r="M694" i="3"/>
  <c r="P694" i="3"/>
  <c r="J695" i="3"/>
  <c r="K695" i="3"/>
  <c r="L695" i="3"/>
  <c r="M695" i="3"/>
  <c r="O695" i="3" s="1"/>
  <c r="P695" i="3" s="1"/>
  <c r="J696" i="3"/>
  <c r="K696" i="3"/>
  <c r="O696" i="3" s="1"/>
  <c r="P696" i="3" s="1"/>
  <c r="L696" i="3"/>
  <c r="M696" i="3"/>
  <c r="J697" i="3"/>
  <c r="K697" i="3"/>
  <c r="L697" i="3"/>
  <c r="M697" i="3"/>
  <c r="O697" i="3" s="1"/>
  <c r="P697" i="3" s="1"/>
  <c r="J698" i="3"/>
  <c r="K698" i="3"/>
  <c r="O698" i="3" s="1"/>
  <c r="P698" i="3" s="1"/>
  <c r="L698" i="3"/>
  <c r="M698" i="3"/>
  <c r="J699" i="3"/>
  <c r="K699" i="3"/>
  <c r="L699" i="3"/>
  <c r="M699" i="3"/>
  <c r="O699" i="3" s="1"/>
  <c r="P699" i="3" s="1"/>
  <c r="J700" i="3"/>
  <c r="K700" i="3"/>
  <c r="O700" i="3" s="1"/>
  <c r="P700" i="3" s="1"/>
  <c r="L700" i="3"/>
  <c r="M700" i="3"/>
  <c r="J701" i="3"/>
  <c r="K701" i="3"/>
  <c r="L701" i="3"/>
  <c r="M701" i="3"/>
  <c r="O701" i="3" s="1"/>
  <c r="P701" i="3" s="1"/>
  <c r="J702" i="3"/>
  <c r="K702" i="3"/>
  <c r="O702" i="3" s="1"/>
  <c r="L702" i="3"/>
  <c r="M702" i="3"/>
  <c r="P702" i="3"/>
  <c r="J703" i="3"/>
  <c r="K703" i="3"/>
  <c r="L703" i="3"/>
  <c r="M703" i="3"/>
  <c r="O703" i="3" s="1"/>
  <c r="P703" i="3" s="1"/>
  <c r="J704" i="3"/>
  <c r="K704" i="3"/>
  <c r="O704" i="3" s="1"/>
  <c r="P704" i="3" s="1"/>
  <c r="L704" i="3"/>
  <c r="M704" i="3"/>
  <c r="J705" i="3"/>
  <c r="K705" i="3"/>
  <c r="L705" i="3"/>
  <c r="M705" i="3"/>
  <c r="O705" i="3" s="1"/>
  <c r="P705" i="3" s="1"/>
  <c r="J706" i="3"/>
  <c r="K706" i="3"/>
  <c r="O706" i="3" s="1"/>
  <c r="P706" i="3" s="1"/>
  <c r="L706" i="3"/>
  <c r="M706" i="3"/>
  <c r="J707" i="3"/>
  <c r="K707" i="3"/>
  <c r="L707" i="3"/>
  <c r="M707" i="3"/>
  <c r="O707" i="3" s="1"/>
  <c r="P707" i="3" s="1"/>
  <c r="J708" i="3"/>
  <c r="K708" i="3"/>
  <c r="O708" i="3" s="1"/>
  <c r="P708" i="3" s="1"/>
  <c r="L708" i="3"/>
  <c r="M708" i="3"/>
  <c r="J709" i="3"/>
  <c r="K709" i="3"/>
  <c r="L709" i="3"/>
  <c r="M709" i="3"/>
  <c r="O709" i="3" s="1"/>
  <c r="P709" i="3" s="1"/>
  <c r="J710" i="3"/>
  <c r="K710" i="3"/>
  <c r="O710" i="3" s="1"/>
  <c r="L710" i="3"/>
  <c r="M710" i="3"/>
  <c r="P710" i="3"/>
  <c r="J711" i="3"/>
  <c r="K711" i="3"/>
  <c r="L711" i="3"/>
  <c r="M711" i="3"/>
  <c r="O711" i="3" s="1"/>
  <c r="P711" i="3" s="1"/>
  <c r="J712" i="3"/>
  <c r="K712" i="3"/>
  <c r="O712" i="3" s="1"/>
  <c r="P712" i="3" s="1"/>
  <c r="L712" i="3"/>
  <c r="M712" i="3"/>
  <c r="J713" i="3"/>
  <c r="K713" i="3"/>
  <c r="L713" i="3"/>
  <c r="M713" i="3"/>
  <c r="O713" i="3" s="1"/>
  <c r="P713" i="3" s="1"/>
  <c r="J714" i="3"/>
  <c r="K714" i="3"/>
  <c r="O714" i="3" s="1"/>
  <c r="P714" i="3" s="1"/>
  <c r="L714" i="3"/>
  <c r="M714" i="3"/>
  <c r="J715" i="3"/>
  <c r="K715" i="3"/>
  <c r="L715" i="3"/>
  <c r="M715" i="3"/>
  <c r="O715" i="3" s="1"/>
  <c r="P715" i="3" s="1"/>
  <c r="J716" i="3"/>
  <c r="K716" i="3"/>
  <c r="O716" i="3" s="1"/>
  <c r="P716" i="3" s="1"/>
  <c r="L716" i="3"/>
  <c r="M716" i="3"/>
  <c r="J717" i="3"/>
  <c r="K717" i="3"/>
  <c r="L717" i="3"/>
  <c r="M717" i="3"/>
  <c r="O717" i="3"/>
  <c r="P717" i="3" s="1"/>
  <c r="J718" i="3"/>
  <c r="K718" i="3"/>
  <c r="O718" i="3" s="1"/>
  <c r="P718" i="3" s="1"/>
  <c r="L718" i="3"/>
  <c r="M718" i="3"/>
  <c r="J719" i="3"/>
  <c r="K719" i="3"/>
  <c r="L719" i="3"/>
  <c r="M719" i="3"/>
  <c r="O719" i="3"/>
  <c r="P719" i="3" s="1"/>
  <c r="J720" i="3"/>
  <c r="K720" i="3"/>
  <c r="L720" i="3"/>
  <c r="M720" i="3"/>
  <c r="O720" i="3"/>
  <c r="P720" i="3" s="1"/>
  <c r="J721" i="3"/>
  <c r="K721" i="3"/>
  <c r="L721" i="3"/>
  <c r="M721" i="3"/>
  <c r="O721" i="3"/>
  <c r="P721" i="3" s="1"/>
  <c r="J722" i="3"/>
  <c r="K722" i="3"/>
  <c r="L722" i="3"/>
  <c r="M722" i="3"/>
  <c r="O722" i="3"/>
  <c r="P722" i="3" s="1"/>
  <c r="J723" i="3"/>
  <c r="K723" i="3"/>
  <c r="L723" i="3"/>
  <c r="M723" i="3"/>
  <c r="O723" i="3" s="1"/>
  <c r="P723" i="3" s="1"/>
  <c r="J724" i="3"/>
  <c r="K724" i="3"/>
  <c r="O724" i="3" s="1"/>
  <c r="P724" i="3" s="1"/>
  <c r="L724" i="3"/>
  <c r="M724" i="3"/>
  <c r="J725" i="3"/>
  <c r="K725" i="3"/>
  <c r="L725" i="3"/>
  <c r="M725" i="3"/>
  <c r="O725" i="3"/>
  <c r="P725" i="3" s="1"/>
  <c r="J726" i="3"/>
  <c r="K726" i="3"/>
  <c r="O726" i="3" s="1"/>
  <c r="P726" i="3" s="1"/>
  <c r="L726" i="3"/>
  <c r="M726" i="3"/>
  <c r="J727" i="3"/>
  <c r="K727" i="3"/>
  <c r="L727" i="3"/>
  <c r="M727" i="3"/>
  <c r="O727" i="3"/>
  <c r="P727" i="3" s="1"/>
  <c r="J728" i="3"/>
  <c r="K728" i="3"/>
  <c r="L728" i="3"/>
  <c r="M728" i="3"/>
  <c r="O728" i="3"/>
  <c r="P728" i="3" s="1"/>
  <c r="J729" i="3"/>
  <c r="K729" i="3"/>
  <c r="L729" i="3"/>
  <c r="M729" i="3"/>
  <c r="O729" i="3"/>
  <c r="P729" i="3" s="1"/>
  <c r="J730" i="3"/>
  <c r="K730" i="3"/>
  <c r="O730" i="3" s="1"/>
  <c r="P730" i="3" s="1"/>
  <c r="L730" i="3"/>
  <c r="M730" i="3"/>
  <c r="J731" i="3"/>
  <c r="K731" i="3"/>
  <c r="L731" i="3"/>
  <c r="M731" i="3"/>
  <c r="O731" i="3" s="1"/>
  <c r="P731" i="3" s="1"/>
  <c r="J732" i="3"/>
  <c r="K732" i="3"/>
  <c r="O732" i="3" s="1"/>
  <c r="P732" i="3" s="1"/>
  <c r="L732" i="3"/>
  <c r="M732" i="3"/>
  <c r="J733" i="3"/>
  <c r="K733" i="3"/>
  <c r="L733" i="3"/>
  <c r="M733" i="3"/>
  <c r="O733" i="3"/>
  <c r="P733" i="3" s="1"/>
  <c r="J734" i="3"/>
  <c r="K734" i="3"/>
  <c r="O734" i="3" s="1"/>
  <c r="P734" i="3" s="1"/>
  <c r="L734" i="3"/>
  <c r="M734" i="3"/>
  <c r="J735" i="3"/>
  <c r="K735" i="3"/>
  <c r="L735" i="3"/>
  <c r="M735" i="3"/>
  <c r="O735" i="3"/>
  <c r="P735" i="3" s="1"/>
  <c r="J736" i="3"/>
  <c r="K736" i="3"/>
  <c r="L736" i="3"/>
  <c r="M736" i="3"/>
  <c r="O736" i="3"/>
  <c r="P736" i="3" s="1"/>
  <c r="J737" i="3"/>
  <c r="K737" i="3"/>
  <c r="L737" i="3"/>
  <c r="M737" i="3"/>
  <c r="O737" i="3"/>
  <c r="P737" i="3" s="1"/>
  <c r="J738" i="3"/>
  <c r="K738" i="3"/>
  <c r="O738" i="3" s="1"/>
  <c r="P738" i="3" s="1"/>
  <c r="L738" i="3"/>
  <c r="M738" i="3"/>
  <c r="J739" i="3"/>
  <c r="K739" i="3"/>
  <c r="L739" i="3"/>
  <c r="M739" i="3"/>
  <c r="O739" i="3" s="1"/>
  <c r="P739" i="3" s="1"/>
  <c r="J740" i="3"/>
  <c r="K740" i="3"/>
  <c r="O740" i="3" s="1"/>
  <c r="L740" i="3"/>
  <c r="M740" i="3"/>
  <c r="P740" i="3"/>
  <c r="J741" i="3"/>
  <c r="K741" i="3"/>
  <c r="L741" i="3"/>
  <c r="M741" i="3"/>
  <c r="O741" i="3" s="1"/>
  <c r="P741" i="3" s="1"/>
  <c r="J742" i="3"/>
  <c r="K742" i="3"/>
  <c r="O742" i="3" s="1"/>
  <c r="P742" i="3" s="1"/>
  <c r="L742" i="3"/>
  <c r="M742" i="3"/>
  <c r="J743" i="3"/>
  <c r="K743" i="3"/>
  <c r="L743" i="3"/>
  <c r="M743" i="3"/>
  <c r="O743" i="3"/>
  <c r="P743" i="3" s="1"/>
  <c r="J744" i="3"/>
  <c r="K744" i="3"/>
  <c r="L744" i="3"/>
  <c r="M744" i="3"/>
  <c r="O744" i="3"/>
  <c r="P744" i="3" s="1"/>
  <c r="J745" i="3"/>
  <c r="K745" i="3"/>
  <c r="L745" i="3"/>
  <c r="M745" i="3"/>
  <c r="O745" i="3"/>
  <c r="P745" i="3" s="1"/>
  <c r="J746" i="3"/>
  <c r="K746" i="3"/>
  <c r="O746" i="3" s="1"/>
  <c r="P746" i="3" s="1"/>
  <c r="L746" i="3"/>
  <c r="M746" i="3"/>
  <c r="J747" i="3"/>
  <c r="K747" i="3"/>
  <c r="L747" i="3"/>
  <c r="M747" i="3"/>
  <c r="O747" i="3" s="1"/>
  <c r="P747" i="3" s="1"/>
  <c r="J748" i="3"/>
  <c r="K748" i="3"/>
  <c r="O748" i="3" s="1"/>
  <c r="P748" i="3" s="1"/>
  <c r="L748" i="3"/>
  <c r="M748" i="3"/>
  <c r="J749" i="3"/>
  <c r="K749" i="3"/>
  <c r="L749" i="3"/>
  <c r="M749" i="3"/>
  <c r="O749" i="3"/>
  <c r="P749" i="3" s="1"/>
  <c r="J750" i="3"/>
  <c r="K750" i="3"/>
  <c r="O750" i="3" s="1"/>
  <c r="P750" i="3" s="1"/>
  <c r="L750" i="3"/>
  <c r="M750" i="3"/>
  <c r="J751" i="3"/>
  <c r="K751" i="3"/>
  <c r="L751" i="3"/>
  <c r="M751" i="3"/>
  <c r="O751" i="3"/>
  <c r="P751" i="3" s="1"/>
  <c r="J752" i="3"/>
  <c r="K752" i="3"/>
  <c r="L752" i="3"/>
  <c r="M752" i="3"/>
  <c r="O752" i="3"/>
  <c r="P752" i="3" s="1"/>
  <c r="J753" i="3"/>
  <c r="K753" i="3"/>
  <c r="L753" i="3"/>
  <c r="M753" i="3"/>
  <c r="O753" i="3"/>
  <c r="P753" i="3"/>
  <c r="J754" i="3"/>
  <c r="K754" i="3"/>
  <c r="L754" i="3"/>
  <c r="M754" i="3"/>
  <c r="O754" i="3" s="1"/>
  <c r="P754" i="3" s="1"/>
  <c r="J755" i="3"/>
  <c r="K755" i="3"/>
  <c r="O755" i="3" s="1"/>
  <c r="P755" i="3" s="1"/>
  <c r="L755" i="3"/>
  <c r="M755" i="3"/>
  <c r="J756" i="3"/>
  <c r="K756" i="3"/>
  <c r="L756" i="3"/>
  <c r="M756" i="3"/>
  <c r="O756" i="3"/>
  <c r="P756" i="3" s="1"/>
  <c r="J757" i="3"/>
  <c r="K757" i="3"/>
  <c r="O757" i="3" s="1"/>
  <c r="L757" i="3"/>
  <c r="M757" i="3"/>
  <c r="P757" i="3"/>
  <c r="J758" i="3"/>
  <c r="K758" i="3"/>
  <c r="L758" i="3"/>
  <c r="M758" i="3"/>
  <c r="O758" i="3" s="1"/>
  <c r="P758" i="3" s="1"/>
  <c r="J759" i="3"/>
  <c r="K759" i="3"/>
  <c r="O759" i="3" s="1"/>
  <c r="P759" i="3" s="1"/>
  <c r="L759" i="3"/>
  <c r="M759" i="3"/>
  <c r="J760" i="3"/>
  <c r="K760" i="3"/>
  <c r="L760" i="3"/>
  <c r="M760" i="3"/>
  <c r="O760" i="3"/>
  <c r="P760" i="3" s="1"/>
  <c r="J761" i="3"/>
  <c r="K761" i="3"/>
  <c r="O761" i="3" s="1"/>
  <c r="L761" i="3"/>
  <c r="M761" i="3"/>
  <c r="P761" i="3"/>
  <c r="J762" i="3"/>
  <c r="K762" i="3"/>
  <c r="L762" i="3"/>
  <c r="M762" i="3"/>
  <c r="O762" i="3" s="1"/>
  <c r="P762" i="3" s="1"/>
  <c r="J763" i="3"/>
  <c r="K763" i="3"/>
  <c r="O763" i="3" s="1"/>
  <c r="P763" i="3" s="1"/>
  <c r="L763" i="3"/>
  <c r="M763" i="3"/>
  <c r="J764" i="3"/>
  <c r="K764" i="3"/>
  <c r="L764" i="3"/>
  <c r="M764" i="3"/>
  <c r="O764" i="3"/>
  <c r="P764" i="3" s="1"/>
  <c r="J765" i="3"/>
  <c r="K765" i="3"/>
  <c r="O765" i="3" s="1"/>
  <c r="L765" i="3"/>
  <c r="M765" i="3"/>
  <c r="P765" i="3"/>
  <c r="J766" i="3"/>
  <c r="K766" i="3"/>
  <c r="L766" i="3"/>
  <c r="M766" i="3"/>
  <c r="O766" i="3" s="1"/>
  <c r="P766" i="3" s="1"/>
  <c r="J767" i="3"/>
  <c r="K767" i="3"/>
  <c r="O767" i="3" s="1"/>
  <c r="P767" i="3" s="1"/>
  <c r="L767" i="3"/>
  <c r="M767" i="3"/>
  <c r="J768" i="3"/>
  <c r="K768" i="3"/>
  <c r="L768" i="3"/>
  <c r="M768" i="3"/>
  <c r="O768" i="3"/>
  <c r="P768" i="3" s="1"/>
  <c r="J769" i="3"/>
  <c r="K769" i="3"/>
  <c r="O769" i="3" s="1"/>
  <c r="L769" i="3"/>
  <c r="M769" i="3"/>
  <c r="P769" i="3"/>
  <c r="J770" i="3"/>
  <c r="K770" i="3"/>
  <c r="L770" i="3"/>
  <c r="M770" i="3"/>
  <c r="O770" i="3" s="1"/>
  <c r="P770" i="3" s="1"/>
  <c r="J771" i="3"/>
  <c r="K771" i="3"/>
  <c r="O771" i="3" s="1"/>
  <c r="P771" i="3" s="1"/>
  <c r="L771" i="3"/>
  <c r="M771" i="3"/>
  <c r="J772" i="3"/>
  <c r="K772" i="3"/>
  <c r="L772" i="3"/>
  <c r="M772" i="3"/>
  <c r="O772" i="3"/>
  <c r="P772" i="3" s="1"/>
  <c r="J773" i="3"/>
  <c r="K773" i="3"/>
  <c r="O773" i="3" s="1"/>
  <c r="L773" i="3"/>
  <c r="M773" i="3"/>
  <c r="P773" i="3"/>
  <c r="J774" i="3"/>
  <c r="K774" i="3"/>
  <c r="L774" i="3"/>
  <c r="M774" i="3"/>
  <c r="O774" i="3" s="1"/>
  <c r="P774" i="3" s="1"/>
  <c r="J775" i="3"/>
  <c r="K775" i="3"/>
  <c r="O775" i="3" s="1"/>
  <c r="P775" i="3" s="1"/>
  <c r="L775" i="3"/>
  <c r="M775" i="3"/>
  <c r="J776" i="3"/>
  <c r="K776" i="3"/>
  <c r="L776" i="3"/>
  <c r="M776" i="3"/>
  <c r="O776" i="3"/>
  <c r="P776" i="3" s="1"/>
  <c r="J777" i="3"/>
  <c r="K777" i="3"/>
  <c r="O777" i="3" s="1"/>
  <c r="L777" i="3"/>
  <c r="M777" i="3"/>
  <c r="P777" i="3"/>
  <c r="J778" i="3"/>
  <c r="K778" i="3"/>
  <c r="L778" i="3"/>
  <c r="M778" i="3"/>
  <c r="O778" i="3" s="1"/>
  <c r="P778" i="3" s="1"/>
  <c r="J779" i="3"/>
  <c r="K779" i="3"/>
  <c r="O779" i="3" s="1"/>
  <c r="P779" i="3" s="1"/>
  <c r="L779" i="3"/>
  <c r="M779" i="3"/>
  <c r="J780" i="3"/>
  <c r="K780" i="3"/>
  <c r="L780" i="3"/>
  <c r="M780" i="3"/>
  <c r="O780" i="3"/>
  <c r="P780" i="3" s="1"/>
  <c r="J781" i="3"/>
  <c r="K781" i="3"/>
  <c r="O781" i="3" s="1"/>
  <c r="L781" i="3"/>
  <c r="M781" i="3"/>
  <c r="P781" i="3"/>
  <c r="J782" i="3"/>
  <c r="K782" i="3"/>
  <c r="L782" i="3"/>
  <c r="M782" i="3"/>
  <c r="O782" i="3" s="1"/>
  <c r="P782" i="3" s="1"/>
  <c r="J783" i="3"/>
  <c r="K783" i="3"/>
  <c r="O783" i="3" s="1"/>
  <c r="P783" i="3" s="1"/>
  <c r="L783" i="3"/>
  <c r="M783" i="3"/>
  <c r="J784" i="3"/>
  <c r="K784" i="3"/>
  <c r="L784" i="3"/>
  <c r="M784" i="3"/>
  <c r="O784" i="3"/>
  <c r="P784" i="3" s="1"/>
  <c r="J785" i="3"/>
  <c r="K785" i="3"/>
  <c r="O785" i="3" s="1"/>
  <c r="L785" i="3"/>
  <c r="M785" i="3"/>
  <c r="P785" i="3"/>
  <c r="J786" i="3"/>
  <c r="K786" i="3"/>
  <c r="L786" i="3"/>
  <c r="M786" i="3"/>
  <c r="O786" i="3" s="1"/>
  <c r="P786" i="3" s="1"/>
  <c r="J787" i="3"/>
  <c r="K787" i="3"/>
  <c r="O787" i="3" s="1"/>
  <c r="P787" i="3" s="1"/>
  <c r="L787" i="3"/>
  <c r="M787" i="3"/>
  <c r="J788" i="3"/>
  <c r="K788" i="3"/>
  <c r="L788" i="3"/>
  <c r="M788" i="3"/>
  <c r="O788" i="3"/>
  <c r="P788" i="3" s="1"/>
  <c r="J789" i="3"/>
  <c r="K789" i="3"/>
  <c r="O789" i="3" s="1"/>
  <c r="L789" i="3"/>
  <c r="M789" i="3"/>
  <c r="P789" i="3"/>
  <c r="J790" i="3"/>
  <c r="K790" i="3"/>
  <c r="L790" i="3"/>
  <c r="M790" i="3"/>
  <c r="O790" i="3" s="1"/>
  <c r="P790" i="3" s="1"/>
  <c r="J791" i="3"/>
  <c r="K791" i="3"/>
  <c r="O791" i="3" s="1"/>
  <c r="P791" i="3" s="1"/>
  <c r="L791" i="3"/>
  <c r="M791" i="3"/>
  <c r="J792" i="3"/>
  <c r="K792" i="3"/>
  <c r="L792" i="3"/>
  <c r="M792" i="3"/>
  <c r="O792" i="3"/>
  <c r="P792" i="3" s="1"/>
  <c r="J793" i="3"/>
  <c r="K793" i="3"/>
  <c r="O793" i="3" s="1"/>
  <c r="L793" i="3"/>
  <c r="M793" i="3"/>
  <c r="P793" i="3"/>
  <c r="J794" i="3"/>
  <c r="K794" i="3"/>
  <c r="L794" i="3"/>
  <c r="M794" i="3"/>
  <c r="O794" i="3" s="1"/>
  <c r="P794" i="3" s="1"/>
  <c r="J795" i="3"/>
  <c r="K795" i="3"/>
  <c r="O795" i="3" s="1"/>
  <c r="P795" i="3" s="1"/>
  <c r="L795" i="3"/>
  <c r="M795" i="3"/>
  <c r="J796" i="3"/>
  <c r="K796" i="3"/>
  <c r="L796" i="3"/>
  <c r="M796" i="3"/>
  <c r="O796" i="3"/>
  <c r="P796" i="3" s="1"/>
  <c r="J797" i="3"/>
  <c r="K797" i="3"/>
  <c r="O797" i="3" s="1"/>
  <c r="L797" i="3"/>
  <c r="M797" i="3"/>
  <c r="P797" i="3"/>
  <c r="J798" i="3"/>
  <c r="K798" i="3"/>
  <c r="L798" i="3"/>
  <c r="M798" i="3"/>
  <c r="O798" i="3" s="1"/>
  <c r="P798" i="3" s="1"/>
  <c r="J799" i="3"/>
  <c r="K799" i="3"/>
  <c r="O799" i="3" s="1"/>
  <c r="P799" i="3" s="1"/>
  <c r="L799" i="3"/>
  <c r="M799" i="3"/>
  <c r="J800" i="3"/>
  <c r="K800" i="3"/>
  <c r="L800" i="3"/>
  <c r="M800" i="3"/>
  <c r="O800" i="3"/>
  <c r="P800" i="3" s="1"/>
  <c r="J801" i="3"/>
  <c r="K801" i="3"/>
  <c r="O801" i="3" s="1"/>
  <c r="L801" i="3"/>
  <c r="M801" i="3"/>
  <c r="P801" i="3"/>
  <c r="J802" i="3"/>
  <c r="K802" i="3"/>
  <c r="L802" i="3"/>
  <c r="M802" i="3"/>
  <c r="O802" i="3" s="1"/>
  <c r="P802" i="3" s="1"/>
  <c r="J803" i="3"/>
  <c r="K803" i="3"/>
  <c r="O803" i="3" s="1"/>
  <c r="P803" i="3" s="1"/>
  <c r="L803" i="3"/>
  <c r="M803" i="3"/>
  <c r="J804" i="3"/>
  <c r="K804" i="3"/>
  <c r="L804" i="3"/>
  <c r="M804" i="3"/>
  <c r="O804" i="3"/>
  <c r="P804" i="3" s="1"/>
  <c r="J805" i="3"/>
  <c r="K805" i="3"/>
  <c r="O805" i="3" s="1"/>
  <c r="L805" i="3"/>
  <c r="M805" i="3"/>
  <c r="P805" i="3"/>
  <c r="J806" i="3"/>
  <c r="K806" i="3"/>
  <c r="L806" i="3"/>
  <c r="M806" i="3"/>
  <c r="O806" i="3" s="1"/>
  <c r="P806" i="3" s="1"/>
  <c r="J807" i="3"/>
  <c r="K807" i="3"/>
  <c r="O807" i="3" s="1"/>
  <c r="P807" i="3" s="1"/>
  <c r="L807" i="3"/>
  <c r="M807" i="3"/>
  <c r="J808" i="3"/>
  <c r="K808" i="3"/>
  <c r="L808" i="3"/>
  <c r="M808" i="3"/>
  <c r="O808" i="3"/>
  <c r="P808" i="3" s="1"/>
  <c r="J809" i="3"/>
  <c r="K809" i="3"/>
  <c r="O809" i="3" s="1"/>
  <c r="L809" i="3"/>
  <c r="M809" i="3"/>
  <c r="P809" i="3"/>
  <c r="J810" i="3"/>
  <c r="K810" i="3"/>
  <c r="L810" i="3"/>
  <c r="M810" i="3"/>
  <c r="O810" i="3" s="1"/>
  <c r="P810" i="3" s="1"/>
  <c r="J811" i="3"/>
  <c r="K811" i="3"/>
  <c r="O811" i="3" s="1"/>
  <c r="P811" i="3" s="1"/>
  <c r="L811" i="3"/>
  <c r="M811" i="3"/>
  <c r="J812" i="3"/>
  <c r="K812" i="3"/>
  <c r="L812" i="3"/>
  <c r="M812" i="3"/>
  <c r="O812" i="3"/>
  <c r="P812" i="3" s="1"/>
  <c r="J813" i="3"/>
  <c r="K813" i="3"/>
  <c r="O813" i="3" s="1"/>
  <c r="L813" i="3"/>
  <c r="M813" i="3"/>
  <c r="P813" i="3"/>
  <c r="J814" i="3"/>
  <c r="K814" i="3"/>
  <c r="L814" i="3"/>
  <c r="M814" i="3"/>
  <c r="O814" i="3" s="1"/>
  <c r="P814" i="3" s="1"/>
  <c r="J815" i="3"/>
  <c r="K815" i="3"/>
  <c r="O815" i="3" s="1"/>
  <c r="P815" i="3" s="1"/>
  <c r="L815" i="3"/>
  <c r="M815" i="3"/>
  <c r="J816" i="3"/>
  <c r="K816" i="3"/>
  <c r="L816" i="3"/>
  <c r="M816" i="3"/>
  <c r="O816" i="3"/>
  <c r="P816" i="3" s="1"/>
  <c r="J817" i="3"/>
  <c r="K817" i="3"/>
  <c r="O817" i="3" s="1"/>
  <c r="L817" i="3"/>
  <c r="M817" i="3"/>
  <c r="P817" i="3"/>
  <c r="J818" i="3"/>
  <c r="K818" i="3"/>
  <c r="L818" i="3"/>
  <c r="M818" i="3"/>
  <c r="O818" i="3" s="1"/>
  <c r="P818" i="3" s="1"/>
  <c r="J819" i="3"/>
  <c r="K819" i="3"/>
  <c r="O819" i="3" s="1"/>
  <c r="P819" i="3" s="1"/>
  <c r="L819" i="3"/>
  <c r="M819" i="3"/>
  <c r="J820" i="3"/>
  <c r="K820" i="3"/>
  <c r="L820" i="3"/>
  <c r="M820" i="3"/>
  <c r="O820" i="3"/>
  <c r="P820" i="3" s="1"/>
  <c r="J821" i="3"/>
  <c r="K821" i="3"/>
  <c r="O821" i="3" s="1"/>
  <c r="L821" i="3"/>
  <c r="M821" i="3"/>
  <c r="P821" i="3"/>
  <c r="J822" i="3"/>
  <c r="K822" i="3"/>
  <c r="L822" i="3"/>
  <c r="M822" i="3"/>
  <c r="O822" i="3" s="1"/>
  <c r="P822" i="3" s="1"/>
  <c r="J823" i="3"/>
  <c r="K823" i="3"/>
  <c r="O823" i="3" s="1"/>
  <c r="P823" i="3" s="1"/>
  <c r="L823" i="3"/>
  <c r="M823" i="3"/>
  <c r="J824" i="3"/>
  <c r="K824" i="3"/>
  <c r="L824" i="3"/>
  <c r="M824" i="3"/>
  <c r="O824" i="3"/>
  <c r="P824" i="3" s="1"/>
  <c r="J825" i="3"/>
  <c r="K825" i="3"/>
  <c r="O825" i="3" s="1"/>
  <c r="L825" i="3"/>
  <c r="M825" i="3"/>
  <c r="P825" i="3"/>
  <c r="J826" i="3"/>
  <c r="K826" i="3"/>
  <c r="L826" i="3"/>
  <c r="M826" i="3"/>
  <c r="O826" i="3" s="1"/>
  <c r="P826" i="3" s="1"/>
  <c r="J827" i="3"/>
  <c r="K827" i="3"/>
  <c r="O827" i="3" s="1"/>
  <c r="P827" i="3" s="1"/>
  <c r="L827" i="3"/>
  <c r="M827" i="3"/>
  <c r="J828" i="3"/>
  <c r="K828" i="3"/>
  <c r="L828" i="3"/>
  <c r="M828" i="3"/>
  <c r="O828" i="3"/>
  <c r="P828" i="3" s="1"/>
  <c r="J829" i="3"/>
  <c r="K829" i="3"/>
  <c r="O829" i="3" s="1"/>
  <c r="L829" i="3"/>
  <c r="M829" i="3"/>
  <c r="P829" i="3"/>
  <c r="J830" i="3"/>
  <c r="K830" i="3"/>
  <c r="L830" i="3"/>
  <c r="M830" i="3"/>
  <c r="O830" i="3" s="1"/>
  <c r="P830" i="3" s="1"/>
  <c r="J831" i="3"/>
  <c r="K831" i="3"/>
  <c r="O831" i="3" s="1"/>
  <c r="P831" i="3" s="1"/>
  <c r="L831" i="3"/>
  <c r="M831" i="3"/>
  <c r="J832" i="3"/>
  <c r="K832" i="3"/>
  <c r="L832" i="3"/>
  <c r="M832" i="3"/>
  <c r="O832" i="3"/>
  <c r="P832" i="3" s="1"/>
  <c r="J833" i="3"/>
  <c r="K833" i="3"/>
  <c r="O833" i="3" s="1"/>
  <c r="L833" i="3"/>
  <c r="M833" i="3"/>
  <c r="P833" i="3"/>
  <c r="J834" i="3"/>
  <c r="K834" i="3"/>
  <c r="L834" i="3"/>
  <c r="M834" i="3"/>
  <c r="O834" i="3" s="1"/>
  <c r="P834" i="3" s="1"/>
  <c r="J835" i="3"/>
  <c r="K835" i="3"/>
  <c r="O835" i="3" s="1"/>
  <c r="P835" i="3" s="1"/>
  <c r="L835" i="3"/>
  <c r="M835" i="3"/>
  <c r="J836" i="3"/>
  <c r="K836" i="3"/>
  <c r="L836" i="3"/>
  <c r="M836" i="3"/>
  <c r="O836" i="3"/>
  <c r="P836" i="3" s="1"/>
  <c r="J837" i="3"/>
  <c r="K837" i="3"/>
  <c r="O837" i="3" s="1"/>
  <c r="L837" i="3"/>
  <c r="M837" i="3"/>
  <c r="P837" i="3"/>
  <c r="J838" i="3"/>
  <c r="K838" i="3"/>
  <c r="L838" i="3"/>
  <c r="M838" i="3"/>
  <c r="O838" i="3" s="1"/>
  <c r="P838" i="3" s="1"/>
  <c r="J839" i="3"/>
  <c r="K839" i="3"/>
  <c r="O839" i="3" s="1"/>
  <c r="P839" i="3" s="1"/>
  <c r="L839" i="3"/>
  <c r="M839" i="3"/>
  <c r="J840" i="3"/>
  <c r="K840" i="3"/>
  <c r="L840" i="3"/>
  <c r="M840" i="3"/>
  <c r="O840" i="3"/>
  <c r="P840" i="3" s="1"/>
  <c r="J841" i="3"/>
  <c r="K841" i="3"/>
  <c r="O841" i="3" s="1"/>
  <c r="L841" i="3"/>
  <c r="M841" i="3"/>
  <c r="P841" i="3"/>
  <c r="J842" i="3"/>
  <c r="K842" i="3"/>
  <c r="L842" i="3"/>
  <c r="M842" i="3"/>
  <c r="O842" i="3" s="1"/>
  <c r="P842" i="3" s="1"/>
  <c r="J843" i="3"/>
  <c r="K843" i="3"/>
  <c r="O843" i="3" s="1"/>
  <c r="P843" i="3" s="1"/>
  <c r="L843" i="3"/>
  <c r="M843" i="3"/>
  <c r="J844" i="3"/>
  <c r="K844" i="3"/>
  <c r="L844" i="3"/>
  <c r="M844" i="3"/>
  <c r="O844" i="3"/>
  <c r="P844" i="3" s="1"/>
  <c r="J845" i="3"/>
  <c r="K845" i="3"/>
  <c r="O845" i="3" s="1"/>
  <c r="L845" i="3"/>
  <c r="M845" i="3"/>
  <c r="P845" i="3"/>
  <c r="J846" i="3"/>
  <c r="K846" i="3"/>
  <c r="L846" i="3"/>
  <c r="M846" i="3"/>
  <c r="O846" i="3" s="1"/>
  <c r="P846" i="3" s="1"/>
  <c r="J847" i="3"/>
  <c r="K847" i="3"/>
  <c r="O847" i="3" s="1"/>
  <c r="P847" i="3" s="1"/>
  <c r="L847" i="3"/>
  <c r="M847" i="3"/>
  <c r="J848" i="3"/>
  <c r="K848" i="3"/>
  <c r="L848" i="3"/>
  <c r="M848" i="3"/>
  <c r="O848" i="3"/>
  <c r="P848" i="3" s="1"/>
  <c r="J849" i="3"/>
  <c r="K849" i="3"/>
  <c r="O849" i="3" s="1"/>
  <c r="L849" i="3"/>
  <c r="M849" i="3"/>
  <c r="P849" i="3"/>
  <c r="J850" i="3"/>
  <c r="K850" i="3"/>
  <c r="L850" i="3"/>
  <c r="M850" i="3"/>
  <c r="O850" i="3" s="1"/>
  <c r="P850" i="3" s="1"/>
  <c r="J851" i="3"/>
  <c r="K851" i="3"/>
  <c r="O851" i="3" s="1"/>
  <c r="P851" i="3" s="1"/>
  <c r="L851" i="3"/>
  <c r="M851" i="3"/>
  <c r="J852" i="3"/>
  <c r="K852" i="3"/>
  <c r="L852" i="3"/>
  <c r="M852" i="3"/>
  <c r="O852" i="3"/>
  <c r="P852" i="3" s="1"/>
  <c r="J853" i="3"/>
  <c r="K853" i="3"/>
  <c r="O853" i="3" s="1"/>
  <c r="L853" i="3"/>
  <c r="M853" i="3"/>
  <c r="P853" i="3"/>
  <c r="J854" i="3"/>
  <c r="K854" i="3"/>
  <c r="L854" i="3"/>
  <c r="M854" i="3"/>
  <c r="O854" i="3" s="1"/>
  <c r="P854" i="3" s="1"/>
  <c r="J855" i="3"/>
  <c r="K855" i="3"/>
  <c r="O855" i="3" s="1"/>
  <c r="P855" i="3" s="1"/>
  <c r="L855" i="3"/>
  <c r="M855" i="3"/>
  <c r="J856" i="3"/>
  <c r="K856" i="3"/>
  <c r="L856" i="3"/>
  <c r="M856" i="3"/>
  <c r="O856" i="3"/>
  <c r="P856" i="3" s="1"/>
  <c r="J857" i="3"/>
  <c r="K857" i="3"/>
  <c r="O857" i="3" s="1"/>
  <c r="L857" i="3"/>
  <c r="M857" i="3"/>
  <c r="P857" i="3"/>
  <c r="J858" i="3"/>
  <c r="K858" i="3"/>
  <c r="L858" i="3"/>
  <c r="M858" i="3"/>
  <c r="O858" i="3" s="1"/>
  <c r="P858" i="3" s="1"/>
  <c r="J859" i="3"/>
  <c r="K859" i="3"/>
  <c r="O859" i="3" s="1"/>
  <c r="P859" i="3" s="1"/>
  <c r="L859" i="3"/>
  <c r="M859" i="3"/>
  <c r="J860" i="3"/>
  <c r="K860" i="3"/>
  <c r="L860" i="3"/>
  <c r="M860" i="3"/>
  <c r="O860" i="3"/>
  <c r="P860" i="3" s="1"/>
  <c r="J861" i="3"/>
  <c r="K861" i="3"/>
  <c r="O861" i="3" s="1"/>
  <c r="L861" i="3"/>
  <c r="M861" i="3"/>
  <c r="P861" i="3"/>
  <c r="J862" i="3"/>
  <c r="K862" i="3"/>
  <c r="L862" i="3"/>
  <c r="M862" i="3"/>
  <c r="O862" i="3" s="1"/>
  <c r="P862" i="3" s="1"/>
  <c r="J863" i="3"/>
  <c r="K863" i="3"/>
  <c r="O863" i="3" s="1"/>
  <c r="P863" i="3" s="1"/>
  <c r="L863" i="3"/>
  <c r="M863" i="3"/>
  <c r="J864" i="3"/>
  <c r="K864" i="3"/>
  <c r="L864" i="3"/>
  <c r="M864" i="3"/>
  <c r="O864" i="3"/>
  <c r="P864" i="3" s="1"/>
  <c r="J865" i="3"/>
  <c r="K865" i="3"/>
  <c r="O865" i="3" s="1"/>
  <c r="L865" i="3"/>
  <c r="M865" i="3"/>
  <c r="P865" i="3"/>
  <c r="J866" i="3"/>
  <c r="K866" i="3"/>
  <c r="L866" i="3"/>
  <c r="M866" i="3"/>
  <c r="O866" i="3" s="1"/>
  <c r="P866" i="3" s="1"/>
  <c r="J867" i="3"/>
  <c r="K867" i="3"/>
  <c r="O867" i="3" s="1"/>
  <c r="P867" i="3" s="1"/>
  <c r="L867" i="3"/>
  <c r="M867" i="3"/>
  <c r="J868" i="3"/>
  <c r="K868" i="3"/>
  <c r="L868" i="3"/>
  <c r="M868" i="3"/>
  <c r="O868" i="3"/>
  <c r="P868" i="3" s="1"/>
  <c r="J869" i="3"/>
  <c r="K869" i="3"/>
  <c r="O869" i="3" s="1"/>
  <c r="L869" i="3"/>
  <c r="M869" i="3"/>
  <c r="P869" i="3"/>
  <c r="J870" i="3"/>
  <c r="K870" i="3"/>
  <c r="L870" i="3"/>
  <c r="M870" i="3"/>
  <c r="O870" i="3" s="1"/>
  <c r="P870" i="3" s="1"/>
  <c r="J871" i="3"/>
  <c r="K871" i="3"/>
  <c r="O871" i="3" s="1"/>
  <c r="P871" i="3" s="1"/>
  <c r="L871" i="3"/>
  <c r="M871" i="3"/>
  <c r="J872" i="3"/>
  <c r="K872" i="3"/>
  <c r="L872" i="3"/>
  <c r="M872" i="3"/>
  <c r="O872" i="3"/>
  <c r="P872" i="3" s="1"/>
  <c r="J873" i="3"/>
  <c r="K873" i="3"/>
  <c r="O873" i="3" s="1"/>
  <c r="L873" i="3"/>
  <c r="M873" i="3"/>
  <c r="P873" i="3"/>
  <c r="J874" i="3"/>
  <c r="K874" i="3"/>
  <c r="L874" i="3"/>
  <c r="M874" i="3"/>
  <c r="O874" i="3" s="1"/>
  <c r="P874" i="3" s="1"/>
  <c r="J875" i="3"/>
  <c r="K875" i="3"/>
  <c r="O875" i="3" s="1"/>
  <c r="P875" i="3" s="1"/>
  <c r="L875" i="3"/>
  <c r="M875" i="3"/>
  <c r="J876" i="3"/>
  <c r="K876" i="3"/>
  <c r="L876" i="3"/>
  <c r="M876" i="3"/>
  <c r="O876" i="3"/>
  <c r="P876" i="3" s="1"/>
  <c r="J877" i="3"/>
  <c r="K877" i="3"/>
  <c r="O877" i="3" s="1"/>
  <c r="L877" i="3"/>
  <c r="M877" i="3"/>
  <c r="P877" i="3"/>
  <c r="J878" i="3"/>
  <c r="K878" i="3"/>
  <c r="L878" i="3"/>
  <c r="M878" i="3"/>
  <c r="O878" i="3" s="1"/>
  <c r="P878" i="3" s="1"/>
  <c r="J879" i="3"/>
  <c r="K879" i="3"/>
  <c r="O879" i="3" s="1"/>
  <c r="P879" i="3" s="1"/>
  <c r="L879" i="3"/>
  <c r="M879" i="3"/>
  <c r="J880" i="3"/>
  <c r="K880" i="3"/>
  <c r="L880" i="3"/>
  <c r="M880" i="3"/>
  <c r="O880" i="3"/>
  <c r="P880" i="3" s="1"/>
  <c r="J881" i="3"/>
  <c r="K881" i="3"/>
  <c r="O881" i="3" s="1"/>
  <c r="L881" i="3"/>
  <c r="M881" i="3"/>
  <c r="P881" i="3"/>
  <c r="J882" i="3"/>
  <c r="K882" i="3"/>
  <c r="L882" i="3"/>
  <c r="M882" i="3"/>
  <c r="O882" i="3" s="1"/>
  <c r="P882" i="3" s="1"/>
  <c r="J883" i="3"/>
  <c r="K883" i="3"/>
  <c r="O883" i="3" s="1"/>
  <c r="P883" i="3" s="1"/>
  <c r="L883" i="3"/>
  <c r="M883" i="3"/>
  <c r="J884" i="3"/>
  <c r="K884" i="3"/>
  <c r="L884" i="3"/>
  <c r="M884" i="3"/>
  <c r="O884" i="3"/>
  <c r="P884" i="3" s="1"/>
  <c r="J885" i="3"/>
  <c r="K885" i="3"/>
  <c r="O885" i="3" s="1"/>
  <c r="L885" i="3"/>
  <c r="M885" i="3"/>
  <c r="P885" i="3"/>
  <c r="J886" i="3"/>
  <c r="K886" i="3"/>
  <c r="L886" i="3"/>
  <c r="M886" i="3"/>
  <c r="O886" i="3" s="1"/>
  <c r="P886" i="3" s="1"/>
  <c r="J887" i="3"/>
  <c r="K887" i="3"/>
  <c r="O887" i="3" s="1"/>
  <c r="P887" i="3" s="1"/>
  <c r="L887" i="3"/>
  <c r="M887" i="3"/>
  <c r="J888" i="3"/>
  <c r="K888" i="3"/>
  <c r="L888" i="3"/>
  <c r="M888" i="3"/>
  <c r="O888" i="3"/>
  <c r="P888" i="3" s="1"/>
  <c r="J889" i="3"/>
  <c r="K889" i="3"/>
  <c r="O889" i="3" s="1"/>
  <c r="L889" i="3"/>
  <c r="M889" i="3"/>
  <c r="P889" i="3"/>
  <c r="J890" i="3"/>
  <c r="K890" i="3"/>
  <c r="L890" i="3"/>
  <c r="M890" i="3"/>
  <c r="O890" i="3" s="1"/>
  <c r="P890" i="3" s="1"/>
  <c r="J891" i="3"/>
  <c r="K891" i="3"/>
  <c r="O891" i="3" s="1"/>
  <c r="P891" i="3" s="1"/>
  <c r="L891" i="3"/>
  <c r="M891" i="3"/>
  <c r="J892" i="3"/>
  <c r="K892" i="3"/>
  <c r="L892" i="3"/>
  <c r="M892" i="3"/>
  <c r="O892" i="3"/>
  <c r="P892" i="3" s="1"/>
  <c r="J893" i="3"/>
  <c r="K893" i="3"/>
  <c r="O893" i="3" s="1"/>
  <c r="L893" i="3"/>
  <c r="M893" i="3"/>
  <c r="P893" i="3"/>
  <c r="J894" i="3"/>
  <c r="K894" i="3"/>
  <c r="L894" i="3"/>
  <c r="M894" i="3"/>
  <c r="O894" i="3" s="1"/>
  <c r="P894" i="3" s="1"/>
  <c r="J895" i="3"/>
  <c r="K895" i="3"/>
  <c r="O895" i="3" s="1"/>
  <c r="P895" i="3" s="1"/>
  <c r="L895" i="3"/>
  <c r="M895" i="3"/>
  <c r="J896" i="3"/>
  <c r="K896" i="3"/>
  <c r="L896" i="3"/>
  <c r="M896" i="3"/>
  <c r="O896" i="3"/>
  <c r="P896" i="3" s="1"/>
  <c r="J897" i="3"/>
  <c r="K897" i="3"/>
  <c r="O897" i="3" s="1"/>
  <c r="L897" i="3"/>
  <c r="M897" i="3"/>
  <c r="P897" i="3"/>
  <c r="J898" i="3"/>
  <c r="K898" i="3"/>
  <c r="L898" i="3"/>
  <c r="M898" i="3"/>
  <c r="O898" i="3" s="1"/>
  <c r="P898" i="3" s="1"/>
  <c r="J899" i="3"/>
  <c r="K899" i="3"/>
  <c r="O899" i="3" s="1"/>
  <c r="P899" i="3" s="1"/>
  <c r="L899" i="3"/>
  <c r="M899" i="3"/>
  <c r="J900" i="3"/>
  <c r="K900" i="3"/>
  <c r="L900" i="3"/>
  <c r="M900" i="3"/>
  <c r="O900" i="3"/>
  <c r="P900" i="3" s="1"/>
  <c r="J901" i="3"/>
  <c r="K901" i="3"/>
  <c r="O901" i="3" s="1"/>
  <c r="L901" i="3"/>
  <c r="M901" i="3"/>
  <c r="P901" i="3"/>
  <c r="J902" i="3"/>
  <c r="K902" i="3"/>
  <c r="L902" i="3"/>
  <c r="M902" i="3"/>
  <c r="O902" i="3" s="1"/>
  <c r="P902" i="3" s="1"/>
  <c r="J903" i="3"/>
  <c r="K903" i="3"/>
  <c r="O903" i="3" s="1"/>
  <c r="P903" i="3" s="1"/>
  <c r="L903" i="3"/>
  <c r="M903" i="3"/>
  <c r="J904" i="3"/>
  <c r="K904" i="3"/>
  <c r="L904" i="3"/>
  <c r="M904" i="3"/>
  <c r="O904" i="3"/>
  <c r="P904" i="3" s="1"/>
  <c r="J905" i="3"/>
  <c r="K905" i="3"/>
  <c r="O905" i="3" s="1"/>
  <c r="L905" i="3"/>
  <c r="M905" i="3"/>
  <c r="P905" i="3"/>
  <c r="J906" i="3"/>
  <c r="K906" i="3"/>
  <c r="L906" i="3"/>
  <c r="M906" i="3"/>
  <c r="O906" i="3" s="1"/>
  <c r="P906" i="3" s="1"/>
  <c r="J907" i="3"/>
  <c r="K907" i="3"/>
  <c r="O907" i="3" s="1"/>
  <c r="P907" i="3" s="1"/>
  <c r="L907" i="3"/>
  <c r="M907" i="3"/>
  <c r="J908" i="3"/>
  <c r="K908" i="3"/>
  <c r="L908" i="3"/>
  <c r="M908" i="3"/>
  <c r="O908" i="3"/>
  <c r="P908" i="3" s="1"/>
  <c r="J909" i="3"/>
  <c r="K909" i="3"/>
  <c r="O909" i="3" s="1"/>
  <c r="L909" i="3"/>
  <c r="M909" i="3"/>
  <c r="P909" i="3"/>
  <c r="J910" i="3"/>
  <c r="K910" i="3"/>
  <c r="L910" i="3"/>
  <c r="M910" i="3"/>
  <c r="O910" i="3" s="1"/>
  <c r="P910" i="3" s="1"/>
  <c r="J911" i="3"/>
  <c r="K911" i="3"/>
  <c r="O911" i="3" s="1"/>
  <c r="P911" i="3" s="1"/>
  <c r="L911" i="3"/>
  <c r="M911" i="3"/>
  <c r="J912" i="3"/>
  <c r="K912" i="3"/>
  <c r="L912" i="3"/>
  <c r="M912" i="3"/>
  <c r="O912" i="3"/>
  <c r="P912" i="3" s="1"/>
  <c r="J913" i="3"/>
  <c r="K913" i="3"/>
  <c r="O913" i="3" s="1"/>
  <c r="L913" i="3"/>
  <c r="M913" i="3"/>
  <c r="P913" i="3"/>
  <c r="J914" i="3"/>
  <c r="K914" i="3"/>
  <c r="L914" i="3"/>
  <c r="M914" i="3"/>
  <c r="O914" i="3" s="1"/>
  <c r="P914" i="3" s="1"/>
  <c r="J915" i="3"/>
  <c r="K915" i="3"/>
  <c r="O915" i="3" s="1"/>
  <c r="P915" i="3" s="1"/>
  <c r="L915" i="3"/>
  <c r="M915" i="3"/>
  <c r="J916" i="3"/>
  <c r="K916" i="3"/>
  <c r="L916" i="3"/>
  <c r="M916" i="3"/>
  <c r="O916" i="3"/>
  <c r="P916" i="3" s="1"/>
  <c r="J917" i="3"/>
  <c r="K917" i="3"/>
  <c r="O917" i="3" s="1"/>
  <c r="L917" i="3"/>
  <c r="M917" i="3"/>
  <c r="P917" i="3"/>
  <c r="J918" i="3"/>
  <c r="K918" i="3"/>
  <c r="L918" i="3"/>
  <c r="M918" i="3"/>
  <c r="O918" i="3" s="1"/>
  <c r="P918" i="3" s="1"/>
  <c r="J919" i="3"/>
  <c r="K919" i="3"/>
  <c r="O919" i="3" s="1"/>
  <c r="P919" i="3" s="1"/>
  <c r="L919" i="3"/>
  <c r="M919" i="3"/>
  <c r="J920" i="3"/>
  <c r="K920" i="3"/>
  <c r="L920" i="3"/>
  <c r="M920" i="3"/>
  <c r="O920" i="3"/>
  <c r="P920" i="3" s="1"/>
  <c r="J921" i="3"/>
  <c r="K921" i="3"/>
  <c r="O921" i="3" s="1"/>
  <c r="L921" i="3"/>
  <c r="M921" i="3"/>
  <c r="P921" i="3"/>
  <c r="J922" i="3"/>
  <c r="K922" i="3"/>
  <c r="L922" i="3"/>
  <c r="M922" i="3"/>
  <c r="O922" i="3" s="1"/>
  <c r="P922" i="3" s="1"/>
  <c r="J923" i="3"/>
  <c r="K923" i="3"/>
  <c r="O923" i="3" s="1"/>
  <c r="P923" i="3" s="1"/>
  <c r="L923" i="3"/>
  <c r="M923" i="3"/>
  <c r="J924" i="3"/>
  <c r="K924" i="3"/>
  <c r="L924" i="3"/>
  <c r="M924" i="3"/>
  <c r="O924" i="3"/>
  <c r="P924" i="3" s="1"/>
  <c r="J925" i="3"/>
  <c r="K925" i="3"/>
  <c r="O925" i="3" s="1"/>
  <c r="L925" i="3"/>
  <c r="M925" i="3"/>
  <c r="P925" i="3"/>
  <c r="J926" i="3"/>
  <c r="K926" i="3"/>
  <c r="L926" i="3"/>
  <c r="M926" i="3"/>
  <c r="O926" i="3" s="1"/>
  <c r="P926" i="3" s="1"/>
  <c r="J927" i="3"/>
  <c r="K927" i="3"/>
  <c r="O927" i="3" s="1"/>
  <c r="P927" i="3" s="1"/>
  <c r="L927" i="3"/>
  <c r="M927" i="3"/>
  <c r="J928" i="3"/>
  <c r="K928" i="3"/>
  <c r="L928" i="3"/>
  <c r="M928" i="3"/>
  <c r="O928" i="3"/>
  <c r="P928" i="3" s="1"/>
  <c r="J929" i="3"/>
  <c r="K929" i="3"/>
  <c r="O929" i="3" s="1"/>
  <c r="L929" i="3"/>
  <c r="M929" i="3"/>
  <c r="P929" i="3"/>
  <c r="J930" i="3"/>
  <c r="K930" i="3"/>
  <c r="L930" i="3"/>
  <c r="M930" i="3"/>
  <c r="O930" i="3" s="1"/>
  <c r="P930" i="3" s="1"/>
  <c r="J931" i="3"/>
  <c r="K931" i="3"/>
  <c r="O931" i="3" s="1"/>
  <c r="P931" i="3" s="1"/>
  <c r="L931" i="3"/>
  <c r="M931" i="3"/>
  <c r="J932" i="3"/>
  <c r="K932" i="3"/>
  <c r="L932" i="3"/>
  <c r="M932" i="3"/>
  <c r="O932" i="3"/>
  <c r="P932" i="3" s="1"/>
  <c r="J933" i="3"/>
  <c r="K933" i="3"/>
  <c r="O933" i="3" s="1"/>
  <c r="L933" i="3"/>
  <c r="M933" i="3"/>
  <c r="P933" i="3"/>
  <c r="J934" i="3"/>
  <c r="K934" i="3"/>
  <c r="L934" i="3"/>
  <c r="M934" i="3"/>
  <c r="O934" i="3" s="1"/>
  <c r="P934" i="3" s="1"/>
  <c r="J935" i="3"/>
  <c r="K935" i="3"/>
  <c r="O935" i="3" s="1"/>
  <c r="P935" i="3" s="1"/>
  <c r="L935" i="3"/>
  <c r="M935" i="3"/>
  <c r="J936" i="3"/>
  <c r="K936" i="3"/>
  <c r="L936" i="3"/>
  <c r="M936" i="3"/>
  <c r="O936" i="3"/>
  <c r="P936" i="3" s="1"/>
  <c r="J937" i="3"/>
  <c r="K937" i="3"/>
  <c r="O937" i="3" s="1"/>
  <c r="L937" i="3"/>
  <c r="M937" i="3"/>
  <c r="P937" i="3"/>
  <c r="J938" i="3"/>
  <c r="K938" i="3"/>
  <c r="L938" i="3"/>
  <c r="M938" i="3"/>
  <c r="O938" i="3" s="1"/>
  <c r="P938" i="3" s="1"/>
  <c r="J939" i="3"/>
  <c r="K939" i="3"/>
  <c r="O939" i="3" s="1"/>
  <c r="P939" i="3" s="1"/>
  <c r="L939" i="3"/>
  <c r="M939" i="3"/>
  <c r="J940" i="3"/>
  <c r="K940" i="3"/>
  <c r="L940" i="3"/>
  <c r="M940" i="3"/>
  <c r="O940" i="3"/>
  <c r="P940" i="3" s="1"/>
  <c r="J941" i="3"/>
  <c r="K941" i="3"/>
  <c r="O941" i="3" s="1"/>
  <c r="L941" i="3"/>
  <c r="M941" i="3"/>
  <c r="P941" i="3"/>
  <c r="J942" i="3"/>
  <c r="K942" i="3"/>
  <c r="L942" i="3"/>
  <c r="M942" i="3"/>
  <c r="O942" i="3" s="1"/>
  <c r="P942" i="3" s="1"/>
  <c r="J943" i="3"/>
  <c r="K943" i="3"/>
  <c r="O943" i="3" s="1"/>
  <c r="P943" i="3" s="1"/>
  <c r="L943" i="3"/>
  <c r="M943" i="3"/>
  <c r="J944" i="3"/>
  <c r="K944" i="3"/>
  <c r="L944" i="3"/>
  <c r="M944" i="3"/>
  <c r="O944" i="3"/>
  <c r="P944" i="3" s="1"/>
  <c r="J945" i="3"/>
  <c r="K945" i="3"/>
  <c r="O945" i="3" s="1"/>
  <c r="L945" i="3"/>
  <c r="M945" i="3"/>
  <c r="P945" i="3"/>
  <c r="J946" i="3"/>
  <c r="K946" i="3"/>
  <c r="L946" i="3"/>
  <c r="M946" i="3"/>
  <c r="O946" i="3" s="1"/>
  <c r="P946" i="3" s="1"/>
  <c r="J947" i="3"/>
  <c r="K947" i="3"/>
  <c r="O947" i="3" s="1"/>
  <c r="P947" i="3" s="1"/>
  <c r="L947" i="3"/>
  <c r="M947" i="3"/>
  <c r="J948" i="3"/>
  <c r="K948" i="3"/>
  <c r="L948" i="3"/>
  <c r="M948" i="3"/>
  <c r="O948" i="3"/>
  <c r="P948" i="3" s="1"/>
  <c r="J949" i="3"/>
  <c r="K949" i="3"/>
  <c r="O949" i="3" s="1"/>
  <c r="L949" i="3"/>
  <c r="M949" i="3"/>
  <c r="P949" i="3"/>
  <c r="J950" i="3"/>
  <c r="K950" i="3"/>
  <c r="L950" i="3"/>
  <c r="M950" i="3"/>
  <c r="O950" i="3" s="1"/>
  <c r="P950" i="3" s="1"/>
  <c r="J951" i="3"/>
  <c r="K951" i="3"/>
  <c r="O951" i="3" s="1"/>
  <c r="P951" i="3" s="1"/>
  <c r="L951" i="3"/>
  <c r="M951" i="3"/>
  <c r="J952" i="3"/>
  <c r="K952" i="3"/>
  <c r="L952" i="3"/>
  <c r="M952" i="3"/>
  <c r="O952" i="3"/>
  <c r="P952" i="3" s="1"/>
  <c r="J953" i="3"/>
  <c r="K953" i="3"/>
  <c r="O953" i="3" s="1"/>
  <c r="L953" i="3"/>
  <c r="M953" i="3"/>
  <c r="P953" i="3"/>
  <c r="J954" i="3"/>
  <c r="K954" i="3"/>
  <c r="L954" i="3"/>
  <c r="M954" i="3"/>
  <c r="O954" i="3" s="1"/>
  <c r="P954" i="3" s="1"/>
  <c r="J955" i="3"/>
  <c r="K955" i="3"/>
  <c r="O955" i="3" s="1"/>
  <c r="P955" i="3" s="1"/>
  <c r="L955" i="3"/>
  <c r="M955" i="3"/>
  <c r="J956" i="3"/>
  <c r="K956" i="3"/>
  <c r="L956" i="3"/>
  <c r="M956" i="3"/>
  <c r="O956" i="3"/>
  <c r="P956" i="3" s="1"/>
  <c r="J957" i="3"/>
  <c r="K957" i="3"/>
  <c r="O957" i="3" s="1"/>
  <c r="L957" i="3"/>
  <c r="M957" i="3"/>
  <c r="P957" i="3"/>
  <c r="J958" i="3"/>
  <c r="K958" i="3"/>
  <c r="L958" i="3"/>
  <c r="M958" i="3"/>
  <c r="O958" i="3" s="1"/>
  <c r="P958" i="3" s="1"/>
  <c r="J959" i="3"/>
  <c r="K959" i="3"/>
  <c r="O959" i="3" s="1"/>
  <c r="P959" i="3" s="1"/>
  <c r="L959" i="3"/>
  <c r="M959" i="3"/>
  <c r="J960" i="3"/>
  <c r="K960" i="3"/>
  <c r="L960" i="3"/>
  <c r="M960" i="3"/>
  <c r="O960" i="3"/>
  <c r="P960" i="3" s="1"/>
  <c r="J961" i="3"/>
  <c r="K961" i="3"/>
  <c r="O961" i="3" s="1"/>
  <c r="L961" i="3"/>
  <c r="M961" i="3"/>
  <c r="P961" i="3"/>
  <c r="J962" i="3"/>
  <c r="K962" i="3"/>
  <c r="L962" i="3"/>
  <c r="M962" i="3"/>
  <c r="O962" i="3" s="1"/>
  <c r="P962" i="3" s="1"/>
  <c r="J963" i="3"/>
  <c r="K963" i="3"/>
  <c r="O963" i="3" s="1"/>
  <c r="P963" i="3" s="1"/>
  <c r="L963" i="3"/>
  <c r="M963" i="3"/>
  <c r="J964" i="3"/>
  <c r="K964" i="3"/>
  <c r="L964" i="3"/>
  <c r="M964" i="3"/>
  <c r="O964" i="3"/>
  <c r="P964" i="3" s="1"/>
  <c r="J965" i="3"/>
  <c r="K965" i="3"/>
  <c r="L965" i="3"/>
  <c r="M965" i="3"/>
  <c r="O965" i="3"/>
  <c r="P965" i="3" s="1"/>
  <c r="J966" i="3"/>
  <c r="K966" i="3"/>
  <c r="L966" i="3"/>
  <c r="M966" i="3"/>
  <c r="O966" i="3"/>
  <c r="P966" i="3" s="1"/>
  <c r="J967" i="3"/>
  <c r="K967" i="3"/>
  <c r="L967" i="3"/>
  <c r="M967" i="3"/>
  <c r="O967" i="3"/>
  <c r="P967" i="3" s="1"/>
  <c r="J968" i="3"/>
  <c r="K968" i="3"/>
  <c r="L968" i="3"/>
  <c r="M968" i="3"/>
  <c r="O968" i="3" s="1"/>
  <c r="P968" i="3" s="1"/>
  <c r="J969" i="3"/>
  <c r="K969" i="3"/>
  <c r="O969" i="3" s="1"/>
  <c r="P969" i="3" s="1"/>
  <c r="L969" i="3"/>
  <c r="M969" i="3"/>
  <c r="J970" i="3"/>
  <c r="K970" i="3"/>
  <c r="L970" i="3"/>
  <c r="M970" i="3"/>
  <c r="O970" i="3" s="1"/>
  <c r="P970" i="3" s="1"/>
  <c r="J971" i="3"/>
  <c r="K971" i="3"/>
  <c r="O971" i="3" s="1"/>
  <c r="P971" i="3" s="1"/>
  <c r="L971" i="3"/>
  <c r="M971" i="3"/>
  <c r="J972" i="3"/>
  <c r="K972" i="3"/>
  <c r="L972" i="3"/>
  <c r="M972" i="3"/>
  <c r="O972" i="3"/>
  <c r="P972" i="3" s="1"/>
  <c r="J973" i="3"/>
  <c r="K973" i="3"/>
  <c r="L973" i="3"/>
  <c r="M973" i="3"/>
  <c r="O973" i="3"/>
  <c r="P973" i="3" s="1"/>
  <c r="J974" i="3"/>
  <c r="K974" i="3"/>
  <c r="L974" i="3"/>
  <c r="M974" i="3"/>
  <c r="O974" i="3"/>
  <c r="P974" i="3" s="1"/>
  <c r="J975" i="3"/>
  <c r="K975" i="3"/>
  <c r="L975" i="3"/>
  <c r="M975" i="3"/>
  <c r="O975" i="3"/>
  <c r="P975" i="3" s="1"/>
  <c r="J976" i="3"/>
  <c r="K976" i="3"/>
  <c r="L976" i="3"/>
  <c r="M976" i="3"/>
  <c r="O976" i="3" s="1"/>
  <c r="P976" i="3" s="1"/>
  <c r="J977" i="3"/>
  <c r="K977" i="3"/>
  <c r="O977" i="3" s="1"/>
  <c r="P977" i="3" s="1"/>
  <c r="L977" i="3"/>
  <c r="M977" i="3"/>
  <c r="J978" i="3"/>
  <c r="K978" i="3"/>
  <c r="L978" i="3"/>
  <c r="M978" i="3"/>
  <c r="O978" i="3" s="1"/>
  <c r="P978" i="3" s="1"/>
  <c r="J979" i="3"/>
  <c r="K979" i="3"/>
  <c r="O979" i="3" s="1"/>
  <c r="P979" i="3" s="1"/>
  <c r="L979" i="3"/>
  <c r="M979" i="3"/>
  <c r="J980" i="3"/>
  <c r="K980" i="3"/>
  <c r="L980" i="3"/>
  <c r="M980" i="3"/>
  <c r="O980" i="3"/>
  <c r="P980" i="3" s="1"/>
  <c r="J981" i="3"/>
  <c r="K981" i="3"/>
  <c r="L981" i="3"/>
  <c r="M981" i="3"/>
  <c r="O981" i="3"/>
  <c r="P981" i="3" s="1"/>
  <c r="J982" i="3"/>
  <c r="K982" i="3"/>
  <c r="L982" i="3"/>
  <c r="M982" i="3"/>
  <c r="O982" i="3"/>
  <c r="P982" i="3" s="1"/>
  <c r="J983" i="3"/>
  <c r="K983" i="3"/>
  <c r="L983" i="3"/>
  <c r="M983" i="3"/>
  <c r="O983" i="3"/>
  <c r="P983" i="3" s="1"/>
  <c r="J984" i="3"/>
  <c r="K984" i="3"/>
  <c r="L984" i="3"/>
  <c r="M984" i="3"/>
  <c r="O984" i="3" s="1"/>
  <c r="P984" i="3" s="1"/>
  <c r="J985" i="3"/>
  <c r="K985" i="3"/>
  <c r="O985" i="3" s="1"/>
  <c r="L985" i="3"/>
  <c r="M985" i="3"/>
  <c r="P985" i="3"/>
  <c r="J986" i="3"/>
  <c r="K986" i="3"/>
  <c r="L986" i="3"/>
  <c r="M986" i="3"/>
  <c r="O986" i="3" s="1"/>
  <c r="P986" i="3" s="1"/>
  <c r="J987" i="3"/>
  <c r="K987" i="3"/>
  <c r="O987" i="3" s="1"/>
  <c r="P987" i="3" s="1"/>
  <c r="L987" i="3"/>
  <c r="M987" i="3"/>
  <c r="J988" i="3"/>
  <c r="K988" i="3"/>
  <c r="L988" i="3"/>
  <c r="M988" i="3"/>
  <c r="O988" i="3"/>
  <c r="P988" i="3" s="1"/>
  <c r="J989" i="3"/>
  <c r="K989" i="3"/>
  <c r="L989" i="3"/>
  <c r="M989" i="3"/>
  <c r="O989" i="3"/>
  <c r="P989" i="3" s="1"/>
  <c r="J990" i="3"/>
  <c r="K990" i="3"/>
  <c r="L990" i="3"/>
  <c r="M990" i="3"/>
  <c r="O990" i="3"/>
  <c r="P990" i="3" s="1"/>
  <c r="J991" i="3"/>
  <c r="K991" i="3"/>
  <c r="L991" i="3"/>
  <c r="M991" i="3"/>
  <c r="O991" i="3"/>
  <c r="P991" i="3" s="1"/>
  <c r="J992" i="3"/>
  <c r="K992" i="3"/>
  <c r="L992" i="3"/>
  <c r="M992" i="3"/>
  <c r="O992" i="3" s="1"/>
  <c r="P992" i="3" s="1"/>
  <c r="J993" i="3"/>
  <c r="K993" i="3"/>
  <c r="L993" i="3"/>
  <c r="M993" i="3"/>
  <c r="O993" i="3"/>
  <c r="P993" i="3" s="1"/>
  <c r="J994" i="3"/>
  <c r="K994" i="3"/>
  <c r="L994" i="3"/>
  <c r="M994" i="3"/>
  <c r="O994" i="3" s="1"/>
  <c r="P994" i="3" s="1"/>
  <c r="J995" i="3"/>
  <c r="K995" i="3"/>
  <c r="O995" i="3" s="1"/>
  <c r="P995" i="3" s="1"/>
  <c r="L995" i="3"/>
  <c r="M995" i="3"/>
  <c r="J996" i="3"/>
  <c r="K996" i="3"/>
  <c r="L996" i="3"/>
  <c r="M996" i="3"/>
  <c r="O996" i="3"/>
  <c r="P996" i="3" s="1"/>
  <c r="J997" i="3"/>
  <c r="K997" i="3"/>
  <c r="L997" i="3"/>
  <c r="M997" i="3"/>
  <c r="O997" i="3"/>
  <c r="P997" i="3" s="1"/>
  <c r="J998" i="3"/>
  <c r="K998" i="3"/>
  <c r="L998" i="3"/>
  <c r="M998" i="3"/>
  <c r="O998" i="3"/>
  <c r="P998" i="3" s="1"/>
  <c r="J999" i="3"/>
  <c r="K999" i="3"/>
  <c r="L999" i="3"/>
  <c r="M999" i="3"/>
  <c r="O999" i="3"/>
  <c r="P999" i="3" s="1"/>
  <c r="J1000" i="3"/>
  <c r="K1000" i="3"/>
  <c r="L1000" i="3"/>
  <c r="M1000" i="3"/>
  <c r="O1000" i="3" s="1"/>
  <c r="P1000" i="3" s="1"/>
  <c r="J1001" i="3"/>
  <c r="K1001" i="3"/>
  <c r="L1001" i="3"/>
  <c r="M1001" i="3"/>
  <c r="O1001" i="3"/>
  <c r="P1001" i="3" s="1"/>
  <c r="J1002" i="3"/>
  <c r="K1002" i="3"/>
  <c r="L1002" i="3"/>
  <c r="M1002" i="3"/>
  <c r="O1002" i="3" s="1"/>
  <c r="P1002" i="3" s="1"/>
  <c r="J1003" i="3"/>
  <c r="K1003" i="3"/>
  <c r="O1003" i="3" s="1"/>
  <c r="P1003" i="3" s="1"/>
  <c r="L1003" i="3"/>
  <c r="M1003" i="3"/>
  <c r="J1004" i="3"/>
  <c r="K1004" i="3"/>
  <c r="L1004" i="3"/>
  <c r="M1004" i="3"/>
  <c r="O1004" i="3"/>
  <c r="P1004" i="3" s="1"/>
  <c r="J1005" i="3"/>
  <c r="K1005" i="3"/>
  <c r="L1005" i="3"/>
  <c r="M1005" i="3"/>
  <c r="O1005" i="3"/>
  <c r="P1005" i="3" s="1"/>
  <c r="J1006" i="3"/>
  <c r="K1006" i="3"/>
  <c r="L1006" i="3"/>
  <c r="M1006" i="3"/>
  <c r="O1006" i="3"/>
  <c r="P1006" i="3" s="1"/>
  <c r="J1007" i="3"/>
  <c r="K1007" i="3"/>
  <c r="L1007" i="3"/>
  <c r="M1007" i="3"/>
  <c r="O1007" i="3"/>
  <c r="P1007" i="3" s="1"/>
  <c r="J1008" i="3"/>
  <c r="K1008" i="3"/>
  <c r="L1008" i="3"/>
  <c r="M1008" i="3"/>
  <c r="O1008" i="3" s="1"/>
  <c r="P1008" i="3" s="1"/>
  <c r="J1009" i="3"/>
  <c r="K1009" i="3"/>
  <c r="O1009" i="3" s="1"/>
  <c r="P1009" i="3" s="1"/>
  <c r="L1009" i="3"/>
  <c r="M1009" i="3"/>
  <c r="J1010" i="3"/>
  <c r="K1010" i="3"/>
  <c r="L1010" i="3"/>
  <c r="M1010" i="3"/>
  <c r="O1010" i="3" s="1"/>
  <c r="P1010" i="3" s="1"/>
  <c r="J1011" i="3"/>
  <c r="K1011" i="3"/>
  <c r="O1011" i="3" s="1"/>
  <c r="L1011" i="3"/>
  <c r="M1011" i="3"/>
  <c r="P1011" i="3"/>
  <c r="J1012" i="3"/>
  <c r="K1012" i="3"/>
  <c r="L1012" i="3"/>
  <c r="M1012" i="3"/>
  <c r="O1012" i="3" s="1"/>
  <c r="P1012" i="3" s="1"/>
  <c r="J1013" i="3"/>
  <c r="K1013" i="3"/>
  <c r="L1013" i="3"/>
  <c r="M1013" i="3"/>
  <c r="O1013" i="3"/>
  <c r="P1013" i="3" s="1"/>
  <c r="J1014" i="3"/>
  <c r="K1014" i="3"/>
  <c r="L1014" i="3"/>
  <c r="M1014" i="3"/>
  <c r="O1014" i="3"/>
  <c r="P1014" i="3" s="1"/>
  <c r="J1015" i="3"/>
  <c r="K1015" i="3"/>
  <c r="L1015" i="3"/>
  <c r="M1015" i="3"/>
  <c r="O1015" i="3"/>
  <c r="P1015" i="3" s="1"/>
  <c r="J1016" i="3"/>
  <c r="K1016" i="3"/>
  <c r="L1016" i="3"/>
  <c r="M1016" i="3"/>
  <c r="O1016" i="3" s="1"/>
  <c r="P1016" i="3" s="1"/>
  <c r="J1017" i="3"/>
  <c r="K1017" i="3"/>
  <c r="O1017" i="3" s="1"/>
  <c r="P1017" i="3" s="1"/>
  <c r="L1017" i="3"/>
  <c r="M1017" i="3"/>
  <c r="J1018" i="3"/>
  <c r="K1018" i="3"/>
  <c r="L1018" i="3"/>
  <c r="M1018" i="3"/>
  <c r="O1018" i="3" s="1"/>
  <c r="P1018" i="3" s="1"/>
  <c r="J1019" i="3"/>
  <c r="K1019" i="3"/>
  <c r="O1019" i="3" s="1"/>
  <c r="L1019" i="3"/>
  <c r="M1019" i="3"/>
  <c r="P1019" i="3"/>
  <c r="J1020" i="3"/>
  <c r="K1020" i="3"/>
  <c r="L1020" i="3"/>
  <c r="M1020" i="3"/>
  <c r="O1020" i="3" s="1"/>
  <c r="P1020" i="3" s="1"/>
  <c r="J1021" i="3"/>
  <c r="K1021" i="3"/>
  <c r="L1021" i="3"/>
  <c r="M1021" i="3"/>
  <c r="O1021" i="3"/>
  <c r="P1021" i="3" s="1"/>
  <c r="J1022" i="3"/>
  <c r="K1022" i="3"/>
  <c r="L1022" i="3"/>
  <c r="M1022" i="3"/>
  <c r="O1022" i="3"/>
  <c r="P1022" i="3" s="1"/>
  <c r="J1023" i="3"/>
  <c r="K1023" i="3"/>
  <c r="L1023" i="3"/>
  <c r="M1023" i="3"/>
  <c r="O1023" i="3"/>
  <c r="P1023" i="3" s="1"/>
  <c r="J1024" i="3"/>
  <c r="K1024" i="3"/>
  <c r="L1024" i="3"/>
  <c r="M1024" i="3"/>
  <c r="O1024" i="3" s="1"/>
  <c r="P1024" i="3" s="1"/>
  <c r="J1025" i="3"/>
  <c r="K1025" i="3"/>
  <c r="L1025" i="3"/>
  <c r="M1025" i="3"/>
  <c r="O1025" i="3"/>
  <c r="P1025" i="3" s="1"/>
  <c r="J1026" i="3"/>
  <c r="K1026" i="3"/>
  <c r="L1026" i="3"/>
  <c r="M1026" i="3"/>
  <c r="O1026" i="3" s="1"/>
  <c r="P1026" i="3" s="1"/>
  <c r="J1027" i="3"/>
  <c r="K1027" i="3"/>
  <c r="O1027" i="3" s="1"/>
  <c r="P1027" i="3" s="1"/>
  <c r="L1027" i="3"/>
  <c r="M1027" i="3"/>
  <c r="J1028" i="3"/>
  <c r="K1028" i="3"/>
  <c r="L1028" i="3"/>
  <c r="M1028" i="3"/>
  <c r="O1028" i="3"/>
  <c r="P1028" i="3" s="1"/>
  <c r="J1029" i="3"/>
  <c r="K1029" i="3"/>
  <c r="L1029" i="3"/>
  <c r="M1029" i="3"/>
  <c r="O1029" i="3"/>
  <c r="P1029" i="3" s="1"/>
  <c r="J1030" i="3"/>
  <c r="K1030" i="3"/>
  <c r="L1030" i="3"/>
  <c r="M1030" i="3"/>
  <c r="O1030" i="3"/>
  <c r="P1030" i="3" s="1"/>
  <c r="J1031" i="3"/>
  <c r="K1031" i="3"/>
  <c r="L1031" i="3"/>
  <c r="M1031" i="3"/>
  <c r="O1031" i="3"/>
  <c r="P1031" i="3" s="1"/>
  <c r="J1032" i="3"/>
  <c r="K1032" i="3"/>
  <c r="L1032" i="3"/>
  <c r="M1032" i="3"/>
  <c r="O1032" i="3" s="1"/>
  <c r="P1032" i="3" s="1"/>
  <c r="J1033" i="3"/>
  <c r="K1033" i="3"/>
  <c r="L1033" i="3"/>
  <c r="M1033" i="3"/>
  <c r="O1033" i="3"/>
  <c r="P1033" i="3" s="1"/>
  <c r="J1034" i="3"/>
  <c r="K1034" i="3"/>
  <c r="L1034" i="3"/>
  <c r="M1034" i="3"/>
  <c r="O1034" i="3" s="1"/>
  <c r="P1034" i="3" s="1"/>
  <c r="J1035" i="3"/>
  <c r="K1035" i="3"/>
  <c r="O1035" i="3" s="1"/>
  <c r="P1035" i="3" s="1"/>
  <c r="L1035" i="3"/>
  <c r="M1035" i="3"/>
  <c r="J1036" i="3"/>
  <c r="K1036" i="3"/>
  <c r="L1036" i="3"/>
  <c r="M1036" i="3"/>
  <c r="O1036" i="3"/>
  <c r="P1036" i="3" s="1"/>
  <c r="J1037" i="3"/>
  <c r="K1037" i="3"/>
  <c r="L1037" i="3"/>
  <c r="M1037" i="3"/>
  <c r="O1037" i="3"/>
  <c r="P1037" i="3" s="1"/>
  <c r="J1038" i="3"/>
  <c r="K1038" i="3"/>
  <c r="L1038" i="3"/>
  <c r="M1038" i="3"/>
  <c r="O1038" i="3"/>
  <c r="P1038" i="3" s="1"/>
  <c r="J1039" i="3"/>
  <c r="K1039" i="3"/>
  <c r="L1039" i="3"/>
  <c r="M1039" i="3"/>
  <c r="O1039" i="3"/>
  <c r="P1039" i="3" s="1"/>
  <c r="J1040" i="3"/>
  <c r="K1040" i="3"/>
  <c r="L1040" i="3"/>
  <c r="M1040" i="3"/>
  <c r="O1040" i="3" s="1"/>
  <c r="P1040" i="3" s="1"/>
  <c r="J1041" i="3"/>
  <c r="K1041" i="3"/>
  <c r="O1041" i="3" s="1"/>
  <c r="P1041" i="3" s="1"/>
  <c r="L1041" i="3"/>
  <c r="M1041" i="3"/>
  <c r="J1042" i="3"/>
  <c r="K1042" i="3"/>
  <c r="L1042" i="3"/>
  <c r="M1042" i="3"/>
  <c r="O1042" i="3" s="1"/>
  <c r="P1042" i="3" s="1"/>
  <c r="J1043" i="3"/>
  <c r="K1043" i="3"/>
  <c r="O1043" i="3" s="1"/>
  <c r="L1043" i="3"/>
  <c r="M1043" i="3"/>
  <c r="P1043" i="3"/>
  <c r="J1044" i="3"/>
  <c r="K1044" i="3"/>
  <c r="L1044" i="3"/>
  <c r="M1044" i="3"/>
  <c r="O1044" i="3" s="1"/>
  <c r="P1044" i="3" s="1"/>
  <c r="J1045" i="3"/>
  <c r="K1045" i="3"/>
  <c r="L1045" i="3"/>
  <c r="M1045" i="3"/>
  <c r="O1045" i="3"/>
  <c r="P1045" i="3" s="1"/>
  <c r="J1046" i="3"/>
  <c r="K1046" i="3"/>
  <c r="L1046" i="3"/>
  <c r="M1046" i="3"/>
  <c r="O1046" i="3"/>
  <c r="P1046" i="3" s="1"/>
  <c r="J1047" i="3"/>
  <c r="K1047" i="3"/>
  <c r="L1047" i="3"/>
  <c r="M1047" i="3"/>
  <c r="O1047" i="3"/>
  <c r="P1047" i="3" s="1"/>
  <c r="J1048" i="3"/>
  <c r="K1048" i="3"/>
  <c r="L1048" i="3"/>
  <c r="M1048" i="3"/>
  <c r="O1048" i="3" s="1"/>
  <c r="P1048" i="3" s="1"/>
  <c r="J1049" i="3"/>
  <c r="K1049" i="3"/>
  <c r="O1049" i="3" s="1"/>
  <c r="P1049" i="3" s="1"/>
  <c r="L1049" i="3"/>
  <c r="M1049" i="3"/>
  <c r="J1050" i="3"/>
  <c r="K1050" i="3"/>
  <c r="L1050" i="3"/>
  <c r="M1050" i="3"/>
  <c r="O1050" i="3" s="1"/>
  <c r="P1050" i="3" s="1"/>
  <c r="J1051" i="3"/>
  <c r="K1051" i="3"/>
  <c r="L1051" i="3"/>
  <c r="M1051" i="3"/>
  <c r="O1051" i="3"/>
  <c r="P1051" i="3" s="1"/>
  <c r="J1052" i="3"/>
  <c r="K1052" i="3"/>
  <c r="L1052" i="3"/>
  <c r="M1052" i="3"/>
  <c r="O1052" i="3" s="1"/>
  <c r="P1052" i="3" s="1"/>
  <c r="J1053" i="3"/>
  <c r="K1053" i="3"/>
  <c r="O1053" i="3" s="1"/>
  <c r="P1053" i="3" s="1"/>
  <c r="L1053" i="3"/>
  <c r="M1053" i="3"/>
  <c r="J1054" i="3"/>
  <c r="K1054" i="3"/>
  <c r="L1054" i="3"/>
  <c r="M1054" i="3"/>
  <c r="O1054" i="3" s="1"/>
  <c r="P1054" i="3" s="1"/>
  <c r="J1055" i="3"/>
  <c r="K1055" i="3"/>
  <c r="L1055" i="3"/>
  <c r="M1055" i="3"/>
  <c r="O1055" i="3"/>
  <c r="P1055" i="3" s="1"/>
  <c r="J1056" i="3"/>
  <c r="K1056" i="3"/>
  <c r="L1056" i="3"/>
  <c r="M1056" i="3"/>
  <c r="O1056" i="3" s="1"/>
  <c r="P1056" i="3" s="1"/>
  <c r="J1057" i="3"/>
  <c r="K1057" i="3"/>
  <c r="O1057" i="3" s="1"/>
  <c r="P1057" i="3" s="1"/>
  <c r="L1057" i="3"/>
  <c r="M1057" i="3"/>
  <c r="J1058" i="3"/>
  <c r="K1058" i="3"/>
  <c r="L1058" i="3"/>
  <c r="M1058" i="3"/>
  <c r="O1058" i="3" s="1"/>
  <c r="P1058" i="3" s="1"/>
  <c r="J1059" i="3"/>
  <c r="K1059" i="3"/>
  <c r="L1059" i="3"/>
  <c r="M1059" i="3"/>
  <c r="O1059" i="3"/>
  <c r="P1059" i="3" s="1"/>
  <c r="J1060" i="3"/>
  <c r="K1060" i="3"/>
  <c r="L1060" i="3"/>
  <c r="M1060" i="3"/>
  <c r="O1060" i="3" s="1"/>
  <c r="P1060" i="3" s="1"/>
  <c r="J1061" i="3"/>
  <c r="K1061" i="3"/>
  <c r="O1061" i="3" s="1"/>
  <c r="P1061" i="3" s="1"/>
  <c r="L1061" i="3"/>
  <c r="M1061" i="3"/>
  <c r="J1062" i="3"/>
  <c r="K1062" i="3"/>
  <c r="L1062" i="3"/>
  <c r="M1062" i="3"/>
  <c r="O1062" i="3" s="1"/>
  <c r="P1062" i="3" s="1"/>
  <c r="J1063" i="3"/>
  <c r="K1063" i="3"/>
  <c r="L1063" i="3"/>
  <c r="M1063" i="3"/>
  <c r="O1063" i="3"/>
  <c r="P1063" i="3" s="1"/>
  <c r="J1064" i="3"/>
  <c r="K1064" i="3"/>
  <c r="L1064" i="3"/>
  <c r="M1064" i="3"/>
  <c r="O1064" i="3" s="1"/>
  <c r="P1064" i="3" s="1"/>
  <c r="J1065" i="3"/>
  <c r="K1065" i="3"/>
  <c r="O1065" i="3" s="1"/>
  <c r="P1065" i="3" s="1"/>
  <c r="L1065" i="3"/>
  <c r="M1065" i="3"/>
  <c r="J1066" i="3"/>
  <c r="K1066" i="3"/>
  <c r="L1066" i="3"/>
  <c r="M1066" i="3"/>
  <c r="O1066" i="3" s="1"/>
  <c r="P1066" i="3" s="1"/>
  <c r="J1067" i="3"/>
  <c r="K1067" i="3"/>
  <c r="L1067" i="3"/>
  <c r="M1067" i="3"/>
  <c r="O1067" i="3"/>
  <c r="P1067" i="3" s="1"/>
  <c r="J1068" i="3"/>
  <c r="K1068" i="3"/>
  <c r="L1068" i="3"/>
  <c r="M1068" i="3"/>
  <c r="O1068" i="3" s="1"/>
  <c r="P1068" i="3" s="1"/>
  <c r="J1069" i="3"/>
  <c r="K1069" i="3"/>
  <c r="O1069" i="3" s="1"/>
  <c r="P1069" i="3" s="1"/>
  <c r="L1069" i="3"/>
  <c r="M1069" i="3"/>
  <c r="J1070" i="3"/>
  <c r="K1070" i="3"/>
  <c r="L1070" i="3"/>
  <c r="M1070" i="3"/>
  <c r="O1070" i="3" s="1"/>
  <c r="P1070" i="3" s="1"/>
  <c r="J1071" i="3"/>
  <c r="K1071" i="3"/>
  <c r="L1071" i="3"/>
  <c r="M1071" i="3"/>
  <c r="O1071" i="3"/>
  <c r="P1071" i="3" s="1"/>
  <c r="J1072" i="3"/>
  <c r="K1072" i="3"/>
  <c r="L1072" i="3"/>
  <c r="M1072" i="3"/>
  <c r="O1072" i="3" s="1"/>
  <c r="P1072" i="3" s="1"/>
  <c r="J1073" i="3"/>
  <c r="K1073" i="3"/>
  <c r="O1073" i="3" s="1"/>
  <c r="P1073" i="3" s="1"/>
  <c r="L1073" i="3"/>
  <c r="M1073" i="3"/>
  <c r="J1074" i="3"/>
  <c r="K1074" i="3"/>
  <c r="L1074" i="3"/>
  <c r="M1074" i="3"/>
  <c r="O1074" i="3" s="1"/>
  <c r="P1074" i="3" s="1"/>
  <c r="J1075" i="3"/>
  <c r="K1075" i="3"/>
  <c r="L1075" i="3"/>
  <c r="M1075" i="3"/>
  <c r="O1075" i="3"/>
  <c r="P1075" i="3" s="1"/>
  <c r="J1076" i="3"/>
  <c r="K1076" i="3"/>
  <c r="L1076" i="3"/>
  <c r="M1076" i="3"/>
  <c r="O1076" i="3" s="1"/>
  <c r="P1076" i="3" s="1"/>
  <c r="J1077" i="3"/>
  <c r="K1077" i="3"/>
  <c r="O1077" i="3" s="1"/>
  <c r="P1077" i="3" s="1"/>
  <c r="L1077" i="3"/>
  <c r="M1077" i="3"/>
  <c r="J1078" i="3"/>
  <c r="K1078" i="3"/>
  <c r="L1078" i="3"/>
  <c r="M1078" i="3"/>
  <c r="O1078" i="3" s="1"/>
  <c r="P1078" i="3" s="1"/>
  <c r="J1079" i="3"/>
  <c r="K1079" i="3"/>
  <c r="L1079" i="3"/>
  <c r="M1079" i="3"/>
  <c r="O1079" i="3"/>
  <c r="P1079" i="3" s="1"/>
  <c r="J1080" i="3"/>
  <c r="K1080" i="3"/>
  <c r="L1080" i="3"/>
  <c r="M1080" i="3"/>
  <c r="O1080" i="3" s="1"/>
  <c r="P1080" i="3" s="1"/>
  <c r="J1081" i="3"/>
  <c r="K1081" i="3"/>
  <c r="O1081" i="3" s="1"/>
  <c r="P1081" i="3" s="1"/>
  <c r="L1081" i="3"/>
  <c r="M1081" i="3"/>
  <c r="J1082" i="3"/>
  <c r="K1082" i="3"/>
  <c r="L1082" i="3"/>
  <c r="M1082" i="3"/>
  <c r="O1082" i="3" s="1"/>
  <c r="P1082" i="3" s="1"/>
  <c r="J1083" i="3"/>
  <c r="K1083" i="3"/>
  <c r="L1083" i="3"/>
  <c r="M1083" i="3"/>
  <c r="O1083" i="3"/>
  <c r="P1083" i="3" s="1"/>
  <c r="J1084" i="3"/>
  <c r="K1084" i="3"/>
  <c r="L1084" i="3"/>
  <c r="M1084" i="3"/>
  <c r="O1084" i="3" s="1"/>
  <c r="P1084" i="3" s="1"/>
  <c r="J1085" i="3"/>
  <c r="K1085" i="3"/>
  <c r="O1085" i="3" s="1"/>
  <c r="P1085" i="3" s="1"/>
  <c r="L1085" i="3"/>
  <c r="M1085" i="3"/>
  <c r="J1086" i="3"/>
  <c r="K1086" i="3"/>
  <c r="L1086" i="3"/>
  <c r="M1086" i="3"/>
  <c r="O1086" i="3" s="1"/>
  <c r="P1086" i="3" s="1"/>
  <c r="J1087" i="3"/>
  <c r="K1087" i="3"/>
  <c r="L1087" i="3"/>
  <c r="M1087" i="3"/>
  <c r="O1087" i="3"/>
  <c r="P1087" i="3" s="1"/>
  <c r="J1088" i="3"/>
  <c r="K1088" i="3"/>
  <c r="L1088" i="3"/>
  <c r="M1088" i="3"/>
  <c r="O1088" i="3" s="1"/>
  <c r="P1088" i="3" s="1"/>
  <c r="J1089" i="3"/>
  <c r="K1089" i="3"/>
  <c r="O1089" i="3" s="1"/>
  <c r="P1089" i="3" s="1"/>
  <c r="L1089" i="3"/>
  <c r="M1089" i="3"/>
  <c r="J1090" i="3"/>
  <c r="K1090" i="3"/>
  <c r="L1090" i="3"/>
  <c r="M1090" i="3"/>
  <c r="O1090" i="3" s="1"/>
  <c r="P1090" i="3" s="1"/>
  <c r="J1091" i="3"/>
  <c r="K1091" i="3"/>
  <c r="L1091" i="3"/>
  <c r="M1091" i="3"/>
  <c r="O1091" i="3"/>
  <c r="P1091" i="3" s="1"/>
  <c r="J1092" i="3"/>
  <c r="K1092" i="3"/>
  <c r="L1092" i="3"/>
  <c r="M1092" i="3"/>
  <c r="O1092" i="3" s="1"/>
  <c r="P1092" i="3" s="1"/>
  <c r="J1093" i="3"/>
  <c r="K1093" i="3"/>
  <c r="O1093" i="3" s="1"/>
  <c r="P1093" i="3" s="1"/>
  <c r="L1093" i="3"/>
  <c r="M1093" i="3"/>
  <c r="J1094" i="3"/>
  <c r="K1094" i="3"/>
  <c r="L1094" i="3"/>
  <c r="M1094" i="3"/>
  <c r="O1094" i="3" s="1"/>
  <c r="P1094" i="3" s="1"/>
  <c r="J1095" i="3"/>
  <c r="K1095" i="3"/>
  <c r="L1095" i="3"/>
  <c r="M1095" i="3"/>
  <c r="O1095" i="3"/>
  <c r="P1095" i="3" s="1"/>
  <c r="J1096" i="3"/>
  <c r="K1096" i="3"/>
  <c r="L1096" i="3"/>
  <c r="M1096" i="3"/>
  <c r="O1096" i="3" s="1"/>
  <c r="P1096" i="3" s="1"/>
  <c r="J1097" i="3"/>
  <c r="K1097" i="3"/>
  <c r="O1097" i="3" s="1"/>
  <c r="P1097" i="3" s="1"/>
  <c r="L1097" i="3"/>
  <c r="M1097" i="3"/>
  <c r="J1098" i="3"/>
  <c r="K1098" i="3"/>
  <c r="L1098" i="3"/>
  <c r="M1098" i="3"/>
  <c r="O1098" i="3" s="1"/>
  <c r="P1098" i="3" s="1"/>
  <c r="J1099" i="3"/>
  <c r="K1099" i="3"/>
  <c r="L1099" i="3"/>
  <c r="M1099" i="3"/>
  <c r="O1099" i="3"/>
  <c r="P1099" i="3" s="1"/>
  <c r="J1100" i="3"/>
  <c r="K1100" i="3"/>
  <c r="L1100" i="3"/>
  <c r="M1100" i="3"/>
  <c r="O1100" i="3" s="1"/>
  <c r="P1100" i="3" s="1"/>
  <c r="J1101" i="3"/>
  <c r="K1101" i="3"/>
  <c r="O1101" i="3" s="1"/>
  <c r="P1101" i="3" s="1"/>
  <c r="L1101" i="3"/>
  <c r="M1101" i="3"/>
  <c r="J1102" i="3"/>
  <c r="K1102" i="3"/>
  <c r="L1102" i="3"/>
  <c r="M1102" i="3"/>
  <c r="O1102" i="3" s="1"/>
  <c r="P1102" i="3" s="1"/>
  <c r="J1103" i="3"/>
  <c r="K1103" i="3"/>
  <c r="L1103" i="3"/>
  <c r="M1103" i="3"/>
  <c r="O1103" i="3"/>
  <c r="P1103" i="3" s="1"/>
  <c r="J1104" i="3"/>
  <c r="K1104" i="3"/>
  <c r="L1104" i="3"/>
  <c r="M1104" i="3"/>
  <c r="O1104" i="3" s="1"/>
  <c r="P1104" i="3" s="1"/>
  <c r="J1105" i="3"/>
  <c r="K1105" i="3"/>
  <c r="O1105" i="3" s="1"/>
  <c r="P1105" i="3" s="1"/>
  <c r="L1105" i="3"/>
  <c r="M1105" i="3"/>
  <c r="J1106" i="3"/>
  <c r="K1106" i="3"/>
  <c r="L1106" i="3"/>
  <c r="M1106" i="3"/>
  <c r="O1106" i="3" s="1"/>
  <c r="P1106" i="3" s="1"/>
  <c r="J1107" i="3"/>
  <c r="K1107" i="3"/>
  <c r="L1107" i="3"/>
  <c r="M1107" i="3"/>
  <c r="O1107" i="3"/>
  <c r="P1107" i="3" s="1"/>
  <c r="J1108" i="3"/>
  <c r="K1108" i="3"/>
  <c r="L1108" i="3"/>
  <c r="M1108" i="3"/>
  <c r="O1108" i="3" s="1"/>
  <c r="P1108" i="3" s="1"/>
  <c r="J1109" i="3"/>
  <c r="K1109" i="3"/>
  <c r="O1109" i="3" s="1"/>
  <c r="P1109" i="3" s="1"/>
  <c r="L1109" i="3"/>
  <c r="M1109" i="3"/>
  <c r="J1110" i="3"/>
  <c r="K1110" i="3"/>
  <c r="L1110" i="3"/>
  <c r="M1110" i="3"/>
  <c r="O1110" i="3" s="1"/>
  <c r="P1110" i="3" s="1"/>
  <c r="J1111" i="3"/>
  <c r="K1111" i="3"/>
  <c r="L1111" i="3"/>
  <c r="M1111" i="3"/>
  <c r="O1111" i="3"/>
  <c r="P1111" i="3" s="1"/>
  <c r="J1112" i="3"/>
  <c r="K1112" i="3"/>
  <c r="L1112" i="3"/>
  <c r="M1112" i="3"/>
  <c r="O1112" i="3" s="1"/>
  <c r="P1112" i="3" s="1"/>
  <c r="J1113" i="3"/>
  <c r="K1113" i="3"/>
  <c r="O1113" i="3" s="1"/>
  <c r="P1113" i="3" s="1"/>
  <c r="L1113" i="3"/>
  <c r="M1113" i="3"/>
  <c r="J1114" i="3"/>
  <c r="K1114" i="3"/>
  <c r="L1114" i="3"/>
  <c r="M1114" i="3"/>
  <c r="O1114" i="3" s="1"/>
  <c r="P1114" i="3" s="1"/>
  <c r="J1115" i="3"/>
  <c r="K1115" i="3"/>
  <c r="L1115" i="3"/>
  <c r="M1115" i="3"/>
  <c r="O1115" i="3"/>
  <c r="P1115" i="3" s="1"/>
  <c r="J1116" i="3"/>
  <c r="K1116" i="3"/>
  <c r="L1116" i="3"/>
  <c r="M1116" i="3"/>
  <c r="O1116" i="3" s="1"/>
  <c r="P1116" i="3" s="1"/>
  <c r="J1117" i="3"/>
  <c r="K1117" i="3"/>
  <c r="O1117" i="3" s="1"/>
  <c r="P1117" i="3" s="1"/>
  <c r="L1117" i="3"/>
  <c r="M1117" i="3"/>
  <c r="J1118" i="3"/>
  <c r="K1118" i="3"/>
  <c r="L1118" i="3"/>
  <c r="M1118" i="3"/>
  <c r="O1118" i="3" s="1"/>
  <c r="P1118" i="3" s="1"/>
  <c r="J1119" i="3"/>
  <c r="K1119" i="3"/>
  <c r="L1119" i="3"/>
  <c r="M1119" i="3"/>
  <c r="O1119" i="3"/>
  <c r="P1119" i="3" s="1"/>
  <c r="J1120" i="3"/>
  <c r="K1120" i="3"/>
  <c r="L1120" i="3"/>
  <c r="M1120" i="3"/>
  <c r="O1120" i="3" s="1"/>
  <c r="P1120" i="3" s="1"/>
  <c r="J1121" i="3"/>
  <c r="K1121" i="3"/>
  <c r="O1121" i="3" s="1"/>
  <c r="P1121" i="3" s="1"/>
  <c r="L1121" i="3"/>
  <c r="M1121" i="3"/>
  <c r="J1122" i="3"/>
  <c r="K1122" i="3"/>
  <c r="L1122" i="3"/>
  <c r="M1122" i="3"/>
  <c r="O1122" i="3" s="1"/>
  <c r="P1122" i="3" s="1"/>
  <c r="J1123" i="3"/>
  <c r="K1123" i="3"/>
  <c r="L1123" i="3"/>
  <c r="M1123" i="3"/>
  <c r="O1123" i="3"/>
  <c r="P1123" i="3" s="1"/>
  <c r="J1124" i="3"/>
  <c r="K1124" i="3"/>
  <c r="L1124" i="3"/>
  <c r="M1124" i="3"/>
  <c r="O1124" i="3" s="1"/>
  <c r="P1124" i="3" s="1"/>
  <c r="J1125" i="3"/>
  <c r="K1125" i="3"/>
  <c r="O1125" i="3" s="1"/>
  <c r="P1125" i="3" s="1"/>
  <c r="L1125" i="3"/>
  <c r="M1125" i="3"/>
  <c r="J1126" i="3"/>
  <c r="K1126" i="3"/>
  <c r="L1126" i="3"/>
  <c r="M1126" i="3"/>
  <c r="O1126" i="3" s="1"/>
  <c r="P1126" i="3" s="1"/>
  <c r="J1127" i="3"/>
  <c r="K1127" i="3"/>
  <c r="L1127" i="3"/>
  <c r="M1127" i="3"/>
  <c r="O1127" i="3"/>
  <c r="P1127" i="3" s="1"/>
  <c r="J1128" i="3"/>
  <c r="K1128" i="3"/>
  <c r="L1128" i="3"/>
  <c r="M1128" i="3"/>
  <c r="O1128" i="3" s="1"/>
  <c r="P1128" i="3" s="1"/>
  <c r="J1129" i="3"/>
  <c r="K1129" i="3"/>
  <c r="O1129" i="3" s="1"/>
  <c r="P1129" i="3" s="1"/>
  <c r="L1129" i="3"/>
  <c r="M1129" i="3"/>
  <c r="J1130" i="3"/>
  <c r="K1130" i="3"/>
  <c r="L1130" i="3"/>
  <c r="M1130" i="3"/>
  <c r="O1130" i="3" s="1"/>
  <c r="P1130" i="3" s="1"/>
  <c r="J1131" i="3"/>
  <c r="K1131" i="3"/>
  <c r="L1131" i="3"/>
  <c r="M1131" i="3"/>
  <c r="O1131" i="3"/>
  <c r="P1131" i="3" s="1"/>
  <c r="J1132" i="3"/>
  <c r="K1132" i="3"/>
  <c r="L1132" i="3"/>
  <c r="M1132" i="3"/>
  <c r="O1132" i="3" s="1"/>
  <c r="P1132" i="3" s="1"/>
  <c r="J1133" i="3"/>
  <c r="K1133" i="3"/>
  <c r="O1133" i="3" s="1"/>
  <c r="P1133" i="3" s="1"/>
  <c r="L1133" i="3"/>
  <c r="M1133" i="3"/>
  <c r="J1134" i="3"/>
  <c r="K1134" i="3"/>
  <c r="L1134" i="3"/>
  <c r="M1134" i="3"/>
  <c r="O1134" i="3" s="1"/>
  <c r="P1134" i="3" s="1"/>
  <c r="J1135" i="3"/>
  <c r="K1135" i="3"/>
  <c r="L1135" i="3"/>
  <c r="M1135" i="3"/>
  <c r="O1135" i="3"/>
  <c r="P1135" i="3" s="1"/>
  <c r="J1136" i="3"/>
  <c r="K1136" i="3"/>
  <c r="L1136" i="3"/>
  <c r="M1136" i="3"/>
  <c r="O1136" i="3" s="1"/>
  <c r="P1136" i="3" s="1"/>
  <c r="J1137" i="3"/>
  <c r="K1137" i="3"/>
  <c r="O1137" i="3" s="1"/>
  <c r="P1137" i="3" s="1"/>
  <c r="L1137" i="3"/>
  <c r="M1137" i="3"/>
  <c r="J1138" i="3"/>
  <c r="K1138" i="3"/>
  <c r="L1138" i="3"/>
  <c r="M1138" i="3"/>
  <c r="O1138" i="3" s="1"/>
  <c r="P1138" i="3" s="1"/>
  <c r="J1139" i="3"/>
  <c r="K1139" i="3"/>
  <c r="L1139" i="3"/>
  <c r="M1139" i="3"/>
  <c r="O1139" i="3"/>
  <c r="P1139" i="3" s="1"/>
  <c r="J1140" i="3"/>
  <c r="K1140" i="3"/>
  <c r="L1140" i="3"/>
  <c r="M1140" i="3"/>
  <c r="O1140" i="3" s="1"/>
  <c r="P1140" i="3" s="1"/>
  <c r="J1141" i="3"/>
  <c r="K1141" i="3"/>
  <c r="O1141" i="3" s="1"/>
  <c r="P1141" i="3" s="1"/>
  <c r="L1141" i="3"/>
  <c r="M1141" i="3"/>
  <c r="J1142" i="3"/>
  <c r="K1142" i="3"/>
  <c r="L1142" i="3"/>
  <c r="M1142" i="3"/>
  <c r="O1142" i="3" s="1"/>
  <c r="P1142" i="3" s="1"/>
  <c r="J1143" i="3"/>
  <c r="K1143" i="3"/>
  <c r="L1143" i="3"/>
  <c r="M1143" i="3"/>
  <c r="O1143" i="3"/>
  <c r="P1143" i="3" s="1"/>
  <c r="J1144" i="3"/>
  <c r="K1144" i="3"/>
  <c r="L1144" i="3"/>
  <c r="M1144" i="3"/>
  <c r="O1144" i="3" s="1"/>
  <c r="P1144" i="3" s="1"/>
  <c r="J1145" i="3"/>
  <c r="K1145" i="3"/>
  <c r="O1145" i="3" s="1"/>
  <c r="P1145" i="3" s="1"/>
  <c r="L1145" i="3"/>
  <c r="M1145" i="3"/>
  <c r="J1146" i="3"/>
  <c r="K1146" i="3"/>
  <c r="L1146" i="3"/>
  <c r="M1146" i="3"/>
  <c r="O1146" i="3" s="1"/>
  <c r="P1146" i="3" s="1"/>
  <c r="J1147" i="3"/>
  <c r="K1147" i="3"/>
  <c r="L1147" i="3"/>
  <c r="M1147" i="3"/>
  <c r="O1147" i="3"/>
  <c r="P1147" i="3" s="1"/>
  <c r="J1148" i="3"/>
  <c r="K1148" i="3"/>
  <c r="L1148" i="3"/>
  <c r="M1148" i="3"/>
  <c r="O1148" i="3" s="1"/>
  <c r="P1148" i="3" s="1"/>
  <c r="J1149" i="3"/>
  <c r="K1149" i="3"/>
  <c r="O1149" i="3" s="1"/>
  <c r="P1149" i="3" s="1"/>
  <c r="L1149" i="3"/>
  <c r="M1149" i="3"/>
  <c r="J1150" i="3"/>
  <c r="K1150" i="3"/>
  <c r="L1150" i="3"/>
  <c r="M1150" i="3"/>
  <c r="O1150" i="3" s="1"/>
  <c r="P1150" i="3" s="1"/>
  <c r="J1151" i="3"/>
  <c r="K1151" i="3"/>
  <c r="L1151" i="3"/>
  <c r="M1151" i="3"/>
  <c r="O1151" i="3"/>
  <c r="P1151" i="3" s="1"/>
  <c r="J1152" i="3"/>
  <c r="K1152" i="3"/>
  <c r="L1152" i="3"/>
  <c r="M1152" i="3"/>
  <c r="O1152" i="3" s="1"/>
  <c r="P1152" i="3" s="1"/>
  <c r="J1153" i="3"/>
  <c r="K1153" i="3"/>
  <c r="O1153" i="3" s="1"/>
  <c r="P1153" i="3" s="1"/>
  <c r="L1153" i="3"/>
  <c r="M1153" i="3"/>
  <c r="J1154" i="3"/>
  <c r="K1154" i="3"/>
  <c r="L1154" i="3"/>
  <c r="M1154" i="3"/>
  <c r="O1154" i="3" s="1"/>
  <c r="P1154" i="3" s="1"/>
  <c r="J1155" i="3"/>
  <c r="K1155" i="3"/>
  <c r="L1155" i="3"/>
  <c r="M1155" i="3"/>
  <c r="O1155" i="3"/>
  <c r="P1155" i="3" s="1"/>
  <c r="J1156" i="3"/>
  <c r="K1156" i="3"/>
  <c r="L1156" i="3"/>
  <c r="M1156" i="3"/>
  <c r="O1156" i="3" s="1"/>
  <c r="P1156" i="3" s="1"/>
  <c r="J1157" i="3"/>
  <c r="K1157" i="3"/>
  <c r="O1157" i="3" s="1"/>
  <c r="P1157" i="3" s="1"/>
  <c r="L1157" i="3"/>
  <c r="M1157" i="3"/>
  <c r="J1158" i="3"/>
  <c r="K1158" i="3"/>
  <c r="L1158" i="3"/>
  <c r="M1158" i="3"/>
  <c r="O1158" i="3" s="1"/>
  <c r="P1158" i="3" s="1"/>
  <c r="J1159" i="3"/>
  <c r="K1159" i="3"/>
  <c r="L1159" i="3"/>
  <c r="M1159" i="3"/>
  <c r="O1159" i="3"/>
  <c r="P1159" i="3" s="1"/>
  <c r="J1160" i="3"/>
  <c r="K1160" i="3"/>
  <c r="L1160" i="3"/>
  <c r="M1160" i="3"/>
  <c r="O1160" i="3" s="1"/>
  <c r="P1160" i="3" s="1"/>
  <c r="J1161" i="3"/>
  <c r="K1161" i="3"/>
  <c r="O1161" i="3" s="1"/>
  <c r="P1161" i="3" s="1"/>
  <c r="L1161" i="3"/>
  <c r="M1161" i="3"/>
  <c r="J1162" i="3"/>
  <c r="K1162" i="3"/>
  <c r="L1162" i="3"/>
  <c r="M1162" i="3"/>
  <c r="O1162" i="3" s="1"/>
  <c r="P1162" i="3" s="1"/>
  <c r="J1163" i="3"/>
  <c r="K1163" i="3"/>
  <c r="L1163" i="3"/>
  <c r="M1163" i="3"/>
  <c r="O1163" i="3"/>
  <c r="P1163" i="3" s="1"/>
  <c r="J1164" i="3"/>
  <c r="K1164" i="3"/>
  <c r="L1164" i="3"/>
  <c r="M1164" i="3"/>
  <c r="O1164" i="3" s="1"/>
  <c r="P1164" i="3" s="1"/>
  <c r="J1165" i="3"/>
  <c r="K1165" i="3"/>
  <c r="O1165" i="3" s="1"/>
  <c r="P1165" i="3" s="1"/>
  <c r="L1165" i="3"/>
  <c r="M1165" i="3"/>
  <c r="J1166" i="3"/>
  <c r="K1166" i="3"/>
  <c r="L1166" i="3"/>
  <c r="M1166" i="3"/>
  <c r="O1166" i="3" s="1"/>
  <c r="P1166" i="3" s="1"/>
  <c r="J1167" i="3"/>
  <c r="K1167" i="3"/>
  <c r="L1167" i="3"/>
  <c r="M1167" i="3"/>
  <c r="O1167" i="3"/>
  <c r="P1167" i="3" s="1"/>
  <c r="J1168" i="3"/>
  <c r="K1168" i="3"/>
  <c r="L1168" i="3"/>
  <c r="M1168" i="3"/>
  <c r="O1168" i="3" s="1"/>
  <c r="P1168" i="3" s="1"/>
  <c r="J1169" i="3"/>
  <c r="K1169" i="3"/>
  <c r="O1169" i="3" s="1"/>
  <c r="P1169" i="3" s="1"/>
  <c r="L1169" i="3"/>
  <c r="M1169" i="3"/>
  <c r="J1170" i="3"/>
  <c r="K1170" i="3"/>
  <c r="L1170" i="3"/>
  <c r="M1170" i="3"/>
  <c r="O1170" i="3" s="1"/>
  <c r="P1170" i="3" s="1"/>
  <c r="J1171" i="3"/>
  <c r="K1171" i="3"/>
  <c r="O1171" i="3" s="1"/>
  <c r="P1171" i="3" s="1"/>
  <c r="L1171" i="3"/>
  <c r="M1171" i="3"/>
  <c r="J1172" i="3"/>
  <c r="K1172" i="3"/>
  <c r="L1172" i="3"/>
  <c r="M1172" i="3"/>
  <c r="O1172" i="3"/>
  <c r="P1172" i="3" s="1"/>
  <c r="J1173" i="3"/>
  <c r="K1173" i="3"/>
  <c r="L1173" i="3"/>
  <c r="M1173" i="3"/>
  <c r="O1173" i="3"/>
  <c r="P1173" i="3" s="1"/>
  <c r="J1174" i="3"/>
  <c r="K1174" i="3"/>
  <c r="L1174" i="3"/>
  <c r="M1174" i="3"/>
  <c r="O1174" i="3"/>
  <c r="P1174" i="3" s="1"/>
  <c r="J1175" i="3"/>
  <c r="K1175" i="3"/>
  <c r="L1175" i="3"/>
  <c r="M1175" i="3"/>
  <c r="O1175" i="3"/>
  <c r="P1175" i="3" s="1"/>
  <c r="J1176" i="3"/>
  <c r="K1176" i="3"/>
  <c r="L1176" i="3"/>
  <c r="M1176" i="3"/>
  <c r="O1176" i="3" s="1"/>
  <c r="P1176" i="3" s="1"/>
  <c r="J1177" i="3"/>
  <c r="K1177" i="3"/>
  <c r="O1177" i="3" s="1"/>
  <c r="P1177" i="3" s="1"/>
  <c r="L1177" i="3"/>
  <c r="M1177" i="3"/>
  <c r="J1178" i="3"/>
  <c r="K1178" i="3"/>
  <c r="L1178" i="3"/>
  <c r="M1178" i="3"/>
  <c r="O1178" i="3" s="1"/>
  <c r="P1178" i="3" s="1"/>
  <c r="J1179" i="3"/>
  <c r="K1179" i="3"/>
  <c r="O1179" i="3" s="1"/>
  <c r="P1179" i="3" s="1"/>
  <c r="L1179" i="3"/>
  <c r="M1179" i="3"/>
  <c r="J1180" i="3"/>
  <c r="K1180" i="3"/>
  <c r="L1180" i="3"/>
  <c r="M1180" i="3"/>
  <c r="O1180" i="3"/>
  <c r="P1180" i="3" s="1"/>
  <c r="J1181" i="3"/>
  <c r="K1181" i="3"/>
  <c r="L1181" i="3"/>
  <c r="M1181" i="3"/>
  <c r="O1181" i="3"/>
  <c r="P1181" i="3" s="1"/>
  <c r="J1182" i="3"/>
  <c r="K1182" i="3"/>
  <c r="L1182" i="3"/>
  <c r="M1182" i="3"/>
  <c r="O1182" i="3"/>
  <c r="P1182" i="3" s="1"/>
  <c r="J1183" i="3"/>
  <c r="K1183" i="3"/>
  <c r="L1183" i="3"/>
  <c r="M1183" i="3"/>
  <c r="O1183" i="3"/>
  <c r="P1183" i="3" s="1"/>
  <c r="J1184" i="3"/>
  <c r="K1184" i="3"/>
  <c r="L1184" i="3"/>
  <c r="M1184" i="3"/>
  <c r="O1184" i="3" s="1"/>
  <c r="P1184" i="3" s="1"/>
  <c r="J1185" i="3"/>
  <c r="K1185" i="3"/>
  <c r="O1185" i="3" s="1"/>
  <c r="P1185" i="3" s="1"/>
  <c r="L1185" i="3"/>
  <c r="M1185" i="3"/>
  <c r="J1186" i="3"/>
  <c r="K1186" i="3"/>
  <c r="L1186" i="3"/>
  <c r="M1186" i="3"/>
  <c r="O1186" i="3" s="1"/>
  <c r="P1186" i="3" s="1"/>
  <c r="J1187" i="3"/>
  <c r="K1187" i="3"/>
  <c r="O1187" i="3" s="1"/>
  <c r="P1187" i="3" s="1"/>
  <c r="L1187" i="3"/>
  <c r="M1187" i="3"/>
  <c r="J1188" i="3"/>
  <c r="K1188" i="3"/>
  <c r="L1188" i="3"/>
  <c r="M1188" i="3"/>
  <c r="O1188" i="3"/>
  <c r="P1188" i="3" s="1"/>
  <c r="J1189" i="3"/>
  <c r="K1189" i="3"/>
  <c r="L1189" i="3"/>
  <c r="M1189" i="3"/>
  <c r="O1189" i="3"/>
  <c r="P1189" i="3" s="1"/>
  <c r="J1190" i="3"/>
  <c r="K1190" i="3"/>
  <c r="L1190" i="3"/>
  <c r="M1190" i="3"/>
  <c r="O1190" i="3"/>
  <c r="P1190" i="3" s="1"/>
  <c r="J1191" i="3"/>
  <c r="K1191" i="3"/>
  <c r="L1191" i="3"/>
  <c r="M1191" i="3"/>
  <c r="O1191" i="3"/>
  <c r="P1191" i="3" s="1"/>
  <c r="J1192" i="3"/>
  <c r="K1192" i="3"/>
  <c r="L1192" i="3"/>
  <c r="M1192" i="3"/>
  <c r="O1192" i="3" s="1"/>
  <c r="P1192" i="3" s="1"/>
  <c r="J1193" i="3"/>
  <c r="K1193" i="3"/>
  <c r="O1193" i="3" s="1"/>
  <c r="P1193" i="3" s="1"/>
  <c r="L1193" i="3"/>
  <c r="M1193" i="3"/>
  <c r="J1194" i="3"/>
  <c r="K1194" i="3"/>
  <c r="L1194" i="3"/>
  <c r="M1194" i="3"/>
  <c r="O1194" i="3" s="1"/>
  <c r="P1194" i="3" s="1"/>
  <c r="J1195" i="3"/>
  <c r="K1195" i="3"/>
  <c r="O1195" i="3" s="1"/>
  <c r="P1195" i="3" s="1"/>
  <c r="L1195" i="3"/>
  <c r="M1195" i="3"/>
  <c r="J1196" i="3"/>
  <c r="K1196" i="3"/>
  <c r="L1196" i="3"/>
  <c r="M1196" i="3"/>
  <c r="O1196" i="3"/>
  <c r="P1196" i="3" s="1"/>
  <c r="J1197" i="3"/>
  <c r="K1197" i="3"/>
  <c r="L1197" i="3"/>
  <c r="M1197" i="3"/>
  <c r="O1197" i="3"/>
  <c r="P1197" i="3" s="1"/>
  <c r="J1198" i="3"/>
  <c r="K1198" i="3"/>
  <c r="L1198" i="3"/>
  <c r="M1198" i="3"/>
  <c r="O1198" i="3"/>
  <c r="P1198" i="3" s="1"/>
  <c r="J1199" i="3"/>
  <c r="K1199" i="3"/>
  <c r="L1199" i="3"/>
  <c r="M1199" i="3"/>
  <c r="O1199" i="3"/>
  <c r="P1199" i="3" s="1"/>
  <c r="J1200" i="3"/>
  <c r="K1200" i="3"/>
  <c r="L1200" i="3"/>
  <c r="M1200" i="3"/>
  <c r="O1200" i="3" s="1"/>
  <c r="P1200" i="3" s="1"/>
  <c r="J1201" i="3"/>
  <c r="K1201" i="3"/>
  <c r="O1201" i="3" s="1"/>
  <c r="P1201" i="3" s="1"/>
  <c r="L1201" i="3"/>
  <c r="M1201" i="3"/>
  <c r="J1202" i="3"/>
  <c r="K1202" i="3"/>
  <c r="L1202" i="3"/>
  <c r="M1202" i="3"/>
  <c r="O1202" i="3" s="1"/>
  <c r="P1202" i="3" s="1"/>
  <c r="J1203" i="3"/>
  <c r="K1203" i="3"/>
  <c r="O1203" i="3" s="1"/>
  <c r="P1203" i="3" s="1"/>
  <c r="L1203" i="3"/>
  <c r="M1203" i="3"/>
  <c r="J1204" i="3"/>
  <c r="K1204" i="3"/>
  <c r="L1204" i="3"/>
  <c r="M1204" i="3"/>
  <c r="O1204" i="3"/>
  <c r="P1204" i="3" s="1"/>
  <c r="J1205" i="3"/>
  <c r="K1205" i="3"/>
  <c r="L1205" i="3"/>
  <c r="M1205" i="3"/>
  <c r="O1205" i="3"/>
  <c r="P1205" i="3" s="1"/>
  <c r="J1206" i="3"/>
  <c r="K1206" i="3"/>
  <c r="L1206" i="3"/>
  <c r="M1206" i="3"/>
  <c r="O1206" i="3"/>
  <c r="P1206" i="3" s="1"/>
  <c r="J1207" i="3"/>
  <c r="K1207" i="3"/>
  <c r="L1207" i="3"/>
  <c r="M1207" i="3"/>
  <c r="O1207" i="3"/>
  <c r="P1207" i="3" s="1"/>
  <c r="J1208" i="3"/>
  <c r="K1208" i="3"/>
  <c r="L1208" i="3"/>
  <c r="M1208" i="3"/>
  <c r="O1208" i="3" s="1"/>
  <c r="P1208" i="3" s="1"/>
  <c r="J1209" i="3"/>
  <c r="K1209" i="3"/>
  <c r="O1209" i="3" s="1"/>
  <c r="P1209" i="3" s="1"/>
  <c r="L1209" i="3"/>
  <c r="M1209" i="3"/>
  <c r="J1210" i="3"/>
  <c r="K1210" i="3"/>
  <c r="L1210" i="3"/>
  <c r="M1210" i="3"/>
  <c r="O1210" i="3" s="1"/>
  <c r="P1210" i="3" s="1"/>
  <c r="J1211" i="3"/>
  <c r="K1211" i="3"/>
  <c r="O1211" i="3" s="1"/>
  <c r="P1211" i="3" s="1"/>
  <c r="L1211" i="3"/>
  <c r="M1211" i="3"/>
  <c r="J1212" i="3"/>
  <c r="K1212" i="3"/>
  <c r="L1212" i="3"/>
  <c r="M1212" i="3"/>
  <c r="O1212" i="3"/>
  <c r="P1212" i="3" s="1"/>
  <c r="J1213" i="3"/>
  <c r="K1213" i="3"/>
  <c r="L1213" i="3"/>
  <c r="M1213" i="3"/>
  <c r="O1213" i="3" s="1"/>
  <c r="P1213" i="3" s="1"/>
  <c r="J1214" i="3"/>
  <c r="K1214" i="3"/>
  <c r="O1214" i="3" s="1"/>
  <c r="P1214" i="3" s="1"/>
  <c r="L1214" i="3"/>
  <c r="M1214" i="3"/>
  <c r="J1215" i="3"/>
  <c r="K1215" i="3"/>
  <c r="L1215" i="3"/>
  <c r="M1215" i="3"/>
  <c r="O1215" i="3" s="1"/>
  <c r="P1215" i="3" s="1"/>
  <c r="J1216" i="3"/>
  <c r="K1216" i="3"/>
  <c r="O1216" i="3" s="1"/>
  <c r="P1216" i="3" s="1"/>
  <c r="L1216" i="3"/>
  <c r="M1216" i="3"/>
  <c r="J1217" i="3"/>
  <c r="K1217" i="3"/>
  <c r="L1217" i="3"/>
  <c r="M1217" i="3"/>
  <c r="O1217" i="3" s="1"/>
  <c r="P1217" i="3" s="1"/>
  <c r="J1218" i="3"/>
  <c r="K1218" i="3"/>
  <c r="O1218" i="3" s="1"/>
  <c r="P1218" i="3" s="1"/>
  <c r="L1218" i="3"/>
  <c r="M1218" i="3"/>
  <c r="J1219" i="3"/>
  <c r="K1219" i="3"/>
  <c r="L1219" i="3"/>
  <c r="M1219" i="3"/>
  <c r="O1219" i="3" s="1"/>
  <c r="P1219" i="3" s="1"/>
  <c r="J1220" i="3"/>
  <c r="K1220" i="3"/>
  <c r="O1220" i="3" s="1"/>
  <c r="P1220" i="3" s="1"/>
  <c r="L1220" i="3"/>
  <c r="M1220" i="3"/>
  <c r="J1221" i="3"/>
  <c r="K1221" i="3"/>
  <c r="L1221" i="3"/>
  <c r="M1221" i="3"/>
  <c r="O1221" i="3" s="1"/>
  <c r="P1221" i="3" s="1"/>
  <c r="J1222" i="3"/>
  <c r="K1222" i="3"/>
  <c r="O1222" i="3" s="1"/>
  <c r="P1222" i="3" s="1"/>
  <c r="L1222" i="3"/>
  <c r="M1222" i="3"/>
  <c r="J1223" i="3"/>
  <c r="K1223" i="3"/>
  <c r="L1223" i="3"/>
  <c r="M1223" i="3"/>
  <c r="O1223" i="3" s="1"/>
  <c r="P1223" i="3" s="1"/>
  <c r="J1224" i="3"/>
  <c r="K1224" i="3"/>
  <c r="O1224" i="3" s="1"/>
  <c r="P1224" i="3" s="1"/>
  <c r="L1224" i="3"/>
  <c r="M1224" i="3"/>
  <c r="J1225" i="3"/>
  <c r="K1225" i="3"/>
  <c r="L1225" i="3"/>
  <c r="M1225" i="3"/>
  <c r="O1225" i="3" s="1"/>
  <c r="P1225" i="3" s="1"/>
  <c r="J1226" i="3"/>
  <c r="K1226" i="3"/>
  <c r="O1226" i="3" s="1"/>
  <c r="P1226" i="3" s="1"/>
  <c r="L1226" i="3"/>
  <c r="M1226" i="3"/>
  <c r="J1227" i="3"/>
  <c r="K1227" i="3"/>
  <c r="L1227" i="3"/>
  <c r="M1227" i="3"/>
  <c r="O1227" i="3" s="1"/>
  <c r="P1227" i="3" s="1"/>
  <c r="J1228" i="3"/>
  <c r="K1228" i="3"/>
  <c r="O1228" i="3" s="1"/>
  <c r="P1228" i="3" s="1"/>
  <c r="L1228" i="3"/>
  <c r="M1228" i="3"/>
  <c r="J1229" i="3"/>
  <c r="K1229" i="3"/>
  <c r="L1229" i="3"/>
  <c r="M1229" i="3"/>
  <c r="O1229" i="3" s="1"/>
  <c r="P1229" i="3" s="1"/>
  <c r="J1230" i="3"/>
  <c r="K1230" i="3"/>
  <c r="O1230" i="3" s="1"/>
  <c r="P1230" i="3" s="1"/>
  <c r="L1230" i="3"/>
  <c r="M1230" i="3"/>
  <c r="J1231" i="3"/>
  <c r="K1231" i="3"/>
  <c r="L1231" i="3"/>
  <c r="M1231" i="3"/>
  <c r="O1231" i="3" s="1"/>
  <c r="P1231" i="3" s="1"/>
  <c r="J1232" i="3"/>
  <c r="K1232" i="3"/>
  <c r="O1232" i="3" s="1"/>
  <c r="P1232" i="3" s="1"/>
  <c r="L1232" i="3"/>
  <c r="M1232" i="3"/>
  <c r="J1233" i="3"/>
  <c r="K1233" i="3"/>
  <c r="L1233" i="3"/>
  <c r="M1233" i="3"/>
  <c r="O1233" i="3" s="1"/>
  <c r="P1233" i="3" s="1"/>
  <c r="J1234" i="3"/>
  <c r="K1234" i="3"/>
  <c r="O1234" i="3" s="1"/>
  <c r="P1234" i="3" s="1"/>
  <c r="L1234" i="3"/>
  <c r="M1234" i="3"/>
  <c r="J1235" i="3"/>
  <c r="K1235" i="3"/>
  <c r="L1235" i="3"/>
  <c r="M1235" i="3"/>
  <c r="O1235" i="3" s="1"/>
  <c r="P1235" i="3" s="1"/>
  <c r="J1236" i="3"/>
  <c r="K1236" i="3"/>
  <c r="O1236" i="3" s="1"/>
  <c r="P1236" i="3" s="1"/>
  <c r="L1236" i="3"/>
  <c r="M1236" i="3"/>
  <c r="J1237" i="3"/>
  <c r="K1237" i="3"/>
  <c r="L1237" i="3"/>
  <c r="M1237" i="3"/>
  <c r="O1237" i="3" s="1"/>
  <c r="P1237" i="3" s="1"/>
  <c r="J1238" i="3"/>
  <c r="K1238" i="3"/>
  <c r="O1238" i="3" s="1"/>
  <c r="P1238" i="3" s="1"/>
  <c r="L1238" i="3"/>
  <c r="M1238" i="3"/>
  <c r="J1239" i="3"/>
  <c r="K1239" i="3"/>
  <c r="L1239" i="3"/>
  <c r="M1239" i="3"/>
  <c r="O1239" i="3" s="1"/>
  <c r="P1239" i="3" s="1"/>
  <c r="J1240" i="3"/>
  <c r="K1240" i="3"/>
  <c r="O1240" i="3" s="1"/>
  <c r="P1240" i="3" s="1"/>
  <c r="L1240" i="3"/>
  <c r="M1240" i="3"/>
  <c r="J1241" i="3"/>
  <c r="K1241" i="3"/>
  <c r="L1241" i="3"/>
  <c r="M1241" i="3"/>
  <c r="O1241" i="3" s="1"/>
  <c r="P1241" i="3" s="1"/>
  <c r="J1242" i="3"/>
  <c r="K1242" i="3"/>
  <c r="O1242" i="3" s="1"/>
  <c r="P1242" i="3" s="1"/>
  <c r="L1242" i="3"/>
  <c r="M1242" i="3"/>
  <c r="J1243" i="3"/>
  <c r="K1243" i="3"/>
  <c r="L1243" i="3"/>
  <c r="M1243" i="3"/>
  <c r="O1243" i="3" s="1"/>
  <c r="P1243" i="3" s="1"/>
  <c r="J1244" i="3"/>
  <c r="K1244" i="3"/>
  <c r="O1244" i="3" s="1"/>
  <c r="P1244" i="3" s="1"/>
  <c r="L1244" i="3"/>
  <c r="M1244" i="3"/>
  <c r="J1245" i="3"/>
  <c r="K1245" i="3"/>
  <c r="L1245" i="3"/>
  <c r="M1245" i="3"/>
  <c r="O1245" i="3" s="1"/>
  <c r="P1245" i="3" s="1"/>
  <c r="J1246" i="3"/>
  <c r="K1246" i="3"/>
  <c r="O1246" i="3" s="1"/>
  <c r="P1246" i="3" s="1"/>
  <c r="L1246" i="3"/>
  <c r="M1246" i="3"/>
  <c r="J1247" i="3"/>
  <c r="K1247" i="3"/>
  <c r="L1247" i="3"/>
  <c r="M1247" i="3"/>
  <c r="O1247" i="3" s="1"/>
  <c r="P1247" i="3" s="1"/>
  <c r="J1248" i="3"/>
  <c r="K1248" i="3"/>
  <c r="O1248" i="3" s="1"/>
  <c r="P1248" i="3" s="1"/>
  <c r="L1248" i="3"/>
  <c r="M1248" i="3"/>
  <c r="J1249" i="3"/>
  <c r="K1249" i="3"/>
  <c r="L1249" i="3"/>
  <c r="M1249" i="3"/>
  <c r="O1249" i="3" s="1"/>
  <c r="P1249" i="3" s="1"/>
  <c r="J1250" i="3"/>
  <c r="K1250" i="3"/>
  <c r="O1250" i="3" s="1"/>
  <c r="P1250" i="3" s="1"/>
  <c r="L1250" i="3"/>
  <c r="M1250" i="3"/>
  <c r="J1251" i="3"/>
  <c r="K1251" i="3"/>
  <c r="L1251" i="3"/>
  <c r="M1251" i="3"/>
  <c r="O1251" i="3" s="1"/>
  <c r="P1251" i="3" s="1"/>
  <c r="J1252" i="3"/>
  <c r="K1252" i="3"/>
  <c r="O1252" i="3" s="1"/>
  <c r="P1252" i="3" s="1"/>
  <c r="L1252" i="3"/>
  <c r="M1252" i="3"/>
  <c r="J1253" i="3"/>
  <c r="K1253" i="3"/>
  <c r="L1253" i="3"/>
  <c r="M1253" i="3"/>
  <c r="O1253" i="3" s="1"/>
  <c r="P1253" i="3" s="1"/>
  <c r="J1254" i="3"/>
  <c r="K1254" i="3"/>
  <c r="O1254" i="3" s="1"/>
  <c r="P1254" i="3" s="1"/>
  <c r="L1254" i="3"/>
  <c r="M1254" i="3"/>
  <c r="J1255" i="3"/>
  <c r="K1255" i="3"/>
  <c r="L1255" i="3"/>
  <c r="M1255" i="3"/>
  <c r="O1255" i="3" s="1"/>
  <c r="P1255" i="3" s="1"/>
  <c r="J1256" i="3"/>
  <c r="K1256" i="3"/>
  <c r="O1256" i="3" s="1"/>
  <c r="P1256" i="3" s="1"/>
  <c r="L1256" i="3"/>
  <c r="M1256" i="3"/>
  <c r="J1257" i="3"/>
  <c r="K1257" i="3"/>
  <c r="L1257" i="3"/>
  <c r="M1257" i="3"/>
  <c r="O1257" i="3" s="1"/>
  <c r="P1257" i="3" s="1"/>
  <c r="J1258" i="3"/>
  <c r="K1258" i="3"/>
  <c r="O1258" i="3" s="1"/>
  <c r="P1258" i="3" s="1"/>
  <c r="L1258" i="3"/>
  <c r="M1258" i="3"/>
  <c r="J1259" i="3"/>
  <c r="K1259" i="3"/>
  <c r="L1259" i="3"/>
  <c r="M1259" i="3"/>
  <c r="O1259" i="3" s="1"/>
  <c r="P1259" i="3" s="1"/>
  <c r="J1260" i="3"/>
  <c r="K1260" i="3"/>
  <c r="O1260" i="3" s="1"/>
  <c r="P1260" i="3" s="1"/>
  <c r="L1260" i="3"/>
  <c r="M1260" i="3"/>
  <c r="J1261" i="3"/>
  <c r="K1261" i="3"/>
  <c r="L1261" i="3"/>
  <c r="M1261" i="3"/>
  <c r="O1261" i="3" s="1"/>
  <c r="P1261" i="3" s="1"/>
  <c r="J1262" i="3"/>
  <c r="K1262" i="3"/>
  <c r="O1262" i="3" s="1"/>
  <c r="P1262" i="3" s="1"/>
  <c r="L1262" i="3"/>
  <c r="M1262" i="3"/>
  <c r="J1263" i="3"/>
  <c r="K1263" i="3"/>
  <c r="L1263" i="3"/>
  <c r="M1263" i="3"/>
  <c r="O1263" i="3" s="1"/>
  <c r="P1263" i="3" s="1"/>
  <c r="J1264" i="3"/>
  <c r="K1264" i="3"/>
  <c r="O1264" i="3" s="1"/>
  <c r="P1264" i="3" s="1"/>
  <c r="L1264" i="3"/>
  <c r="M1264" i="3"/>
  <c r="J1265" i="3"/>
  <c r="K1265" i="3"/>
  <c r="L1265" i="3"/>
  <c r="M1265" i="3"/>
  <c r="O1265" i="3" s="1"/>
  <c r="P1265" i="3" s="1"/>
  <c r="J1266" i="3"/>
  <c r="K1266" i="3"/>
  <c r="O1266" i="3" s="1"/>
  <c r="P1266" i="3" s="1"/>
  <c r="L1266" i="3"/>
  <c r="M1266" i="3"/>
  <c r="J1267" i="3"/>
  <c r="K1267" i="3"/>
  <c r="L1267" i="3"/>
  <c r="M1267" i="3"/>
  <c r="O1267" i="3" s="1"/>
  <c r="P1267" i="3" s="1"/>
  <c r="J1268" i="3"/>
  <c r="K1268" i="3"/>
  <c r="O1268" i="3" s="1"/>
  <c r="P1268" i="3" s="1"/>
  <c r="L1268" i="3"/>
  <c r="M1268" i="3"/>
  <c r="J1269" i="3"/>
  <c r="K1269" i="3"/>
  <c r="L1269" i="3"/>
  <c r="M1269" i="3"/>
  <c r="O1269" i="3" s="1"/>
  <c r="P1269" i="3" s="1"/>
  <c r="J1270" i="3"/>
  <c r="K1270" i="3"/>
  <c r="O1270" i="3" s="1"/>
  <c r="P1270" i="3" s="1"/>
  <c r="L1270" i="3"/>
  <c r="M1270" i="3"/>
  <c r="J1271" i="3"/>
  <c r="K1271" i="3"/>
  <c r="L1271" i="3"/>
  <c r="M1271" i="3"/>
  <c r="O1271" i="3" s="1"/>
  <c r="P1271" i="3" s="1"/>
  <c r="J1272" i="3"/>
  <c r="K1272" i="3"/>
  <c r="O1272" i="3" s="1"/>
  <c r="P1272" i="3" s="1"/>
  <c r="L1272" i="3"/>
  <c r="M1272" i="3"/>
  <c r="J1273" i="3"/>
  <c r="K1273" i="3"/>
  <c r="L1273" i="3"/>
  <c r="M1273" i="3"/>
  <c r="O1273" i="3" s="1"/>
  <c r="P1273" i="3" s="1"/>
  <c r="J1274" i="3"/>
  <c r="K1274" i="3"/>
  <c r="O1274" i="3" s="1"/>
  <c r="P1274" i="3" s="1"/>
  <c r="L1274" i="3"/>
  <c r="M1274" i="3"/>
  <c r="J1275" i="3"/>
  <c r="K1275" i="3"/>
  <c r="L1275" i="3"/>
  <c r="M1275" i="3"/>
  <c r="O1275" i="3" s="1"/>
  <c r="P1275" i="3" s="1"/>
  <c r="J1276" i="3"/>
  <c r="K1276" i="3"/>
  <c r="O1276" i="3" s="1"/>
  <c r="P1276" i="3" s="1"/>
  <c r="L1276" i="3"/>
  <c r="M1276" i="3"/>
  <c r="J1277" i="3"/>
  <c r="K1277" i="3"/>
  <c r="L1277" i="3"/>
  <c r="M1277" i="3"/>
  <c r="O1277" i="3" s="1"/>
  <c r="P1277" i="3" s="1"/>
  <c r="J1278" i="3"/>
  <c r="K1278" i="3"/>
  <c r="O1278" i="3" s="1"/>
  <c r="P1278" i="3" s="1"/>
  <c r="L1278" i="3"/>
  <c r="M1278" i="3"/>
  <c r="J1279" i="3"/>
  <c r="K1279" i="3"/>
  <c r="L1279" i="3"/>
  <c r="M1279" i="3"/>
  <c r="O1279" i="3" s="1"/>
  <c r="P1279" i="3" s="1"/>
  <c r="J1280" i="3"/>
  <c r="K1280" i="3"/>
  <c r="O1280" i="3" s="1"/>
  <c r="P1280" i="3" s="1"/>
  <c r="L1280" i="3"/>
  <c r="M1280" i="3"/>
  <c r="J1281" i="3"/>
  <c r="K1281" i="3"/>
  <c r="L1281" i="3"/>
  <c r="M1281" i="3"/>
  <c r="O1281" i="3" s="1"/>
  <c r="P1281" i="3" s="1"/>
  <c r="J1282" i="3"/>
  <c r="K1282" i="3"/>
  <c r="O1282" i="3" s="1"/>
  <c r="P1282" i="3" s="1"/>
  <c r="L1282" i="3"/>
  <c r="M1282" i="3"/>
  <c r="J1283" i="3"/>
  <c r="K1283" i="3"/>
  <c r="L1283" i="3"/>
  <c r="M1283" i="3"/>
  <c r="O1283" i="3" s="1"/>
  <c r="P1283" i="3" s="1"/>
  <c r="J1284" i="3"/>
  <c r="K1284" i="3"/>
  <c r="O1284" i="3" s="1"/>
  <c r="P1284" i="3" s="1"/>
  <c r="L1284" i="3"/>
  <c r="M1284" i="3"/>
  <c r="J1285" i="3"/>
  <c r="K1285" i="3"/>
  <c r="L1285" i="3"/>
  <c r="M1285" i="3"/>
  <c r="O1285" i="3" s="1"/>
  <c r="P1285" i="3" s="1"/>
  <c r="J1286" i="3"/>
  <c r="K1286" i="3"/>
  <c r="O1286" i="3" s="1"/>
  <c r="P1286" i="3" s="1"/>
  <c r="L1286" i="3"/>
  <c r="M1286" i="3"/>
  <c r="J1287" i="3"/>
  <c r="K1287" i="3"/>
  <c r="L1287" i="3"/>
  <c r="M1287" i="3"/>
  <c r="O1287" i="3" s="1"/>
  <c r="P1287" i="3" s="1"/>
  <c r="J1288" i="3"/>
  <c r="K1288" i="3"/>
  <c r="O1288" i="3" s="1"/>
  <c r="P1288" i="3" s="1"/>
  <c r="L1288" i="3"/>
  <c r="M1288" i="3"/>
  <c r="J1289" i="3"/>
  <c r="K1289" i="3"/>
  <c r="L1289" i="3"/>
  <c r="M1289" i="3"/>
  <c r="O1289" i="3" s="1"/>
  <c r="P1289" i="3" s="1"/>
  <c r="J1290" i="3"/>
  <c r="K1290" i="3"/>
  <c r="O1290" i="3" s="1"/>
  <c r="P1290" i="3" s="1"/>
  <c r="L1290" i="3"/>
  <c r="M1290" i="3"/>
  <c r="J1291" i="3"/>
  <c r="K1291" i="3"/>
  <c r="L1291" i="3"/>
  <c r="M1291" i="3"/>
  <c r="O1291" i="3" s="1"/>
  <c r="P1291" i="3" s="1"/>
  <c r="J1292" i="3"/>
  <c r="K1292" i="3"/>
  <c r="O1292" i="3" s="1"/>
  <c r="P1292" i="3" s="1"/>
  <c r="L1292" i="3"/>
  <c r="M1292" i="3"/>
  <c r="J1293" i="3"/>
  <c r="K1293" i="3"/>
  <c r="L1293" i="3"/>
  <c r="M1293" i="3"/>
  <c r="O1293" i="3" s="1"/>
  <c r="P1293" i="3" s="1"/>
  <c r="J1294" i="3"/>
  <c r="K1294" i="3"/>
  <c r="O1294" i="3" s="1"/>
  <c r="P1294" i="3" s="1"/>
  <c r="L1294" i="3"/>
  <c r="M1294" i="3"/>
  <c r="J1295" i="3"/>
  <c r="K1295" i="3"/>
  <c r="L1295" i="3"/>
  <c r="M1295" i="3"/>
  <c r="O1295" i="3" s="1"/>
  <c r="P1295" i="3" s="1"/>
  <c r="J1296" i="3"/>
  <c r="K1296" i="3"/>
  <c r="O1296" i="3" s="1"/>
  <c r="P1296" i="3" s="1"/>
  <c r="L1296" i="3"/>
  <c r="M1296" i="3"/>
  <c r="J1297" i="3"/>
  <c r="K1297" i="3"/>
  <c r="L1297" i="3"/>
  <c r="M1297" i="3"/>
  <c r="O1297" i="3" s="1"/>
  <c r="P1297" i="3" s="1"/>
  <c r="J1298" i="3"/>
  <c r="K1298" i="3"/>
  <c r="O1298" i="3" s="1"/>
  <c r="P1298" i="3" s="1"/>
  <c r="L1298" i="3"/>
  <c r="M1298" i="3"/>
  <c r="J1299" i="3"/>
  <c r="K1299" i="3"/>
  <c r="L1299" i="3"/>
  <c r="M1299" i="3"/>
  <c r="O1299" i="3" s="1"/>
  <c r="P1299" i="3" s="1"/>
  <c r="J1300" i="3"/>
  <c r="K1300" i="3"/>
  <c r="O1300" i="3" s="1"/>
  <c r="P1300" i="3" s="1"/>
  <c r="L1300" i="3"/>
  <c r="M1300" i="3"/>
  <c r="J1301" i="3"/>
  <c r="K1301" i="3"/>
  <c r="L1301" i="3"/>
  <c r="M1301" i="3"/>
  <c r="O1301" i="3" s="1"/>
  <c r="P1301" i="3" s="1"/>
  <c r="J1302" i="3"/>
  <c r="K1302" i="3"/>
  <c r="O1302" i="3" s="1"/>
  <c r="P1302" i="3" s="1"/>
  <c r="L1302" i="3"/>
  <c r="M1302" i="3"/>
  <c r="J1303" i="3"/>
  <c r="K1303" i="3"/>
  <c r="L1303" i="3"/>
  <c r="M1303" i="3"/>
  <c r="O1303" i="3" s="1"/>
  <c r="P1303" i="3" s="1"/>
  <c r="J1304" i="3"/>
  <c r="K1304" i="3"/>
  <c r="O1304" i="3" s="1"/>
  <c r="P1304" i="3" s="1"/>
  <c r="L1304" i="3"/>
  <c r="M1304" i="3"/>
  <c r="J1305" i="3"/>
  <c r="K1305" i="3"/>
  <c r="L1305" i="3"/>
  <c r="M1305" i="3"/>
  <c r="O1305" i="3" s="1"/>
  <c r="P1305" i="3" s="1"/>
  <c r="J1306" i="3"/>
  <c r="K1306" i="3"/>
  <c r="O1306" i="3" s="1"/>
  <c r="P1306" i="3" s="1"/>
  <c r="L1306" i="3"/>
  <c r="M1306" i="3"/>
  <c r="J1307" i="3"/>
  <c r="K1307" i="3"/>
  <c r="L1307" i="3"/>
  <c r="M1307" i="3"/>
  <c r="O1307" i="3" s="1"/>
  <c r="P1307" i="3" s="1"/>
  <c r="J1308" i="3"/>
  <c r="K1308" i="3"/>
  <c r="O1308" i="3" s="1"/>
  <c r="P1308" i="3" s="1"/>
  <c r="L1308" i="3"/>
  <c r="M1308" i="3"/>
  <c r="J1309" i="3"/>
  <c r="K1309" i="3"/>
  <c r="L1309" i="3"/>
  <c r="M1309" i="3"/>
  <c r="O1309" i="3" s="1"/>
  <c r="P1309" i="3" s="1"/>
  <c r="J1310" i="3"/>
  <c r="K1310" i="3"/>
  <c r="O1310" i="3" s="1"/>
  <c r="P1310" i="3" s="1"/>
  <c r="L1310" i="3"/>
  <c r="M1310" i="3"/>
  <c r="J1311" i="3"/>
  <c r="K1311" i="3"/>
  <c r="L1311" i="3"/>
  <c r="M1311" i="3"/>
  <c r="O1311" i="3" s="1"/>
  <c r="P1311" i="3" s="1"/>
  <c r="J1312" i="3"/>
  <c r="K1312" i="3"/>
  <c r="O1312" i="3" s="1"/>
  <c r="P1312" i="3" s="1"/>
  <c r="L1312" i="3"/>
  <c r="M1312" i="3"/>
  <c r="J1313" i="3"/>
  <c r="K1313" i="3"/>
  <c r="L1313" i="3"/>
  <c r="M1313" i="3"/>
  <c r="O1313" i="3" s="1"/>
  <c r="P1313" i="3" s="1"/>
  <c r="J1314" i="3"/>
  <c r="K1314" i="3"/>
  <c r="O1314" i="3" s="1"/>
  <c r="P1314" i="3" s="1"/>
  <c r="L1314" i="3"/>
  <c r="M1314" i="3"/>
  <c r="J1315" i="3"/>
  <c r="K1315" i="3"/>
  <c r="L1315" i="3"/>
  <c r="M1315" i="3"/>
  <c r="O1315" i="3" s="1"/>
  <c r="P1315" i="3" s="1"/>
  <c r="J1316" i="3"/>
  <c r="K1316" i="3"/>
  <c r="O1316" i="3" s="1"/>
  <c r="P1316" i="3" s="1"/>
  <c r="L1316" i="3"/>
  <c r="M1316" i="3"/>
  <c r="J1317" i="3"/>
  <c r="K1317" i="3"/>
  <c r="L1317" i="3"/>
  <c r="M1317" i="3"/>
  <c r="O1317" i="3" s="1"/>
  <c r="P1317" i="3" s="1"/>
  <c r="J1318" i="3"/>
  <c r="K1318" i="3"/>
  <c r="O1318" i="3" s="1"/>
  <c r="P1318" i="3" s="1"/>
  <c r="L1318" i="3"/>
  <c r="M1318" i="3"/>
  <c r="J1319" i="3"/>
  <c r="K1319" i="3"/>
  <c r="L1319" i="3"/>
  <c r="M1319" i="3"/>
  <c r="O1319" i="3" s="1"/>
  <c r="P1319" i="3" s="1"/>
  <c r="J1320" i="3"/>
  <c r="K1320" i="3"/>
  <c r="O1320" i="3" s="1"/>
  <c r="P1320" i="3" s="1"/>
  <c r="L1320" i="3"/>
  <c r="M1320" i="3"/>
  <c r="J1321" i="3"/>
  <c r="K1321" i="3"/>
  <c r="L1321" i="3"/>
  <c r="M1321" i="3"/>
  <c r="O1321" i="3" s="1"/>
  <c r="P1321" i="3" s="1"/>
  <c r="J1322" i="3"/>
  <c r="K1322" i="3"/>
  <c r="O1322" i="3" s="1"/>
  <c r="P1322" i="3" s="1"/>
  <c r="L1322" i="3"/>
  <c r="M1322" i="3"/>
  <c r="J1323" i="3"/>
  <c r="K1323" i="3"/>
  <c r="L1323" i="3"/>
  <c r="M1323" i="3"/>
  <c r="O1323" i="3" s="1"/>
  <c r="P1323" i="3" s="1"/>
  <c r="J1324" i="3"/>
  <c r="K1324" i="3"/>
  <c r="O1324" i="3" s="1"/>
  <c r="P1324" i="3" s="1"/>
  <c r="L1324" i="3"/>
  <c r="M1324" i="3"/>
  <c r="J1325" i="3"/>
  <c r="K1325" i="3"/>
  <c r="L1325" i="3"/>
  <c r="M1325" i="3"/>
  <c r="O1325" i="3" s="1"/>
  <c r="P1325" i="3" s="1"/>
  <c r="J1326" i="3"/>
  <c r="K1326" i="3"/>
  <c r="O1326" i="3" s="1"/>
  <c r="P1326" i="3" s="1"/>
  <c r="L1326" i="3"/>
  <c r="M1326" i="3"/>
  <c r="J1327" i="3"/>
  <c r="K1327" i="3"/>
  <c r="L1327" i="3"/>
  <c r="M1327" i="3"/>
  <c r="O1327" i="3" s="1"/>
  <c r="P1327" i="3" s="1"/>
  <c r="J1328" i="3"/>
  <c r="K1328" i="3"/>
  <c r="O1328" i="3" s="1"/>
  <c r="P1328" i="3" s="1"/>
  <c r="L1328" i="3"/>
  <c r="M1328" i="3"/>
  <c r="J1329" i="3"/>
  <c r="K1329" i="3"/>
  <c r="L1329" i="3"/>
  <c r="M1329" i="3"/>
  <c r="O1329" i="3" s="1"/>
  <c r="P1329" i="3" s="1"/>
  <c r="J1330" i="3"/>
  <c r="K1330" i="3"/>
  <c r="O1330" i="3" s="1"/>
  <c r="P1330" i="3" s="1"/>
  <c r="L1330" i="3"/>
  <c r="M1330" i="3"/>
  <c r="J1331" i="3"/>
  <c r="K1331" i="3"/>
  <c r="L1331" i="3"/>
  <c r="M1331" i="3"/>
  <c r="O1331" i="3" s="1"/>
  <c r="P1331" i="3" s="1"/>
  <c r="J1332" i="3"/>
  <c r="K1332" i="3"/>
  <c r="O1332" i="3" s="1"/>
  <c r="P1332" i="3" s="1"/>
  <c r="L1332" i="3"/>
  <c r="M1332" i="3"/>
  <c r="J1333" i="3"/>
  <c r="K1333" i="3"/>
  <c r="L1333" i="3"/>
  <c r="M1333" i="3"/>
  <c r="O1333" i="3" s="1"/>
  <c r="P1333" i="3" s="1"/>
  <c r="J1334" i="3"/>
  <c r="K1334" i="3"/>
  <c r="O1334" i="3" s="1"/>
  <c r="P1334" i="3" s="1"/>
  <c r="L1334" i="3"/>
  <c r="M1334" i="3"/>
  <c r="J1335" i="3"/>
  <c r="K1335" i="3"/>
  <c r="L1335" i="3"/>
  <c r="M1335" i="3"/>
  <c r="O1335" i="3" s="1"/>
  <c r="P1335" i="3" s="1"/>
  <c r="J1336" i="3"/>
  <c r="K1336" i="3"/>
  <c r="O1336" i="3" s="1"/>
  <c r="P1336" i="3" s="1"/>
  <c r="L1336" i="3"/>
  <c r="M1336" i="3"/>
  <c r="J1337" i="3"/>
  <c r="K1337" i="3"/>
  <c r="L1337" i="3"/>
  <c r="M1337" i="3"/>
  <c r="O1337" i="3" s="1"/>
  <c r="P1337" i="3" s="1"/>
  <c r="J1338" i="3"/>
  <c r="K1338" i="3"/>
  <c r="O1338" i="3" s="1"/>
  <c r="P1338" i="3" s="1"/>
  <c r="L1338" i="3"/>
  <c r="M1338" i="3"/>
  <c r="J1339" i="3"/>
  <c r="K1339" i="3"/>
  <c r="L1339" i="3"/>
  <c r="M1339" i="3"/>
  <c r="O1339" i="3" s="1"/>
  <c r="P1339" i="3" s="1"/>
  <c r="J1340" i="3"/>
  <c r="K1340" i="3"/>
  <c r="O1340" i="3" s="1"/>
  <c r="P1340" i="3" s="1"/>
  <c r="L1340" i="3"/>
  <c r="M1340" i="3"/>
  <c r="J1341" i="3"/>
  <c r="K1341" i="3"/>
  <c r="L1341" i="3"/>
  <c r="M1341" i="3"/>
  <c r="O1341" i="3" s="1"/>
  <c r="P1341" i="3" s="1"/>
  <c r="J1342" i="3"/>
  <c r="K1342" i="3"/>
  <c r="O1342" i="3" s="1"/>
  <c r="P1342" i="3" s="1"/>
  <c r="L1342" i="3"/>
  <c r="M1342" i="3"/>
  <c r="J1343" i="3"/>
  <c r="K1343" i="3"/>
  <c r="L1343" i="3"/>
  <c r="M1343" i="3"/>
  <c r="O1343" i="3" s="1"/>
  <c r="P1343" i="3" s="1"/>
  <c r="J1344" i="3"/>
  <c r="K1344" i="3"/>
  <c r="O1344" i="3" s="1"/>
  <c r="P1344" i="3" s="1"/>
  <c r="L1344" i="3"/>
  <c r="M1344" i="3"/>
  <c r="J1345" i="3"/>
  <c r="K1345" i="3"/>
  <c r="L1345" i="3"/>
  <c r="M1345" i="3"/>
  <c r="O1345" i="3" s="1"/>
  <c r="P1345" i="3" s="1"/>
  <c r="J1346" i="3"/>
  <c r="K1346" i="3"/>
  <c r="O1346" i="3" s="1"/>
  <c r="P1346" i="3" s="1"/>
  <c r="L1346" i="3"/>
  <c r="M1346" i="3"/>
  <c r="J1347" i="3"/>
  <c r="K1347" i="3"/>
  <c r="L1347" i="3"/>
  <c r="M1347" i="3"/>
  <c r="O1347" i="3" s="1"/>
  <c r="P1347" i="3" s="1"/>
  <c r="J1348" i="3"/>
  <c r="K1348" i="3"/>
  <c r="O1348" i="3" s="1"/>
  <c r="P1348" i="3" s="1"/>
  <c r="L1348" i="3"/>
  <c r="M1348" i="3"/>
  <c r="J1349" i="3"/>
  <c r="K1349" i="3"/>
  <c r="L1349" i="3"/>
  <c r="M1349" i="3"/>
  <c r="O1349" i="3" s="1"/>
  <c r="P1349" i="3" s="1"/>
  <c r="J1350" i="3"/>
  <c r="K1350" i="3"/>
  <c r="O1350" i="3" s="1"/>
  <c r="P1350" i="3" s="1"/>
  <c r="L1350" i="3"/>
  <c r="M1350" i="3"/>
  <c r="J1351" i="3"/>
  <c r="K1351" i="3"/>
  <c r="L1351" i="3"/>
  <c r="M1351" i="3"/>
  <c r="O1351" i="3" s="1"/>
  <c r="P1351" i="3" s="1"/>
  <c r="J1352" i="3"/>
  <c r="K1352" i="3"/>
  <c r="O1352" i="3" s="1"/>
  <c r="P1352" i="3" s="1"/>
  <c r="L1352" i="3"/>
  <c r="M1352" i="3"/>
  <c r="J1353" i="3"/>
  <c r="K1353" i="3"/>
  <c r="L1353" i="3"/>
  <c r="M1353" i="3"/>
  <c r="O1353" i="3" s="1"/>
  <c r="P1353" i="3" s="1"/>
  <c r="J1354" i="3"/>
  <c r="K1354" i="3"/>
  <c r="O1354" i="3" s="1"/>
  <c r="P1354" i="3" s="1"/>
  <c r="L1354" i="3"/>
  <c r="M1354" i="3"/>
  <c r="J1355" i="3"/>
  <c r="K1355" i="3"/>
  <c r="L1355" i="3"/>
  <c r="M1355" i="3"/>
  <c r="O1355" i="3" s="1"/>
  <c r="P1355" i="3" s="1"/>
  <c r="J1356" i="3"/>
  <c r="K1356" i="3"/>
  <c r="O1356" i="3" s="1"/>
  <c r="P1356" i="3" s="1"/>
  <c r="L1356" i="3"/>
  <c r="M1356" i="3"/>
  <c r="J1357" i="3"/>
  <c r="K1357" i="3"/>
  <c r="L1357" i="3"/>
  <c r="M1357" i="3"/>
  <c r="O1357" i="3" s="1"/>
  <c r="P1357" i="3" s="1"/>
  <c r="J1358" i="3"/>
  <c r="K1358" i="3"/>
  <c r="O1358" i="3" s="1"/>
  <c r="P1358" i="3" s="1"/>
  <c r="L1358" i="3"/>
  <c r="M1358" i="3"/>
  <c r="J1359" i="3"/>
  <c r="K1359" i="3"/>
  <c r="L1359" i="3"/>
  <c r="M1359" i="3"/>
  <c r="O1359" i="3" s="1"/>
  <c r="P1359" i="3" s="1"/>
  <c r="J1360" i="3"/>
  <c r="K1360" i="3"/>
  <c r="O1360" i="3" s="1"/>
  <c r="P1360" i="3" s="1"/>
  <c r="L1360" i="3"/>
  <c r="M1360" i="3"/>
  <c r="J1361" i="3"/>
  <c r="K1361" i="3"/>
  <c r="L1361" i="3"/>
  <c r="M1361" i="3"/>
  <c r="O1361" i="3" s="1"/>
  <c r="P1361" i="3" s="1"/>
  <c r="J1362" i="3"/>
  <c r="K1362" i="3"/>
  <c r="O1362" i="3" s="1"/>
  <c r="P1362" i="3" s="1"/>
  <c r="L1362" i="3"/>
  <c r="M1362" i="3"/>
  <c r="J1363" i="3"/>
  <c r="K1363" i="3"/>
  <c r="L1363" i="3"/>
  <c r="M1363" i="3"/>
  <c r="O1363" i="3" s="1"/>
  <c r="P1363" i="3" s="1"/>
  <c r="J1364" i="3"/>
  <c r="K1364" i="3"/>
  <c r="O1364" i="3" s="1"/>
  <c r="P1364" i="3" s="1"/>
  <c r="L1364" i="3"/>
  <c r="M1364" i="3"/>
  <c r="J1365" i="3"/>
  <c r="K1365" i="3"/>
  <c r="L1365" i="3"/>
  <c r="M1365" i="3"/>
  <c r="O1365" i="3" s="1"/>
  <c r="P1365" i="3" s="1"/>
  <c r="J1366" i="3"/>
  <c r="K1366" i="3"/>
  <c r="O1366" i="3" s="1"/>
  <c r="P1366" i="3" s="1"/>
  <c r="L1366" i="3"/>
  <c r="M1366" i="3"/>
  <c r="J1367" i="3"/>
  <c r="K1367" i="3"/>
  <c r="L1367" i="3"/>
  <c r="M1367" i="3"/>
  <c r="O1367" i="3" s="1"/>
  <c r="P1367" i="3" s="1"/>
  <c r="J1368" i="3"/>
  <c r="K1368" i="3"/>
  <c r="O1368" i="3" s="1"/>
  <c r="P1368" i="3" s="1"/>
  <c r="L1368" i="3"/>
  <c r="M1368" i="3"/>
  <c r="J1369" i="3"/>
  <c r="K1369" i="3"/>
  <c r="L1369" i="3"/>
  <c r="M1369" i="3"/>
  <c r="O1369" i="3" s="1"/>
  <c r="P1369" i="3" s="1"/>
  <c r="J1370" i="3"/>
  <c r="K1370" i="3"/>
  <c r="O1370" i="3" s="1"/>
  <c r="P1370" i="3" s="1"/>
  <c r="L1370" i="3"/>
  <c r="M1370" i="3"/>
  <c r="J1371" i="3"/>
  <c r="K1371" i="3"/>
  <c r="L1371" i="3"/>
  <c r="M1371" i="3"/>
  <c r="O1371" i="3" s="1"/>
  <c r="P1371" i="3" s="1"/>
  <c r="J1372" i="3"/>
  <c r="K1372" i="3"/>
  <c r="O1372" i="3" s="1"/>
  <c r="P1372" i="3" s="1"/>
  <c r="L1372" i="3"/>
  <c r="M1372" i="3"/>
  <c r="J1373" i="3"/>
  <c r="K1373" i="3"/>
  <c r="L1373" i="3"/>
  <c r="M1373" i="3"/>
  <c r="O1373" i="3" s="1"/>
  <c r="P1373" i="3" s="1"/>
  <c r="J1374" i="3"/>
  <c r="K1374" i="3"/>
  <c r="O1374" i="3" s="1"/>
  <c r="P1374" i="3" s="1"/>
  <c r="L1374" i="3"/>
  <c r="M1374" i="3"/>
  <c r="J1375" i="3"/>
  <c r="K1375" i="3"/>
  <c r="L1375" i="3"/>
  <c r="M1375" i="3"/>
  <c r="O1375" i="3" s="1"/>
  <c r="P1375" i="3" s="1"/>
  <c r="J1376" i="3"/>
  <c r="K1376" i="3"/>
  <c r="O1376" i="3" s="1"/>
  <c r="P1376" i="3" s="1"/>
  <c r="L1376" i="3"/>
  <c r="M1376" i="3"/>
  <c r="J1377" i="3"/>
  <c r="K1377" i="3"/>
  <c r="L1377" i="3"/>
  <c r="M1377" i="3"/>
  <c r="O1377" i="3" s="1"/>
  <c r="P1377" i="3" s="1"/>
  <c r="J1378" i="3"/>
  <c r="K1378" i="3"/>
  <c r="O1378" i="3" s="1"/>
  <c r="P1378" i="3" s="1"/>
  <c r="L1378" i="3"/>
  <c r="M1378" i="3"/>
  <c r="J1379" i="3"/>
  <c r="K1379" i="3"/>
  <c r="L1379" i="3"/>
  <c r="M1379" i="3"/>
  <c r="O1379" i="3" s="1"/>
  <c r="P1379" i="3" s="1"/>
  <c r="J1380" i="3"/>
  <c r="K1380" i="3"/>
  <c r="O1380" i="3" s="1"/>
  <c r="P1380" i="3" s="1"/>
  <c r="L1380" i="3"/>
  <c r="M1380" i="3"/>
  <c r="J1381" i="3"/>
  <c r="K1381" i="3"/>
  <c r="L1381" i="3"/>
  <c r="M1381" i="3"/>
  <c r="O1381" i="3" s="1"/>
  <c r="P1381" i="3" s="1"/>
  <c r="J1382" i="3"/>
  <c r="K1382" i="3"/>
  <c r="O1382" i="3" s="1"/>
  <c r="P1382" i="3" s="1"/>
  <c r="L1382" i="3"/>
  <c r="M1382" i="3"/>
  <c r="J1383" i="3"/>
  <c r="K1383" i="3"/>
  <c r="L1383" i="3"/>
  <c r="M1383" i="3"/>
  <c r="O1383" i="3" s="1"/>
  <c r="P1383" i="3" s="1"/>
  <c r="J1384" i="3"/>
  <c r="K1384" i="3"/>
  <c r="O1384" i="3" s="1"/>
  <c r="P1384" i="3" s="1"/>
  <c r="L1384" i="3"/>
  <c r="M1384" i="3"/>
  <c r="J1385" i="3"/>
  <c r="K1385" i="3"/>
  <c r="L1385" i="3"/>
  <c r="M1385" i="3"/>
  <c r="O1385" i="3" s="1"/>
  <c r="P1385" i="3" s="1"/>
  <c r="J1386" i="3"/>
  <c r="K1386" i="3"/>
  <c r="O1386" i="3" s="1"/>
  <c r="P1386" i="3" s="1"/>
  <c r="L1386" i="3"/>
  <c r="M1386" i="3"/>
  <c r="J1387" i="3"/>
  <c r="K1387" i="3"/>
  <c r="L1387" i="3"/>
  <c r="M1387" i="3"/>
  <c r="O1387" i="3" s="1"/>
  <c r="P1387" i="3" s="1"/>
  <c r="J1388" i="3"/>
  <c r="K1388" i="3"/>
  <c r="O1388" i="3" s="1"/>
  <c r="P1388" i="3" s="1"/>
  <c r="L1388" i="3"/>
  <c r="M1388" i="3"/>
  <c r="J1389" i="3"/>
  <c r="K1389" i="3"/>
  <c r="L1389" i="3"/>
  <c r="M1389" i="3"/>
  <c r="O1389" i="3" s="1"/>
  <c r="P1389" i="3" s="1"/>
  <c r="J1390" i="3"/>
  <c r="K1390" i="3"/>
  <c r="O1390" i="3" s="1"/>
  <c r="P1390" i="3" s="1"/>
  <c r="L1390" i="3"/>
  <c r="M1390" i="3"/>
  <c r="J1391" i="3"/>
  <c r="K1391" i="3"/>
  <c r="L1391" i="3"/>
  <c r="M1391" i="3"/>
  <c r="O1391" i="3" s="1"/>
  <c r="P1391" i="3" s="1"/>
  <c r="J1392" i="3"/>
  <c r="K1392" i="3"/>
  <c r="O1392" i="3" s="1"/>
  <c r="P1392" i="3" s="1"/>
  <c r="L1392" i="3"/>
  <c r="M1392" i="3"/>
  <c r="J1393" i="3"/>
  <c r="K1393" i="3"/>
  <c r="L1393" i="3"/>
  <c r="M1393" i="3"/>
  <c r="O1393" i="3" s="1"/>
  <c r="P1393" i="3" s="1"/>
  <c r="J1394" i="3"/>
  <c r="K1394" i="3"/>
  <c r="O1394" i="3" s="1"/>
  <c r="P1394" i="3" s="1"/>
  <c r="L1394" i="3"/>
  <c r="M1394" i="3"/>
  <c r="J1395" i="3"/>
  <c r="K1395" i="3"/>
  <c r="L1395" i="3"/>
  <c r="M1395" i="3"/>
  <c r="O1395" i="3" s="1"/>
  <c r="P1395" i="3" s="1"/>
  <c r="J1396" i="3"/>
  <c r="K1396" i="3"/>
  <c r="O1396" i="3" s="1"/>
  <c r="P1396" i="3" s="1"/>
  <c r="L1396" i="3"/>
  <c r="M1396" i="3"/>
  <c r="J1397" i="3"/>
  <c r="K1397" i="3"/>
  <c r="L1397" i="3"/>
  <c r="M1397" i="3"/>
  <c r="O1397" i="3" s="1"/>
  <c r="P1397" i="3" s="1"/>
  <c r="J1398" i="3"/>
  <c r="K1398" i="3"/>
  <c r="O1398" i="3" s="1"/>
  <c r="P1398" i="3" s="1"/>
  <c r="L1398" i="3"/>
  <c r="M1398" i="3"/>
  <c r="J1399" i="3"/>
  <c r="K1399" i="3"/>
  <c r="L1399" i="3"/>
  <c r="M1399" i="3"/>
  <c r="O1399" i="3" s="1"/>
  <c r="P1399" i="3" s="1"/>
  <c r="J1400" i="3"/>
  <c r="K1400" i="3"/>
  <c r="O1400" i="3" s="1"/>
  <c r="P1400" i="3" s="1"/>
  <c r="L1400" i="3"/>
  <c r="M1400" i="3"/>
  <c r="J1401" i="3"/>
  <c r="K1401" i="3"/>
  <c r="L1401" i="3"/>
  <c r="M1401" i="3"/>
  <c r="O1401" i="3" s="1"/>
  <c r="P1401" i="3" s="1"/>
  <c r="J1402" i="3"/>
  <c r="K1402" i="3"/>
  <c r="O1402" i="3" s="1"/>
  <c r="P1402" i="3" s="1"/>
  <c r="L1402" i="3"/>
  <c r="M1402" i="3"/>
  <c r="J1403" i="3"/>
  <c r="K1403" i="3"/>
  <c r="L1403" i="3"/>
  <c r="M1403" i="3"/>
  <c r="O1403" i="3" s="1"/>
  <c r="P1403" i="3" s="1"/>
  <c r="J1404" i="3"/>
  <c r="K1404" i="3"/>
  <c r="O1404" i="3" s="1"/>
  <c r="P1404" i="3" s="1"/>
  <c r="L1404" i="3"/>
  <c r="M1404" i="3"/>
  <c r="J1405" i="3"/>
  <c r="K1405" i="3"/>
  <c r="L1405" i="3"/>
  <c r="M1405" i="3"/>
  <c r="O1405" i="3" s="1"/>
  <c r="P1405" i="3" s="1"/>
  <c r="J1406" i="3"/>
  <c r="K1406" i="3"/>
  <c r="O1406" i="3" s="1"/>
  <c r="P1406" i="3" s="1"/>
  <c r="L1406" i="3"/>
  <c r="M1406" i="3"/>
  <c r="J1407" i="3"/>
  <c r="K1407" i="3"/>
  <c r="L1407" i="3"/>
  <c r="M1407" i="3"/>
  <c r="O1407" i="3" s="1"/>
  <c r="P1407" i="3" s="1"/>
  <c r="J1408" i="3"/>
  <c r="K1408" i="3"/>
  <c r="O1408" i="3" s="1"/>
  <c r="P1408" i="3" s="1"/>
  <c r="L1408" i="3"/>
  <c r="M1408" i="3"/>
  <c r="J1409" i="3"/>
  <c r="K1409" i="3"/>
  <c r="L1409" i="3"/>
  <c r="M1409" i="3"/>
  <c r="O1409" i="3" s="1"/>
  <c r="P1409" i="3" s="1"/>
  <c r="J1410" i="3"/>
  <c r="K1410" i="3"/>
  <c r="O1410" i="3" s="1"/>
  <c r="P1410" i="3" s="1"/>
  <c r="L1410" i="3"/>
  <c r="M1410" i="3"/>
  <c r="J1411" i="3"/>
  <c r="K1411" i="3"/>
  <c r="L1411" i="3"/>
  <c r="M1411" i="3"/>
  <c r="O1411" i="3" s="1"/>
  <c r="P1411" i="3" s="1"/>
  <c r="J1412" i="3"/>
  <c r="K1412" i="3"/>
  <c r="O1412" i="3" s="1"/>
  <c r="P1412" i="3" s="1"/>
  <c r="L1412" i="3"/>
  <c r="M1412" i="3"/>
  <c r="J1413" i="3"/>
  <c r="K1413" i="3"/>
  <c r="L1413" i="3"/>
  <c r="M1413" i="3"/>
  <c r="O1413" i="3" s="1"/>
  <c r="P1413" i="3" s="1"/>
  <c r="J1414" i="3"/>
  <c r="K1414" i="3"/>
  <c r="O1414" i="3" s="1"/>
  <c r="P1414" i="3" s="1"/>
  <c r="L1414" i="3"/>
  <c r="M1414" i="3"/>
  <c r="J1415" i="3"/>
  <c r="K1415" i="3"/>
  <c r="L1415" i="3"/>
  <c r="M1415" i="3"/>
  <c r="O1415" i="3" s="1"/>
  <c r="P1415" i="3" s="1"/>
  <c r="J1416" i="3"/>
  <c r="K1416" i="3"/>
  <c r="O1416" i="3" s="1"/>
  <c r="P1416" i="3" s="1"/>
  <c r="L1416" i="3"/>
  <c r="M1416" i="3"/>
  <c r="J1417" i="3"/>
  <c r="K1417" i="3"/>
  <c r="L1417" i="3"/>
  <c r="M1417" i="3"/>
  <c r="O1417" i="3" s="1"/>
  <c r="P1417" i="3" s="1"/>
  <c r="J1418" i="3"/>
  <c r="K1418" i="3"/>
  <c r="O1418" i="3" s="1"/>
  <c r="P1418" i="3" s="1"/>
  <c r="L1418" i="3"/>
  <c r="M1418" i="3"/>
  <c r="J1419" i="3"/>
  <c r="K1419" i="3"/>
  <c r="O1419" i="3" s="1"/>
  <c r="P1419" i="3" s="1"/>
  <c r="L1419" i="3"/>
  <c r="M1419" i="3"/>
  <c r="J1420" i="3"/>
  <c r="K1420" i="3"/>
  <c r="O1420" i="3" s="1"/>
  <c r="P1420" i="3" s="1"/>
  <c r="L1420" i="3"/>
  <c r="M1420" i="3"/>
  <c r="J1421" i="3"/>
  <c r="K1421" i="3"/>
  <c r="O1421" i="3" s="1"/>
  <c r="P1421" i="3" s="1"/>
  <c r="L1421" i="3"/>
  <c r="M1421" i="3"/>
  <c r="J1422" i="3"/>
  <c r="K1422" i="3"/>
  <c r="O1422" i="3" s="1"/>
  <c r="P1422" i="3" s="1"/>
  <c r="L1422" i="3"/>
  <c r="M1422" i="3"/>
  <c r="J1423" i="3"/>
  <c r="K1423" i="3"/>
  <c r="O1423" i="3" s="1"/>
  <c r="P1423" i="3" s="1"/>
  <c r="L1423" i="3"/>
  <c r="M1423" i="3"/>
  <c r="J1424" i="3"/>
  <c r="K1424" i="3"/>
  <c r="O1424" i="3" s="1"/>
  <c r="P1424" i="3" s="1"/>
  <c r="L1424" i="3"/>
  <c r="M1424" i="3"/>
  <c r="J1425" i="3"/>
  <c r="K1425" i="3"/>
  <c r="O1425" i="3" s="1"/>
  <c r="P1425" i="3" s="1"/>
  <c r="L1425" i="3"/>
  <c r="M1425" i="3"/>
  <c r="J1426" i="3"/>
  <c r="K1426" i="3"/>
  <c r="O1426" i="3" s="1"/>
  <c r="P1426" i="3" s="1"/>
  <c r="L1426" i="3"/>
  <c r="M1426" i="3"/>
  <c r="J1427" i="3"/>
  <c r="K1427" i="3"/>
  <c r="O1427" i="3" s="1"/>
  <c r="P1427" i="3" s="1"/>
  <c r="L1427" i="3"/>
  <c r="M1427" i="3"/>
  <c r="J1428" i="3"/>
  <c r="K1428" i="3"/>
  <c r="O1428" i="3" s="1"/>
  <c r="P1428" i="3" s="1"/>
  <c r="L1428" i="3"/>
  <c r="M1428" i="3"/>
  <c r="J1429" i="3"/>
  <c r="K1429" i="3"/>
  <c r="O1429" i="3" s="1"/>
  <c r="P1429" i="3" s="1"/>
  <c r="L1429" i="3"/>
  <c r="M1429" i="3"/>
  <c r="J1430" i="3"/>
  <c r="K1430" i="3"/>
  <c r="O1430" i="3" s="1"/>
  <c r="P1430" i="3" s="1"/>
  <c r="L1430" i="3"/>
  <c r="M1430" i="3"/>
  <c r="J1431" i="3"/>
  <c r="K1431" i="3"/>
  <c r="O1431" i="3" s="1"/>
  <c r="P1431" i="3" s="1"/>
  <c r="L1431" i="3"/>
  <c r="M1431" i="3"/>
  <c r="J1432" i="3"/>
  <c r="K1432" i="3"/>
  <c r="O1432" i="3" s="1"/>
  <c r="P1432" i="3" s="1"/>
  <c r="L1432" i="3"/>
  <c r="M1432" i="3"/>
  <c r="J1433" i="3"/>
  <c r="K1433" i="3"/>
  <c r="O1433" i="3" s="1"/>
  <c r="P1433" i="3" s="1"/>
  <c r="L1433" i="3"/>
  <c r="M1433" i="3"/>
  <c r="J1434" i="3"/>
  <c r="K1434" i="3"/>
  <c r="O1434" i="3" s="1"/>
  <c r="P1434" i="3" s="1"/>
  <c r="L1434" i="3"/>
  <c r="M1434" i="3"/>
  <c r="J1435" i="3"/>
  <c r="K1435" i="3"/>
  <c r="O1435" i="3" s="1"/>
  <c r="P1435" i="3" s="1"/>
  <c r="L1435" i="3"/>
  <c r="M1435" i="3"/>
  <c r="J1436" i="3"/>
  <c r="K1436" i="3"/>
  <c r="O1436" i="3" s="1"/>
  <c r="P1436" i="3" s="1"/>
  <c r="L1436" i="3"/>
  <c r="M1436" i="3"/>
  <c r="J1437" i="3"/>
  <c r="K1437" i="3"/>
  <c r="O1437" i="3" s="1"/>
  <c r="P1437" i="3" s="1"/>
  <c r="L1437" i="3"/>
  <c r="M1437" i="3"/>
  <c r="J1438" i="3"/>
  <c r="K1438" i="3"/>
  <c r="O1438" i="3" s="1"/>
  <c r="P1438" i="3" s="1"/>
  <c r="L1438" i="3"/>
  <c r="M1438" i="3"/>
  <c r="J1439" i="3"/>
  <c r="K1439" i="3"/>
  <c r="O1439" i="3" s="1"/>
  <c r="P1439" i="3" s="1"/>
  <c r="L1439" i="3"/>
  <c r="M1439" i="3"/>
  <c r="M4" i="3"/>
  <c r="L4" i="3"/>
  <c r="K4" i="3"/>
  <c r="J4" i="3"/>
  <c r="O4" i="3" s="1"/>
  <c r="P4" i="3" s="1"/>
  <c r="V4" i="3" s="1"/>
  <c r="M3" i="3"/>
  <c r="L3" i="3"/>
  <c r="K3" i="3"/>
  <c r="J3" i="3"/>
  <c r="O3" i="3" s="1"/>
  <c r="P3" i="3" s="1"/>
  <c r="V3" i="3" s="1"/>
  <c r="M2" i="3"/>
  <c r="L2" i="3"/>
  <c r="K2" i="3"/>
  <c r="J2" i="3"/>
  <c r="O2" i="3" s="1"/>
  <c r="P2" i="3" s="1"/>
  <c r="V2" i="3" s="1"/>
  <c r="A5" i="1"/>
  <c r="AP1439" i="3" l="1"/>
  <c r="AP1433" i="3"/>
  <c r="AP1427" i="3"/>
  <c r="AP1423" i="3"/>
  <c r="AP1419" i="3"/>
  <c r="AP1415" i="3"/>
  <c r="AP1411" i="3"/>
  <c r="AP1407" i="3"/>
  <c r="AP1403" i="3"/>
  <c r="AP1399" i="3"/>
  <c r="AP1395" i="3"/>
  <c r="AP1391" i="3"/>
  <c r="AP1387" i="3"/>
  <c r="AP1383" i="3"/>
  <c r="AP1379" i="3"/>
  <c r="AP1375" i="3"/>
  <c r="AP1371" i="3"/>
  <c r="AP1367" i="3"/>
  <c r="AP1363" i="3"/>
  <c r="AP1359" i="3"/>
  <c r="AP1355" i="3"/>
  <c r="AP1351" i="3"/>
  <c r="AP1347" i="3"/>
  <c r="AP1343" i="3"/>
  <c r="AP1339" i="3"/>
  <c r="AP1335" i="3"/>
  <c r="AP1331" i="3"/>
  <c r="AP1327" i="3"/>
  <c r="AP1323" i="3"/>
  <c r="AP1319" i="3"/>
  <c r="AP1315" i="3"/>
  <c r="AP1311" i="3"/>
  <c r="AP1307" i="3"/>
  <c r="AP1303" i="3"/>
  <c r="AP1299" i="3"/>
  <c r="AP1295" i="3"/>
  <c r="AP1291" i="3"/>
  <c r="AP1287" i="3"/>
  <c r="AP1283" i="3"/>
  <c r="AP1279" i="3"/>
  <c r="AP1275" i="3"/>
  <c r="AP1271" i="3"/>
  <c r="AP1267" i="3"/>
  <c r="AP1263" i="3"/>
  <c r="AP1259" i="3"/>
  <c r="AP1255" i="3"/>
  <c r="AP1251" i="3"/>
  <c r="AP1247" i="3"/>
  <c r="AP1243" i="3"/>
  <c r="AP1239" i="3"/>
  <c r="AP1235" i="3"/>
  <c r="AP1231" i="3"/>
  <c r="AP1227" i="3"/>
  <c r="AP1223" i="3"/>
  <c r="AP1219" i="3"/>
  <c r="AP1215" i="3"/>
  <c r="AP1211" i="3"/>
  <c r="AP1207" i="3"/>
  <c r="AP1203" i="3"/>
  <c r="AP1199" i="3"/>
  <c r="AP1195" i="3"/>
  <c r="AP1191" i="3"/>
  <c r="AP1187" i="3"/>
  <c r="AP1183" i="3"/>
  <c r="AP1179" i="3"/>
  <c r="AP1175" i="3"/>
  <c r="AP1171" i="3"/>
  <c r="AP1167" i="3"/>
  <c r="AP1163" i="3"/>
  <c r="AP1159" i="3"/>
  <c r="AP1155" i="3"/>
  <c r="AP1151" i="3"/>
  <c r="AP1147" i="3"/>
  <c r="AP1143" i="3"/>
  <c r="AJ1135" i="3"/>
  <c r="AJ1125" i="3"/>
  <c r="AJ1117" i="3"/>
  <c r="AJ1107" i="3"/>
  <c r="AO1103" i="3"/>
  <c r="AP1103" i="3"/>
  <c r="AO1099" i="3"/>
  <c r="AP1099" i="3"/>
  <c r="AO1095" i="3"/>
  <c r="AP1095" i="3"/>
  <c r="AO1091" i="3"/>
  <c r="AP1091" i="3"/>
  <c r="AO1087" i="3"/>
  <c r="AP1087" i="3"/>
  <c r="AO1083" i="3"/>
  <c r="AP1083" i="3"/>
  <c r="AO1079" i="3"/>
  <c r="AP1079" i="3"/>
  <c r="AO1075" i="3"/>
  <c r="AP1075" i="3"/>
  <c r="AO1071" i="3"/>
  <c r="AP1071" i="3"/>
  <c r="AO1067" i="3"/>
  <c r="AP1067" i="3"/>
  <c r="AO1063" i="3"/>
  <c r="AP1063" i="3"/>
  <c r="AO1059" i="3"/>
  <c r="AP1059" i="3"/>
  <c r="AO1055" i="3"/>
  <c r="AP1055" i="3"/>
  <c r="AO1051" i="3"/>
  <c r="AP1051" i="3"/>
  <c r="AO1047" i="3"/>
  <c r="AP1047" i="3"/>
  <c r="AO1043" i="3"/>
  <c r="AP1043" i="3"/>
  <c r="AJ1133" i="3"/>
  <c r="AJ1127" i="3"/>
  <c r="AJ1121" i="3"/>
  <c r="AJ1115" i="3"/>
  <c r="AJ1109" i="3"/>
  <c r="AO765" i="3"/>
  <c r="AP765" i="3"/>
  <c r="AJ787" i="3"/>
  <c r="AO777" i="3"/>
  <c r="AP777" i="3"/>
  <c r="AJ767" i="3"/>
  <c r="AO761" i="3"/>
  <c r="AP761" i="3"/>
  <c r="AP1037" i="3"/>
  <c r="AP1033" i="3"/>
  <c r="AP1029" i="3"/>
  <c r="AP1025" i="3"/>
  <c r="AP1021" i="3"/>
  <c r="AP1017" i="3"/>
  <c r="AP1013" i="3"/>
  <c r="AP1009" i="3"/>
  <c r="AP1005" i="3"/>
  <c r="AP1001" i="3"/>
  <c r="AP997" i="3"/>
  <c r="AP993" i="3"/>
  <c r="AP989" i="3"/>
  <c r="AP985" i="3"/>
  <c r="AP981" i="3"/>
  <c r="AP977" i="3"/>
  <c r="AP973" i="3"/>
  <c r="AP969" i="3"/>
  <c r="AP965" i="3"/>
  <c r="AP961" i="3"/>
  <c r="AP957" i="3"/>
  <c r="AP953" i="3"/>
  <c r="AP949" i="3"/>
  <c r="AP945" i="3"/>
  <c r="AP941" i="3"/>
  <c r="AP937" i="3"/>
  <c r="AP933" i="3"/>
  <c r="AP929" i="3"/>
  <c r="AP925" i="3"/>
  <c r="AP921" i="3"/>
  <c r="AP917" i="3"/>
  <c r="AP913" i="3"/>
  <c r="AP909" i="3"/>
  <c r="AP905" i="3"/>
  <c r="AP901" i="3"/>
  <c r="AP897" i="3"/>
  <c r="AP893" i="3"/>
  <c r="AP889" i="3"/>
  <c r="AP885" i="3"/>
  <c r="AP881" i="3"/>
  <c r="AP877" i="3"/>
  <c r="AP873" i="3"/>
  <c r="AP869" i="3"/>
  <c r="AP865" i="3"/>
  <c r="AP861" i="3"/>
  <c r="AP857" i="3"/>
  <c r="AP853" i="3"/>
  <c r="AP849" i="3"/>
  <c r="AP845" i="3"/>
  <c r="AP841" i="3"/>
  <c r="AP837" i="3"/>
  <c r="AP833" i="3"/>
  <c r="AP829" i="3"/>
  <c r="AP825" i="3"/>
  <c r="AP821" i="3"/>
  <c r="AP817" i="3"/>
  <c r="AP813" i="3"/>
  <c r="AP809" i="3"/>
  <c r="AP805" i="3"/>
  <c r="AP801" i="3"/>
  <c r="AP797" i="3"/>
  <c r="AO773" i="3"/>
  <c r="AP773" i="3"/>
  <c r="AJ791" i="3"/>
  <c r="AJ785" i="3"/>
  <c r="AJ779" i="3"/>
  <c r="AJ775" i="3"/>
  <c r="AO769" i="3"/>
  <c r="AP769" i="3"/>
  <c r="AP757" i="3"/>
  <c r="AP753" i="3"/>
  <c r="AP749" i="3"/>
  <c r="AP745" i="3"/>
  <c r="AP741" i="3"/>
  <c r="AP737" i="3"/>
  <c r="AP733" i="3"/>
  <c r="AP729" i="3"/>
  <c r="AP725" i="3"/>
  <c r="AP721" i="3"/>
  <c r="AP717" i="3"/>
  <c r="AP713" i="3"/>
  <c r="AP709" i="3"/>
  <c r="AP705" i="3"/>
  <c r="AP701" i="3"/>
  <c r="AP697" i="3"/>
  <c r="AP693" i="3"/>
  <c r="AP689" i="3"/>
  <c r="AP685" i="3"/>
  <c r="AP681" i="3"/>
  <c r="AP677" i="3"/>
  <c r="AP673" i="3"/>
  <c r="AP669" i="3"/>
  <c r="AP665" i="3"/>
  <c r="AP661" i="3"/>
  <c r="AP657" i="3"/>
  <c r="AP653" i="3"/>
  <c r="AP649" i="3"/>
  <c r="AP645" i="3"/>
  <c r="AP641" i="3"/>
  <c r="AP637" i="3"/>
  <c r="AP633" i="3"/>
  <c r="AJ629" i="3"/>
  <c r="AJ621" i="3"/>
  <c r="AJ613" i="3"/>
  <c r="AJ605" i="3"/>
  <c r="AJ597" i="3"/>
  <c r="AJ589" i="3"/>
  <c r="AJ581" i="3"/>
  <c r="AJ573" i="3"/>
  <c r="AJ565" i="3"/>
  <c r="AJ557" i="3"/>
  <c r="AP542" i="3"/>
  <c r="AO542" i="3"/>
  <c r="AL539" i="3"/>
  <c r="AJ536" i="3"/>
  <c r="AL625" i="3"/>
  <c r="AO624" i="3"/>
  <c r="AP624" i="3"/>
  <c r="AL617" i="3"/>
  <c r="AO616" i="3"/>
  <c r="AP616" i="3"/>
  <c r="AL609" i="3"/>
  <c r="AO608" i="3"/>
  <c r="AP608" i="3"/>
  <c r="AL601" i="3"/>
  <c r="AO600" i="3"/>
  <c r="AP600" i="3"/>
  <c r="AL593" i="3"/>
  <c r="AO592" i="3"/>
  <c r="AP592" i="3"/>
  <c r="AL585" i="3"/>
  <c r="AO584" i="3"/>
  <c r="AP584" i="3"/>
  <c r="AL577" i="3"/>
  <c r="AO576" i="3"/>
  <c r="AP576" i="3"/>
  <c r="AL569" i="3"/>
  <c r="AO568" i="3"/>
  <c r="AP568" i="3"/>
  <c r="AL561" i="3"/>
  <c r="AO560" i="3"/>
  <c r="AP560" i="3"/>
  <c r="AM551" i="3"/>
  <c r="AL551" i="3"/>
  <c r="AP553" i="3"/>
  <c r="AO553" i="3"/>
  <c r="AI547" i="3"/>
  <c r="AJ547" i="3"/>
  <c r="AP534" i="3"/>
  <c r="AO534" i="3"/>
  <c r="AL629" i="3"/>
  <c r="AO628" i="3"/>
  <c r="AP628" i="3"/>
  <c r="AL621" i="3"/>
  <c r="AO620" i="3"/>
  <c r="AP620" i="3"/>
  <c r="AL613" i="3"/>
  <c r="AO612" i="3"/>
  <c r="AP612" i="3"/>
  <c r="AL605" i="3"/>
  <c r="AO604" i="3"/>
  <c r="AP604" i="3"/>
  <c r="AL597" i="3"/>
  <c r="AO596" i="3"/>
  <c r="AP596" i="3"/>
  <c r="AL589" i="3"/>
  <c r="AO588" i="3"/>
  <c r="AP588" i="3"/>
  <c r="AL581" i="3"/>
  <c r="AO580" i="3"/>
  <c r="AP580" i="3"/>
  <c r="AL573" i="3"/>
  <c r="AO572" i="3"/>
  <c r="AP572" i="3"/>
  <c r="AL565" i="3"/>
  <c r="AO564" i="3"/>
  <c r="AP564" i="3"/>
  <c r="AL557" i="3"/>
  <c r="AO556" i="3"/>
  <c r="AP556" i="3"/>
  <c r="AP554" i="3"/>
  <c r="AO554" i="3"/>
  <c r="AP546" i="3"/>
  <c r="AO546" i="3"/>
  <c r="AP538" i="3"/>
  <c r="AO538" i="3"/>
  <c r="AJ551" i="3"/>
  <c r="AP550" i="3"/>
  <c r="AO550" i="3"/>
  <c r="AL543" i="3"/>
  <c r="AJ540" i="3"/>
  <c r="AL535" i="3"/>
  <c r="AO530" i="3"/>
  <c r="AO526" i="3"/>
  <c r="AO522" i="3"/>
  <c r="AO518" i="3"/>
  <c r="AO514" i="3"/>
  <c r="AO510" i="3"/>
  <c r="AO506" i="3"/>
  <c r="AO502" i="3"/>
  <c r="AO498" i="3"/>
  <c r="AO494" i="3"/>
  <c r="AO490" i="3"/>
  <c r="AO486" i="3"/>
  <c r="AO482" i="3"/>
  <c r="AO478" i="3"/>
  <c r="AO474" i="3"/>
  <c r="AO470" i="3"/>
  <c r="AO466" i="3"/>
  <c r="AO462" i="3"/>
  <c r="AO458" i="3"/>
  <c r="AO454" i="3"/>
  <c r="AO450" i="3"/>
  <c r="AO446" i="3"/>
  <c r="AO442" i="3"/>
  <c r="AO438" i="3"/>
  <c r="AO434" i="3"/>
  <c r="AO430" i="3"/>
  <c r="AO426" i="3"/>
  <c r="AO422" i="3"/>
  <c r="AO418" i="3"/>
  <c r="AO414" i="3"/>
  <c r="AO410" i="3"/>
  <c r="AO406" i="3"/>
  <c r="AO402" i="3"/>
  <c r="AO398" i="3"/>
  <c r="AO394" i="3"/>
  <c r="AO390" i="3"/>
  <c r="AO386" i="3"/>
  <c r="AO382" i="3"/>
  <c r="AO378" i="3"/>
  <c r="AO374" i="3"/>
  <c r="AO370" i="3"/>
  <c r="AO366" i="3"/>
  <c r="AO362" i="3"/>
  <c r="AO358" i="3"/>
  <c r="AO354" i="3"/>
  <c r="AO350" i="3"/>
  <c r="AO346" i="3"/>
  <c r="AO342" i="3"/>
  <c r="AO338" i="3"/>
  <c r="AP399" i="3"/>
  <c r="AP395" i="3"/>
  <c r="AP391" i="3"/>
  <c r="AP387" i="3"/>
  <c r="AP383" i="3"/>
  <c r="AP379" i="3"/>
  <c r="AP375" i="3"/>
  <c r="AP371" i="3"/>
  <c r="AP367" i="3"/>
  <c r="AP363" i="3"/>
  <c r="AP359" i="3"/>
  <c r="AP355" i="3"/>
  <c r="AP351" i="3"/>
  <c r="AP347" i="3"/>
  <c r="AP313" i="3"/>
  <c r="AP309" i="3"/>
  <c r="AP305" i="3"/>
  <c r="AP301" i="3"/>
  <c r="AP297" i="3"/>
  <c r="AP293" i="3"/>
  <c r="AP289" i="3"/>
  <c r="AP285" i="3"/>
  <c r="AP281" i="3"/>
  <c r="AP277" i="3"/>
  <c r="AP273" i="3"/>
  <c r="AP269" i="3"/>
  <c r="AP265" i="3"/>
  <c r="AP261" i="3"/>
  <c r="AJ253" i="3"/>
  <c r="AJ245" i="3"/>
  <c r="AJ237" i="3"/>
  <c r="AP331" i="3"/>
  <c r="AP327" i="3"/>
  <c r="AP231" i="3"/>
  <c r="AO231" i="3"/>
  <c r="AJ257" i="3"/>
  <c r="AJ249" i="3"/>
  <c r="AJ241" i="3"/>
  <c r="AJ233" i="3"/>
  <c r="AO227" i="3"/>
  <c r="AO223" i="3"/>
  <c r="AO219" i="3"/>
  <c r="AO215" i="3"/>
  <c r="AO211" i="3"/>
  <c r="AO207" i="3"/>
  <c r="AO203" i="3"/>
  <c r="AO199" i="3"/>
  <c r="AO195" i="3"/>
  <c r="AO191" i="3"/>
  <c r="AJ149" i="3"/>
  <c r="AP148" i="3"/>
  <c r="AO148" i="3"/>
  <c r="AP161" i="3"/>
  <c r="AP157" i="3"/>
  <c r="AP153" i="3"/>
  <c r="AL145" i="3"/>
  <c r="AP144" i="3"/>
  <c r="AO144" i="3"/>
  <c r="AO140" i="3"/>
  <c r="AO136" i="3"/>
  <c r="AO132" i="3"/>
  <c r="AO128" i="3"/>
  <c r="AO124" i="3"/>
  <c r="AO120" i="3"/>
  <c r="AO116" i="3"/>
  <c r="AO112" i="3"/>
  <c r="AO108" i="3"/>
  <c r="AO104" i="3"/>
  <c r="AO100" i="3"/>
  <c r="AO96" i="3"/>
  <c r="AO92" i="3"/>
  <c r="AO88" i="3"/>
  <c r="AO84" i="3"/>
  <c r="AO80" i="3"/>
  <c r="AO76" i="3"/>
  <c r="AO72" i="3"/>
  <c r="AO68" i="3"/>
  <c r="AO64" i="3"/>
  <c r="AO60" i="3"/>
  <c r="AO56" i="3"/>
  <c r="AO52" i="3"/>
  <c r="AO48" i="3"/>
  <c r="AO44" i="3"/>
  <c r="AO40" i="3"/>
  <c r="AP19" i="3"/>
  <c r="AJ15" i="3"/>
  <c r="AI15" i="3"/>
  <c r="AL14" i="3"/>
  <c r="AM14" i="3"/>
  <c r="AP13" i="3"/>
  <c r="AO13" i="3"/>
  <c r="AJ2" i="3"/>
  <c r="AJ5" i="3"/>
  <c r="AL7" i="3"/>
  <c r="AF9" i="3"/>
  <c r="AJ10" i="3"/>
  <c r="AJ12" i="3"/>
  <c r="AF15" i="3"/>
  <c r="AF2" i="3"/>
  <c r="AO4" i="3"/>
  <c r="AF5" i="3"/>
  <c r="AO6" i="3"/>
  <c r="AE8" i="3"/>
  <c r="AF10" i="3"/>
  <c r="AO11" i="3"/>
  <c r="AF12" i="3"/>
  <c r="AE13" i="3"/>
  <c r="AO14" i="3"/>
  <c r="AG15" i="3"/>
  <c r="AF3" i="3"/>
  <c r="AE6" i="3"/>
  <c r="AF8" i="3"/>
  <c r="AE11" i="3"/>
  <c r="AG12" i="3"/>
  <c r="AF13" i="3"/>
  <c r="AE14" i="3"/>
  <c r="AF4" i="3"/>
  <c r="AF6" i="3"/>
  <c r="AE7" i="3"/>
  <c r="AE9" i="3"/>
  <c r="AF11" i="3"/>
  <c r="O395" i="3"/>
  <c r="P395" i="3" s="1"/>
  <c r="O393" i="3"/>
  <c r="P393" i="3" s="1"/>
  <c r="W2" i="3"/>
  <c r="W3" i="3"/>
  <c r="W4" i="3"/>
  <c r="AL11" i="3" l="1"/>
  <c r="AM11" i="3"/>
  <c r="AL4" i="3"/>
  <c r="AM4" i="3"/>
  <c r="AJ11" i="3"/>
  <c r="AI11" i="3"/>
  <c r="AP15" i="3"/>
  <c r="AO15" i="3"/>
  <c r="AM5" i="3"/>
  <c r="AL5" i="3"/>
  <c r="AJ9" i="3"/>
  <c r="AI9" i="3"/>
  <c r="AJ14" i="3"/>
  <c r="AI14" i="3"/>
  <c r="AM8" i="3"/>
  <c r="AL8" i="3"/>
  <c r="AM10" i="3"/>
  <c r="AL10" i="3"/>
  <c r="AJ7" i="3"/>
  <c r="AI7" i="3"/>
  <c r="AM13" i="3"/>
  <c r="AL13" i="3"/>
  <c r="AJ6" i="3"/>
  <c r="AI6" i="3"/>
  <c r="AJ13" i="3"/>
  <c r="AI13" i="3"/>
  <c r="AJ8" i="3"/>
  <c r="AI8" i="3"/>
  <c r="AM2" i="3"/>
  <c r="AL2" i="3"/>
  <c r="AM9" i="3"/>
  <c r="AL9" i="3"/>
  <c r="AL6" i="3"/>
  <c r="AM6" i="3"/>
  <c r="AO12" i="3"/>
  <c r="AP12" i="3"/>
  <c r="AM3" i="3"/>
  <c r="AL3" i="3"/>
  <c r="AM12" i="3"/>
  <c r="AL12" i="3"/>
  <c r="AM15" i="3"/>
  <c r="AL15" i="3"/>
</calcChain>
</file>

<file path=xl/sharedStrings.xml><?xml version="1.0" encoding="utf-8"?>
<sst xmlns="http://schemas.openxmlformats.org/spreadsheetml/2006/main" count="134" uniqueCount="113">
  <si>
    <t>Indentation</t>
  </si>
  <si>
    <t xml:space="preserve"> + Sinus</t>
  </si>
  <si>
    <t xml:space="preserve">   Max load :</t>
  </si>
  <si>
    <t>mN</t>
  </si>
  <si>
    <t xml:space="preserve">   Loading rate :</t>
  </si>
  <si>
    <t>mN/min</t>
  </si>
  <si>
    <t xml:space="preserve">   Unloading rate :</t>
  </si>
  <si>
    <t xml:space="preserve">   Pause :</t>
  </si>
  <si>
    <t>10.0 s</t>
  </si>
  <si>
    <t xml:space="preserve">   Sinus frequency :</t>
  </si>
  <si>
    <t>40.0 Hz</t>
  </si>
  <si>
    <t xml:space="preserve">   Sinus amplitude :</t>
  </si>
  <si>
    <t>+ STeP - NHT S/N: 1000068700 settings</t>
  </si>
  <si>
    <t xml:space="preserve">   Approach distance : 2 µm</t>
  </si>
  <si>
    <t xml:space="preserve">   Approach speed : 2 µm/min</t>
  </si>
  <si>
    <t xml:space="preserve">   Retract speed : 2 µm/min</t>
  </si>
  <si>
    <t xml:space="preserve">   Dz sensor in fine range</t>
  </si>
  <si>
    <t xml:space="preserve">   Stiffness threshold : 500 µN/µm</t>
  </si>
  <si>
    <t xml:space="preserve">   Spring Compliance : 0.557 mm/N</t>
  </si>
  <si>
    <t xml:space="preserve">   X Position :87767.60 µm</t>
  </si>
  <si>
    <t xml:space="preserve">   Y Position :36592.40 µm</t>
  </si>
  <si>
    <t xml:space="preserve">   Z Position :8914.24 µm</t>
  </si>
  <si>
    <t>Date :9/10/2021</t>
  </si>
  <si>
    <t>Time :11:38:49 AM</t>
  </si>
  <si>
    <t xml:space="preserve">   Method :</t>
  </si>
  <si>
    <t>Oliver &amp; Pharr</t>
  </si>
  <si>
    <t xml:space="preserve"> + Parameters</t>
  </si>
  <si>
    <t xml:space="preserve">  Unload Fit [40%,98%]</t>
  </si>
  <si>
    <t xml:space="preserve"> + Main results</t>
  </si>
  <si>
    <t xml:space="preserve">   HIT=</t>
  </si>
  <si>
    <t>GPa</t>
  </si>
  <si>
    <t xml:space="preserve">   EIT=</t>
  </si>
  <si>
    <t xml:space="preserve">   E*=</t>
  </si>
  <si>
    <t xml:space="preserve"> + Hypothesis</t>
  </si>
  <si>
    <t xml:space="preserve">   hc out of calibrated range [14 nm, 869 nm]</t>
  </si>
  <si>
    <t xml:space="preserve">   m out of O&amp;P hypothesis</t>
  </si>
  <si>
    <t xml:space="preserve">   Poisson's ratio(nu)=</t>
  </si>
  <si>
    <t xml:space="preserve"> + Additional results</t>
  </si>
  <si>
    <t xml:space="preserve">   HVIT=</t>
  </si>
  <si>
    <t xml:space="preserve"> Vickers</t>
  </si>
  <si>
    <t xml:space="preserve">   CIT 0.075/180/10=</t>
  </si>
  <si>
    <t>%</t>
  </si>
  <si>
    <t xml:space="preserve">   nIT=</t>
  </si>
  <si>
    <t xml:space="preserve">   Fmax=</t>
  </si>
  <si>
    <t xml:space="preserve">   hmax=</t>
  </si>
  <si>
    <t>µm</t>
  </si>
  <si>
    <t xml:space="preserve">   S=</t>
  </si>
  <si>
    <t>mN/µm</t>
  </si>
  <si>
    <t xml:space="preserve">   F/S≤=</t>
  </si>
  <si>
    <t>µm≤/mN</t>
  </si>
  <si>
    <t xml:space="preserve">   hc=</t>
  </si>
  <si>
    <t xml:space="preserve">   hr=</t>
  </si>
  <si>
    <t xml:space="preserve">   hp=</t>
  </si>
  <si>
    <t xml:space="preserve">   m=</t>
  </si>
  <si>
    <t xml:space="preserve">   Epsilon=</t>
  </si>
  <si>
    <t xml:space="preserve">   R2=</t>
  </si>
  <si>
    <t xml:space="preserve">   Ap=</t>
  </si>
  <si>
    <t>µm≤</t>
  </si>
  <si>
    <t xml:space="preserve">   Welast=</t>
  </si>
  <si>
    <t>13951.11 pJ</t>
  </si>
  <si>
    <t xml:space="preserve">   Wplast=</t>
  </si>
  <si>
    <t>82691.86 pJ</t>
  </si>
  <si>
    <t xml:space="preserve">   Wtotal=</t>
  </si>
  <si>
    <t>96642.97 pJ</t>
  </si>
  <si>
    <t xml:space="preserve">   Er=</t>
  </si>
  <si>
    <t>Measured values</t>
  </si>
  <si>
    <t>Time (s)</t>
  </si>
  <si>
    <t>Pd (µm)</t>
  </si>
  <si>
    <t>Fn (mN)</t>
  </si>
  <si>
    <t>FnRef (mN)</t>
  </si>
  <si>
    <t>SegmentID</t>
  </si>
  <si>
    <t>cycle #</t>
  </si>
  <si>
    <t>max depth</t>
  </si>
  <si>
    <t>Max load</t>
  </si>
  <si>
    <t>stiffness</t>
  </si>
  <si>
    <t>EIT</t>
  </si>
  <si>
    <t>EIT storage</t>
  </si>
  <si>
    <t>EIT loss</t>
  </si>
  <si>
    <t>hit</t>
  </si>
  <si>
    <t>tan(delta)</t>
  </si>
  <si>
    <t>Fn/S2</t>
  </si>
  <si>
    <t>ht (um)</t>
  </si>
  <si>
    <t>load (mN)</t>
  </si>
  <si>
    <t>EIT (Gpa)</t>
  </si>
  <si>
    <t>S (mN/um)</t>
  </si>
  <si>
    <t>Contact Depth hc (microns)</t>
  </si>
  <si>
    <t>Contact depth hc (nm)</t>
  </si>
  <si>
    <t>Contact Radius a</t>
  </si>
  <si>
    <t>VALUE</t>
  </si>
  <si>
    <t>ERROR</t>
  </si>
  <si>
    <t>a (nm)</t>
  </si>
  <si>
    <t>E (calculated - Gpa)</t>
  </si>
  <si>
    <t>calculated from power law</t>
  </si>
  <si>
    <t>CONSTANT</t>
  </si>
  <si>
    <t>EXPONENT</t>
  </si>
  <si>
    <t>AVERAGE ELASTIC MODULUS</t>
  </si>
  <si>
    <t>CALCULATE A OVER EXPERIMENT</t>
  </si>
  <si>
    <t>A: a - calculated - loads 1-10 mN</t>
  </si>
  <si>
    <t>B: a - calculated - loads 1-5 mN</t>
  </si>
  <si>
    <t>C: a - calculated - loads 1-3 mN</t>
  </si>
  <si>
    <t>A: Strain</t>
  </si>
  <si>
    <t>A: Stress</t>
  </si>
  <si>
    <t>B: Strain</t>
  </si>
  <si>
    <t>B: Stress</t>
  </si>
  <si>
    <t>C: Strain</t>
  </si>
  <si>
    <t>C: Stress</t>
  </si>
  <si>
    <t>from part of curve before pop-in - should be elastic only</t>
  </si>
  <si>
    <t>using modulus value estimates</t>
  </si>
  <si>
    <t>contact radii in MICRONS</t>
  </si>
  <si>
    <t>Loads 1-10 mN</t>
  </si>
  <si>
    <t>stdev</t>
  </si>
  <si>
    <t>Loads 1-5 mN</t>
  </si>
  <si>
    <t>Loads 1-3 mN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</si>
</sst>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"/>
  </numFmts>
  <fonts count="21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3">
    <xf numFmtId="0" fontId="0" fillId="0" borderId="0" xfId="0"/>
    <xf numFmtId="10" fontId="0" fillId="0" borderId="0" xfId="0" applyNumberFormat="1"/>
    <xf numFmtId="0" fontId="18" fillId="0" borderId="0" xfId="0" applyFont="1"/>
    <xf numFmtId="11" fontId="18" fillId="0" borderId="0" xfId="0" applyNumberFormat="1" applyFont="1"/>
    <xf numFmtId="0" fontId="19" fillId="33" borderId="0" xfId="0" applyFont="1" applyFill="1"/>
    <xf numFmtId="0" fontId="16" fillId="33" borderId="0" xfId="0" applyFont="1" applyFill="1"/>
    <xf numFmtId="0" fontId="0" fillId="33" borderId="0" xfId="0" applyFill="1"/>
    <xf numFmtId="2" fontId="0" fillId="0" borderId="0" xfId="0" applyNumberFormat="1"/>
    <xf numFmtId="164" fontId="0" fillId="0" borderId="0" xfId="0" applyNumberFormat="1"/>
    <xf numFmtId="0" fontId="20" fillId="0" borderId="0" xfId="0" applyFont="1"/>
    <xf numFmtId="0" fontId="16" fillId="0" borderId="0" xfId="0" applyFont="1"/>
    <xf numFmtId="0" fontId="20" fillId="0" borderId="0" xfId="0" applyFont="1" applyAlignment="1">
      <alignment horizontal="center" wrapText="1"/>
    </xf>
    <xf numFmtId="0" fontId="20" fillId="0" borderId="0" xfId="0" applyFont="1" applyAlignment="1">
      <alignment horizont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'pink_001ish_hfsm2_75#1'!$G$3:$G$1002</c:f>
              <c:numCache>
                <c:formatCode>General</c:formatCode>
                <c:ptCount val="1000"/>
                <c:pt idx="0">
                  <c:v>0</c:v>
                </c:pt>
                <c:pt idx="1">
                  <c:v>2E-3</c:v>
                </c:pt>
                <c:pt idx="2">
                  <c:v>5.5999999999999999E-3</c:v>
                </c:pt>
                <c:pt idx="3">
                  <c:v>1.0500000000000001E-2</c:v>
                </c:pt>
                <c:pt idx="4">
                  <c:v>1.44E-2</c:v>
                </c:pt>
                <c:pt idx="5">
                  <c:v>1.5900000000000001E-2</c:v>
                </c:pt>
                <c:pt idx="6">
                  <c:v>2.0799999999999999E-2</c:v>
                </c:pt>
                <c:pt idx="7">
                  <c:v>2.18E-2</c:v>
                </c:pt>
                <c:pt idx="8">
                  <c:v>2.7400000000000001E-2</c:v>
                </c:pt>
                <c:pt idx="9">
                  <c:v>2.9899999999999999E-2</c:v>
                </c:pt>
                <c:pt idx="10">
                  <c:v>3.1699999999999999E-2</c:v>
                </c:pt>
                <c:pt idx="11">
                  <c:v>3.2500000000000001E-2</c:v>
                </c:pt>
                <c:pt idx="12">
                  <c:v>3.4700000000000002E-2</c:v>
                </c:pt>
                <c:pt idx="13">
                  <c:v>3.7699999999999997E-2</c:v>
                </c:pt>
                <c:pt idx="14">
                  <c:v>4.1799999999999997E-2</c:v>
                </c:pt>
                <c:pt idx="15">
                  <c:v>4.3799999999999999E-2</c:v>
                </c:pt>
                <c:pt idx="16">
                  <c:v>4.4600000000000001E-2</c:v>
                </c:pt>
                <c:pt idx="17">
                  <c:v>4.6100000000000002E-2</c:v>
                </c:pt>
                <c:pt idx="18">
                  <c:v>4.7699999999999999E-2</c:v>
                </c:pt>
                <c:pt idx="19">
                  <c:v>5.2299999999999999E-2</c:v>
                </c:pt>
                <c:pt idx="20">
                  <c:v>5.3900000000000003E-2</c:v>
                </c:pt>
                <c:pt idx="21">
                  <c:v>5.5300000000000002E-2</c:v>
                </c:pt>
                <c:pt idx="22">
                  <c:v>5.6399999999999999E-2</c:v>
                </c:pt>
                <c:pt idx="23">
                  <c:v>5.7000000000000002E-2</c:v>
                </c:pt>
                <c:pt idx="24">
                  <c:v>6.0900000000000003E-2</c:v>
                </c:pt>
                <c:pt idx="25">
                  <c:v>6.3899999999999998E-2</c:v>
                </c:pt>
                <c:pt idx="26">
                  <c:v>6.4500000000000002E-2</c:v>
                </c:pt>
                <c:pt idx="27">
                  <c:v>6.4600000000000005E-2</c:v>
                </c:pt>
                <c:pt idx="28">
                  <c:v>6.7100000000000007E-2</c:v>
                </c:pt>
                <c:pt idx="29">
                  <c:v>6.9800000000000001E-2</c:v>
                </c:pt>
                <c:pt idx="30">
                  <c:v>7.22E-2</c:v>
                </c:pt>
                <c:pt idx="31">
                  <c:v>7.5899999999999995E-2</c:v>
                </c:pt>
                <c:pt idx="32">
                  <c:v>7.6499999999999999E-2</c:v>
                </c:pt>
                <c:pt idx="33">
                  <c:v>7.5300000000000006E-2</c:v>
                </c:pt>
                <c:pt idx="34">
                  <c:v>7.8799999999999995E-2</c:v>
                </c:pt>
                <c:pt idx="35">
                  <c:v>8.5900000000000004E-2</c:v>
                </c:pt>
                <c:pt idx="36">
                  <c:v>8.9099999999999999E-2</c:v>
                </c:pt>
                <c:pt idx="37">
                  <c:v>9.0300000000000005E-2</c:v>
                </c:pt>
                <c:pt idx="38">
                  <c:v>8.9499999999999996E-2</c:v>
                </c:pt>
                <c:pt idx="39">
                  <c:v>9.2100000000000001E-2</c:v>
                </c:pt>
                <c:pt idx="40">
                  <c:v>9.4100000000000003E-2</c:v>
                </c:pt>
                <c:pt idx="41">
                  <c:v>9.8500000000000004E-2</c:v>
                </c:pt>
                <c:pt idx="42">
                  <c:v>0.10059999999999999</c:v>
                </c:pt>
                <c:pt idx="43">
                  <c:v>0.1003</c:v>
                </c:pt>
                <c:pt idx="44">
                  <c:v>0.1017</c:v>
                </c:pt>
                <c:pt idx="45">
                  <c:v>0.1023</c:v>
                </c:pt>
                <c:pt idx="46">
                  <c:v>0.10639999999999999</c:v>
                </c:pt>
                <c:pt idx="47">
                  <c:v>0.1101</c:v>
                </c:pt>
                <c:pt idx="48">
                  <c:v>0.1099</c:v>
                </c:pt>
                <c:pt idx="49">
                  <c:v>0.11119999999999999</c:v>
                </c:pt>
                <c:pt idx="50">
                  <c:v>0.1125</c:v>
                </c:pt>
                <c:pt idx="51">
                  <c:v>0.11550000000000001</c:v>
                </c:pt>
                <c:pt idx="52">
                  <c:v>0.11849999999999999</c:v>
                </c:pt>
                <c:pt idx="53">
                  <c:v>0.12</c:v>
                </c:pt>
                <c:pt idx="54">
                  <c:v>0.12139999999999999</c:v>
                </c:pt>
                <c:pt idx="55">
                  <c:v>0.1227</c:v>
                </c:pt>
                <c:pt idx="56">
                  <c:v>0.124</c:v>
                </c:pt>
                <c:pt idx="57">
                  <c:v>0.12809999999999999</c:v>
                </c:pt>
                <c:pt idx="58">
                  <c:v>0.13120000000000001</c:v>
                </c:pt>
                <c:pt idx="59">
                  <c:v>0.13059999999999999</c:v>
                </c:pt>
                <c:pt idx="60">
                  <c:v>0.1333</c:v>
                </c:pt>
                <c:pt idx="61">
                  <c:v>0.1343</c:v>
                </c:pt>
                <c:pt idx="62">
                  <c:v>0.13669999999999999</c:v>
                </c:pt>
                <c:pt idx="63">
                  <c:v>0.1399</c:v>
                </c:pt>
                <c:pt idx="64">
                  <c:v>0.1429</c:v>
                </c:pt>
                <c:pt idx="65">
                  <c:v>0.1434</c:v>
                </c:pt>
                <c:pt idx="66">
                  <c:v>0.1447</c:v>
                </c:pt>
                <c:pt idx="67">
                  <c:v>0.1469</c:v>
                </c:pt>
                <c:pt idx="68">
                  <c:v>0.15</c:v>
                </c:pt>
                <c:pt idx="69">
                  <c:v>0.15409999999999999</c:v>
                </c:pt>
                <c:pt idx="70">
                  <c:v>0.15479999999999999</c:v>
                </c:pt>
                <c:pt idx="71">
                  <c:v>0.1537</c:v>
                </c:pt>
                <c:pt idx="72">
                  <c:v>0.155</c:v>
                </c:pt>
                <c:pt idx="73">
                  <c:v>0.15939999999999999</c:v>
                </c:pt>
                <c:pt idx="74">
                  <c:v>0.16270000000000001</c:v>
                </c:pt>
                <c:pt idx="75">
                  <c:v>0.16270000000000001</c:v>
                </c:pt>
                <c:pt idx="76">
                  <c:v>0.16370000000000001</c:v>
                </c:pt>
                <c:pt idx="77">
                  <c:v>0.1628</c:v>
                </c:pt>
                <c:pt idx="78">
                  <c:v>0.16600000000000001</c:v>
                </c:pt>
                <c:pt idx="79">
                  <c:v>0.1706</c:v>
                </c:pt>
                <c:pt idx="80">
                  <c:v>0.1719</c:v>
                </c:pt>
                <c:pt idx="81">
                  <c:v>0.1731</c:v>
                </c:pt>
                <c:pt idx="82">
                  <c:v>0.17269999999999999</c:v>
                </c:pt>
                <c:pt idx="83">
                  <c:v>0.17419999999999999</c:v>
                </c:pt>
                <c:pt idx="84">
                  <c:v>0.1779</c:v>
                </c:pt>
                <c:pt idx="85">
                  <c:v>0.18090000000000001</c:v>
                </c:pt>
                <c:pt idx="86">
                  <c:v>0.18240000000000001</c:v>
                </c:pt>
                <c:pt idx="87">
                  <c:v>0.18190000000000001</c:v>
                </c:pt>
                <c:pt idx="88">
                  <c:v>0.18240000000000001</c:v>
                </c:pt>
                <c:pt idx="89">
                  <c:v>0.1862</c:v>
                </c:pt>
                <c:pt idx="90">
                  <c:v>0.1928</c:v>
                </c:pt>
                <c:pt idx="91">
                  <c:v>0.1956</c:v>
                </c:pt>
                <c:pt idx="92">
                  <c:v>0.19550000000000001</c:v>
                </c:pt>
                <c:pt idx="93">
                  <c:v>0.1951</c:v>
                </c:pt>
                <c:pt idx="94">
                  <c:v>0.1991</c:v>
                </c:pt>
                <c:pt idx="95">
                  <c:v>0.20069999999999999</c:v>
                </c:pt>
                <c:pt idx="96">
                  <c:v>0.20399999999999999</c:v>
                </c:pt>
                <c:pt idx="97">
                  <c:v>0.20799999999999999</c:v>
                </c:pt>
                <c:pt idx="98">
                  <c:v>0.2059</c:v>
                </c:pt>
                <c:pt idx="99">
                  <c:v>0.2074</c:v>
                </c:pt>
                <c:pt idx="100">
                  <c:v>0.2109</c:v>
                </c:pt>
                <c:pt idx="101">
                  <c:v>0.2152</c:v>
                </c:pt>
                <c:pt idx="102">
                  <c:v>0.2175</c:v>
                </c:pt>
                <c:pt idx="103">
                  <c:v>0.218</c:v>
                </c:pt>
                <c:pt idx="104">
                  <c:v>0.21829999999999999</c:v>
                </c:pt>
                <c:pt idx="105">
                  <c:v>0.21890000000000001</c:v>
                </c:pt>
                <c:pt idx="106">
                  <c:v>0.2235</c:v>
                </c:pt>
                <c:pt idx="107">
                  <c:v>0.2273</c:v>
                </c:pt>
                <c:pt idx="108">
                  <c:v>0.23130000000000001</c:v>
                </c:pt>
                <c:pt idx="109">
                  <c:v>0.23119999999999999</c:v>
                </c:pt>
                <c:pt idx="110">
                  <c:v>0.23150000000000001</c:v>
                </c:pt>
                <c:pt idx="111">
                  <c:v>0.23599999999999999</c:v>
                </c:pt>
                <c:pt idx="112">
                  <c:v>0.2379</c:v>
                </c:pt>
                <c:pt idx="113">
                  <c:v>0.2404</c:v>
                </c:pt>
                <c:pt idx="114">
                  <c:v>0.24110000000000001</c:v>
                </c:pt>
                <c:pt idx="115">
                  <c:v>0.2417</c:v>
                </c:pt>
                <c:pt idx="116">
                  <c:v>0.2427</c:v>
                </c:pt>
                <c:pt idx="117">
                  <c:v>0.24709999999999999</c:v>
                </c:pt>
                <c:pt idx="118">
                  <c:v>0.24929999999999999</c:v>
                </c:pt>
                <c:pt idx="119">
                  <c:v>0.2515</c:v>
                </c:pt>
                <c:pt idx="120">
                  <c:v>0.25040000000000001</c:v>
                </c:pt>
                <c:pt idx="121">
                  <c:v>0.25130000000000002</c:v>
                </c:pt>
                <c:pt idx="122">
                  <c:v>0.25609999999999999</c:v>
                </c:pt>
                <c:pt idx="123">
                  <c:v>0.25869999999999999</c:v>
                </c:pt>
                <c:pt idx="124">
                  <c:v>0.26119999999999999</c:v>
                </c:pt>
                <c:pt idx="125">
                  <c:v>0.26079999999999998</c:v>
                </c:pt>
                <c:pt idx="126">
                  <c:v>0.26100000000000001</c:v>
                </c:pt>
                <c:pt idx="127">
                  <c:v>0.26429999999999998</c:v>
                </c:pt>
                <c:pt idx="128">
                  <c:v>0.26879999999999998</c:v>
                </c:pt>
                <c:pt idx="129">
                  <c:v>0.2712</c:v>
                </c:pt>
                <c:pt idx="130">
                  <c:v>0.27239999999999998</c:v>
                </c:pt>
                <c:pt idx="131">
                  <c:v>0.27200000000000002</c:v>
                </c:pt>
                <c:pt idx="132">
                  <c:v>0.27389999999999998</c:v>
                </c:pt>
                <c:pt idx="133">
                  <c:v>0.27710000000000001</c:v>
                </c:pt>
                <c:pt idx="134">
                  <c:v>0.2802</c:v>
                </c:pt>
                <c:pt idx="135">
                  <c:v>0.28289999999999998</c:v>
                </c:pt>
                <c:pt idx="136">
                  <c:v>0.28299999999999997</c:v>
                </c:pt>
                <c:pt idx="137">
                  <c:v>0.28179999999999999</c:v>
                </c:pt>
                <c:pt idx="138">
                  <c:v>0.28460000000000002</c:v>
                </c:pt>
                <c:pt idx="139">
                  <c:v>0.2893</c:v>
                </c:pt>
                <c:pt idx="140">
                  <c:v>0.29220000000000002</c:v>
                </c:pt>
                <c:pt idx="141">
                  <c:v>0.29239999999999999</c:v>
                </c:pt>
                <c:pt idx="142">
                  <c:v>0.29220000000000002</c:v>
                </c:pt>
                <c:pt idx="143">
                  <c:v>0.29260000000000003</c:v>
                </c:pt>
                <c:pt idx="144">
                  <c:v>0.29720000000000002</c:v>
                </c:pt>
                <c:pt idx="145">
                  <c:v>0.3009</c:v>
                </c:pt>
                <c:pt idx="146">
                  <c:v>0.3024</c:v>
                </c:pt>
                <c:pt idx="147">
                  <c:v>0.30270000000000002</c:v>
                </c:pt>
                <c:pt idx="148">
                  <c:v>0.3019</c:v>
                </c:pt>
                <c:pt idx="149">
                  <c:v>0.30499999999999999</c:v>
                </c:pt>
                <c:pt idx="150">
                  <c:v>0.31009999999999999</c:v>
                </c:pt>
                <c:pt idx="151">
                  <c:v>0.31169999999999998</c:v>
                </c:pt>
                <c:pt idx="152">
                  <c:v>0.31240000000000001</c:v>
                </c:pt>
                <c:pt idx="153">
                  <c:v>0.311</c:v>
                </c:pt>
                <c:pt idx="154">
                  <c:v>0.31390000000000001</c:v>
                </c:pt>
                <c:pt idx="155">
                  <c:v>0.32</c:v>
                </c:pt>
                <c:pt idx="156">
                  <c:v>0.3231</c:v>
                </c:pt>
                <c:pt idx="157">
                  <c:v>0.3251</c:v>
                </c:pt>
                <c:pt idx="158">
                  <c:v>0.3236</c:v>
                </c:pt>
                <c:pt idx="159">
                  <c:v>0.32519999999999999</c:v>
                </c:pt>
                <c:pt idx="160">
                  <c:v>0.32690000000000002</c:v>
                </c:pt>
                <c:pt idx="161">
                  <c:v>0.33160000000000001</c:v>
                </c:pt>
                <c:pt idx="162">
                  <c:v>0.33310000000000001</c:v>
                </c:pt>
                <c:pt idx="163">
                  <c:v>0.3332</c:v>
                </c:pt>
                <c:pt idx="164">
                  <c:v>0.33450000000000002</c:v>
                </c:pt>
                <c:pt idx="165">
                  <c:v>0.33579999999999999</c:v>
                </c:pt>
                <c:pt idx="166">
                  <c:v>0.33889999999999998</c:v>
                </c:pt>
                <c:pt idx="167">
                  <c:v>0.34300000000000003</c:v>
                </c:pt>
                <c:pt idx="168">
                  <c:v>0.34439999999999998</c:v>
                </c:pt>
                <c:pt idx="169">
                  <c:v>0.34329999999999999</c:v>
                </c:pt>
                <c:pt idx="170">
                  <c:v>0.3427</c:v>
                </c:pt>
                <c:pt idx="171">
                  <c:v>0.34589999999999999</c:v>
                </c:pt>
                <c:pt idx="172">
                  <c:v>0.35020000000000001</c:v>
                </c:pt>
                <c:pt idx="173">
                  <c:v>0.35289999999999999</c:v>
                </c:pt>
                <c:pt idx="174">
                  <c:v>0.3533</c:v>
                </c:pt>
                <c:pt idx="175">
                  <c:v>0.35339999999999999</c:v>
                </c:pt>
                <c:pt idx="176">
                  <c:v>0.35620000000000002</c:v>
                </c:pt>
                <c:pt idx="177">
                  <c:v>0.36299999999999999</c:v>
                </c:pt>
                <c:pt idx="178">
                  <c:v>0.36430000000000001</c:v>
                </c:pt>
                <c:pt idx="179">
                  <c:v>0.36680000000000001</c:v>
                </c:pt>
                <c:pt idx="180">
                  <c:v>0.36520000000000002</c:v>
                </c:pt>
                <c:pt idx="181">
                  <c:v>0.36580000000000001</c:v>
                </c:pt>
                <c:pt idx="182">
                  <c:v>0.36909999999999998</c:v>
                </c:pt>
                <c:pt idx="183">
                  <c:v>0.37309999999999999</c:v>
                </c:pt>
                <c:pt idx="184">
                  <c:v>0.37669999999999998</c:v>
                </c:pt>
                <c:pt idx="185">
                  <c:v>0.37519999999999998</c:v>
                </c:pt>
                <c:pt idx="186">
                  <c:v>0.37519999999999998</c:v>
                </c:pt>
                <c:pt idx="187">
                  <c:v>0.37790000000000001</c:v>
                </c:pt>
                <c:pt idx="188">
                  <c:v>0.38200000000000001</c:v>
                </c:pt>
                <c:pt idx="189">
                  <c:v>0.3856</c:v>
                </c:pt>
                <c:pt idx="190">
                  <c:v>0.38600000000000001</c:v>
                </c:pt>
                <c:pt idx="191">
                  <c:v>0.3861</c:v>
                </c:pt>
                <c:pt idx="192">
                  <c:v>0.38719999999999999</c:v>
                </c:pt>
                <c:pt idx="193">
                  <c:v>0.3901</c:v>
                </c:pt>
                <c:pt idx="194">
                  <c:v>0.39679999999999999</c:v>
                </c:pt>
                <c:pt idx="195">
                  <c:v>0.39860000000000001</c:v>
                </c:pt>
                <c:pt idx="196">
                  <c:v>0.3997</c:v>
                </c:pt>
                <c:pt idx="197">
                  <c:v>0.39850000000000002</c:v>
                </c:pt>
                <c:pt idx="198">
                  <c:v>0.40160000000000001</c:v>
                </c:pt>
                <c:pt idx="199">
                  <c:v>0.40460000000000002</c:v>
                </c:pt>
                <c:pt idx="200">
                  <c:v>0.40749999999999997</c:v>
                </c:pt>
                <c:pt idx="201">
                  <c:v>0.40799999999999997</c:v>
                </c:pt>
                <c:pt idx="202">
                  <c:v>0.4073</c:v>
                </c:pt>
                <c:pt idx="203">
                  <c:v>0.40689999999999998</c:v>
                </c:pt>
                <c:pt idx="204">
                  <c:v>0.4108</c:v>
                </c:pt>
                <c:pt idx="205">
                  <c:v>0.41499999999999998</c:v>
                </c:pt>
                <c:pt idx="206">
                  <c:v>0.41749999999999998</c:v>
                </c:pt>
                <c:pt idx="207">
                  <c:v>0.41639999999999999</c:v>
                </c:pt>
                <c:pt idx="208">
                  <c:v>0.41610000000000003</c:v>
                </c:pt>
                <c:pt idx="209">
                  <c:v>0.41920000000000002</c:v>
                </c:pt>
                <c:pt idx="210">
                  <c:v>0.42330000000000001</c:v>
                </c:pt>
                <c:pt idx="211">
                  <c:v>0.42820000000000003</c:v>
                </c:pt>
                <c:pt idx="212">
                  <c:v>0.43219999999999997</c:v>
                </c:pt>
                <c:pt idx="213">
                  <c:v>0.43209999999999998</c:v>
                </c:pt>
                <c:pt idx="214">
                  <c:v>0.43259999999999998</c:v>
                </c:pt>
                <c:pt idx="215">
                  <c:v>0.43619999999999998</c:v>
                </c:pt>
                <c:pt idx="216">
                  <c:v>0.44</c:v>
                </c:pt>
                <c:pt idx="217">
                  <c:v>0.44169999999999998</c:v>
                </c:pt>
                <c:pt idx="218">
                  <c:v>0.44159999999999999</c:v>
                </c:pt>
                <c:pt idx="219">
                  <c:v>0.43990000000000001</c:v>
                </c:pt>
                <c:pt idx="220">
                  <c:v>0.443</c:v>
                </c:pt>
                <c:pt idx="221">
                  <c:v>0.4481</c:v>
                </c:pt>
                <c:pt idx="222">
                  <c:v>0.45100000000000001</c:v>
                </c:pt>
                <c:pt idx="223">
                  <c:v>0.45279999999999998</c:v>
                </c:pt>
                <c:pt idx="224">
                  <c:v>0.45179999999999998</c:v>
                </c:pt>
                <c:pt idx="225">
                  <c:v>0.45250000000000001</c:v>
                </c:pt>
                <c:pt idx="226">
                  <c:v>0.45529999999999998</c:v>
                </c:pt>
                <c:pt idx="227">
                  <c:v>0.45979999999999999</c:v>
                </c:pt>
                <c:pt idx="228">
                  <c:v>0.46300000000000002</c:v>
                </c:pt>
                <c:pt idx="229">
                  <c:v>0.46139999999999998</c:v>
                </c:pt>
                <c:pt idx="230">
                  <c:v>0.46150000000000002</c:v>
                </c:pt>
                <c:pt idx="231">
                  <c:v>0.46500000000000002</c:v>
                </c:pt>
                <c:pt idx="232">
                  <c:v>0.46889999999999998</c:v>
                </c:pt>
                <c:pt idx="233">
                  <c:v>0.47310000000000002</c:v>
                </c:pt>
                <c:pt idx="234">
                  <c:v>0.47120000000000001</c:v>
                </c:pt>
                <c:pt idx="235">
                  <c:v>0.47239999999999999</c:v>
                </c:pt>
                <c:pt idx="236">
                  <c:v>0.47270000000000001</c:v>
                </c:pt>
                <c:pt idx="237">
                  <c:v>0.47710000000000002</c:v>
                </c:pt>
                <c:pt idx="238">
                  <c:v>0.48230000000000001</c:v>
                </c:pt>
                <c:pt idx="239">
                  <c:v>0.4854</c:v>
                </c:pt>
                <c:pt idx="240">
                  <c:v>0.48520000000000002</c:v>
                </c:pt>
                <c:pt idx="241">
                  <c:v>0.48680000000000001</c:v>
                </c:pt>
                <c:pt idx="242">
                  <c:v>0.48909999999999998</c:v>
                </c:pt>
                <c:pt idx="243">
                  <c:v>0.49340000000000001</c:v>
                </c:pt>
                <c:pt idx="244">
                  <c:v>0.49809999999999999</c:v>
                </c:pt>
                <c:pt idx="245">
                  <c:v>0.49909999999999999</c:v>
                </c:pt>
                <c:pt idx="246">
                  <c:v>0.49869999999999998</c:v>
                </c:pt>
                <c:pt idx="247">
                  <c:v>0.49980000000000002</c:v>
                </c:pt>
                <c:pt idx="248">
                  <c:v>0.50419999999999998</c:v>
                </c:pt>
                <c:pt idx="249">
                  <c:v>0.50780000000000003</c:v>
                </c:pt>
                <c:pt idx="250">
                  <c:v>0.50949999999999995</c:v>
                </c:pt>
                <c:pt idx="251">
                  <c:v>0.50900000000000001</c:v>
                </c:pt>
                <c:pt idx="252">
                  <c:v>0.50819999999999999</c:v>
                </c:pt>
                <c:pt idx="253">
                  <c:v>0.51190000000000002</c:v>
                </c:pt>
                <c:pt idx="254">
                  <c:v>0.51600000000000001</c:v>
                </c:pt>
                <c:pt idx="255">
                  <c:v>0.51790000000000003</c:v>
                </c:pt>
                <c:pt idx="256">
                  <c:v>0.51890000000000003</c:v>
                </c:pt>
                <c:pt idx="257">
                  <c:v>0.51859999999999995</c:v>
                </c:pt>
                <c:pt idx="258">
                  <c:v>0.52029999999999998</c:v>
                </c:pt>
                <c:pt idx="259">
                  <c:v>0.52310000000000001</c:v>
                </c:pt>
                <c:pt idx="260">
                  <c:v>0.5282</c:v>
                </c:pt>
                <c:pt idx="261">
                  <c:v>0.52939999999999998</c:v>
                </c:pt>
                <c:pt idx="262">
                  <c:v>0.5292</c:v>
                </c:pt>
                <c:pt idx="263">
                  <c:v>0.52849999999999997</c:v>
                </c:pt>
                <c:pt idx="264">
                  <c:v>0.53210000000000002</c:v>
                </c:pt>
                <c:pt idx="265">
                  <c:v>0.53700000000000003</c:v>
                </c:pt>
                <c:pt idx="266">
                  <c:v>0.54</c:v>
                </c:pt>
                <c:pt idx="267">
                  <c:v>0.53900000000000003</c:v>
                </c:pt>
                <c:pt idx="268">
                  <c:v>0.53820000000000001</c:v>
                </c:pt>
                <c:pt idx="269">
                  <c:v>0.53979999999999995</c:v>
                </c:pt>
                <c:pt idx="270">
                  <c:v>0.54430000000000001</c:v>
                </c:pt>
                <c:pt idx="271">
                  <c:v>0.54879999999999995</c:v>
                </c:pt>
                <c:pt idx="272">
                  <c:v>0.55089999999999995</c:v>
                </c:pt>
                <c:pt idx="273">
                  <c:v>0.5514</c:v>
                </c:pt>
                <c:pt idx="274">
                  <c:v>0.55149999999999999</c:v>
                </c:pt>
                <c:pt idx="275">
                  <c:v>0.55640000000000001</c:v>
                </c:pt>
                <c:pt idx="276">
                  <c:v>0.56140000000000001</c:v>
                </c:pt>
                <c:pt idx="277">
                  <c:v>0.5645</c:v>
                </c:pt>
                <c:pt idx="278">
                  <c:v>0.56389999999999996</c:v>
                </c:pt>
                <c:pt idx="279">
                  <c:v>0.56459999999999999</c:v>
                </c:pt>
                <c:pt idx="280">
                  <c:v>0.56689999999999996</c:v>
                </c:pt>
                <c:pt idx="281">
                  <c:v>0.5716</c:v>
                </c:pt>
                <c:pt idx="282">
                  <c:v>0.57469999999999999</c:v>
                </c:pt>
                <c:pt idx="283">
                  <c:v>0.57699999999999996</c:v>
                </c:pt>
                <c:pt idx="284">
                  <c:v>0.5786</c:v>
                </c:pt>
                <c:pt idx="285">
                  <c:v>0.5776</c:v>
                </c:pt>
                <c:pt idx="286">
                  <c:v>0.58279999999999998</c:v>
                </c:pt>
                <c:pt idx="287">
                  <c:v>0.58540000000000003</c:v>
                </c:pt>
                <c:pt idx="288">
                  <c:v>0.58919999999999995</c:v>
                </c:pt>
                <c:pt idx="289">
                  <c:v>0.58889999999999998</c:v>
                </c:pt>
                <c:pt idx="290">
                  <c:v>0.58860000000000001</c:v>
                </c:pt>
                <c:pt idx="291">
                  <c:v>0.59160000000000001</c:v>
                </c:pt>
                <c:pt idx="292">
                  <c:v>0.59640000000000004</c:v>
                </c:pt>
                <c:pt idx="293">
                  <c:v>0.60070000000000001</c:v>
                </c:pt>
                <c:pt idx="294">
                  <c:v>0.60240000000000005</c:v>
                </c:pt>
                <c:pt idx="295">
                  <c:v>0.60199999999999998</c:v>
                </c:pt>
                <c:pt idx="296">
                  <c:v>0.60319999999999996</c:v>
                </c:pt>
                <c:pt idx="297">
                  <c:v>0.60760000000000003</c:v>
                </c:pt>
                <c:pt idx="298">
                  <c:v>0.61240000000000006</c:v>
                </c:pt>
                <c:pt idx="299">
                  <c:v>0.61509999999999998</c:v>
                </c:pt>
                <c:pt idx="300">
                  <c:v>0.61329999999999996</c:v>
                </c:pt>
                <c:pt idx="301">
                  <c:v>0.61480000000000001</c:v>
                </c:pt>
                <c:pt idx="302">
                  <c:v>0.61680000000000001</c:v>
                </c:pt>
                <c:pt idx="303">
                  <c:v>0.62160000000000004</c:v>
                </c:pt>
                <c:pt idx="304">
                  <c:v>0.62609999999999999</c:v>
                </c:pt>
                <c:pt idx="305">
                  <c:v>0.62560000000000004</c:v>
                </c:pt>
                <c:pt idx="306">
                  <c:v>0.62660000000000005</c:v>
                </c:pt>
                <c:pt idx="307">
                  <c:v>0.628</c:v>
                </c:pt>
                <c:pt idx="308">
                  <c:v>0.63280000000000003</c:v>
                </c:pt>
                <c:pt idx="309">
                  <c:v>0.63739999999999997</c:v>
                </c:pt>
                <c:pt idx="310">
                  <c:v>0.63959999999999995</c:v>
                </c:pt>
                <c:pt idx="311">
                  <c:v>0.64259999999999995</c:v>
                </c:pt>
                <c:pt idx="312">
                  <c:v>0.64339999999999997</c:v>
                </c:pt>
                <c:pt idx="313">
                  <c:v>0.64629999999999999</c:v>
                </c:pt>
                <c:pt idx="314">
                  <c:v>0.65239999999999998</c:v>
                </c:pt>
                <c:pt idx="315">
                  <c:v>0.65580000000000005</c:v>
                </c:pt>
                <c:pt idx="316">
                  <c:v>0.65839999999999999</c:v>
                </c:pt>
                <c:pt idx="317">
                  <c:v>0.65690000000000004</c:v>
                </c:pt>
                <c:pt idx="318">
                  <c:v>0.6593</c:v>
                </c:pt>
                <c:pt idx="319">
                  <c:v>0.6623</c:v>
                </c:pt>
                <c:pt idx="320">
                  <c:v>0.66769999999999996</c:v>
                </c:pt>
                <c:pt idx="321">
                  <c:v>0.67159999999999997</c:v>
                </c:pt>
                <c:pt idx="322">
                  <c:v>0.66890000000000005</c:v>
                </c:pt>
                <c:pt idx="323">
                  <c:v>0.67100000000000004</c:v>
                </c:pt>
                <c:pt idx="324">
                  <c:v>0.67279999999999995</c:v>
                </c:pt>
                <c:pt idx="325">
                  <c:v>0.6784</c:v>
                </c:pt>
                <c:pt idx="326">
                  <c:v>0.68159999999999998</c:v>
                </c:pt>
                <c:pt idx="327">
                  <c:v>0.68230000000000002</c:v>
                </c:pt>
                <c:pt idx="328">
                  <c:v>0.68320000000000003</c:v>
                </c:pt>
                <c:pt idx="329">
                  <c:v>0.68479999999999996</c:v>
                </c:pt>
                <c:pt idx="330">
                  <c:v>0.68969999999999998</c:v>
                </c:pt>
                <c:pt idx="331">
                  <c:v>0.69499999999999995</c:v>
                </c:pt>
                <c:pt idx="332">
                  <c:v>0.69669999999999999</c:v>
                </c:pt>
                <c:pt idx="333">
                  <c:v>0.69810000000000005</c:v>
                </c:pt>
                <c:pt idx="334">
                  <c:v>0.69820000000000004</c:v>
                </c:pt>
                <c:pt idx="335">
                  <c:v>0.7016</c:v>
                </c:pt>
                <c:pt idx="336">
                  <c:v>0.70679999999999998</c:v>
                </c:pt>
                <c:pt idx="337">
                  <c:v>0.7087</c:v>
                </c:pt>
                <c:pt idx="338">
                  <c:v>0.70979999999999999</c:v>
                </c:pt>
                <c:pt idx="339">
                  <c:v>0.7107</c:v>
                </c:pt>
                <c:pt idx="340">
                  <c:v>0.71319999999999995</c:v>
                </c:pt>
                <c:pt idx="341">
                  <c:v>0.71730000000000005</c:v>
                </c:pt>
                <c:pt idx="342">
                  <c:v>0.72240000000000004</c:v>
                </c:pt>
                <c:pt idx="343">
                  <c:v>0.72409999999999997</c:v>
                </c:pt>
                <c:pt idx="344">
                  <c:v>0.72409999999999997</c:v>
                </c:pt>
                <c:pt idx="345">
                  <c:v>0.72450000000000003</c:v>
                </c:pt>
                <c:pt idx="346">
                  <c:v>0.7288</c:v>
                </c:pt>
                <c:pt idx="347">
                  <c:v>0.73360000000000003</c:v>
                </c:pt>
                <c:pt idx="348">
                  <c:v>0.73770000000000002</c:v>
                </c:pt>
                <c:pt idx="349">
                  <c:v>0.73680000000000001</c:v>
                </c:pt>
                <c:pt idx="350">
                  <c:v>0.73829999999999996</c:v>
                </c:pt>
                <c:pt idx="351">
                  <c:v>0.74029999999999996</c:v>
                </c:pt>
                <c:pt idx="352">
                  <c:v>0.74380000000000002</c:v>
                </c:pt>
                <c:pt idx="353">
                  <c:v>0.74870000000000003</c:v>
                </c:pt>
                <c:pt idx="354">
                  <c:v>0.75049999999999994</c:v>
                </c:pt>
                <c:pt idx="355">
                  <c:v>0.74990000000000001</c:v>
                </c:pt>
                <c:pt idx="356">
                  <c:v>0.75119999999999998</c:v>
                </c:pt>
                <c:pt idx="357">
                  <c:v>0.75439999999999996</c:v>
                </c:pt>
                <c:pt idx="358">
                  <c:v>0.76019999999999999</c:v>
                </c:pt>
                <c:pt idx="359">
                  <c:v>0.76359999999999995</c:v>
                </c:pt>
                <c:pt idx="360">
                  <c:v>0.76490000000000002</c:v>
                </c:pt>
                <c:pt idx="361">
                  <c:v>0.76529999999999998</c:v>
                </c:pt>
                <c:pt idx="362">
                  <c:v>0.76880000000000004</c:v>
                </c:pt>
                <c:pt idx="363">
                  <c:v>0.77390000000000003</c:v>
                </c:pt>
                <c:pt idx="364">
                  <c:v>0.77769999999999995</c:v>
                </c:pt>
                <c:pt idx="365">
                  <c:v>0.7792</c:v>
                </c:pt>
                <c:pt idx="366">
                  <c:v>0.77939999999999998</c:v>
                </c:pt>
                <c:pt idx="367">
                  <c:v>0.78139999999999998</c:v>
                </c:pt>
                <c:pt idx="368">
                  <c:v>0.78420000000000001</c:v>
                </c:pt>
                <c:pt idx="369">
                  <c:v>0.79010000000000002</c:v>
                </c:pt>
                <c:pt idx="370">
                  <c:v>0.79359999999999997</c:v>
                </c:pt>
                <c:pt idx="371">
                  <c:v>0.79369999999999996</c:v>
                </c:pt>
                <c:pt idx="372">
                  <c:v>0.79430000000000001</c:v>
                </c:pt>
                <c:pt idx="373">
                  <c:v>0.79779999999999995</c:v>
                </c:pt>
                <c:pt idx="374">
                  <c:v>0.80220000000000002</c:v>
                </c:pt>
                <c:pt idx="375">
                  <c:v>0.80730000000000002</c:v>
                </c:pt>
                <c:pt idx="376">
                  <c:v>0.81169999999999998</c:v>
                </c:pt>
                <c:pt idx="377">
                  <c:v>0.81489999999999996</c:v>
                </c:pt>
                <c:pt idx="378">
                  <c:v>0.81759999999999999</c:v>
                </c:pt>
                <c:pt idx="379">
                  <c:v>0.82369999999999999</c:v>
                </c:pt>
                <c:pt idx="380">
                  <c:v>0.82979999999999998</c:v>
                </c:pt>
                <c:pt idx="381">
                  <c:v>0.83320000000000005</c:v>
                </c:pt>
                <c:pt idx="382">
                  <c:v>0.83360000000000001</c:v>
                </c:pt>
                <c:pt idx="383">
                  <c:v>0.83579999999999999</c:v>
                </c:pt>
                <c:pt idx="384">
                  <c:v>0.8387</c:v>
                </c:pt>
                <c:pt idx="385">
                  <c:v>0.84470000000000001</c:v>
                </c:pt>
                <c:pt idx="386">
                  <c:v>0.84899999999999998</c:v>
                </c:pt>
                <c:pt idx="387">
                  <c:v>0.85009999999999997</c:v>
                </c:pt>
                <c:pt idx="388">
                  <c:v>0.85029999999999994</c:v>
                </c:pt>
                <c:pt idx="389">
                  <c:v>0.85240000000000005</c:v>
                </c:pt>
                <c:pt idx="390">
                  <c:v>0.85740000000000005</c:v>
                </c:pt>
                <c:pt idx="391">
                  <c:v>0.86399999999999999</c:v>
                </c:pt>
                <c:pt idx="392">
                  <c:v>0.86639999999999995</c:v>
                </c:pt>
                <c:pt idx="393">
                  <c:v>0.86750000000000005</c:v>
                </c:pt>
                <c:pt idx="394">
                  <c:v>0.86890000000000001</c:v>
                </c:pt>
                <c:pt idx="395">
                  <c:v>0.872</c:v>
                </c:pt>
                <c:pt idx="396">
                  <c:v>0.87980000000000003</c:v>
                </c:pt>
                <c:pt idx="397">
                  <c:v>0.88470000000000004</c:v>
                </c:pt>
                <c:pt idx="398">
                  <c:v>0.88629999999999998</c:v>
                </c:pt>
                <c:pt idx="399">
                  <c:v>0.88859999999999995</c:v>
                </c:pt>
                <c:pt idx="400">
                  <c:v>0.89019999999999999</c:v>
                </c:pt>
                <c:pt idx="401">
                  <c:v>0.89680000000000004</c:v>
                </c:pt>
                <c:pt idx="402">
                  <c:v>0.90180000000000005</c:v>
                </c:pt>
                <c:pt idx="403">
                  <c:v>0.90639999999999998</c:v>
                </c:pt>
                <c:pt idx="404">
                  <c:v>0.90639999999999998</c:v>
                </c:pt>
                <c:pt idx="405">
                  <c:v>0.90820000000000001</c:v>
                </c:pt>
                <c:pt idx="406">
                  <c:v>0.91239999999999999</c:v>
                </c:pt>
                <c:pt idx="407">
                  <c:v>0.91910000000000003</c:v>
                </c:pt>
                <c:pt idx="408">
                  <c:v>0.92449999999999999</c:v>
                </c:pt>
                <c:pt idx="409">
                  <c:v>0.92649999999999999</c:v>
                </c:pt>
                <c:pt idx="410">
                  <c:v>0.92859999999999998</c:v>
                </c:pt>
                <c:pt idx="411">
                  <c:v>0.92849999999999999</c:v>
                </c:pt>
                <c:pt idx="412">
                  <c:v>0.93530000000000002</c:v>
                </c:pt>
                <c:pt idx="413">
                  <c:v>0.94179999999999997</c:v>
                </c:pt>
                <c:pt idx="414">
                  <c:v>0.94620000000000004</c:v>
                </c:pt>
                <c:pt idx="415">
                  <c:v>0.94710000000000005</c:v>
                </c:pt>
                <c:pt idx="416">
                  <c:v>0.9516</c:v>
                </c:pt>
                <c:pt idx="417">
                  <c:v>0.96140000000000003</c:v>
                </c:pt>
                <c:pt idx="418">
                  <c:v>0.97060000000000002</c:v>
                </c:pt>
                <c:pt idx="419">
                  <c:v>0.97799999999999998</c:v>
                </c:pt>
                <c:pt idx="420">
                  <c:v>0.98370000000000002</c:v>
                </c:pt>
                <c:pt idx="421">
                  <c:v>0.98929999999999996</c:v>
                </c:pt>
                <c:pt idx="422">
                  <c:v>0.99399999999999999</c:v>
                </c:pt>
                <c:pt idx="423">
                  <c:v>1.0023</c:v>
                </c:pt>
                <c:pt idx="424">
                  <c:v>1.0102</c:v>
                </c:pt>
                <c:pt idx="425">
                  <c:v>1.0163</c:v>
                </c:pt>
                <c:pt idx="426">
                  <c:v>1.0216000000000001</c:v>
                </c:pt>
                <c:pt idx="427">
                  <c:v>1.0266</c:v>
                </c:pt>
                <c:pt idx="428">
                  <c:v>1.0390999999999999</c:v>
                </c:pt>
                <c:pt idx="429">
                  <c:v>1.0504</c:v>
                </c:pt>
                <c:pt idx="430">
                  <c:v>1.0589999999999999</c:v>
                </c:pt>
                <c:pt idx="431">
                  <c:v>1.0637000000000001</c:v>
                </c:pt>
                <c:pt idx="432">
                  <c:v>1.0671999999999999</c:v>
                </c:pt>
                <c:pt idx="433">
                  <c:v>1.0718000000000001</c:v>
                </c:pt>
                <c:pt idx="434">
                  <c:v>1.0792999999999999</c:v>
                </c:pt>
                <c:pt idx="435">
                  <c:v>1.0849</c:v>
                </c:pt>
                <c:pt idx="436">
                  <c:v>1.0891</c:v>
                </c:pt>
                <c:pt idx="437">
                  <c:v>1.0915999999999999</c:v>
                </c:pt>
                <c:pt idx="438">
                  <c:v>1.0945</c:v>
                </c:pt>
                <c:pt idx="439">
                  <c:v>1.1013999999999999</c:v>
                </c:pt>
                <c:pt idx="440">
                  <c:v>1.1095999999999999</c:v>
                </c:pt>
                <c:pt idx="441">
                  <c:v>1.1176999999999999</c:v>
                </c:pt>
                <c:pt idx="442">
                  <c:v>1.1225000000000001</c:v>
                </c:pt>
                <c:pt idx="443">
                  <c:v>1.1278999999999999</c:v>
                </c:pt>
                <c:pt idx="444">
                  <c:v>1.1336999999999999</c:v>
                </c:pt>
                <c:pt idx="445">
                  <c:v>1.143</c:v>
                </c:pt>
                <c:pt idx="446">
                  <c:v>1.1527000000000001</c:v>
                </c:pt>
                <c:pt idx="447">
                  <c:v>1.1585000000000001</c:v>
                </c:pt>
                <c:pt idx="448">
                  <c:v>1.1617</c:v>
                </c:pt>
                <c:pt idx="449">
                  <c:v>1.1659999999999999</c:v>
                </c:pt>
                <c:pt idx="450">
                  <c:v>1.1737</c:v>
                </c:pt>
                <c:pt idx="451">
                  <c:v>1.1829000000000001</c:v>
                </c:pt>
                <c:pt idx="452">
                  <c:v>1.1898</c:v>
                </c:pt>
                <c:pt idx="453">
                  <c:v>1.1972</c:v>
                </c:pt>
                <c:pt idx="454">
                  <c:v>1.2108000000000001</c:v>
                </c:pt>
                <c:pt idx="455">
                  <c:v>1.2239</c:v>
                </c:pt>
                <c:pt idx="456">
                  <c:v>1.2363</c:v>
                </c:pt>
                <c:pt idx="457">
                  <c:v>1.2453000000000001</c:v>
                </c:pt>
                <c:pt idx="458">
                  <c:v>1.2524</c:v>
                </c:pt>
                <c:pt idx="459">
                  <c:v>1.2561</c:v>
                </c:pt>
                <c:pt idx="460">
                  <c:v>1.2617</c:v>
                </c:pt>
                <c:pt idx="461">
                  <c:v>1.2710999999999999</c:v>
                </c:pt>
                <c:pt idx="462">
                  <c:v>1.2794000000000001</c:v>
                </c:pt>
                <c:pt idx="463">
                  <c:v>1.288</c:v>
                </c:pt>
                <c:pt idx="464">
                  <c:v>1.2911999999999999</c:v>
                </c:pt>
                <c:pt idx="465">
                  <c:v>1.2965</c:v>
                </c:pt>
                <c:pt idx="466">
                  <c:v>1.3024</c:v>
                </c:pt>
                <c:pt idx="467">
                  <c:v>1.3115000000000001</c:v>
                </c:pt>
                <c:pt idx="468">
                  <c:v>1.3180000000000001</c:v>
                </c:pt>
                <c:pt idx="469">
                  <c:v>1.3221000000000001</c:v>
                </c:pt>
                <c:pt idx="470">
                  <c:v>1.3242</c:v>
                </c:pt>
                <c:pt idx="471">
                  <c:v>1.3270999999999999</c:v>
                </c:pt>
                <c:pt idx="472">
                  <c:v>1.3347</c:v>
                </c:pt>
                <c:pt idx="473">
                  <c:v>1.3407</c:v>
                </c:pt>
                <c:pt idx="474">
                  <c:v>1.3469</c:v>
                </c:pt>
                <c:pt idx="475">
                  <c:v>1.3481000000000001</c:v>
                </c:pt>
                <c:pt idx="476">
                  <c:v>1.3509</c:v>
                </c:pt>
                <c:pt idx="477">
                  <c:v>1.3592</c:v>
                </c:pt>
                <c:pt idx="478">
                  <c:v>1.3768</c:v>
                </c:pt>
                <c:pt idx="479">
                  <c:v>1.3892</c:v>
                </c:pt>
                <c:pt idx="480">
                  <c:v>1.3965000000000001</c:v>
                </c:pt>
                <c:pt idx="481">
                  <c:v>1.4011</c:v>
                </c:pt>
                <c:pt idx="482">
                  <c:v>1.4076</c:v>
                </c:pt>
                <c:pt idx="483">
                  <c:v>1.4149</c:v>
                </c:pt>
                <c:pt idx="484">
                  <c:v>1.4245000000000001</c:v>
                </c:pt>
                <c:pt idx="485">
                  <c:v>1.4298</c:v>
                </c:pt>
                <c:pt idx="486">
                  <c:v>1.4335</c:v>
                </c:pt>
                <c:pt idx="487">
                  <c:v>1.4369000000000001</c:v>
                </c:pt>
                <c:pt idx="488">
                  <c:v>1.4447000000000001</c:v>
                </c:pt>
                <c:pt idx="489">
                  <c:v>1.4496</c:v>
                </c:pt>
                <c:pt idx="490">
                  <c:v>1.4525999999999999</c:v>
                </c:pt>
                <c:pt idx="491">
                  <c:v>1.4542999999999999</c:v>
                </c:pt>
                <c:pt idx="492">
                  <c:v>1.4573</c:v>
                </c:pt>
                <c:pt idx="493">
                  <c:v>1.4591000000000001</c:v>
                </c:pt>
                <c:pt idx="494">
                  <c:v>1.4621999999999999</c:v>
                </c:pt>
                <c:pt idx="495">
                  <c:v>1.4641999999999999</c:v>
                </c:pt>
                <c:pt idx="496">
                  <c:v>1.4659</c:v>
                </c:pt>
                <c:pt idx="497">
                  <c:v>1.4677</c:v>
                </c:pt>
                <c:pt idx="498">
                  <c:v>1.4702999999999999</c:v>
                </c:pt>
                <c:pt idx="499">
                  <c:v>1.4722999999999999</c:v>
                </c:pt>
                <c:pt idx="500">
                  <c:v>1.4739</c:v>
                </c:pt>
                <c:pt idx="501">
                  <c:v>1.4742</c:v>
                </c:pt>
                <c:pt idx="502">
                  <c:v>1.4757</c:v>
                </c:pt>
                <c:pt idx="503">
                  <c:v>1.4778</c:v>
                </c:pt>
                <c:pt idx="504">
                  <c:v>1.4786999999999999</c:v>
                </c:pt>
                <c:pt idx="505">
                  <c:v>1.4801</c:v>
                </c:pt>
                <c:pt idx="506">
                  <c:v>1.4814000000000001</c:v>
                </c:pt>
                <c:pt idx="507">
                  <c:v>1.4827999999999999</c:v>
                </c:pt>
                <c:pt idx="508">
                  <c:v>1.4849000000000001</c:v>
                </c:pt>
                <c:pt idx="509">
                  <c:v>1.4866999999999999</c:v>
                </c:pt>
                <c:pt idx="510">
                  <c:v>1.4871000000000001</c:v>
                </c:pt>
                <c:pt idx="511">
                  <c:v>1.4899</c:v>
                </c:pt>
                <c:pt idx="512">
                  <c:v>1.4898</c:v>
                </c:pt>
                <c:pt idx="513">
                  <c:v>1.4914000000000001</c:v>
                </c:pt>
                <c:pt idx="514">
                  <c:v>1.4923</c:v>
                </c:pt>
                <c:pt idx="515">
                  <c:v>1.4951000000000001</c:v>
                </c:pt>
                <c:pt idx="516">
                  <c:v>1.4931000000000001</c:v>
                </c:pt>
                <c:pt idx="517">
                  <c:v>1.4948999999999999</c:v>
                </c:pt>
                <c:pt idx="518">
                  <c:v>1.4964999999999999</c:v>
                </c:pt>
                <c:pt idx="519">
                  <c:v>1.4963</c:v>
                </c:pt>
                <c:pt idx="520">
                  <c:v>1.4961</c:v>
                </c:pt>
                <c:pt idx="521">
                  <c:v>1.4968999999999999</c:v>
                </c:pt>
                <c:pt idx="522">
                  <c:v>1.4972000000000001</c:v>
                </c:pt>
                <c:pt idx="523">
                  <c:v>1.496</c:v>
                </c:pt>
                <c:pt idx="524">
                  <c:v>1.4962</c:v>
                </c:pt>
                <c:pt idx="525">
                  <c:v>1.4971000000000001</c:v>
                </c:pt>
                <c:pt idx="526">
                  <c:v>1.4973000000000001</c:v>
                </c:pt>
                <c:pt idx="527">
                  <c:v>1.4968999999999999</c:v>
                </c:pt>
                <c:pt idx="528">
                  <c:v>1.4961</c:v>
                </c:pt>
                <c:pt idx="529">
                  <c:v>1.4971000000000001</c:v>
                </c:pt>
                <c:pt idx="530">
                  <c:v>1.4967999999999999</c:v>
                </c:pt>
                <c:pt idx="531">
                  <c:v>1.4952000000000001</c:v>
                </c:pt>
                <c:pt idx="532">
                  <c:v>1.4957</c:v>
                </c:pt>
                <c:pt idx="533">
                  <c:v>1.4947999999999999</c:v>
                </c:pt>
                <c:pt idx="534">
                  <c:v>1.4944</c:v>
                </c:pt>
                <c:pt idx="535">
                  <c:v>1.4944</c:v>
                </c:pt>
                <c:pt idx="536">
                  <c:v>1.4935</c:v>
                </c:pt>
                <c:pt idx="537">
                  <c:v>1.4939</c:v>
                </c:pt>
                <c:pt idx="538">
                  <c:v>1.4938</c:v>
                </c:pt>
                <c:pt idx="539">
                  <c:v>1.492</c:v>
                </c:pt>
                <c:pt idx="540">
                  <c:v>1.4916</c:v>
                </c:pt>
                <c:pt idx="541">
                  <c:v>1.4913000000000001</c:v>
                </c:pt>
                <c:pt idx="542">
                  <c:v>1.4911000000000001</c:v>
                </c:pt>
                <c:pt idx="543">
                  <c:v>1.4905999999999999</c:v>
                </c:pt>
                <c:pt idx="544">
                  <c:v>1.4905999999999999</c:v>
                </c:pt>
                <c:pt idx="545">
                  <c:v>1.4901</c:v>
                </c:pt>
                <c:pt idx="546">
                  <c:v>1.4895</c:v>
                </c:pt>
                <c:pt idx="547">
                  <c:v>1.4885999999999999</c:v>
                </c:pt>
                <c:pt idx="548">
                  <c:v>1.4888999999999999</c:v>
                </c:pt>
                <c:pt idx="549">
                  <c:v>1.4879</c:v>
                </c:pt>
                <c:pt idx="550">
                  <c:v>1.4873000000000001</c:v>
                </c:pt>
                <c:pt idx="551">
                  <c:v>1.4871000000000001</c:v>
                </c:pt>
                <c:pt idx="552">
                  <c:v>1.4845999999999999</c:v>
                </c:pt>
                <c:pt idx="553">
                  <c:v>1.4854000000000001</c:v>
                </c:pt>
                <c:pt idx="554">
                  <c:v>1.4847999999999999</c:v>
                </c:pt>
                <c:pt idx="555">
                  <c:v>1.4843999999999999</c:v>
                </c:pt>
                <c:pt idx="556">
                  <c:v>1.4853000000000001</c:v>
                </c:pt>
                <c:pt idx="557">
                  <c:v>1.4835</c:v>
                </c:pt>
                <c:pt idx="558">
                  <c:v>1.4818</c:v>
                </c:pt>
                <c:pt idx="559">
                  <c:v>1.4804999999999999</c:v>
                </c:pt>
                <c:pt idx="560">
                  <c:v>1.4797</c:v>
                </c:pt>
                <c:pt idx="561">
                  <c:v>1.4798</c:v>
                </c:pt>
                <c:pt idx="562">
                  <c:v>1.4792000000000001</c:v>
                </c:pt>
                <c:pt idx="563">
                  <c:v>1.4789000000000001</c:v>
                </c:pt>
                <c:pt idx="564">
                  <c:v>1.4782999999999999</c:v>
                </c:pt>
                <c:pt idx="565">
                  <c:v>1.4769000000000001</c:v>
                </c:pt>
                <c:pt idx="566">
                  <c:v>1.4765999999999999</c:v>
                </c:pt>
                <c:pt idx="567">
                  <c:v>1.4762999999999999</c:v>
                </c:pt>
                <c:pt idx="568">
                  <c:v>1.4757</c:v>
                </c:pt>
                <c:pt idx="569">
                  <c:v>1.4752000000000001</c:v>
                </c:pt>
                <c:pt idx="570">
                  <c:v>1.4752000000000001</c:v>
                </c:pt>
                <c:pt idx="571">
                  <c:v>1.4725999999999999</c:v>
                </c:pt>
                <c:pt idx="572">
                  <c:v>1.4731000000000001</c:v>
                </c:pt>
                <c:pt idx="573">
                  <c:v>1.4719</c:v>
                </c:pt>
                <c:pt idx="574">
                  <c:v>1.4716</c:v>
                </c:pt>
                <c:pt idx="575">
                  <c:v>1.4710000000000001</c:v>
                </c:pt>
                <c:pt idx="576">
                  <c:v>1.4705999999999999</c:v>
                </c:pt>
                <c:pt idx="577">
                  <c:v>1.4703999999999999</c:v>
                </c:pt>
                <c:pt idx="578">
                  <c:v>1.4694</c:v>
                </c:pt>
                <c:pt idx="579">
                  <c:v>1.47</c:v>
                </c:pt>
                <c:pt idx="580">
                  <c:v>1.4682999999999999</c:v>
                </c:pt>
                <c:pt idx="581">
                  <c:v>1.4665999999999999</c:v>
                </c:pt>
                <c:pt idx="582">
                  <c:v>1.4655</c:v>
                </c:pt>
                <c:pt idx="583">
                  <c:v>1.4661</c:v>
                </c:pt>
                <c:pt idx="584">
                  <c:v>1.4649000000000001</c:v>
                </c:pt>
                <c:pt idx="585">
                  <c:v>1.464</c:v>
                </c:pt>
                <c:pt idx="586">
                  <c:v>1.4633</c:v>
                </c:pt>
                <c:pt idx="587">
                  <c:v>1.4626999999999999</c:v>
                </c:pt>
                <c:pt idx="588">
                  <c:v>1.4617</c:v>
                </c:pt>
                <c:pt idx="589">
                  <c:v>1.4612000000000001</c:v>
                </c:pt>
                <c:pt idx="590">
                  <c:v>1.4613</c:v>
                </c:pt>
                <c:pt idx="591">
                  <c:v>1.4609000000000001</c:v>
                </c:pt>
                <c:pt idx="592">
                  <c:v>1.4591000000000001</c:v>
                </c:pt>
                <c:pt idx="593">
                  <c:v>1.4583999999999999</c:v>
                </c:pt>
                <c:pt idx="594">
                  <c:v>1.4583999999999999</c:v>
                </c:pt>
                <c:pt idx="595">
                  <c:v>1.4578</c:v>
                </c:pt>
                <c:pt idx="596">
                  <c:v>1.4565999999999999</c:v>
                </c:pt>
                <c:pt idx="597">
                  <c:v>1.4553</c:v>
                </c:pt>
                <c:pt idx="598">
                  <c:v>1.4544999999999999</c:v>
                </c:pt>
                <c:pt idx="599">
                  <c:v>1.4533</c:v>
                </c:pt>
                <c:pt idx="600">
                  <c:v>1.4527000000000001</c:v>
                </c:pt>
                <c:pt idx="601">
                  <c:v>1.4518</c:v>
                </c:pt>
                <c:pt idx="602">
                  <c:v>1.4512</c:v>
                </c:pt>
                <c:pt idx="603">
                  <c:v>1.4500999999999999</c:v>
                </c:pt>
                <c:pt idx="604">
                  <c:v>1.4519</c:v>
                </c:pt>
                <c:pt idx="605">
                  <c:v>1.4493</c:v>
                </c:pt>
                <c:pt idx="606">
                  <c:v>1.4492</c:v>
                </c:pt>
                <c:pt idx="607">
                  <c:v>1.4477</c:v>
                </c:pt>
                <c:pt idx="608">
                  <c:v>1.448</c:v>
                </c:pt>
                <c:pt idx="609">
                  <c:v>1.4463999999999999</c:v>
                </c:pt>
                <c:pt idx="610">
                  <c:v>1.4441999999999999</c:v>
                </c:pt>
                <c:pt idx="611">
                  <c:v>1.4443999999999999</c:v>
                </c:pt>
                <c:pt idx="612">
                  <c:v>1.4450000000000001</c:v>
                </c:pt>
                <c:pt idx="613">
                  <c:v>1.4438</c:v>
                </c:pt>
                <c:pt idx="614">
                  <c:v>1.4419999999999999</c:v>
                </c:pt>
                <c:pt idx="615">
                  <c:v>1.4419999999999999</c:v>
                </c:pt>
                <c:pt idx="616">
                  <c:v>1.4413</c:v>
                </c:pt>
                <c:pt idx="617">
                  <c:v>1.4400999999999999</c:v>
                </c:pt>
                <c:pt idx="618">
                  <c:v>1.4396</c:v>
                </c:pt>
                <c:pt idx="619">
                  <c:v>1.4377</c:v>
                </c:pt>
                <c:pt idx="620">
                  <c:v>1.4372</c:v>
                </c:pt>
                <c:pt idx="621">
                  <c:v>1.4373</c:v>
                </c:pt>
                <c:pt idx="622">
                  <c:v>1.4356</c:v>
                </c:pt>
                <c:pt idx="623">
                  <c:v>1.4346000000000001</c:v>
                </c:pt>
                <c:pt idx="624">
                  <c:v>1.4333</c:v>
                </c:pt>
                <c:pt idx="625">
                  <c:v>1.4325000000000001</c:v>
                </c:pt>
                <c:pt idx="626">
                  <c:v>1.4309000000000001</c:v>
                </c:pt>
                <c:pt idx="627">
                  <c:v>1.4317</c:v>
                </c:pt>
                <c:pt idx="628">
                  <c:v>1.4296</c:v>
                </c:pt>
                <c:pt idx="629">
                  <c:v>1.4287000000000001</c:v>
                </c:pt>
                <c:pt idx="630">
                  <c:v>1.4282999999999999</c:v>
                </c:pt>
                <c:pt idx="631">
                  <c:v>1.4288000000000001</c:v>
                </c:pt>
                <c:pt idx="632">
                  <c:v>1.4276</c:v>
                </c:pt>
                <c:pt idx="633">
                  <c:v>1.4278</c:v>
                </c:pt>
                <c:pt idx="634">
                  <c:v>1.4268000000000001</c:v>
                </c:pt>
                <c:pt idx="635">
                  <c:v>1.4258999999999999</c:v>
                </c:pt>
                <c:pt idx="636">
                  <c:v>1.4253</c:v>
                </c:pt>
                <c:pt idx="637">
                  <c:v>1.4253</c:v>
                </c:pt>
                <c:pt idx="638">
                  <c:v>1.425</c:v>
                </c:pt>
                <c:pt idx="639">
                  <c:v>1.4225000000000001</c:v>
                </c:pt>
                <c:pt idx="640">
                  <c:v>1.4221999999999999</c:v>
                </c:pt>
                <c:pt idx="641">
                  <c:v>1.4222999999999999</c:v>
                </c:pt>
                <c:pt idx="642">
                  <c:v>1.4222999999999999</c:v>
                </c:pt>
                <c:pt idx="643">
                  <c:v>1.4202999999999999</c:v>
                </c:pt>
                <c:pt idx="644">
                  <c:v>1.4205000000000001</c:v>
                </c:pt>
                <c:pt idx="645">
                  <c:v>1.419</c:v>
                </c:pt>
                <c:pt idx="646">
                  <c:v>1.4187000000000001</c:v>
                </c:pt>
                <c:pt idx="647">
                  <c:v>1.4178999999999999</c:v>
                </c:pt>
                <c:pt idx="648">
                  <c:v>1.417</c:v>
                </c:pt>
                <c:pt idx="649">
                  <c:v>1.4160999999999999</c:v>
                </c:pt>
                <c:pt idx="650">
                  <c:v>1.4160999999999999</c:v>
                </c:pt>
                <c:pt idx="651">
                  <c:v>1.4154</c:v>
                </c:pt>
                <c:pt idx="652">
                  <c:v>1.4138999999999999</c:v>
                </c:pt>
                <c:pt idx="653">
                  <c:v>1.4132</c:v>
                </c:pt>
                <c:pt idx="654">
                  <c:v>1.4117999999999999</c:v>
                </c:pt>
                <c:pt idx="655">
                  <c:v>1.4114</c:v>
                </c:pt>
                <c:pt idx="656">
                  <c:v>1.4106000000000001</c:v>
                </c:pt>
                <c:pt idx="657">
                  <c:v>1.4100999999999999</c:v>
                </c:pt>
                <c:pt idx="658">
                  <c:v>1.4086000000000001</c:v>
                </c:pt>
                <c:pt idx="659">
                  <c:v>1.4080999999999999</c:v>
                </c:pt>
                <c:pt idx="660">
                  <c:v>1.4076</c:v>
                </c:pt>
                <c:pt idx="661">
                  <c:v>1.4058999999999999</c:v>
                </c:pt>
                <c:pt idx="662">
                  <c:v>1.405</c:v>
                </c:pt>
                <c:pt idx="663">
                  <c:v>1.4056999999999999</c:v>
                </c:pt>
                <c:pt idx="664">
                  <c:v>1.4041999999999999</c:v>
                </c:pt>
                <c:pt idx="665">
                  <c:v>1.4024000000000001</c:v>
                </c:pt>
                <c:pt idx="666">
                  <c:v>1.4023000000000001</c:v>
                </c:pt>
                <c:pt idx="667">
                  <c:v>1.4016999999999999</c:v>
                </c:pt>
                <c:pt idx="668">
                  <c:v>1.4013</c:v>
                </c:pt>
                <c:pt idx="669">
                  <c:v>1.4004000000000001</c:v>
                </c:pt>
                <c:pt idx="670">
                  <c:v>1.3989</c:v>
                </c:pt>
                <c:pt idx="671">
                  <c:v>1.3988</c:v>
                </c:pt>
                <c:pt idx="672">
                  <c:v>1.3982000000000001</c:v>
                </c:pt>
                <c:pt idx="673">
                  <c:v>1.3974</c:v>
                </c:pt>
                <c:pt idx="674">
                  <c:v>1.3955</c:v>
                </c:pt>
                <c:pt idx="675">
                  <c:v>1.3956999999999999</c:v>
                </c:pt>
                <c:pt idx="676">
                  <c:v>1.3957999999999999</c:v>
                </c:pt>
                <c:pt idx="677">
                  <c:v>1.3935</c:v>
                </c:pt>
                <c:pt idx="678">
                  <c:v>1.3942000000000001</c:v>
                </c:pt>
                <c:pt idx="679">
                  <c:v>1.3939999999999999</c:v>
                </c:pt>
                <c:pt idx="680">
                  <c:v>1.3920999999999999</c:v>
                </c:pt>
                <c:pt idx="681">
                  <c:v>1.3907</c:v>
                </c:pt>
                <c:pt idx="682">
                  <c:v>1.3900999999999999</c:v>
                </c:pt>
                <c:pt idx="683">
                  <c:v>1.3897999999999999</c:v>
                </c:pt>
                <c:pt idx="684">
                  <c:v>1.3887</c:v>
                </c:pt>
                <c:pt idx="685">
                  <c:v>1.3871</c:v>
                </c:pt>
                <c:pt idx="686">
                  <c:v>1.3864000000000001</c:v>
                </c:pt>
                <c:pt idx="687">
                  <c:v>1.3865000000000001</c:v>
                </c:pt>
                <c:pt idx="688">
                  <c:v>1.3854</c:v>
                </c:pt>
                <c:pt idx="689">
                  <c:v>1.3845000000000001</c:v>
                </c:pt>
                <c:pt idx="690">
                  <c:v>1.3837999999999999</c:v>
                </c:pt>
                <c:pt idx="691">
                  <c:v>1.3836999999999999</c:v>
                </c:pt>
                <c:pt idx="692">
                  <c:v>1.3814</c:v>
                </c:pt>
                <c:pt idx="693">
                  <c:v>1.3802000000000001</c:v>
                </c:pt>
                <c:pt idx="694">
                  <c:v>1.3801000000000001</c:v>
                </c:pt>
                <c:pt idx="695">
                  <c:v>1.3794999999999999</c:v>
                </c:pt>
                <c:pt idx="696">
                  <c:v>1.3779999999999999</c:v>
                </c:pt>
                <c:pt idx="697">
                  <c:v>1.3778999999999999</c:v>
                </c:pt>
                <c:pt idx="698">
                  <c:v>1.3774</c:v>
                </c:pt>
                <c:pt idx="699">
                  <c:v>1.3765000000000001</c:v>
                </c:pt>
                <c:pt idx="700">
                  <c:v>1.3751</c:v>
                </c:pt>
                <c:pt idx="701">
                  <c:v>1.3735999999999999</c:v>
                </c:pt>
                <c:pt idx="702">
                  <c:v>1.373</c:v>
                </c:pt>
                <c:pt idx="703">
                  <c:v>1.3725000000000001</c:v>
                </c:pt>
                <c:pt idx="704">
                  <c:v>1.3722000000000001</c:v>
                </c:pt>
                <c:pt idx="705">
                  <c:v>1.3703000000000001</c:v>
                </c:pt>
                <c:pt idx="706">
                  <c:v>1.37</c:v>
                </c:pt>
                <c:pt idx="707">
                  <c:v>1.3707</c:v>
                </c:pt>
                <c:pt idx="708">
                  <c:v>1.3696999999999999</c:v>
                </c:pt>
                <c:pt idx="709">
                  <c:v>1.3684000000000001</c:v>
                </c:pt>
                <c:pt idx="710">
                  <c:v>1.3668</c:v>
                </c:pt>
                <c:pt idx="711">
                  <c:v>1.3667</c:v>
                </c:pt>
                <c:pt idx="712">
                  <c:v>1.3657999999999999</c:v>
                </c:pt>
                <c:pt idx="713">
                  <c:v>1.3642000000000001</c:v>
                </c:pt>
                <c:pt idx="714">
                  <c:v>1.3635999999999999</c:v>
                </c:pt>
                <c:pt idx="715">
                  <c:v>1.3636999999999999</c:v>
                </c:pt>
                <c:pt idx="716">
                  <c:v>1.3619000000000001</c:v>
                </c:pt>
                <c:pt idx="717">
                  <c:v>1.3615999999999999</c:v>
                </c:pt>
                <c:pt idx="718">
                  <c:v>1.3609</c:v>
                </c:pt>
                <c:pt idx="719">
                  <c:v>1.3611</c:v>
                </c:pt>
                <c:pt idx="720">
                  <c:v>1.3594999999999999</c:v>
                </c:pt>
                <c:pt idx="721">
                  <c:v>1.3577999999999999</c:v>
                </c:pt>
                <c:pt idx="722">
                  <c:v>1.3574999999999999</c:v>
                </c:pt>
                <c:pt idx="723">
                  <c:v>1.3565</c:v>
                </c:pt>
                <c:pt idx="724">
                  <c:v>1.3563000000000001</c:v>
                </c:pt>
                <c:pt idx="725">
                  <c:v>1.3546</c:v>
                </c:pt>
                <c:pt idx="726">
                  <c:v>1.3554999999999999</c:v>
                </c:pt>
                <c:pt idx="727">
                  <c:v>1.3529</c:v>
                </c:pt>
                <c:pt idx="728">
                  <c:v>1.3525</c:v>
                </c:pt>
                <c:pt idx="729">
                  <c:v>1.3516999999999999</c:v>
                </c:pt>
                <c:pt idx="730">
                  <c:v>1.3513999999999999</c:v>
                </c:pt>
                <c:pt idx="731">
                  <c:v>1.3506</c:v>
                </c:pt>
                <c:pt idx="732">
                  <c:v>1.3503000000000001</c:v>
                </c:pt>
                <c:pt idx="733">
                  <c:v>1.3498000000000001</c:v>
                </c:pt>
                <c:pt idx="734">
                  <c:v>1.3478000000000001</c:v>
                </c:pt>
                <c:pt idx="735">
                  <c:v>1.347</c:v>
                </c:pt>
                <c:pt idx="736">
                  <c:v>1.3456999999999999</c:v>
                </c:pt>
                <c:pt idx="737">
                  <c:v>1.3444</c:v>
                </c:pt>
                <c:pt idx="738">
                  <c:v>1.3443000000000001</c:v>
                </c:pt>
                <c:pt idx="739">
                  <c:v>1.3435999999999999</c:v>
                </c:pt>
                <c:pt idx="740">
                  <c:v>1.3420000000000001</c:v>
                </c:pt>
                <c:pt idx="741">
                  <c:v>1.3406</c:v>
                </c:pt>
                <c:pt idx="742">
                  <c:v>1.3405</c:v>
                </c:pt>
                <c:pt idx="743">
                  <c:v>1.3392999999999999</c:v>
                </c:pt>
                <c:pt idx="744">
                  <c:v>1.3383</c:v>
                </c:pt>
                <c:pt idx="745">
                  <c:v>1.339</c:v>
                </c:pt>
                <c:pt idx="746">
                  <c:v>1.3364</c:v>
                </c:pt>
                <c:pt idx="747">
                  <c:v>1.3364</c:v>
                </c:pt>
                <c:pt idx="748">
                  <c:v>1.3346</c:v>
                </c:pt>
                <c:pt idx="749">
                  <c:v>1.3347</c:v>
                </c:pt>
                <c:pt idx="750">
                  <c:v>1.3340000000000001</c:v>
                </c:pt>
                <c:pt idx="751">
                  <c:v>1.3332999999999999</c:v>
                </c:pt>
                <c:pt idx="752">
                  <c:v>1.3323</c:v>
                </c:pt>
                <c:pt idx="753">
                  <c:v>1.3305</c:v>
                </c:pt>
                <c:pt idx="754">
                  <c:v>1.3299000000000001</c:v>
                </c:pt>
                <c:pt idx="755">
                  <c:v>1.3293999999999999</c:v>
                </c:pt>
                <c:pt idx="756">
                  <c:v>1.3282</c:v>
                </c:pt>
                <c:pt idx="757">
                  <c:v>1.3269</c:v>
                </c:pt>
                <c:pt idx="758">
                  <c:v>1.3263</c:v>
                </c:pt>
                <c:pt idx="759">
                  <c:v>1.3252999999999999</c:v>
                </c:pt>
                <c:pt idx="760">
                  <c:v>1.3252999999999999</c:v>
                </c:pt>
                <c:pt idx="761">
                  <c:v>1.3238000000000001</c:v>
                </c:pt>
                <c:pt idx="762">
                  <c:v>1.3218000000000001</c:v>
                </c:pt>
                <c:pt idx="763">
                  <c:v>1.3223</c:v>
                </c:pt>
                <c:pt idx="764">
                  <c:v>1.3222</c:v>
                </c:pt>
                <c:pt idx="765">
                  <c:v>1.3203</c:v>
                </c:pt>
                <c:pt idx="766">
                  <c:v>1.3197000000000001</c:v>
                </c:pt>
                <c:pt idx="767">
                  <c:v>1.3179000000000001</c:v>
                </c:pt>
                <c:pt idx="768">
                  <c:v>1.3173999999999999</c:v>
                </c:pt>
                <c:pt idx="769">
                  <c:v>1.3149999999999999</c:v>
                </c:pt>
                <c:pt idx="770">
                  <c:v>1.3151999999999999</c:v>
                </c:pt>
                <c:pt idx="771">
                  <c:v>1.3146</c:v>
                </c:pt>
                <c:pt idx="772">
                  <c:v>1.3129999999999999</c:v>
                </c:pt>
                <c:pt idx="773">
                  <c:v>1.3120000000000001</c:v>
                </c:pt>
                <c:pt idx="774">
                  <c:v>1.3102</c:v>
                </c:pt>
                <c:pt idx="775">
                  <c:v>1.31</c:v>
                </c:pt>
                <c:pt idx="776">
                  <c:v>1.3093999999999999</c:v>
                </c:pt>
                <c:pt idx="777">
                  <c:v>1.3082</c:v>
                </c:pt>
                <c:pt idx="778">
                  <c:v>1.3067</c:v>
                </c:pt>
                <c:pt idx="779">
                  <c:v>1.3058000000000001</c:v>
                </c:pt>
                <c:pt idx="780">
                  <c:v>1.3048999999999999</c:v>
                </c:pt>
                <c:pt idx="781">
                  <c:v>1.3038000000000001</c:v>
                </c:pt>
                <c:pt idx="782">
                  <c:v>1.3035000000000001</c:v>
                </c:pt>
                <c:pt idx="783">
                  <c:v>1.3015000000000001</c:v>
                </c:pt>
                <c:pt idx="784">
                  <c:v>1.3008999999999999</c:v>
                </c:pt>
                <c:pt idx="785">
                  <c:v>1.2994000000000001</c:v>
                </c:pt>
                <c:pt idx="786">
                  <c:v>1.2990999999999999</c:v>
                </c:pt>
                <c:pt idx="787">
                  <c:v>1.2979000000000001</c:v>
                </c:pt>
                <c:pt idx="788">
                  <c:v>1.2971999999999999</c:v>
                </c:pt>
                <c:pt idx="789">
                  <c:v>1.2946</c:v>
                </c:pt>
                <c:pt idx="790">
                  <c:v>1.2950999999999999</c:v>
                </c:pt>
                <c:pt idx="791">
                  <c:v>1.2934000000000001</c:v>
                </c:pt>
                <c:pt idx="792">
                  <c:v>1.2948999999999999</c:v>
                </c:pt>
                <c:pt idx="793">
                  <c:v>1.2927999999999999</c:v>
                </c:pt>
                <c:pt idx="794">
                  <c:v>1.292</c:v>
                </c:pt>
                <c:pt idx="795">
                  <c:v>1.2907</c:v>
                </c:pt>
                <c:pt idx="796">
                  <c:v>1.2884</c:v>
                </c:pt>
                <c:pt idx="797">
                  <c:v>1.2889999999999999</c:v>
                </c:pt>
                <c:pt idx="798">
                  <c:v>1.2887999999999999</c:v>
                </c:pt>
                <c:pt idx="799">
                  <c:v>1.2881</c:v>
                </c:pt>
                <c:pt idx="800">
                  <c:v>1.2853000000000001</c:v>
                </c:pt>
                <c:pt idx="801">
                  <c:v>1.2849999999999999</c:v>
                </c:pt>
                <c:pt idx="802">
                  <c:v>1.2830999999999999</c:v>
                </c:pt>
                <c:pt idx="803">
                  <c:v>1.2827</c:v>
                </c:pt>
                <c:pt idx="804">
                  <c:v>1.2827999999999999</c:v>
                </c:pt>
                <c:pt idx="805">
                  <c:v>1.2808999999999999</c:v>
                </c:pt>
                <c:pt idx="806">
                  <c:v>1.2803</c:v>
                </c:pt>
                <c:pt idx="807">
                  <c:v>1.2783</c:v>
                </c:pt>
                <c:pt idx="808">
                  <c:v>1.2781</c:v>
                </c:pt>
                <c:pt idx="809">
                  <c:v>1.2768999999999999</c:v>
                </c:pt>
                <c:pt idx="810">
                  <c:v>1.2765</c:v>
                </c:pt>
                <c:pt idx="811">
                  <c:v>1.2748999999999999</c:v>
                </c:pt>
                <c:pt idx="812">
                  <c:v>1.2750999999999999</c:v>
                </c:pt>
                <c:pt idx="813">
                  <c:v>1.2734000000000001</c:v>
                </c:pt>
                <c:pt idx="814">
                  <c:v>1.2722</c:v>
                </c:pt>
                <c:pt idx="815">
                  <c:v>1.2713000000000001</c:v>
                </c:pt>
                <c:pt idx="816">
                  <c:v>1.2697000000000001</c:v>
                </c:pt>
                <c:pt idx="817">
                  <c:v>1.2683</c:v>
                </c:pt>
                <c:pt idx="818">
                  <c:v>1.2674000000000001</c:v>
                </c:pt>
                <c:pt idx="819">
                  <c:v>1.2663</c:v>
                </c:pt>
                <c:pt idx="820">
                  <c:v>1.2658</c:v>
                </c:pt>
                <c:pt idx="821">
                  <c:v>1.2659</c:v>
                </c:pt>
                <c:pt idx="822">
                  <c:v>1.264</c:v>
                </c:pt>
                <c:pt idx="823">
                  <c:v>1.2625999999999999</c:v>
                </c:pt>
                <c:pt idx="824">
                  <c:v>1.2625</c:v>
                </c:pt>
                <c:pt idx="825">
                  <c:v>1.2604</c:v>
                </c:pt>
                <c:pt idx="826">
                  <c:v>1.2598</c:v>
                </c:pt>
                <c:pt idx="827">
                  <c:v>1.2599</c:v>
                </c:pt>
                <c:pt idx="828">
                  <c:v>1.2584</c:v>
                </c:pt>
                <c:pt idx="829">
                  <c:v>1.2569999999999999</c:v>
                </c:pt>
                <c:pt idx="830">
                  <c:v>1.2569999999999999</c:v>
                </c:pt>
                <c:pt idx="831">
                  <c:v>1.256</c:v>
                </c:pt>
                <c:pt idx="832">
                  <c:v>1.2544999999999999</c:v>
                </c:pt>
                <c:pt idx="833">
                  <c:v>1.2529999999999999</c:v>
                </c:pt>
                <c:pt idx="834">
                  <c:v>1.252</c:v>
                </c:pt>
                <c:pt idx="835">
                  <c:v>1.2503</c:v>
                </c:pt>
                <c:pt idx="836">
                  <c:v>1.2502</c:v>
                </c:pt>
                <c:pt idx="837">
                  <c:v>1.2492000000000001</c:v>
                </c:pt>
                <c:pt idx="838">
                  <c:v>1.2481</c:v>
                </c:pt>
                <c:pt idx="839">
                  <c:v>1.2464</c:v>
                </c:pt>
                <c:pt idx="840">
                  <c:v>1.2461</c:v>
                </c:pt>
                <c:pt idx="841">
                  <c:v>1.2450000000000001</c:v>
                </c:pt>
                <c:pt idx="842">
                  <c:v>1.2438</c:v>
                </c:pt>
                <c:pt idx="843">
                  <c:v>1.2431000000000001</c:v>
                </c:pt>
                <c:pt idx="844">
                  <c:v>1.2424999999999999</c:v>
                </c:pt>
                <c:pt idx="845">
                  <c:v>1.2417</c:v>
                </c:pt>
                <c:pt idx="846">
                  <c:v>1.2397</c:v>
                </c:pt>
                <c:pt idx="847">
                  <c:v>1.2382</c:v>
                </c:pt>
                <c:pt idx="848">
                  <c:v>1.2372000000000001</c:v>
                </c:pt>
                <c:pt idx="849">
                  <c:v>1.2370000000000001</c:v>
                </c:pt>
                <c:pt idx="850">
                  <c:v>1.2349000000000001</c:v>
                </c:pt>
                <c:pt idx="851">
                  <c:v>1.2343</c:v>
                </c:pt>
                <c:pt idx="852">
                  <c:v>1.2329000000000001</c:v>
                </c:pt>
                <c:pt idx="853">
                  <c:v>1.2317</c:v>
                </c:pt>
                <c:pt idx="854">
                  <c:v>1.2302999999999999</c:v>
                </c:pt>
                <c:pt idx="855">
                  <c:v>1.2299</c:v>
                </c:pt>
                <c:pt idx="856">
                  <c:v>1.228</c:v>
                </c:pt>
                <c:pt idx="857">
                  <c:v>1.2258</c:v>
                </c:pt>
                <c:pt idx="858">
                  <c:v>1.2245999999999999</c:v>
                </c:pt>
                <c:pt idx="859">
                  <c:v>1.224</c:v>
                </c:pt>
                <c:pt idx="860">
                  <c:v>1.2221</c:v>
                </c:pt>
                <c:pt idx="861">
                  <c:v>1.2212000000000001</c:v>
                </c:pt>
                <c:pt idx="862">
                  <c:v>1.2205999999999999</c:v>
                </c:pt>
                <c:pt idx="863">
                  <c:v>1.2195</c:v>
                </c:pt>
                <c:pt idx="864">
                  <c:v>1.2181999999999999</c:v>
                </c:pt>
                <c:pt idx="865">
                  <c:v>1.2164999999999999</c:v>
                </c:pt>
                <c:pt idx="866">
                  <c:v>1.216</c:v>
                </c:pt>
                <c:pt idx="867">
                  <c:v>1.2143999999999999</c:v>
                </c:pt>
                <c:pt idx="868">
                  <c:v>1.2125999999999999</c:v>
                </c:pt>
                <c:pt idx="869">
                  <c:v>1.2118</c:v>
                </c:pt>
                <c:pt idx="870">
                  <c:v>1.2109000000000001</c:v>
                </c:pt>
                <c:pt idx="871">
                  <c:v>1.2096</c:v>
                </c:pt>
                <c:pt idx="872">
                  <c:v>1.2083999999999999</c:v>
                </c:pt>
                <c:pt idx="873">
                  <c:v>1.2067000000000001</c:v>
                </c:pt>
                <c:pt idx="874">
                  <c:v>1.2069000000000001</c:v>
                </c:pt>
                <c:pt idx="875">
                  <c:v>1.2057</c:v>
                </c:pt>
                <c:pt idx="876">
                  <c:v>1.2039</c:v>
                </c:pt>
                <c:pt idx="877">
                  <c:v>1.2022999999999999</c:v>
                </c:pt>
                <c:pt idx="878">
                  <c:v>1.2015</c:v>
                </c:pt>
                <c:pt idx="879">
                  <c:v>1.2</c:v>
                </c:pt>
                <c:pt idx="880">
                  <c:v>1.1982999999999999</c:v>
                </c:pt>
                <c:pt idx="881">
                  <c:v>1.1977</c:v>
                </c:pt>
                <c:pt idx="882">
                  <c:v>1.1971000000000001</c:v>
                </c:pt>
                <c:pt idx="883">
                  <c:v>1.1952</c:v>
                </c:pt>
                <c:pt idx="884">
                  <c:v>1.1941999999999999</c:v>
                </c:pt>
                <c:pt idx="885">
                  <c:v>1.1934</c:v>
                </c:pt>
                <c:pt idx="886">
                  <c:v>1.1919</c:v>
                </c:pt>
                <c:pt idx="887">
                  <c:v>1.1913</c:v>
                </c:pt>
                <c:pt idx="888">
                  <c:v>1.1900999999999999</c:v>
                </c:pt>
                <c:pt idx="889">
                  <c:v>1.1882999999999999</c:v>
                </c:pt>
                <c:pt idx="890">
                  <c:v>1.1876</c:v>
                </c:pt>
                <c:pt idx="891">
                  <c:v>1.1860999999999999</c:v>
                </c:pt>
                <c:pt idx="892">
                  <c:v>1.1859999999999999</c:v>
                </c:pt>
                <c:pt idx="893">
                  <c:v>1.1836</c:v>
                </c:pt>
                <c:pt idx="894">
                  <c:v>1.1829000000000001</c:v>
                </c:pt>
                <c:pt idx="895">
                  <c:v>1.1813</c:v>
                </c:pt>
                <c:pt idx="896">
                  <c:v>1.1800999999999999</c:v>
                </c:pt>
                <c:pt idx="897">
                  <c:v>1.1787000000000001</c:v>
                </c:pt>
                <c:pt idx="898">
                  <c:v>1.1773</c:v>
                </c:pt>
                <c:pt idx="899">
                  <c:v>1.1765000000000001</c:v>
                </c:pt>
                <c:pt idx="900">
                  <c:v>1.1758</c:v>
                </c:pt>
                <c:pt idx="901">
                  <c:v>1.1733</c:v>
                </c:pt>
                <c:pt idx="902">
                  <c:v>1.1738999999999999</c:v>
                </c:pt>
                <c:pt idx="903">
                  <c:v>1.1717</c:v>
                </c:pt>
                <c:pt idx="904">
                  <c:v>1.1704000000000001</c:v>
                </c:pt>
                <c:pt idx="905">
                  <c:v>1.1685000000000001</c:v>
                </c:pt>
                <c:pt idx="906">
                  <c:v>1.1684000000000001</c:v>
                </c:pt>
                <c:pt idx="907">
                  <c:v>1.1671</c:v>
                </c:pt>
                <c:pt idx="908">
                  <c:v>1.1654</c:v>
                </c:pt>
                <c:pt idx="909">
                  <c:v>1.1648000000000001</c:v>
                </c:pt>
                <c:pt idx="910">
                  <c:v>1.1637</c:v>
                </c:pt>
                <c:pt idx="911">
                  <c:v>1.1618999999999999</c:v>
                </c:pt>
                <c:pt idx="912">
                  <c:v>1.1614</c:v>
                </c:pt>
                <c:pt idx="913">
                  <c:v>1.1597</c:v>
                </c:pt>
                <c:pt idx="914">
                  <c:v>1.1575</c:v>
                </c:pt>
                <c:pt idx="915">
                  <c:v>1.1579999999999999</c:v>
                </c:pt>
                <c:pt idx="916">
                  <c:v>1.1560999999999999</c:v>
                </c:pt>
                <c:pt idx="917">
                  <c:v>1.1561999999999999</c:v>
                </c:pt>
                <c:pt idx="918">
                  <c:v>1.1529</c:v>
                </c:pt>
                <c:pt idx="919">
                  <c:v>1.1533</c:v>
                </c:pt>
                <c:pt idx="920">
                  <c:v>1.1515</c:v>
                </c:pt>
                <c:pt idx="921">
                  <c:v>1.1512</c:v>
                </c:pt>
                <c:pt idx="922">
                  <c:v>1.1485000000000001</c:v>
                </c:pt>
                <c:pt idx="923">
                  <c:v>1.1477999999999999</c:v>
                </c:pt>
                <c:pt idx="924">
                  <c:v>1.1466000000000001</c:v>
                </c:pt>
                <c:pt idx="925">
                  <c:v>1.1458999999999999</c:v>
                </c:pt>
                <c:pt idx="926">
                  <c:v>1.1447000000000001</c:v>
                </c:pt>
                <c:pt idx="927">
                  <c:v>1.1438999999999999</c:v>
                </c:pt>
                <c:pt idx="928">
                  <c:v>1.1415</c:v>
                </c:pt>
                <c:pt idx="929">
                  <c:v>1.1397999999999999</c:v>
                </c:pt>
                <c:pt idx="930">
                  <c:v>1.1411</c:v>
                </c:pt>
                <c:pt idx="931">
                  <c:v>1.1374</c:v>
                </c:pt>
                <c:pt idx="932">
                  <c:v>1.1374</c:v>
                </c:pt>
                <c:pt idx="933">
                  <c:v>1.1355</c:v>
                </c:pt>
                <c:pt idx="934">
                  <c:v>1.1343000000000001</c:v>
                </c:pt>
                <c:pt idx="935">
                  <c:v>1.1328</c:v>
                </c:pt>
                <c:pt idx="936">
                  <c:v>1.1326000000000001</c:v>
                </c:pt>
                <c:pt idx="937">
                  <c:v>1.1315</c:v>
                </c:pt>
                <c:pt idx="938">
                  <c:v>1.1298999999999999</c:v>
                </c:pt>
                <c:pt idx="939">
                  <c:v>1.1281000000000001</c:v>
                </c:pt>
                <c:pt idx="940">
                  <c:v>1.1272</c:v>
                </c:pt>
                <c:pt idx="941">
                  <c:v>1.1256999999999999</c:v>
                </c:pt>
                <c:pt idx="942">
                  <c:v>1.1236999999999999</c:v>
                </c:pt>
                <c:pt idx="943">
                  <c:v>1.123</c:v>
                </c:pt>
                <c:pt idx="944">
                  <c:v>1.1224000000000001</c:v>
                </c:pt>
                <c:pt idx="945">
                  <c:v>1.1193</c:v>
                </c:pt>
                <c:pt idx="946">
                  <c:v>1.1194</c:v>
                </c:pt>
                <c:pt idx="947">
                  <c:v>1.1178999999999999</c:v>
                </c:pt>
                <c:pt idx="948">
                  <c:v>1.1161000000000001</c:v>
                </c:pt>
                <c:pt idx="949">
                  <c:v>1.1133999999999999</c:v>
                </c:pt>
                <c:pt idx="950">
                  <c:v>1.113</c:v>
                </c:pt>
                <c:pt idx="951">
                  <c:v>1.1112</c:v>
                </c:pt>
                <c:pt idx="952">
                  <c:v>1.1093999999999999</c:v>
                </c:pt>
                <c:pt idx="953">
                  <c:v>1.1081000000000001</c:v>
                </c:pt>
                <c:pt idx="954">
                  <c:v>1.1062000000000001</c:v>
                </c:pt>
                <c:pt idx="955">
                  <c:v>1.1045</c:v>
                </c:pt>
                <c:pt idx="956">
                  <c:v>1.1026</c:v>
                </c:pt>
                <c:pt idx="957">
                  <c:v>1.1021000000000001</c:v>
                </c:pt>
                <c:pt idx="958">
                  <c:v>1.1006</c:v>
                </c:pt>
                <c:pt idx="959">
                  <c:v>1.0994999999999999</c:v>
                </c:pt>
                <c:pt idx="960">
                  <c:v>1.0966</c:v>
                </c:pt>
                <c:pt idx="961">
                  <c:v>1.0962000000000001</c:v>
                </c:pt>
                <c:pt idx="962">
                  <c:v>1.0942000000000001</c:v>
                </c:pt>
                <c:pt idx="963">
                  <c:v>1.0926</c:v>
                </c:pt>
                <c:pt idx="964">
                  <c:v>1.0911</c:v>
                </c:pt>
                <c:pt idx="965">
                  <c:v>1.0894999999999999</c:v>
                </c:pt>
                <c:pt idx="966">
                  <c:v>1.0891999999999999</c:v>
                </c:pt>
                <c:pt idx="967">
                  <c:v>1.0878000000000001</c:v>
                </c:pt>
                <c:pt idx="968">
                  <c:v>1.0847</c:v>
                </c:pt>
                <c:pt idx="969">
                  <c:v>1.0831</c:v>
                </c:pt>
                <c:pt idx="970">
                  <c:v>1.0819000000000001</c:v>
                </c:pt>
                <c:pt idx="971">
                  <c:v>1.0790999999999999</c:v>
                </c:pt>
                <c:pt idx="972">
                  <c:v>1.0785</c:v>
                </c:pt>
                <c:pt idx="973">
                  <c:v>1.0773999999999999</c:v>
                </c:pt>
                <c:pt idx="974">
                  <c:v>1.0753999999999999</c:v>
                </c:pt>
                <c:pt idx="975">
                  <c:v>1.073</c:v>
                </c:pt>
                <c:pt idx="976">
                  <c:v>1.0730999999999999</c:v>
                </c:pt>
                <c:pt idx="977">
                  <c:v>1.0699000000000001</c:v>
                </c:pt>
                <c:pt idx="978">
                  <c:v>1.0667</c:v>
                </c:pt>
                <c:pt idx="979">
                  <c:v>1.0660000000000001</c:v>
                </c:pt>
                <c:pt idx="980">
                  <c:v>1.0644</c:v>
                </c:pt>
                <c:pt idx="981">
                  <c:v>1.0626</c:v>
                </c:pt>
                <c:pt idx="982">
                  <c:v>1.0601</c:v>
                </c:pt>
                <c:pt idx="983">
                  <c:v>1.0572999999999999</c:v>
                </c:pt>
                <c:pt idx="984">
                  <c:v>1.0561</c:v>
                </c:pt>
                <c:pt idx="985">
                  <c:v>1.0546</c:v>
                </c:pt>
                <c:pt idx="986">
                  <c:v>1.0521</c:v>
                </c:pt>
                <c:pt idx="987">
                  <c:v>1.0498000000000001</c:v>
                </c:pt>
                <c:pt idx="988">
                  <c:v>1.0478000000000001</c:v>
                </c:pt>
                <c:pt idx="989">
                  <c:v>1.0455000000000001</c:v>
                </c:pt>
                <c:pt idx="990">
                  <c:v>1.0426</c:v>
                </c:pt>
                <c:pt idx="991">
                  <c:v>1.0396000000000001</c:v>
                </c:pt>
                <c:pt idx="992">
                  <c:v>1.0362</c:v>
                </c:pt>
                <c:pt idx="993">
                  <c:v>1.0331999999999999</c:v>
                </c:pt>
                <c:pt idx="994">
                  <c:v>1.0293000000000001</c:v>
                </c:pt>
                <c:pt idx="995">
                  <c:v>1.0250999999999999</c:v>
                </c:pt>
                <c:pt idx="996">
                  <c:v>1.0198</c:v>
                </c:pt>
                <c:pt idx="997">
                  <c:v>1.0144</c:v>
                </c:pt>
                <c:pt idx="998">
                  <c:v>1.0064</c:v>
                </c:pt>
                <c:pt idx="999">
                  <c:v>0.99590000000000001</c:v>
                </c:pt>
              </c:numCache>
            </c:numRef>
          </c:xVal>
          <c:yVal>
            <c:numRef>
              <c:f>'pink_001ish_hfsm2_75#1'!$H$3:$H$1002</c:f>
              <c:numCache>
                <c:formatCode>General</c:formatCode>
                <c:ptCount val="1000"/>
                <c:pt idx="0">
                  <c:v>0</c:v>
                </c:pt>
                <c:pt idx="1">
                  <c:v>2.4500000000000001E-2</c:v>
                </c:pt>
                <c:pt idx="2">
                  <c:v>6.1199999999999997E-2</c:v>
                </c:pt>
                <c:pt idx="3">
                  <c:v>0.24</c:v>
                </c:pt>
                <c:pt idx="4">
                  <c:v>0.43159999999999998</c:v>
                </c:pt>
                <c:pt idx="5">
                  <c:v>0.55189999999999995</c:v>
                </c:pt>
                <c:pt idx="6">
                  <c:v>0.60709999999999997</c:v>
                </c:pt>
                <c:pt idx="7">
                  <c:v>0.7339</c:v>
                </c:pt>
                <c:pt idx="8">
                  <c:v>0.96630000000000005</c:v>
                </c:pt>
                <c:pt idx="9">
                  <c:v>1.2437</c:v>
                </c:pt>
                <c:pt idx="10">
                  <c:v>1.4011</c:v>
                </c:pt>
                <c:pt idx="11">
                  <c:v>1.4193</c:v>
                </c:pt>
                <c:pt idx="12">
                  <c:v>1.4618</c:v>
                </c:pt>
                <c:pt idx="13">
                  <c:v>1.6698</c:v>
                </c:pt>
                <c:pt idx="14">
                  <c:v>1.9857</c:v>
                </c:pt>
                <c:pt idx="15">
                  <c:v>2.2299000000000002</c:v>
                </c:pt>
                <c:pt idx="16">
                  <c:v>2.2753999999999999</c:v>
                </c:pt>
                <c:pt idx="17">
                  <c:v>2.2456</c:v>
                </c:pt>
                <c:pt idx="18">
                  <c:v>2.3584999999999998</c:v>
                </c:pt>
                <c:pt idx="19">
                  <c:v>2.6814</c:v>
                </c:pt>
                <c:pt idx="20">
                  <c:v>3.0123000000000002</c:v>
                </c:pt>
                <c:pt idx="21">
                  <c:v>3.1454</c:v>
                </c:pt>
                <c:pt idx="22">
                  <c:v>3.0914999999999999</c:v>
                </c:pt>
                <c:pt idx="23">
                  <c:v>3.0996999999999999</c:v>
                </c:pt>
                <c:pt idx="24">
                  <c:v>3.3458000000000001</c:v>
                </c:pt>
                <c:pt idx="25">
                  <c:v>3.7275</c:v>
                </c:pt>
                <c:pt idx="26">
                  <c:v>3.9794999999999998</c:v>
                </c:pt>
                <c:pt idx="27">
                  <c:v>3.9786999999999999</c:v>
                </c:pt>
                <c:pt idx="28">
                  <c:v>3.9026999999999998</c:v>
                </c:pt>
                <c:pt idx="29">
                  <c:v>4.0221999999999998</c:v>
                </c:pt>
                <c:pt idx="30">
                  <c:v>4.3883999999999999</c:v>
                </c:pt>
                <c:pt idx="31">
                  <c:v>4.7613000000000003</c:v>
                </c:pt>
                <c:pt idx="32">
                  <c:v>4.8663999999999996</c:v>
                </c:pt>
                <c:pt idx="33">
                  <c:v>4.7675000000000001</c:v>
                </c:pt>
                <c:pt idx="34">
                  <c:v>4.7546999999999997</c:v>
                </c:pt>
                <c:pt idx="35">
                  <c:v>5.0255999999999998</c:v>
                </c:pt>
                <c:pt idx="36">
                  <c:v>5.4671000000000003</c:v>
                </c:pt>
                <c:pt idx="37">
                  <c:v>5.7095000000000002</c:v>
                </c:pt>
                <c:pt idx="38">
                  <c:v>5.6707000000000001</c:v>
                </c:pt>
                <c:pt idx="39">
                  <c:v>5.5537000000000001</c:v>
                </c:pt>
                <c:pt idx="40">
                  <c:v>5.6943999999999999</c:v>
                </c:pt>
                <c:pt idx="41">
                  <c:v>6.1094999999999997</c:v>
                </c:pt>
                <c:pt idx="42">
                  <c:v>6.4999000000000002</c:v>
                </c:pt>
                <c:pt idx="43">
                  <c:v>6.5843999999999996</c:v>
                </c:pt>
                <c:pt idx="44">
                  <c:v>6.4311999999999996</c:v>
                </c:pt>
                <c:pt idx="45">
                  <c:v>6.4130000000000003</c:v>
                </c:pt>
                <c:pt idx="46">
                  <c:v>6.7340999999999998</c:v>
                </c:pt>
                <c:pt idx="47">
                  <c:v>7.2012999999999998</c:v>
                </c:pt>
                <c:pt idx="48">
                  <c:v>7.4459</c:v>
                </c:pt>
                <c:pt idx="49">
                  <c:v>7.3564999999999996</c:v>
                </c:pt>
                <c:pt idx="50">
                  <c:v>7.2098000000000004</c:v>
                </c:pt>
                <c:pt idx="51">
                  <c:v>7.37</c:v>
                </c:pt>
                <c:pt idx="52">
                  <c:v>7.8379000000000003</c:v>
                </c:pt>
                <c:pt idx="53">
                  <c:v>8.2437000000000005</c:v>
                </c:pt>
                <c:pt idx="54">
                  <c:v>8.2872000000000003</c:v>
                </c:pt>
                <c:pt idx="55">
                  <c:v>8.0921000000000003</c:v>
                </c:pt>
                <c:pt idx="56">
                  <c:v>8.0742999999999991</c:v>
                </c:pt>
                <c:pt idx="57">
                  <c:v>8.4445999999999994</c:v>
                </c:pt>
                <c:pt idx="58">
                  <c:v>8.9428999999999998</c:v>
                </c:pt>
                <c:pt idx="59">
                  <c:v>9.1762999999999995</c:v>
                </c:pt>
                <c:pt idx="60">
                  <c:v>9.0295000000000005</c:v>
                </c:pt>
                <c:pt idx="61">
                  <c:v>8.8707999999999991</c:v>
                </c:pt>
                <c:pt idx="62">
                  <c:v>9.0627999999999993</c:v>
                </c:pt>
                <c:pt idx="63">
                  <c:v>9.5693999999999999</c:v>
                </c:pt>
                <c:pt idx="64">
                  <c:v>9.9778000000000002</c:v>
                </c:pt>
                <c:pt idx="65">
                  <c:v>9.9869000000000003</c:v>
                </c:pt>
                <c:pt idx="66">
                  <c:v>9.7550000000000008</c:v>
                </c:pt>
                <c:pt idx="67">
                  <c:v>9.7468000000000004</c:v>
                </c:pt>
                <c:pt idx="68">
                  <c:v>10.1518</c:v>
                </c:pt>
                <c:pt idx="69">
                  <c:v>10.6836</c:v>
                </c:pt>
                <c:pt idx="70">
                  <c:v>10.885</c:v>
                </c:pt>
                <c:pt idx="71">
                  <c:v>10.7163</c:v>
                </c:pt>
                <c:pt idx="72">
                  <c:v>10.5319</c:v>
                </c:pt>
                <c:pt idx="73">
                  <c:v>10.7492</c:v>
                </c:pt>
                <c:pt idx="74">
                  <c:v>11.305099999999999</c:v>
                </c:pt>
                <c:pt idx="75">
                  <c:v>11.7117</c:v>
                </c:pt>
                <c:pt idx="76">
                  <c:v>11.678599999999999</c:v>
                </c:pt>
                <c:pt idx="77">
                  <c:v>11.4217</c:v>
                </c:pt>
                <c:pt idx="78">
                  <c:v>11.428900000000001</c:v>
                </c:pt>
                <c:pt idx="79">
                  <c:v>11.8636</c:v>
                </c:pt>
                <c:pt idx="80">
                  <c:v>12.418699999999999</c:v>
                </c:pt>
                <c:pt idx="81">
                  <c:v>12.6051</c:v>
                </c:pt>
                <c:pt idx="82">
                  <c:v>12.379200000000001</c:v>
                </c:pt>
                <c:pt idx="83">
                  <c:v>12.192399999999999</c:v>
                </c:pt>
                <c:pt idx="84">
                  <c:v>12.448600000000001</c:v>
                </c:pt>
                <c:pt idx="85">
                  <c:v>13.029299999999999</c:v>
                </c:pt>
                <c:pt idx="86">
                  <c:v>13.4368</c:v>
                </c:pt>
                <c:pt idx="87">
                  <c:v>13.363799999999999</c:v>
                </c:pt>
                <c:pt idx="88">
                  <c:v>13.082100000000001</c:v>
                </c:pt>
                <c:pt idx="89">
                  <c:v>13.0999</c:v>
                </c:pt>
                <c:pt idx="90">
                  <c:v>13.589700000000001</c:v>
                </c:pt>
                <c:pt idx="91">
                  <c:v>14.1591</c:v>
                </c:pt>
                <c:pt idx="92">
                  <c:v>14.3093</c:v>
                </c:pt>
                <c:pt idx="93">
                  <c:v>14.0504</c:v>
                </c:pt>
                <c:pt idx="94">
                  <c:v>13.8611</c:v>
                </c:pt>
                <c:pt idx="95">
                  <c:v>14.162100000000001</c:v>
                </c:pt>
                <c:pt idx="96">
                  <c:v>14.769299999999999</c:v>
                </c:pt>
                <c:pt idx="97">
                  <c:v>15.1547</c:v>
                </c:pt>
                <c:pt idx="98">
                  <c:v>15.0365</c:v>
                </c:pt>
                <c:pt idx="99">
                  <c:v>14.7468</c:v>
                </c:pt>
                <c:pt idx="100">
                  <c:v>14.7828</c:v>
                </c:pt>
                <c:pt idx="101">
                  <c:v>15.32</c:v>
                </c:pt>
                <c:pt idx="102">
                  <c:v>15.8972</c:v>
                </c:pt>
                <c:pt idx="103">
                  <c:v>16.014299999999999</c:v>
                </c:pt>
                <c:pt idx="104">
                  <c:v>15.7072</c:v>
                </c:pt>
                <c:pt idx="105">
                  <c:v>15.53</c:v>
                </c:pt>
                <c:pt idx="106">
                  <c:v>15.8626</c:v>
                </c:pt>
                <c:pt idx="107">
                  <c:v>16.504200000000001</c:v>
                </c:pt>
                <c:pt idx="108">
                  <c:v>16.875900000000001</c:v>
                </c:pt>
                <c:pt idx="109">
                  <c:v>16.720600000000001</c:v>
                </c:pt>
                <c:pt idx="110">
                  <c:v>16.400500000000001</c:v>
                </c:pt>
                <c:pt idx="111">
                  <c:v>16.471499999999999</c:v>
                </c:pt>
                <c:pt idx="112">
                  <c:v>17.0518</c:v>
                </c:pt>
                <c:pt idx="113">
                  <c:v>17.633199999999999</c:v>
                </c:pt>
                <c:pt idx="114">
                  <c:v>17.71</c:v>
                </c:pt>
                <c:pt idx="115">
                  <c:v>17.372299999999999</c:v>
                </c:pt>
                <c:pt idx="116">
                  <c:v>17.200399999999998</c:v>
                </c:pt>
                <c:pt idx="117">
                  <c:v>17.579999999999998</c:v>
                </c:pt>
                <c:pt idx="118">
                  <c:v>18.247599999999998</c:v>
                </c:pt>
                <c:pt idx="119">
                  <c:v>18.601600000000001</c:v>
                </c:pt>
                <c:pt idx="120">
                  <c:v>18.401900000000001</c:v>
                </c:pt>
                <c:pt idx="121">
                  <c:v>18.064499999999999</c:v>
                </c:pt>
                <c:pt idx="122">
                  <c:v>18.165700000000001</c:v>
                </c:pt>
                <c:pt idx="123">
                  <c:v>18.781500000000001</c:v>
                </c:pt>
                <c:pt idx="124">
                  <c:v>19.3629</c:v>
                </c:pt>
                <c:pt idx="125">
                  <c:v>19.401299999999999</c:v>
                </c:pt>
                <c:pt idx="126">
                  <c:v>19.037400000000002</c:v>
                </c:pt>
                <c:pt idx="127">
                  <c:v>18.875399999999999</c:v>
                </c:pt>
                <c:pt idx="128">
                  <c:v>19.295999999999999</c:v>
                </c:pt>
                <c:pt idx="129">
                  <c:v>19.989100000000001</c:v>
                </c:pt>
                <c:pt idx="130">
                  <c:v>20.316400000000002</c:v>
                </c:pt>
                <c:pt idx="131">
                  <c:v>20.069700000000001</c:v>
                </c:pt>
                <c:pt idx="132">
                  <c:v>19.717400000000001</c:v>
                </c:pt>
                <c:pt idx="133">
                  <c:v>19.865600000000001</c:v>
                </c:pt>
                <c:pt idx="134">
                  <c:v>20.521599999999999</c:v>
                </c:pt>
                <c:pt idx="135">
                  <c:v>21.095700000000001</c:v>
                </c:pt>
                <c:pt idx="136">
                  <c:v>21.086200000000002</c:v>
                </c:pt>
                <c:pt idx="137">
                  <c:v>20.694099999999999</c:v>
                </c:pt>
                <c:pt idx="138">
                  <c:v>20.546700000000001</c:v>
                </c:pt>
                <c:pt idx="139">
                  <c:v>21.017600000000002</c:v>
                </c:pt>
                <c:pt idx="140">
                  <c:v>21.733599999999999</c:v>
                </c:pt>
                <c:pt idx="141">
                  <c:v>22.023900000000001</c:v>
                </c:pt>
                <c:pt idx="142">
                  <c:v>21.734200000000001</c:v>
                </c:pt>
                <c:pt idx="143">
                  <c:v>21.382999999999999</c:v>
                </c:pt>
                <c:pt idx="144">
                  <c:v>21.565000000000001</c:v>
                </c:pt>
                <c:pt idx="145">
                  <c:v>22.261800000000001</c:v>
                </c:pt>
                <c:pt idx="146">
                  <c:v>22.8156</c:v>
                </c:pt>
                <c:pt idx="147">
                  <c:v>22.772099999999998</c:v>
                </c:pt>
                <c:pt idx="148">
                  <c:v>22.346399999999999</c:v>
                </c:pt>
                <c:pt idx="149">
                  <c:v>22.2364</c:v>
                </c:pt>
                <c:pt idx="150">
                  <c:v>22.743099999999998</c:v>
                </c:pt>
                <c:pt idx="151">
                  <c:v>23.4682</c:v>
                </c:pt>
                <c:pt idx="152">
                  <c:v>23.7287</c:v>
                </c:pt>
                <c:pt idx="153">
                  <c:v>23.393899999999999</c:v>
                </c:pt>
                <c:pt idx="154">
                  <c:v>23.05</c:v>
                </c:pt>
                <c:pt idx="155">
                  <c:v>23.273099999999999</c:v>
                </c:pt>
                <c:pt idx="156">
                  <c:v>23.999600000000001</c:v>
                </c:pt>
                <c:pt idx="157">
                  <c:v>24.551100000000002</c:v>
                </c:pt>
                <c:pt idx="158">
                  <c:v>24.4512</c:v>
                </c:pt>
                <c:pt idx="159">
                  <c:v>24.005199999999999</c:v>
                </c:pt>
                <c:pt idx="160">
                  <c:v>23.918700000000001</c:v>
                </c:pt>
                <c:pt idx="161">
                  <c:v>24.479500000000002</c:v>
                </c:pt>
                <c:pt idx="162">
                  <c:v>25.2103</c:v>
                </c:pt>
                <c:pt idx="163">
                  <c:v>25.433700000000002</c:v>
                </c:pt>
                <c:pt idx="164">
                  <c:v>25.055900000000001</c:v>
                </c:pt>
                <c:pt idx="165">
                  <c:v>24.710599999999999</c:v>
                </c:pt>
                <c:pt idx="166">
                  <c:v>24.993400000000001</c:v>
                </c:pt>
                <c:pt idx="167">
                  <c:v>25.704699999999999</c:v>
                </c:pt>
                <c:pt idx="168">
                  <c:v>26.2667</c:v>
                </c:pt>
                <c:pt idx="169">
                  <c:v>26.1219</c:v>
                </c:pt>
                <c:pt idx="170">
                  <c:v>25.665800000000001</c:v>
                </c:pt>
                <c:pt idx="171">
                  <c:v>25.6008</c:v>
                </c:pt>
                <c:pt idx="172">
                  <c:v>26.208200000000001</c:v>
                </c:pt>
                <c:pt idx="173">
                  <c:v>26.956399999999999</c:v>
                </c:pt>
                <c:pt idx="174">
                  <c:v>27.124199999999998</c:v>
                </c:pt>
                <c:pt idx="175">
                  <c:v>26.708600000000001</c:v>
                </c:pt>
                <c:pt idx="176">
                  <c:v>26.372800000000002</c:v>
                </c:pt>
                <c:pt idx="177">
                  <c:v>26.704999999999998</c:v>
                </c:pt>
                <c:pt idx="178">
                  <c:v>27.495899999999999</c:v>
                </c:pt>
                <c:pt idx="179">
                  <c:v>27.9909</c:v>
                </c:pt>
                <c:pt idx="180">
                  <c:v>27.792899999999999</c:v>
                </c:pt>
                <c:pt idx="181">
                  <c:v>27.316500000000001</c:v>
                </c:pt>
                <c:pt idx="182">
                  <c:v>27.301400000000001</c:v>
                </c:pt>
                <c:pt idx="183">
                  <c:v>27.9529</c:v>
                </c:pt>
                <c:pt idx="184">
                  <c:v>28.688099999999999</c:v>
                </c:pt>
                <c:pt idx="185">
                  <c:v>28.812200000000001</c:v>
                </c:pt>
                <c:pt idx="186">
                  <c:v>28.3736</c:v>
                </c:pt>
                <c:pt idx="187">
                  <c:v>28.0534</c:v>
                </c:pt>
                <c:pt idx="188">
                  <c:v>28.424800000000001</c:v>
                </c:pt>
                <c:pt idx="189">
                  <c:v>29.232800000000001</c:v>
                </c:pt>
                <c:pt idx="190">
                  <c:v>29.702999999999999</c:v>
                </c:pt>
                <c:pt idx="191">
                  <c:v>29.4666</c:v>
                </c:pt>
                <c:pt idx="192">
                  <c:v>28.9726</c:v>
                </c:pt>
                <c:pt idx="193">
                  <c:v>29.003799999999998</c:v>
                </c:pt>
                <c:pt idx="194">
                  <c:v>29.686900000000001</c:v>
                </c:pt>
                <c:pt idx="195">
                  <c:v>30.4176</c:v>
                </c:pt>
                <c:pt idx="196">
                  <c:v>30.501000000000001</c:v>
                </c:pt>
                <c:pt idx="197">
                  <c:v>30.020099999999999</c:v>
                </c:pt>
                <c:pt idx="198">
                  <c:v>29.727699999999999</c:v>
                </c:pt>
                <c:pt idx="199">
                  <c:v>30.1492</c:v>
                </c:pt>
                <c:pt idx="200">
                  <c:v>30.977399999999999</c:v>
                </c:pt>
                <c:pt idx="201">
                  <c:v>31.4192</c:v>
                </c:pt>
                <c:pt idx="202">
                  <c:v>31.126000000000001</c:v>
                </c:pt>
                <c:pt idx="203">
                  <c:v>30.6325</c:v>
                </c:pt>
                <c:pt idx="204">
                  <c:v>30.690999999999999</c:v>
                </c:pt>
                <c:pt idx="205">
                  <c:v>31.435300000000002</c:v>
                </c:pt>
                <c:pt idx="206">
                  <c:v>32.148000000000003</c:v>
                </c:pt>
                <c:pt idx="207">
                  <c:v>32.19</c:v>
                </c:pt>
                <c:pt idx="208">
                  <c:v>31.676600000000001</c:v>
                </c:pt>
                <c:pt idx="209">
                  <c:v>31.396799999999999</c:v>
                </c:pt>
                <c:pt idx="210">
                  <c:v>31.8809</c:v>
                </c:pt>
                <c:pt idx="211">
                  <c:v>32.7271</c:v>
                </c:pt>
                <c:pt idx="212">
                  <c:v>33.119</c:v>
                </c:pt>
                <c:pt idx="213">
                  <c:v>32.782299999999999</c:v>
                </c:pt>
                <c:pt idx="214">
                  <c:v>32.286000000000001</c:v>
                </c:pt>
                <c:pt idx="215">
                  <c:v>32.4099</c:v>
                </c:pt>
                <c:pt idx="216">
                  <c:v>33.178800000000003</c:v>
                </c:pt>
                <c:pt idx="217">
                  <c:v>33.884799999999998</c:v>
                </c:pt>
                <c:pt idx="218">
                  <c:v>33.860999999999997</c:v>
                </c:pt>
                <c:pt idx="219">
                  <c:v>33.321199999999997</c:v>
                </c:pt>
                <c:pt idx="220">
                  <c:v>33.082999999999998</c:v>
                </c:pt>
                <c:pt idx="221">
                  <c:v>33.615000000000002</c:v>
                </c:pt>
                <c:pt idx="222">
                  <c:v>34.478099999999998</c:v>
                </c:pt>
                <c:pt idx="223">
                  <c:v>34.8172</c:v>
                </c:pt>
                <c:pt idx="224">
                  <c:v>34.446199999999997</c:v>
                </c:pt>
                <c:pt idx="225">
                  <c:v>33.945599999999999</c:v>
                </c:pt>
                <c:pt idx="226">
                  <c:v>34.119399999999999</c:v>
                </c:pt>
                <c:pt idx="227">
                  <c:v>34.928600000000003</c:v>
                </c:pt>
                <c:pt idx="228">
                  <c:v>35.616900000000001</c:v>
                </c:pt>
                <c:pt idx="229">
                  <c:v>35.538400000000003</c:v>
                </c:pt>
                <c:pt idx="230">
                  <c:v>34.973100000000002</c:v>
                </c:pt>
                <c:pt idx="231">
                  <c:v>34.762500000000003</c:v>
                </c:pt>
                <c:pt idx="232">
                  <c:v>35.345599999999997</c:v>
                </c:pt>
                <c:pt idx="233">
                  <c:v>36.216500000000003</c:v>
                </c:pt>
                <c:pt idx="234">
                  <c:v>36.525399999999998</c:v>
                </c:pt>
                <c:pt idx="235">
                  <c:v>36.093299999999999</c:v>
                </c:pt>
                <c:pt idx="236">
                  <c:v>35.610500000000002</c:v>
                </c:pt>
                <c:pt idx="237">
                  <c:v>35.825499999999998</c:v>
                </c:pt>
                <c:pt idx="238">
                  <c:v>36.678699999999999</c:v>
                </c:pt>
                <c:pt idx="239">
                  <c:v>37.338000000000001</c:v>
                </c:pt>
                <c:pt idx="240">
                  <c:v>37.213200000000001</c:v>
                </c:pt>
                <c:pt idx="241">
                  <c:v>36.623399999999997</c:v>
                </c:pt>
                <c:pt idx="242">
                  <c:v>36.456499999999998</c:v>
                </c:pt>
                <c:pt idx="243">
                  <c:v>37.092700000000001</c:v>
                </c:pt>
                <c:pt idx="244">
                  <c:v>37.954500000000003</c:v>
                </c:pt>
                <c:pt idx="245">
                  <c:v>38.221200000000003</c:v>
                </c:pt>
                <c:pt idx="246">
                  <c:v>37.741199999999999</c:v>
                </c:pt>
                <c:pt idx="247">
                  <c:v>37.272500000000001</c:v>
                </c:pt>
                <c:pt idx="248">
                  <c:v>37.546199999999999</c:v>
                </c:pt>
                <c:pt idx="249">
                  <c:v>38.427599999999998</c:v>
                </c:pt>
                <c:pt idx="250">
                  <c:v>39.071599999999997</c:v>
                </c:pt>
                <c:pt idx="251">
                  <c:v>38.8752</c:v>
                </c:pt>
                <c:pt idx="252">
                  <c:v>38.269100000000002</c:v>
                </c:pt>
                <c:pt idx="253">
                  <c:v>38.148699999999998</c:v>
                </c:pt>
                <c:pt idx="254">
                  <c:v>38.834299999999999</c:v>
                </c:pt>
                <c:pt idx="255">
                  <c:v>39.701900000000002</c:v>
                </c:pt>
                <c:pt idx="256">
                  <c:v>39.910600000000002</c:v>
                </c:pt>
                <c:pt idx="257">
                  <c:v>39.388599999999997</c:v>
                </c:pt>
                <c:pt idx="258">
                  <c:v>38.939</c:v>
                </c:pt>
                <c:pt idx="259">
                  <c:v>39.275399999999998</c:v>
                </c:pt>
                <c:pt idx="260">
                  <c:v>40.185400000000001</c:v>
                </c:pt>
                <c:pt idx="261">
                  <c:v>40.775399999999998</c:v>
                </c:pt>
                <c:pt idx="262">
                  <c:v>40.540399999999998</c:v>
                </c:pt>
                <c:pt idx="263">
                  <c:v>39.920400000000001</c:v>
                </c:pt>
                <c:pt idx="264">
                  <c:v>39.845799999999997</c:v>
                </c:pt>
                <c:pt idx="265">
                  <c:v>40.577100000000002</c:v>
                </c:pt>
                <c:pt idx="266">
                  <c:v>41.439900000000002</c:v>
                </c:pt>
                <c:pt idx="267">
                  <c:v>41.592700000000001</c:v>
                </c:pt>
                <c:pt idx="268">
                  <c:v>41.037300000000002</c:v>
                </c:pt>
                <c:pt idx="269">
                  <c:v>40.615299999999998</c:v>
                </c:pt>
                <c:pt idx="270">
                  <c:v>40.991500000000002</c:v>
                </c:pt>
                <c:pt idx="271">
                  <c:v>41.939599999999999</c:v>
                </c:pt>
                <c:pt idx="272">
                  <c:v>42.493299999999998</c:v>
                </c:pt>
                <c:pt idx="273">
                  <c:v>42.200899999999997</c:v>
                </c:pt>
                <c:pt idx="274">
                  <c:v>41.5745</c:v>
                </c:pt>
                <c:pt idx="275">
                  <c:v>41.542499999999997</c:v>
                </c:pt>
                <c:pt idx="276">
                  <c:v>42.323399999999999</c:v>
                </c:pt>
                <c:pt idx="277">
                  <c:v>43.175899999999999</c:v>
                </c:pt>
                <c:pt idx="278">
                  <c:v>43.282899999999998</c:v>
                </c:pt>
                <c:pt idx="279">
                  <c:v>42.685299999999998</c:v>
                </c:pt>
                <c:pt idx="280">
                  <c:v>42.2804</c:v>
                </c:pt>
                <c:pt idx="281">
                  <c:v>42.722799999999999</c:v>
                </c:pt>
                <c:pt idx="282">
                  <c:v>43.685499999999998</c:v>
                </c:pt>
                <c:pt idx="283">
                  <c:v>44.203000000000003</c:v>
                </c:pt>
                <c:pt idx="284">
                  <c:v>43.842599999999997</c:v>
                </c:pt>
                <c:pt idx="285">
                  <c:v>43.226399999999998</c:v>
                </c:pt>
                <c:pt idx="286">
                  <c:v>43.2425</c:v>
                </c:pt>
                <c:pt idx="287">
                  <c:v>44.076500000000003</c:v>
                </c:pt>
                <c:pt idx="288">
                  <c:v>44.924999999999997</c:v>
                </c:pt>
                <c:pt idx="289">
                  <c:v>44.951999999999998</c:v>
                </c:pt>
                <c:pt idx="290">
                  <c:v>44.331099999999999</c:v>
                </c:pt>
                <c:pt idx="291">
                  <c:v>43.948900000000002</c:v>
                </c:pt>
                <c:pt idx="292">
                  <c:v>44.462600000000002</c:v>
                </c:pt>
                <c:pt idx="293">
                  <c:v>45.433</c:v>
                </c:pt>
                <c:pt idx="294">
                  <c:v>45.902700000000003</c:v>
                </c:pt>
                <c:pt idx="295">
                  <c:v>45.497700000000002</c:v>
                </c:pt>
                <c:pt idx="296">
                  <c:v>44.877099999999999</c:v>
                </c:pt>
                <c:pt idx="297">
                  <c:v>44.9621</c:v>
                </c:pt>
                <c:pt idx="298">
                  <c:v>45.8309</c:v>
                </c:pt>
                <c:pt idx="299">
                  <c:v>46.648400000000002</c:v>
                </c:pt>
                <c:pt idx="300">
                  <c:v>46.635899999999999</c:v>
                </c:pt>
                <c:pt idx="301">
                  <c:v>45.9711</c:v>
                </c:pt>
                <c:pt idx="302">
                  <c:v>45.640500000000003</c:v>
                </c:pt>
                <c:pt idx="303">
                  <c:v>46.207900000000002</c:v>
                </c:pt>
                <c:pt idx="304">
                  <c:v>47.189399999999999</c:v>
                </c:pt>
                <c:pt idx="305">
                  <c:v>47.6126</c:v>
                </c:pt>
                <c:pt idx="306">
                  <c:v>47.152700000000003</c:v>
                </c:pt>
                <c:pt idx="307">
                  <c:v>46.543100000000003</c:v>
                </c:pt>
                <c:pt idx="308">
                  <c:v>46.671300000000002</c:v>
                </c:pt>
                <c:pt idx="309">
                  <c:v>47.59</c:v>
                </c:pt>
                <c:pt idx="310">
                  <c:v>48.376899999999999</c:v>
                </c:pt>
                <c:pt idx="311">
                  <c:v>48.3</c:v>
                </c:pt>
                <c:pt idx="312">
                  <c:v>47.620899999999999</c:v>
                </c:pt>
                <c:pt idx="313">
                  <c:v>47.324399999999997</c:v>
                </c:pt>
                <c:pt idx="314">
                  <c:v>47.945399999999999</c:v>
                </c:pt>
                <c:pt idx="315">
                  <c:v>48.939500000000002</c:v>
                </c:pt>
                <c:pt idx="316">
                  <c:v>49.303600000000003</c:v>
                </c:pt>
                <c:pt idx="317">
                  <c:v>48.802799999999998</c:v>
                </c:pt>
                <c:pt idx="318">
                  <c:v>48.192100000000003</c:v>
                </c:pt>
                <c:pt idx="319">
                  <c:v>48.389699999999998</c:v>
                </c:pt>
                <c:pt idx="320">
                  <c:v>49.341000000000001</c:v>
                </c:pt>
                <c:pt idx="321">
                  <c:v>50.107100000000003</c:v>
                </c:pt>
                <c:pt idx="322">
                  <c:v>49.968200000000003</c:v>
                </c:pt>
                <c:pt idx="323">
                  <c:v>49.260399999999997</c:v>
                </c:pt>
                <c:pt idx="324">
                  <c:v>49.008600000000001</c:v>
                </c:pt>
                <c:pt idx="325">
                  <c:v>49.699199999999998</c:v>
                </c:pt>
                <c:pt idx="326">
                  <c:v>50.689799999999998</c:v>
                </c:pt>
                <c:pt idx="327">
                  <c:v>51.005000000000003</c:v>
                </c:pt>
                <c:pt idx="328">
                  <c:v>50.442</c:v>
                </c:pt>
                <c:pt idx="329">
                  <c:v>49.845999999999997</c:v>
                </c:pt>
                <c:pt idx="330">
                  <c:v>50.1143</c:v>
                </c:pt>
                <c:pt idx="331">
                  <c:v>51.100900000000003</c:v>
                </c:pt>
                <c:pt idx="332">
                  <c:v>51.8386</c:v>
                </c:pt>
                <c:pt idx="333">
                  <c:v>51.624200000000002</c:v>
                </c:pt>
                <c:pt idx="334">
                  <c:v>50.902200000000001</c:v>
                </c:pt>
                <c:pt idx="335">
                  <c:v>50.698500000000003</c:v>
                </c:pt>
                <c:pt idx="336">
                  <c:v>51.447400000000002</c:v>
                </c:pt>
                <c:pt idx="337">
                  <c:v>52.446100000000001</c:v>
                </c:pt>
                <c:pt idx="338">
                  <c:v>52.689399999999999</c:v>
                </c:pt>
                <c:pt idx="339">
                  <c:v>52.092700000000001</c:v>
                </c:pt>
                <c:pt idx="340">
                  <c:v>51.524900000000002</c:v>
                </c:pt>
                <c:pt idx="341">
                  <c:v>51.847700000000003</c:v>
                </c:pt>
                <c:pt idx="342">
                  <c:v>52.861600000000003</c:v>
                </c:pt>
                <c:pt idx="343">
                  <c:v>53.5443</c:v>
                </c:pt>
                <c:pt idx="344">
                  <c:v>53.281799999999997</c:v>
                </c:pt>
                <c:pt idx="345">
                  <c:v>52.560099999999998</c:v>
                </c:pt>
                <c:pt idx="346">
                  <c:v>52.405200000000001</c:v>
                </c:pt>
                <c:pt idx="347">
                  <c:v>53.199599999999997</c:v>
                </c:pt>
                <c:pt idx="348">
                  <c:v>54.178100000000001</c:v>
                </c:pt>
                <c:pt idx="349">
                  <c:v>54.371499999999997</c:v>
                </c:pt>
                <c:pt idx="350">
                  <c:v>53.724600000000002</c:v>
                </c:pt>
                <c:pt idx="351">
                  <c:v>53.191699999999997</c:v>
                </c:pt>
                <c:pt idx="352">
                  <c:v>53.575899999999997</c:v>
                </c:pt>
                <c:pt idx="353">
                  <c:v>54.615600000000001</c:v>
                </c:pt>
                <c:pt idx="354">
                  <c:v>55.266100000000002</c:v>
                </c:pt>
                <c:pt idx="355">
                  <c:v>54.9373</c:v>
                </c:pt>
                <c:pt idx="356">
                  <c:v>54.200299999999999</c:v>
                </c:pt>
                <c:pt idx="357">
                  <c:v>54.101700000000001</c:v>
                </c:pt>
                <c:pt idx="358">
                  <c:v>54.954000000000001</c:v>
                </c:pt>
                <c:pt idx="359">
                  <c:v>55.914499999999997</c:v>
                </c:pt>
                <c:pt idx="360">
                  <c:v>56.048400000000001</c:v>
                </c:pt>
                <c:pt idx="361">
                  <c:v>55.368200000000002</c:v>
                </c:pt>
                <c:pt idx="362">
                  <c:v>54.852600000000002</c:v>
                </c:pt>
                <c:pt idx="363">
                  <c:v>55.313200000000002</c:v>
                </c:pt>
                <c:pt idx="364">
                  <c:v>56.376300000000001</c:v>
                </c:pt>
                <c:pt idx="365">
                  <c:v>56.982900000000001</c:v>
                </c:pt>
                <c:pt idx="366">
                  <c:v>56.582700000000003</c:v>
                </c:pt>
                <c:pt idx="367">
                  <c:v>55.837899999999998</c:v>
                </c:pt>
                <c:pt idx="368">
                  <c:v>55.819400000000002</c:v>
                </c:pt>
                <c:pt idx="369">
                  <c:v>56.711799999999997</c:v>
                </c:pt>
                <c:pt idx="370">
                  <c:v>57.660499999999999</c:v>
                </c:pt>
                <c:pt idx="371">
                  <c:v>57.721200000000003</c:v>
                </c:pt>
                <c:pt idx="372">
                  <c:v>57.004600000000003</c:v>
                </c:pt>
                <c:pt idx="373">
                  <c:v>56.531199999999998</c:v>
                </c:pt>
                <c:pt idx="374">
                  <c:v>57.058100000000003</c:v>
                </c:pt>
                <c:pt idx="375">
                  <c:v>58.138399999999997</c:v>
                </c:pt>
                <c:pt idx="376">
                  <c:v>58.68</c:v>
                </c:pt>
                <c:pt idx="377">
                  <c:v>58.224299999999999</c:v>
                </c:pt>
                <c:pt idx="378">
                  <c:v>57.489699999999999</c:v>
                </c:pt>
                <c:pt idx="379">
                  <c:v>57.525500000000001</c:v>
                </c:pt>
                <c:pt idx="380">
                  <c:v>58.476199999999999</c:v>
                </c:pt>
                <c:pt idx="381">
                  <c:v>59.398499999999999</c:v>
                </c:pt>
                <c:pt idx="382">
                  <c:v>59.391199999999998</c:v>
                </c:pt>
                <c:pt idx="383">
                  <c:v>58.638500000000001</c:v>
                </c:pt>
                <c:pt idx="384">
                  <c:v>58.218400000000003</c:v>
                </c:pt>
                <c:pt idx="385">
                  <c:v>58.790900000000001</c:v>
                </c:pt>
                <c:pt idx="386">
                  <c:v>59.891199999999998</c:v>
                </c:pt>
                <c:pt idx="387">
                  <c:v>60.383800000000001</c:v>
                </c:pt>
                <c:pt idx="388">
                  <c:v>59.871699999999997</c:v>
                </c:pt>
                <c:pt idx="389">
                  <c:v>59.143999999999998</c:v>
                </c:pt>
                <c:pt idx="390">
                  <c:v>59.242400000000004</c:v>
                </c:pt>
                <c:pt idx="391">
                  <c:v>60.239699999999999</c:v>
                </c:pt>
                <c:pt idx="392">
                  <c:v>61.1374</c:v>
                </c:pt>
                <c:pt idx="393">
                  <c:v>61.061300000000003</c:v>
                </c:pt>
                <c:pt idx="394">
                  <c:v>60.274799999999999</c:v>
                </c:pt>
                <c:pt idx="395">
                  <c:v>59.9</c:v>
                </c:pt>
                <c:pt idx="396">
                  <c:v>60.551699999999997</c:v>
                </c:pt>
                <c:pt idx="397">
                  <c:v>61.645800000000001</c:v>
                </c:pt>
                <c:pt idx="398">
                  <c:v>62.090200000000003</c:v>
                </c:pt>
                <c:pt idx="399">
                  <c:v>61.514800000000001</c:v>
                </c:pt>
                <c:pt idx="400">
                  <c:v>60.797199999999997</c:v>
                </c:pt>
                <c:pt idx="401">
                  <c:v>60.967100000000002</c:v>
                </c:pt>
                <c:pt idx="402">
                  <c:v>62.000799999999998</c:v>
                </c:pt>
                <c:pt idx="403">
                  <c:v>62.875300000000003</c:v>
                </c:pt>
                <c:pt idx="404">
                  <c:v>62.724200000000003</c:v>
                </c:pt>
                <c:pt idx="405">
                  <c:v>61.9161</c:v>
                </c:pt>
                <c:pt idx="406">
                  <c:v>61.584200000000003</c:v>
                </c:pt>
                <c:pt idx="407">
                  <c:v>62.312899999999999</c:v>
                </c:pt>
                <c:pt idx="408">
                  <c:v>63.392800000000001</c:v>
                </c:pt>
                <c:pt idx="409">
                  <c:v>63.753300000000003</c:v>
                </c:pt>
                <c:pt idx="410">
                  <c:v>63.154400000000003</c:v>
                </c:pt>
                <c:pt idx="411">
                  <c:v>62.469099999999997</c:v>
                </c:pt>
                <c:pt idx="412">
                  <c:v>62.709800000000001</c:v>
                </c:pt>
                <c:pt idx="413">
                  <c:v>63.750999999999998</c:v>
                </c:pt>
                <c:pt idx="414">
                  <c:v>64.582700000000003</c:v>
                </c:pt>
                <c:pt idx="415">
                  <c:v>64.374099999999999</c:v>
                </c:pt>
                <c:pt idx="416">
                  <c:v>63.540100000000002</c:v>
                </c:pt>
                <c:pt idx="417">
                  <c:v>63.275300000000001</c:v>
                </c:pt>
                <c:pt idx="418">
                  <c:v>64.055400000000006</c:v>
                </c:pt>
                <c:pt idx="419">
                  <c:v>65.1584</c:v>
                </c:pt>
                <c:pt idx="420">
                  <c:v>65.460300000000004</c:v>
                </c:pt>
                <c:pt idx="421">
                  <c:v>64.789100000000005</c:v>
                </c:pt>
                <c:pt idx="422">
                  <c:v>64.119600000000005</c:v>
                </c:pt>
                <c:pt idx="423">
                  <c:v>64.424099999999996</c:v>
                </c:pt>
                <c:pt idx="424">
                  <c:v>65.532799999999995</c:v>
                </c:pt>
                <c:pt idx="425">
                  <c:v>66.313000000000002</c:v>
                </c:pt>
                <c:pt idx="426">
                  <c:v>66.031400000000005</c:v>
                </c:pt>
                <c:pt idx="427">
                  <c:v>65.193299999999994</c:v>
                </c:pt>
                <c:pt idx="428">
                  <c:v>64.970600000000005</c:v>
                </c:pt>
                <c:pt idx="429">
                  <c:v>65.820099999999996</c:v>
                </c:pt>
                <c:pt idx="430">
                  <c:v>66.903999999999996</c:v>
                </c:pt>
                <c:pt idx="431">
                  <c:v>67.145600000000002</c:v>
                </c:pt>
                <c:pt idx="432">
                  <c:v>66.425799999999995</c:v>
                </c:pt>
                <c:pt idx="433">
                  <c:v>65.784199999999998</c:v>
                </c:pt>
                <c:pt idx="434">
                  <c:v>66.162499999999994</c:v>
                </c:pt>
                <c:pt idx="435">
                  <c:v>67.3</c:v>
                </c:pt>
                <c:pt idx="436">
                  <c:v>68.034800000000004</c:v>
                </c:pt>
                <c:pt idx="437">
                  <c:v>67.678100000000001</c:v>
                </c:pt>
                <c:pt idx="438">
                  <c:v>66.837199999999996</c:v>
                </c:pt>
                <c:pt idx="439">
                  <c:v>66.679100000000005</c:v>
                </c:pt>
                <c:pt idx="440">
                  <c:v>67.591099999999997</c:v>
                </c:pt>
                <c:pt idx="441">
                  <c:v>68.662599999999998</c:v>
                </c:pt>
                <c:pt idx="442">
                  <c:v>68.820400000000006</c:v>
                </c:pt>
                <c:pt idx="443">
                  <c:v>68.060900000000004</c:v>
                </c:pt>
                <c:pt idx="444">
                  <c:v>67.454700000000003</c:v>
                </c:pt>
                <c:pt idx="445">
                  <c:v>67.907200000000003</c:v>
                </c:pt>
                <c:pt idx="446">
                  <c:v>69.063000000000002</c:v>
                </c:pt>
                <c:pt idx="447">
                  <c:v>69.741799999999998</c:v>
                </c:pt>
                <c:pt idx="448">
                  <c:v>69.326800000000006</c:v>
                </c:pt>
                <c:pt idx="449">
                  <c:v>68.481300000000005</c:v>
                </c:pt>
                <c:pt idx="450">
                  <c:v>68.399900000000002</c:v>
                </c:pt>
                <c:pt idx="451">
                  <c:v>69.344700000000003</c:v>
                </c:pt>
                <c:pt idx="452">
                  <c:v>70.406300000000002</c:v>
                </c:pt>
                <c:pt idx="453">
                  <c:v>70.487399999999994</c:v>
                </c:pt>
                <c:pt idx="454">
                  <c:v>69.687100000000001</c:v>
                </c:pt>
                <c:pt idx="455">
                  <c:v>69.12</c:v>
                </c:pt>
                <c:pt idx="456">
                  <c:v>69.652299999999997</c:v>
                </c:pt>
                <c:pt idx="457">
                  <c:v>70.832999999999998</c:v>
                </c:pt>
                <c:pt idx="458">
                  <c:v>71.452799999999996</c:v>
                </c:pt>
                <c:pt idx="459">
                  <c:v>70.978399999999993</c:v>
                </c:pt>
                <c:pt idx="460">
                  <c:v>70.137200000000007</c:v>
                </c:pt>
                <c:pt idx="461">
                  <c:v>70.1203</c:v>
                </c:pt>
                <c:pt idx="462">
                  <c:v>71.123500000000007</c:v>
                </c:pt>
                <c:pt idx="463">
                  <c:v>72.1511</c:v>
                </c:pt>
                <c:pt idx="464">
                  <c:v>72.168199999999999</c:v>
                </c:pt>
                <c:pt idx="465">
                  <c:v>71.328000000000003</c:v>
                </c:pt>
                <c:pt idx="466">
                  <c:v>70.812899999999999</c:v>
                </c:pt>
                <c:pt idx="467">
                  <c:v>71.410399999999996</c:v>
                </c:pt>
                <c:pt idx="468">
                  <c:v>72.595500000000001</c:v>
                </c:pt>
                <c:pt idx="469">
                  <c:v>73.164500000000004</c:v>
                </c:pt>
                <c:pt idx="470">
                  <c:v>72.614999999999995</c:v>
                </c:pt>
                <c:pt idx="471">
                  <c:v>71.790800000000004</c:v>
                </c:pt>
                <c:pt idx="472">
                  <c:v>71.834100000000007</c:v>
                </c:pt>
                <c:pt idx="473">
                  <c:v>72.892300000000006</c:v>
                </c:pt>
                <c:pt idx="474">
                  <c:v>73.888499999999993</c:v>
                </c:pt>
                <c:pt idx="475">
                  <c:v>73.834199999999996</c:v>
                </c:pt>
                <c:pt idx="476">
                  <c:v>72.970799999999997</c:v>
                </c:pt>
                <c:pt idx="477">
                  <c:v>72.489500000000007</c:v>
                </c:pt>
                <c:pt idx="478">
                  <c:v>73.162700000000001</c:v>
                </c:pt>
                <c:pt idx="479">
                  <c:v>74.359700000000004</c:v>
                </c:pt>
                <c:pt idx="480">
                  <c:v>74.865600000000001</c:v>
                </c:pt>
                <c:pt idx="481">
                  <c:v>74.251499999999993</c:v>
                </c:pt>
                <c:pt idx="482">
                  <c:v>73.434100000000001</c:v>
                </c:pt>
                <c:pt idx="483">
                  <c:v>73.558700000000002</c:v>
                </c:pt>
                <c:pt idx="484">
                  <c:v>74.666499999999999</c:v>
                </c:pt>
                <c:pt idx="485">
                  <c:v>75.634200000000007</c:v>
                </c:pt>
                <c:pt idx="486">
                  <c:v>75.490600000000001</c:v>
                </c:pt>
                <c:pt idx="487">
                  <c:v>74.595500000000001</c:v>
                </c:pt>
                <c:pt idx="488">
                  <c:v>75.098500000000001</c:v>
                </c:pt>
                <c:pt idx="489">
                  <c:v>75.106899999999996</c:v>
                </c:pt>
                <c:pt idx="490">
                  <c:v>75.104699999999994</c:v>
                </c:pt>
                <c:pt idx="491">
                  <c:v>75.103300000000004</c:v>
                </c:pt>
                <c:pt idx="492">
                  <c:v>75.096900000000005</c:v>
                </c:pt>
                <c:pt idx="493">
                  <c:v>75.104799999999997</c:v>
                </c:pt>
                <c:pt idx="494">
                  <c:v>75.106800000000007</c:v>
                </c:pt>
                <c:pt idx="495">
                  <c:v>75.105599999999995</c:v>
                </c:pt>
                <c:pt idx="496">
                  <c:v>75.098299999999995</c:v>
                </c:pt>
                <c:pt idx="497">
                  <c:v>75.100700000000003</c:v>
                </c:pt>
                <c:pt idx="498">
                  <c:v>75.108900000000006</c:v>
                </c:pt>
                <c:pt idx="499">
                  <c:v>75.101299999999995</c:v>
                </c:pt>
                <c:pt idx="500">
                  <c:v>75.104799999999997</c:v>
                </c:pt>
                <c:pt idx="501">
                  <c:v>75.104699999999994</c:v>
                </c:pt>
                <c:pt idx="502">
                  <c:v>75.108599999999996</c:v>
                </c:pt>
                <c:pt idx="503">
                  <c:v>75.106499999999997</c:v>
                </c:pt>
                <c:pt idx="504">
                  <c:v>75.100499999999997</c:v>
                </c:pt>
                <c:pt idx="505">
                  <c:v>75.109099999999998</c:v>
                </c:pt>
                <c:pt idx="506">
                  <c:v>75.108500000000006</c:v>
                </c:pt>
                <c:pt idx="507">
                  <c:v>75.103700000000003</c:v>
                </c:pt>
                <c:pt idx="508">
                  <c:v>75.104500000000002</c:v>
                </c:pt>
                <c:pt idx="509">
                  <c:v>75.108599999999996</c:v>
                </c:pt>
                <c:pt idx="510">
                  <c:v>75.110200000000006</c:v>
                </c:pt>
                <c:pt idx="511">
                  <c:v>75.098799999999997</c:v>
                </c:pt>
                <c:pt idx="512">
                  <c:v>75.1066</c:v>
                </c:pt>
                <c:pt idx="513">
                  <c:v>75.099699999999999</c:v>
                </c:pt>
                <c:pt idx="514">
                  <c:v>75.1096</c:v>
                </c:pt>
                <c:pt idx="515">
                  <c:v>74.991299999999995</c:v>
                </c:pt>
                <c:pt idx="516">
                  <c:v>74.846699999999998</c:v>
                </c:pt>
                <c:pt idx="517">
                  <c:v>74.680599999999998</c:v>
                </c:pt>
                <c:pt idx="518">
                  <c:v>74.525300000000001</c:v>
                </c:pt>
                <c:pt idx="519">
                  <c:v>74.379099999999994</c:v>
                </c:pt>
                <c:pt idx="520">
                  <c:v>74.226299999999995</c:v>
                </c:pt>
                <c:pt idx="521">
                  <c:v>74.0702</c:v>
                </c:pt>
                <c:pt idx="522">
                  <c:v>73.910499999999999</c:v>
                </c:pt>
                <c:pt idx="523">
                  <c:v>73.761600000000001</c:v>
                </c:pt>
                <c:pt idx="524">
                  <c:v>73.604600000000005</c:v>
                </c:pt>
                <c:pt idx="525">
                  <c:v>73.447900000000004</c:v>
                </c:pt>
                <c:pt idx="526">
                  <c:v>73.297700000000006</c:v>
                </c:pt>
                <c:pt idx="527">
                  <c:v>73.141499999999994</c:v>
                </c:pt>
                <c:pt idx="528">
                  <c:v>72.990700000000004</c:v>
                </c:pt>
                <c:pt idx="529">
                  <c:v>72.829800000000006</c:v>
                </c:pt>
                <c:pt idx="530">
                  <c:v>72.675299999999993</c:v>
                </c:pt>
                <c:pt idx="531">
                  <c:v>72.523700000000005</c:v>
                </c:pt>
                <c:pt idx="532">
                  <c:v>72.368700000000004</c:v>
                </c:pt>
                <c:pt idx="533">
                  <c:v>72.219899999999996</c:v>
                </c:pt>
                <c:pt idx="534">
                  <c:v>72.057900000000004</c:v>
                </c:pt>
                <c:pt idx="535">
                  <c:v>71.91</c:v>
                </c:pt>
                <c:pt idx="536">
                  <c:v>71.753799999999998</c:v>
                </c:pt>
                <c:pt idx="537">
                  <c:v>71.599900000000005</c:v>
                </c:pt>
                <c:pt idx="538">
                  <c:v>71.442300000000003</c:v>
                </c:pt>
                <c:pt idx="539">
                  <c:v>71.291799999999995</c:v>
                </c:pt>
                <c:pt idx="540">
                  <c:v>71.135999999999996</c:v>
                </c:pt>
                <c:pt idx="541">
                  <c:v>70.980900000000005</c:v>
                </c:pt>
                <c:pt idx="542">
                  <c:v>70.829400000000007</c:v>
                </c:pt>
                <c:pt idx="543">
                  <c:v>70.677099999999996</c:v>
                </c:pt>
                <c:pt idx="544">
                  <c:v>70.519499999999994</c:v>
                </c:pt>
                <c:pt idx="545">
                  <c:v>70.362399999999994</c:v>
                </c:pt>
                <c:pt idx="546">
                  <c:v>70.211200000000005</c:v>
                </c:pt>
                <c:pt idx="547">
                  <c:v>70.054699999999997</c:v>
                </c:pt>
                <c:pt idx="548">
                  <c:v>69.897199999999998</c:v>
                </c:pt>
                <c:pt idx="549">
                  <c:v>69.746899999999997</c:v>
                </c:pt>
                <c:pt idx="550">
                  <c:v>69.597700000000003</c:v>
                </c:pt>
                <c:pt idx="551">
                  <c:v>69.439700000000002</c:v>
                </c:pt>
                <c:pt idx="552">
                  <c:v>69.287499999999994</c:v>
                </c:pt>
                <c:pt idx="553">
                  <c:v>69.129199999999997</c:v>
                </c:pt>
                <c:pt idx="554">
                  <c:v>68.978300000000004</c:v>
                </c:pt>
                <c:pt idx="555">
                  <c:v>68.823499999999996</c:v>
                </c:pt>
                <c:pt idx="556">
                  <c:v>68.663200000000003</c:v>
                </c:pt>
                <c:pt idx="557">
                  <c:v>68.509</c:v>
                </c:pt>
                <c:pt idx="558">
                  <c:v>68.359200000000001</c:v>
                </c:pt>
                <c:pt idx="559">
                  <c:v>68.2029</c:v>
                </c:pt>
                <c:pt idx="560">
                  <c:v>68.049700000000001</c:v>
                </c:pt>
                <c:pt idx="561">
                  <c:v>67.892799999999994</c:v>
                </c:pt>
                <c:pt idx="562">
                  <c:v>67.739199999999997</c:v>
                </c:pt>
                <c:pt idx="563">
                  <c:v>67.583699999999993</c:v>
                </c:pt>
                <c:pt idx="564">
                  <c:v>67.428200000000004</c:v>
                </c:pt>
                <c:pt idx="565">
                  <c:v>67.280799999999999</c:v>
                </c:pt>
                <c:pt idx="566">
                  <c:v>67.123500000000007</c:v>
                </c:pt>
                <c:pt idx="567">
                  <c:v>66.967299999999994</c:v>
                </c:pt>
                <c:pt idx="568">
                  <c:v>66.809399999999997</c:v>
                </c:pt>
                <c:pt idx="569">
                  <c:v>66.6584</c:v>
                </c:pt>
                <c:pt idx="570">
                  <c:v>66.501599999999996</c:v>
                </c:pt>
                <c:pt idx="571">
                  <c:v>66.356099999999998</c:v>
                </c:pt>
                <c:pt idx="572">
                  <c:v>66.194100000000006</c:v>
                </c:pt>
                <c:pt idx="573">
                  <c:v>66.044399999999996</c:v>
                </c:pt>
                <c:pt idx="574">
                  <c:v>65.8874</c:v>
                </c:pt>
                <c:pt idx="575">
                  <c:v>65.730900000000005</c:v>
                </c:pt>
                <c:pt idx="576">
                  <c:v>65.578199999999995</c:v>
                </c:pt>
                <c:pt idx="577">
                  <c:v>65.422600000000003</c:v>
                </c:pt>
                <c:pt idx="578">
                  <c:v>65.270099999999999</c:v>
                </c:pt>
                <c:pt idx="579">
                  <c:v>65.1126</c:v>
                </c:pt>
                <c:pt idx="580">
                  <c:v>64.961600000000004</c:v>
                </c:pt>
                <c:pt idx="581">
                  <c:v>64.803899999999999</c:v>
                </c:pt>
                <c:pt idx="582">
                  <c:v>64.6541</c:v>
                </c:pt>
                <c:pt idx="583">
                  <c:v>64.493399999999994</c:v>
                </c:pt>
                <c:pt idx="584">
                  <c:v>64.345600000000005</c:v>
                </c:pt>
                <c:pt idx="585">
                  <c:v>64.187600000000003</c:v>
                </c:pt>
                <c:pt idx="586">
                  <c:v>64.034499999999994</c:v>
                </c:pt>
                <c:pt idx="587">
                  <c:v>63.880299999999998</c:v>
                </c:pt>
                <c:pt idx="588">
                  <c:v>63.729399999999998</c:v>
                </c:pt>
                <c:pt idx="589">
                  <c:v>63.569499999999998</c:v>
                </c:pt>
                <c:pt idx="590">
                  <c:v>63.417999999999999</c:v>
                </c:pt>
                <c:pt idx="591">
                  <c:v>63.256500000000003</c:v>
                </c:pt>
                <c:pt idx="592">
                  <c:v>63.108699999999999</c:v>
                </c:pt>
                <c:pt idx="593">
                  <c:v>62.955100000000002</c:v>
                </c:pt>
                <c:pt idx="594">
                  <c:v>62.798699999999997</c:v>
                </c:pt>
                <c:pt idx="595">
                  <c:v>62.644799999999996</c:v>
                </c:pt>
                <c:pt idx="596">
                  <c:v>62.491599999999998</c:v>
                </c:pt>
                <c:pt idx="597">
                  <c:v>62.345399999999998</c:v>
                </c:pt>
                <c:pt idx="598">
                  <c:v>62.184899999999999</c:v>
                </c:pt>
                <c:pt idx="599">
                  <c:v>62.026200000000003</c:v>
                </c:pt>
                <c:pt idx="600">
                  <c:v>61.8675</c:v>
                </c:pt>
                <c:pt idx="601">
                  <c:v>61.721699999999998</c:v>
                </c:pt>
                <c:pt idx="602">
                  <c:v>61.566200000000002</c:v>
                </c:pt>
                <c:pt idx="603">
                  <c:v>61.413899999999998</c:v>
                </c:pt>
                <c:pt idx="604">
                  <c:v>61.252200000000002</c:v>
                </c:pt>
                <c:pt idx="605">
                  <c:v>61.098399999999998</c:v>
                </c:pt>
                <c:pt idx="606">
                  <c:v>60.9499</c:v>
                </c:pt>
                <c:pt idx="607">
                  <c:v>60.793799999999997</c:v>
                </c:pt>
                <c:pt idx="608">
                  <c:v>60.6389</c:v>
                </c:pt>
                <c:pt idx="609">
                  <c:v>60.482900000000001</c:v>
                </c:pt>
                <c:pt idx="610">
                  <c:v>60.331400000000002</c:v>
                </c:pt>
                <c:pt idx="611">
                  <c:v>60.176900000000003</c:v>
                </c:pt>
                <c:pt idx="612">
                  <c:v>60.017600000000002</c:v>
                </c:pt>
                <c:pt idx="613">
                  <c:v>59.862299999999998</c:v>
                </c:pt>
                <c:pt idx="614">
                  <c:v>59.714199999999998</c:v>
                </c:pt>
                <c:pt idx="615">
                  <c:v>59.5578</c:v>
                </c:pt>
                <c:pt idx="616">
                  <c:v>59.403399999999998</c:v>
                </c:pt>
                <c:pt idx="617">
                  <c:v>59.2483</c:v>
                </c:pt>
                <c:pt idx="618">
                  <c:v>59.091900000000003</c:v>
                </c:pt>
                <c:pt idx="619">
                  <c:v>58.937899999999999</c:v>
                </c:pt>
                <c:pt idx="620">
                  <c:v>58.783799999999999</c:v>
                </c:pt>
                <c:pt idx="621">
                  <c:v>58.627299999999998</c:v>
                </c:pt>
                <c:pt idx="622">
                  <c:v>58.4788</c:v>
                </c:pt>
                <c:pt idx="623">
                  <c:v>58.323300000000003</c:v>
                </c:pt>
                <c:pt idx="624">
                  <c:v>58.166800000000002</c:v>
                </c:pt>
                <c:pt idx="625">
                  <c:v>58.012900000000002</c:v>
                </c:pt>
                <c:pt idx="626">
                  <c:v>57.860799999999998</c:v>
                </c:pt>
                <c:pt idx="627">
                  <c:v>57.702100000000002</c:v>
                </c:pt>
                <c:pt idx="628">
                  <c:v>57.551699999999997</c:v>
                </c:pt>
                <c:pt idx="629">
                  <c:v>57.394399999999997</c:v>
                </c:pt>
                <c:pt idx="630">
                  <c:v>57.242899999999999</c:v>
                </c:pt>
                <c:pt idx="631">
                  <c:v>57.087600000000002</c:v>
                </c:pt>
                <c:pt idx="632">
                  <c:v>56.931399999999996</c:v>
                </c:pt>
                <c:pt idx="633">
                  <c:v>56.7761</c:v>
                </c:pt>
                <c:pt idx="634">
                  <c:v>56.6218</c:v>
                </c:pt>
                <c:pt idx="635">
                  <c:v>56.4651</c:v>
                </c:pt>
                <c:pt idx="636">
                  <c:v>56.313699999999997</c:v>
                </c:pt>
                <c:pt idx="637">
                  <c:v>56.158499999999997</c:v>
                </c:pt>
                <c:pt idx="638">
                  <c:v>56.004399999999997</c:v>
                </c:pt>
                <c:pt idx="639">
                  <c:v>55.850499999999997</c:v>
                </c:pt>
                <c:pt idx="640">
                  <c:v>55.701000000000001</c:v>
                </c:pt>
                <c:pt idx="641">
                  <c:v>55.541699999999999</c:v>
                </c:pt>
                <c:pt idx="642">
                  <c:v>55.384099999999997</c:v>
                </c:pt>
                <c:pt idx="643">
                  <c:v>55.233199999999997</c:v>
                </c:pt>
                <c:pt idx="644">
                  <c:v>55.078299999999999</c:v>
                </c:pt>
                <c:pt idx="645">
                  <c:v>54.922600000000003</c:v>
                </c:pt>
                <c:pt idx="646">
                  <c:v>54.769199999999998</c:v>
                </c:pt>
                <c:pt idx="647">
                  <c:v>54.617400000000004</c:v>
                </c:pt>
                <c:pt idx="648">
                  <c:v>54.463500000000003</c:v>
                </c:pt>
                <c:pt idx="649">
                  <c:v>54.308500000000002</c:v>
                </c:pt>
                <c:pt idx="650">
                  <c:v>54.150199999999998</c:v>
                </c:pt>
                <c:pt idx="651">
                  <c:v>53.995399999999997</c:v>
                </c:pt>
                <c:pt idx="652">
                  <c:v>53.846499999999999</c:v>
                </c:pt>
                <c:pt idx="653">
                  <c:v>53.691699999999997</c:v>
                </c:pt>
                <c:pt idx="654">
                  <c:v>53.532899999999998</c:v>
                </c:pt>
                <c:pt idx="655">
                  <c:v>53.381599999999999</c:v>
                </c:pt>
                <c:pt idx="656">
                  <c:v>53.226199999999999</c:v>
                </c:pt>
                <c:pt idx="657">
                  <c:v>53.071199999999997</c:v>
                </c:pt>
                <c:pt idx="658">
                  <c:v>52.917900000000003</c:v>
                </c:pt>
                <c:pt idx="659">
                  <c:v>52.761899999999997</c:v>
                </c:pt>
                <c:pt idx="660">
                  <c:v>52.612000000000002</c:v>
                </c:pt>
                <c:pt idx="661">
                  <c:v>52.457999999999998</c:v>
                </c:pt>
                <c:pt idx="662">
                  <c:v>52.301900000000003</c:v>
                </c:pt>
                <c:pt idx="663">
                  <c:v>52.140999999999998</c:v>
                </c:pt>
                <c:pt idx="664">
                  <c:v>51.991</c:v>
                </c:pt>
                <c:pt idx="665">
                  <c:v>51.836199999999998</c:v>
                </c:pt>
                <c:pt idx="666">
                  <c:v>51.6905</c:v>
                </c:pt>
                <c:pt idx="667">
                  <c:v>51.529800000000002</c:v>
                </c:pt>
                <c:pt idx="668">
                  <c:v>51.376199999999997</c:v>
                </c:pt>
                <c:pt idx="669">
                  <c:v>51.218800000000002</c:v>
                </c:pt>
                <c:pt idx="670">
                  <c:v>51.073500000000003</c:v>
                </c:pt>
                <c:pt idx="671">
                  <c:v>50.911200000000001</c:v>
                </c:pt>
                <c:pt idx="672">
                  <c:v>50.755800000000001</c:v>
                </c:pt>
                <c:pt idx="673">
                  <c:v>50.601900000000001</c:v>
                </c:pt>
                <c:pt idx="674">
                  <c:v>50.451700000000002</c:v>
                </c:pt>
                <c:pt idx="675">
                  <c:v>50.292900000000003</c:v>
                </c:pt>
                <c:pt idx="676">
                  <c:v>50.138800000000003</c:v>
                </c:pt>
                <c:pt idx="677">
                  <c:v>49.980600000000003</c:v>
                </c:pt>
                <c:pt idx="678">
                  <c:v>49.826700000000002</c:v>
                </c:pt>
                <c:pt idx="679">
                  <c:v>49.673299999999998</c:v>
                </c:pt>
                <c:pt idx="680">
                  <c:v>49.5227</c:v>
                </c:pt>
                <c:pt idx="681">
                  <c:v>49.363999999999997</c:v>
                </c:pt>
                <c:pt idx="682">
                  <c:v>49.211199999999998</c:v>
                </c:pt>
                <c:pt idx="683">
                  <c:v>49.0565</c:v>
                </c:pt>
                <c:pt idx="684">
                  <c:v>48.904400000000003</c:v>
                </c:pt>
                <c:pt idx="685">
                  <c:v>48.751800000000003</c:v>
                </c:pt>
                <c:pt idx="686">
                  <c:v>48.594200000000001</c:v>
                </c:pt>
                <c:pt idx="687">
                  <c:v>48.438600000000001</c:v>
                </c:pt>
                <c:pt idx="688">
                  <c:v>48.283499999999997</c:v>
                </c:pt>
                <c:pt idx="689">
                  <c:v>48.128700000000002</c:v>
                </c:pt>
                <c:pt idx="690">
                  <c:v>47.9754</c:v>
                </c:pt>
                <c:pt idx="691">
                  <c:v>47.8232</c:v>
                </c:pt>
                <c:pt idx="692">
                  <c:v>47.669400000000003</c:v>
                </c:pt>
                <c:pt idx="693">
                  <c:v>47.519300000000001</c:v>
                </c:pt>
                <c:pt idx="694">
                  <c:v>47.360999999999997</c:v>
                </c:pt>
                <c:pt idx="695">
                  <c:v>47.2059</c:v>
                </c:pt>
                <c:pt idx="696">
                  <c:v>47.0503</c:v>
                </c:pt>
                <c:pt idx="697">
                  <c:v>46.892299999999999</c:v>
                </c:pt>
                <c:pt idx="698">
                  <c:v>46.742600000000003</c:v>
                </c:pt>
                <c:pt idx="699">
                  <c:v>46.584000000000003</c:v>
                </c:pt>
                <c:pt idx="700">
                  <c:v>46.432600000000001</c:v>
                </c:pt>
                <c:pt idx="701">
                  <c:v>46.278500000000001</c:v>
                </c:pt>
                <c:pt idx="702">
                  <c:v>46.125999999999998</c:v>
                </c:pt>
                <c:pt idx="703">
                  <c:v>45.969099999999997</c:v>
                </c:pt>
                <c:pt idx="704">
                  <c:v>45.814</c:v>
                </c:pt>
                <c:pt idx="705">
                  <c:v>45.6631</c:v>
                </c:pt>
                <c:pt idx="706">
                  <c:v>45.505800000000001</c:v>
                </c:pt>
                <c:pt idx="707">
                  <c:v>45.351700000000001</c:v>
                </c:pt>
                <c:pt idx="708">
                  <c:v>45.195700000000002</c:v>
                </c:pt>
                <c:pt idx="709">
                  <c:v>45.045400000000001</c:v>
                </c:pt>
                <c:pt idx="710">
                  <c:v>44.890599999999999</c:v>
                </c:pt>
                <c:pt idx="711">
                  <c:v>44.733400000000003</c:v>
                </c:pt>
                <c:pt idx="712">
                  <c:v>44.579900000000002</c:v>
                </c:pt>
                <c:pt idx="713">
                  <c:v>44.426299999999998</c:v>
                </c:pt>
                <c:pt idx="714">
                  <c:v>44.268599999999999</c:v>
                </c:pt>
                <c:pt idx="715">
                  <c:v>44.114100000000001</c:v>
                </c:pt>
                <c:pt idx="716">
                  <c:v>43.9617</c:v>
                </c:pt>
                <c:pt idx="717">
                  <c:v>43.81</c:v>
                </c:pt>
                <c:pt idx="718">
                  <c:v>43.656399999999998</c:v>
                </c:pt>
                <c:pt idx="719">
                  <c:v>43.498399999999997</c:v>
                </c:pt>
                <c:pt idx="720">
                  <c:v>43.349499999999999</c:v>
                </c:pt>
                <c:pt idx="721">
                  <c:v>43.192399999999999</c:v>
                </c:pt>
                <c:pt idx="722">
                  <c:v>43.036000000000001</c:v>
                </c:pt>
                <c:pt idx="723">
                  <c:v>42.884700000000002</c:v>
                </c:pt>
                <c:pt idx="724">
                  <c:v>42.729799999999997</c:v>
                </c:pt>
                <c:pt idx="725">
                  <c:v>42.572899999999997</c:v>
                </c:pt>
                <c:pt idx="726">
                  <c:v>42.416600000000003</c:v>
                </c:pt>
                <c:pt idx="727">
                  <c:v>42.265999999999998</c:v>
                </c:pt>
                <c:pt idx="728">
                  <c:v>42.107199999999999</c:v>
                </c:pt>
                <c:pt idx="729">
                  <c:v>41.959699999999998</c:v>
                </c:pt>
                <c:pt idx="730">
                  <c:v>41.7973</c:v>
                </c:pt>
                <c:pt idx="731">
                  <c:v>41.647799999999997</c:v>
                </c:pt>
                <c:pt idx="732">
                  <c:v>41.490099999999998</c:v>
                </c:pt>
                <c:pt idx="733">
                  <c:v>41.335700000000003</c:v>
                </c:pt>
                <c:pt idx="734">
                  <c:v>41.183999999999997</c:v>
                </c:pt>
                <c:pt idx="735">
                  <c:v>41.030299999999997</c:v>
                </c:pt>
                <c:pt idx="736">
                  <c:v>40.8705</c:v>
                </c:pt>
                <c:pt idx="737">
                  <c:v>40.724299999999999</c:v>
                </c:pt>
                <c:pt idx="738">
                  <c:v>40.563499999999998</c:v>
                </c:pt>
                <c:pt idx="739">
                  <c:v>40.407299999999999</c:v>
                </c:pt>
                <c:pt idx="740">
                  <c:v>40.252699999999997</c:v>
                </c:pt>
                <c:pt idx="741">
                  <c:v>40.104100000000003</c:v>
                </c:pt>
                <c:pt idx="742">
                  <c:v>39.948900000000002</c:v>
                </c:pt>
                <c:pt idx="743">
                  <c:v>39.789499999999997</c:v>
                </c:pt>
                <c:pt idx="744">
                  <c:v>39.646099999999997</c:v>
                </c:pt>
                <c:pt idx="745">
                  <c:v>39.481699999999996</c:v>
                </c:pt>
                <c:pt idx="746">
                  <c:v>39.338500000000003</c:v>
                </c:pt>
                <c:pt idx="747">
                  <c:v>39.1751</c:v>
                </c:pt>
                <c:pt idx="748">
                  <c:v>39.023800000000001</c:v>
                </c:pt>
                <c:pt idx="749">
                  <c:v>38.867800000000003</c:v>
                </c:pt>
                <c:pt idx="750">
                  <c:v>38.7117</c:v>
                </c:pt>
                <c:pt idx="751">
                  <c:v>38.559399999999997</c:v>
                </c:pt>
                <c:pt idx="752">
                  <c:v>38.401800000000001</c:v>
                </c:pt>
                <c:pt idx="753">
                  <c:v>38.2483</c:v>
                </c:pt>
                <c:pt idx="754">
                  <c:v>38.094200000000001</c:v>
                </c:pt>
                <c:pt idx="755">
                  <c:v>37.943300000000001</c:v>
                </c:pt>
                <c:pt idx="756">
                  <c:v>37.7896</c:v>
                </c:pt>
                <c:pt idx="757">
                  <c:v>37.632100000000001</c:v>
                </c:pt>
                <c:pt idx="758">
                  <c:v>37.478499999999997</c:v>
                </c:pt>
                <c:pt idx="759">
                  <c:v>37.325200000000002</c:v>
                </c:pt>
                <c:pt idx="760">
                  <c:v>37.168500000000002</c:v>
                </c:pt>
                <c:pt idx="761">
                  <c:v>37.0122</c:v>
                </c:pt>
                <c:pt idx="762">
                  <c:v>36.862000000000002</c:v>
                </c:pt>
                <c:pt idx="763">
                  <c:v>36.705100000000002</c:v>
                </c:pt>
                <c:pt idx="764">
                  <c:v>36.549700000000001</c:v>
                </c:pt>
                <c:pt idx="765">
                  <c:v>36.398899999999998</c:v>
                </c:pt>
                <c:pt idx="766">
                  <c:v>36.245699999999999</c:v>
                </c:pt>
                <c:pt idx="767">
                  <c:v>36.090499999999999</c:v>
                </c:pt>
                <c:pt idx="768">
                  <c:v>35.9358</c:v>
                </c:pt>
                <c:pt idx="769">
                  <c:v>35.781500000000001</c:v>
                </c:pt>
                <c:pt idx="770">
                  <c:v>35.623399999999997</c:v>
                </c:pt>
                <c:pt idx="771">
                  <c:v>35.473700000000001</c:v>
                </c:pt>
                <c:pt idx="772">
                  <c:v>35.313899999999997</c:v>
                </c:pt>
                <c:pt idx="773">
                  <c:v>35.166899999999998</c:v>
                </c:pt>
                <c:pt idx="774">
                  <c:v>35.010800000000003</c:v>
                </c:pt>
                <c:pt idx="775">
                  <c:v>34.853400000000001</c:v>
                </c:pt>
                <c:pt idx="776">
                  <c:v>34.698399999999999</c:v>
                </c:pt>
                <c:pt idx="777">
                  <c:v>34.540799999999997</c:v>
                </c:pt>
                <c:pt idx="778">
                  <c:v>34.389699999999998</c:v>
                </c:pt>
                <c:pt idx="779">
                  <c:v>34.233600000000003</c:v>
                </c:pt>
                <c:pt idx="780">
                  <c:v>34.081899999999997</c:v>
                </c:pt>
                <c:pt idx="781">
                  <c:v>33.927700000000002</c:v>
                </c:pt>
                <c:pt idx="782">
                  <c:v>33.771599999999999</c:v>
                </c:pt>
                <c:pt idx="783">
                  <c:v>33.622900000000001</c:v>
                </c:pt>
                <c:pt idx="784">
                  <c:v>33.464399999999998</c:v>
                </c:pt>
                <c:pt idx="785">
                  <c:v>33.308</c:v>
                </c:pt>
                <c:pt idx="786">
                  <c:v>33.154400000000003</c:v>
                </c:pt>
                <c:pt idx="787">
                  <c:v>33.002299999999998</c:v>
                </c:pt>
                <c:pt idx="788">
                  <c:v>32.844299999999997</c:v>
                </c:pt>
                <c:pt idx="789">
                  <c:v>32.692500000000003</c:v>
                </c:pt>
                <c:pt idx="790">
                  <c:v>32.533499999999997</c:v>
                </c:pt>
                <c:pt idx="791">
                  <c:v>32.386099999999999</c:v>
                </c:pt>
                <c:pt idx="792">
                  <c:v>32.225099999999998</c:v>
                </c:pt>
                <c:pt idx="793">
                  <c:v>32.075000000000003</c:v>
                </c:pt>
                <c:pt idx="794">
                  <c:v>31.917300000000001</c:v>
                </c:pt>
                <c:pt idx="795">
                  <c:v>31.7682</c:v>
                </c:pt>
                <c:pt idx="796">
                  <c:v>31.613099999999999</c:v>
                </c:pt>
                <c:pt idx="797">
                  <c:v>31.452000000000002</c:v>
                </c:pt>
                <c:pt idx="798">
                  <c:v>31.302399999999999</c:v>
                </c:pt>
                <c:pt idx="799">
                  <c:v>31.140599999999999</c:v>
                </c:pt>
                <c:pt idx="800">
                  <c:v>30.992699999999999</c:v>
                </c:pt>
                <c:pt idx="801">
                  <c:v>30.837299999999999</c:v>
                </c:pt>
                <c:pt idx="802">
                  <c:v>30.6891</c:v>
                </c:pt>
                <c:pt idx="803">
                  <c:v>30.532</c:v>
                </c:pt>
                <c:pt idx="804">
                  <c:v>30.373999999999999</c:v>
                </c:pt>
                <c:pt idx="805">
                  <c:v>30.2212</c:v>
                </c:pt>
                <c:pt idx="806">
                  <c:v>30.0641</c:v>
                </c:pt>
                <c:pt idx="807">
                  <c:v>29.910299999999999</c:v>
                </c:pt>
                <c:pt idx="808">
                  <c:v>29.760400000000001</c:v>
                </c:pt>
                <c:pt idx="809">
                  <c:v>29.5976</c:v>
                </c:pt>
                <c:pt idx="810">
                  <c:v>29.445799999999998</c:v>
                </c:pt>
                <c:pt idx="811">
                  <c:v>29.293099999999999</c:v>
                </c:pt>
                <c:pt idx="812">
                  <c:v>29.137499999999999</c:v>
                </c:pt>
                <c:pt idx="813">
                  <c:v>28.982600000000001</c:v>
                </c:pt>
                <c:pt idx="814">
                  <c:v>28.831299999999999</c:v>
                </c:pt>
                <c:pt idx="815">
                  <c:v>28.677700000000002</c:v>
                </c:pt>
                <c:pt idx="816">
                  <c:v>28.515000000000001</c:v>
                </c:pt>
                <c:pt idx="817">
                  <c:v>28.367100000000001</c:v>
                </c:pt>
                <c:pt idx="818">
                  <c:v>28.215399999999999</c:v>
                </c:pt>
                <c:pt idx="819">
                  <c:v>28.061299999999999</c:v>
                </c:pt>
                <c:pt idx="820">
                  <c:v>27.904299999999999</c:v>
                </c:pt>
                <c:pt idx="821">
                  <c:v>27.748200000000001</c:v>
                </c:pt>
                <c:pt idx="822">
                  <c:v>27.587700000000002</c:v>
                </c:pt>
                <c:pt idx="823">
                  <c:v>27.442699999999999</c:v>
                </c:pt>
                <c:pt idx="824">
                  <c:v>27.284500000000001</c:v>
                </c:pt>
                <c:pt idx="825">
                  <c:v>27.1372</c:v>
                </c:pt>
                <c:pt idx="826">
                  <c:v>26.9817</c:v>
                </c:pt>
                <c:pt idx="827">
                  <c:v>26.8262</c:v>
                </c:pt>
                <c:pt idx="828">
                  <c:v>26.667899999999999</c:v>
                </c:pt>
                <c:pt idx="829">
                  <c:v>26.510999999999999</c:v>
                </c:pt>
                <c:pt idx="830">
                  <c:v>26.3569</c:v>
                </c:pt>
                <c:pt idx="831">
                  <c:v>26.2041</c:v>
                </c:pt>
                <c:pt idx="832">
                  <c:v>26.050599999999999</c:v>
                </c:pt>
                <c:pt idx="833">
                  <c:v>25.893599999999999</c:v>
                </c:pt>
                <c:pt idx="834">
                  <c:v>25.742799999999999</c:v>
                </c:pt>
                <c:pt idx="835">
                  <c:v>25.588100000000001</c:v>
                </c:pt>
                <c:pt idx="836">
                  <c:v>25.4376</c:v>
                </c:pt>
                <c:pt idx="837">
                  <c:v>25.273900000000001</c:v>
                </c:pt>
                <c:pt idx="838">
                  <c:v>25.1251</c:v>
                </c:pt>
                <c:pt idx="839">
                  <c:v>24.9739</c:v>
                </c:pt>
                <c:pt idx="840">
                  <c:v>24.818899999999999</c:v>
                </c:pt>
                <c:pt idx="841">
                  <c:v>24.657800000000002</c:v>
                </c:pt>
                <c:pt idx="842">
                  <c:v>24.5076</c:v>
                </c:pt>
                <c:pt idx="843">
                  <c:v>24.352399999999999</c:v>
                </c:pt>
                <c:pt idx="844">
                  <c:v>24.195599999999999</c:v>
                </c:pt>
                <c:pt idx="845">
                  <c:v>24.041799999999999</c:v>
                </c:pt>
                <c:pt idx="846">
                  <c:v>23.891500000000001</c:v>
                </c:pt>
                <c:pt idx="847">
                  <c:v>23.732399999999998</c:v>
                </c:pt>
                <c:pt idx="848">
                  <c:v>23.578499999999998</c:v>
                </c:pt>
                <c:pt idx="849">
                  <c:v>23.4239</c:v>
                </c:pt>
                <c:pt idx="850">
                  <c:v>23.270299999999999</c:v>
                </c:pt>
                <c:pt idx="851">
                  <c:v>23.1159</c:v>
                </c:pt>
                <c:pt idx="852">
                  <c:v>22.961500000000001</c:v>
                </c:pt>
                <c:pt idx="853">
                  <c:v>22.806999999999999</c:v>
                </c:pt>
                <c:pt idx="854">
                  <c:v>22.650700000000001</c:v>
                </c:pt>
                <c:pt idx="855">
                  <c:v>22.497299999999999</c:v>
                </c:pt>
                <c:pt idx="856">
                  <c:v>22.3445</c:v>
                </c:pt>
                <c:pt idx="857">
                  <c:v>22.1907</c:v>
                </c:pt>
                <c:pt idx="858">
                  <c:v>22.037199999999999</c:v>
                </c:pt>
                <c:pt idx="859">
                  <c:v>21.879100000000001</c:v>
                </c:pt>
                <c:pt idx="860">
                  <c:v>21.7319</c:v>
                </c:pt>
                <c:pt idx="861">
                  <c:v>21.572900000000001</c:v>
                </c:pt>
                <c:pt idx="862">
                  <c:v>21.417300000000001</c:v>
                </c:pt>
                <c:pt idx="863">
                  <c:v>21.2684</c:v>
                </c:pt>
                <c:pt idx="864">
                  <c:v>21.111999999999998</c:v>
                </c:pt>
                <c:pt idx="865">
                  <c:v>20.959700000000002</c:v>
                </c:pt>
                <c:pt idx="866">
                  <c:v>20.803000000000001</c:v>
                </c:pt>
                <c:pt idx="867">
                  <c:v>20.645600000000002</c:v>
                </c:pt>
                <c:pt idx="868">
                  <c:v>20.4908</c:v>
                </c:pt>
                <c:pt idx="869">
                  <c:v>20.342300000000002</c:v>
                </c:pt>
                <c:pt idx="870">
                  <c:v>20.181100000000001</c:v>
                </c:pt>
                <c:pt idx="871">
                  <c:v>20.028199999999998</c:v>
                </c:pt>
                <c:pt idx="872">
                  <c:v>19.8751</c:v>
                </c:pt>
                <c:pt idx="873">
                  <c:v>19.720800000000001</c:v>
                </c:pt>
                <c:pt idx="874">
                  <c:v>19.564699999999998</c:v>
                </c:pt>
                <c:pt idx="875">
                  <c:v>19.411999999999999</c:v>
                </c:pt>
                <c:pt idx="876">
                  <c:v>19.257999999999999</c:v>
                </c:pt>
                <c:pt idx="877">
                  <c:v>19.1008</c:v>
                </c:pt>
                <c:pt idx="878">
                  <c:v>18.9482</c:v>
                </c:pt>
                <c:pt idx="879">
                  <c:v>18.7974</c:v>
                </c:pt>
                <c:pt idx="880">
                  <c:v>18.6404</c:v>
                </c:pt>
                <c:pt idx="881">
                  <c:v>18.482700000000001</c:v>
                </c:pt>
                <c:pt idx="882">
                  <c:v>18.3307</c:v>
                </c:pt>
                <c:pt idx="883">
                  <c:v>18.177399999999999</c:v>
                </c:pt>
                <c:pt idx="884">
                  <c:v>18.017399999999999</c:v>
                </c:pt>
                <c:pt idx="885">
                  <c:v>17.8626</c:v>
                </c:pt>
                <c:pt idx="886">
                  <c:v>17.712800000000001</c:v>
                </c:pt>
                <c:pt idx="887">
                  <c:v>17.553599999999999</c:v>
                </c:pt>
                <c:pt idx="888">
                  <c:v>17.401900000000001</c:v>
                </c:pt>
                <c:pt idx="889">
                  <c:v>17.2517</c:v>
                </c:pt>
                <c:pt idx="890">
                  <c:v>17.0962</c:v>
                </c:pt>
                <c:pt idx="891">
                  <c:v>16.941400000000002</c:v>
                </c:pt>
                <c:pt idx="892">
                  <c:v>16.785699999999999</c:v>
                </c:pt>
                <c:pt idx="893">
                  <c:v>16.630400000000002</c:v>
                </c:pt>
                <c:pt idx="894">
                  <c:v>16.475300000000001</c:v>
                </c:pt>
                <c:pt idx="895">
                  <c:v>16.324300000000001</c:v>
                </c:pt>
                <c:pt idx="896">
                  <c:v>16.172899999999998</c:v>
                </c:pt>
                <c:pt idx="897">
                  <c:v>16.016400000000001</c:v>
                </c:pt>
                <c:pt idx="898">
                  <c:v>15.86</c:v>
                </c:pt>
                <c:pt idx="899">
                  <c:v>15.7057</c:v>
                </c:pt>
                <c:pt idx="900">
                  <c:v>15.545500000000001</c:v>
                </c:pt>
                <c:pt idx="901">
                  <c:v>15.4011</c:v>
                </c:pt>
                <c:pt idx="902">
                  <c:v>15.2438</c:v>
                </c:pt>
                <c:pt idx="903">
                  <c:v>15.0829</c:v>
                </c:pt>
                <c:pt idx="904">
                  <c:v>14.9331</c:v>
                </c:pt>
                <c:pt idx="905">
                  <c:v>14.7814</c:v>
                </c:pt>
                <c:pt idx="906">
                  <c:v>14.6234</c:v>
                </c:pt>
                <c:pt idx="907">
                  <c:v>14.467599999999999</c:v>
                </c:pt>
                <c:pt idx="908">
                  <c:v>14.318</c:v>
                </c:pt>
                <c:pt idx="909">
                  <c:v>14.1609</c:v>
                </c:pt>
                <c:pt idx="910">
                  <c:v>14.0022</c:v>
                </c:pt>
                <c:pt idx="911">
                  <c:v>13.852</c:v>
                </c:pt>
                <c:pt idx="912">
                  <c:v>13.698499999999999</c:v>
                </c:pt>
                <c:pt idx="913">
                  <c:v>13.5419</c:v>
                </c:pt>
                <c:pt idx="914">
                  <c:v>13.3954</c:v>
                </c:pt>
                <c:pt idx="915">
                  <c:v>13.2295</c:v>
                </c:pt>
                <c:pt idx="916">
                  <c:v>13.0846</c:v>
                </c:pt>
                <c:pt idx="917">
                  <c:v>12.9207</c:v>
                </c:pt>
                <c:pt idx="918">
                  <c:v>12.771100000000001</c:v>
                </c:pt>
                <c:pt idx="919">
                  <c:v>12.6113</c:v>
                </c:pt>
                <c:pt idx="920">
                  <c:v>12.4617</c:v>
                </c:pt>
                <c:pt idx="921">
                  <c:v>12.309200000000001</c:v>
                </c:pt>
                <c:pt idx="922">
                  <c:v>12.1541</c:v>
                </c:pt>
                <c:pt idx="923">
                  <c:v>11.9976</c:v>
                </c:pt>
                <c:pt idx="924">
                  <c:v>11.842700000000001</c:v>
                </c:pt>
                <c:pt idx="925">
                  <c:v>11.690200000000001</c:v>
                </c:pt>
                <c:pt idx="926">
                  <c:v>11.5358</c:v>
                </c:pt>
                <c:pt idx="927">
                  <c:v>11.3775</c:v>
                </c:pt>
                <c:pt idx="928">
                  <c:v>11.225300000000001</c:v>
                </c:pt>
                <c:pt idx="929">
                  <c:v>11.0717</c:v>
                </c:pt>
                <c:pt idx="930">
                  <c:v>10.914199999999999</c:v>
                </c:pt>
                <c:pt idx="931">
                  <c:v>10.7661</c:v>
                </c:pt>
                <c:pt idx="932">
                  <c:v>10.6084</c:v>
                </c:pt>
                <c:pt idx="933">
                  <c:v>10.456099999999999</c:v>
                </c:pt>
                <c:pt idx="934">
                  <c:v>10.298999999999999</c:v>
                </c:pt>
                <c:pt idx="935">
                  <c:v>10.1502</c:v>
                </c:pt>
                <c:pt idx="936">
                  <c:v>9.9929000000000006</c:v>
                </c:pt>
                <c:pt idx="937">
                  <c:v>9.8359000000000005</c:v>
                </c:pt>
                <c:pt idx="938">
                  <c:v>9.6806999999999999</c:v>
                </c:pt>
                <c:pt idx="939">
                  <c:v>9.5282999999999998</c:v>
                </c:pt>
                <c:pt idx="940">
                  <c:v>9.3728999999999996</c:v>
                </c:pt>
                <c:pt idx="941">
                  <c:v>9.2144999999999992</c:v>
                </c:pt>
                <c:pt idx="942">
                  <c:v>9.0667000000000009</c:v>
                </c:pt>
                <c:pt idx="943">
                  <c:v>8.9107000000000003</c:v>
                </c:pt>
                <c:pt idx="944">
                  <c:v>8.7530999999999999</c:v>
                </c:pt>
                <c:pt idx="945">
                  <c:v>8.6043000000000003</c:v>
                </c:pt>
                <c:pt idx="946">
                  <c:v>8.4422999999999995</c:v>
                </c:pt>
                <c:pt idx="947">
                  <c:v>8.2891999999999992</c:v>
                </c:pt>
                <c:pt idx="948">
                  <c:v>8.1340000000000003</c:v>
                </c:pt>
                <c:pt idx="949">
                  <c:v>7.9863999999999997</c:v>
                </c:pt>
                <c:pt idx="950">
                  <c:v>7.8292999999999999</c:v>
                </c:pt>
                <c:pt idx="951">
                  <c:v>7.6756000000000002</c:v>
                </c:pt>
                <c:pt idx="952">
                  <c:v>7.5172999999999996</c:v>
                </c:pt>
                <c:pt idx="953">
                  <c:v>7.3655999999999997</c:v>
                </c:pt>
                <c:pt idx="954">
                  <c:v>7.2149999999999999</c:v>
                </c:pt>
                <c:pt idx="955">
                  <c:v>7.0559000000000003</c:v>
                </c:pt>
                <c:pt idx="956">
                  <c:v>6.9032</c:v>
                </c:pt>
                <c:pt idx="957">
                  <c:v>6.7495000000000003</c:v>
                </c:pt>
                <c:pt idx="958">
                  <c:v>6.5919999999999996</c:v>
                </c:pt>
                <c:pt idx="959">
                  <c:v>6.4394999999999998</c:v>
                </c:pt>
                <c:pt idx="960">
                  <c:v>6.2869000000000002</c:v>
                </c:pt>
                <c:pt idx="961">
                  <c:v>6.1289999999999996</c:v>
                </c:pt>
                <c:pt idx="962">
                  <c:v>5.9747000000000003</c:v>
                </c:pt>
                <c:pt idx="963">
                  <c:v>5.8183999999999996</c:v>
                </c:pt>
                <c:pt idx="964">
                  <c:v>5.6620999999999997</c:v>
                </c:pt>
                <c:pt idx="965">
                  <c:v>5.5121000000000002</c:v>
                </c:pt>
                <c:pt idx="966">
                  <c:v>5.3541999999999996</c:v>
                </c:pt>
                <c:pt idx="967">
                  <c:v>5.2004999999999999</c:v>
                </c:pt>
                <c:pt idx="968">
                  <c:v>5.0492999999999997</c:v>
                </c:pt>
                <c:pt idx="969">
                  <c:v>4.8944999999999999</c:v>
                </c:pt>
                <c:pt idx="970">
                  <c:v>4.7385000000000002</c:v>
                </c:pt>
                <c:pt idx="971">
                  <c:v>4.5879000000000003</c:v>
                </c:pt>
                <c:pt idx="972">
                  <c:v>4.4298000000000002</c:v>
                </c:pt>
                <c:pt idx="973">
                  <c:v>4.2759</c:v>
                </c:pt>
                <c:pt idx="974">
                  <c:v>4.1181999999999999</c:v>
                </c:pt>
                <c:pt idx="975">
                  <c:v>3.9683000000000002</c:v>
                </c:pt>
                <c:pt idx="976">
                  <c:v>3.8077000000000001</c:v>
                </c:pt>
                <c:pt idx="977">
                  <c:v>3.6564000000000001</c:v>
                </c:pt>
                <c:pt idx="978">
                  <c:v>3.5032000000000001</c:v>
                </c:pt>
                <c:pt idx="979">
                  <c:v>3.3500999999999999</c:v>
                </c:pt>
                <c:pt idx="980">
                  <c:v>3.1947999999999999</c:v>
                </c:pt>
                <c:pt idx="981">
                  <c:v>3.0364</c:v>
                </c:pt>
                <c:pt idx="982">
                  <c:v>2.8847999999999998</c:v>
                </c:pt>
                <c:pt idx="983">
                  <c:v>2.7404999999999999</c:v>
                </c:pt>
                <c:pt idx="984">
                  <c:v>2.5775999999999999</c:v>
                </c:pt>
                <c:pt idx="985">
                  <c:v>2.4201999999999999</c:v>
                </c:pt>
                <c:pt idx="986">
                  <c:v>2.2719</c:v>
                </c:pt>
                <c:pt idx="987">
                  <c:v>2.1131000000000002</c:v>
                </c:pt>
                <c:pt idx="988">
                  <c:v>1.9589000000000001</c:v>
                </c:pt>
                <c:pt idx="989">
                  <c:v>1.8053999999999999</c:v>
                </c:pt>
                <c:pt idx="990">
                  <c:v>1.6545000000000001</c:v>
                </c:pt>
                <c:pt idx="991">
                  <c:v>1.4974000000000001</c:v>
                </c:pt>
                <c:pt idx="992">
                  <c:v>1.3415999999999999</c:v>
                </c:pt>
                <c:pt idx="993">
                  <c:v>1.1865000000000001</c:v>
                </c:pt>
                <c:pt idx="994">
                  <c:v>1.0285</c:v>
                </c:pt>
                <c:pt idx="995">
                  <c:v>0.88160000000000005</c:v>
                </c:pt>
                <c:pt idx="996">
                  <c:v>0.72370000000000001</c:v>
                </c:pt>
                <c:pt idx="997">
                  <c:v>0.56869999999999998</c:v>
                </c:pt>
                <c:pt idx="998">
                  <c:v>0.41610000000000003</c:v>
                </c:pt>
                <c:pt idx="999">
                  <c:v>0.2651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07-A74C-AB3A-5E5831B6A0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334047"/>
        <c:axId val="227054975"/>
      </c:scatterChart>
      <c:valAx>
        <c:axId val="2273340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227054975"/>
        <c:crosses val="autoZero"/>
        <c:crossBetween val="midCat"/>
      </c:valAx>
      <c:valAx>
        <c:axId val="227054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2273340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SS curve A - elastic</a:t>
            </a:r>
            <a:r>
              <a:rPr lang="en-US" baseline="0"/>
              <a:t> 1-10 mN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'curves processed'!$AI$2:$AI$1439</c:f>
              <c:numCache>
                <c:formatCode>General</c:formatCode>
                <c:ptCount val="1438"/>
                <c:pt idx="0">
                  <c:v>1.9648138973876728E-2</c:v>
                </c:pt>
                <c:pt idx="1">
                  <c:v>2.9026344146438593E-2</c:v>
                </c:pt>
                <c:pt idx="2">
                  <c:v>3.0580904181083605E-2</c:v>
                </c:pt>
                <c:pt idx="3">
                  <c:v>3.0824194693498865E-2</c:v>
                </c:pt>
                <c:pt idx="4">
                  <c:v>3.4423571660059472E-2</c:v>
                </c:pt>
                <c:pt idx="5">
                  <c:v>3.4402387923653285E-2</c:v>
                </c:pt>
                <c:pt idx="6">
                  <c:v>4.0741358320626316E-2</c:v>
                </c:pt>
                <c:pt idx="7">
                  <c:v>3.6563963407446436E-2</c:v>
                </c:pt>
                <c:pt idx="8">
                  <c:v>4.6489713410342262E-2</c:v>
                </c:pt>
                <c:pt idx="9">
                  <c:v>4.2267891145514179E-2</c:v>
                </c:pt>
                <c:pt idx="10">
                  <c:v>5.0748864173091025E-2</c:v>
                </c:pt>
                <c:pt idx="11">
                  <c:v>3.7536590687029275E-2</c:v>
                </c:pt>
                <c:pt idx="12">
                  <c:v>4.7311731918580152E-2</c:v>
                </c:pt>
                <c:pt idx="13">
                  <c:v>4.8858863383634571E-2</c:v>
                </c:pt>
                <c:pt idx="14">
                  <c:v>4.6530280350490914E-2</c:v>
                </c:pt>
                <c:pt idx="15">
                  <c:v>4.6176336676142953E-2</c:v>
                </c:pt>
                <c:pt idx="16">
                  <c:v>5.7238625920019798E-2</c:v>
                </c:pt>
                <c:pt idx="17">
                  <c:v>5.8495807582193603E-2</c:v>
                </c:pt>
                <c:pt idx="18">
                  <c:v>5.8771902963464712E-2</c:v>
                </c:pt>
                <c:pt idx="19">
                  <c:v>5.5501389384218974E-2</c:v>
                </c:pt>
                <c:pt idx="20">
                  <c:v>5.2546324771078685E-2</c:v>
                </c:pt>
                <c:pt idx="21">
                  <c:v>5.713753162697352E-2</c:v>
                </c:pt>
                <c:pt idx="22">
                  <c:v>5.3155956533018606E-2</c:v>
                </c:pt>
                <c:pt idx="23">
                  <c:v>4.9841734525508462E-2</c:v>
                </c:pt>
                <c:pt idx="24">
                  <c:v>5.9221638053237262E-2</c:v>
                </c:pt>
                <c:pt idx="25">
                  <c:v>4.5804552670079317E-2</c:v>
                </c:pt>
                <c:pt idx="26">
                  <c:v>5.4328357994107471E-2</c:v>
                </c:pt>
                <c:pt idx="27">
                  <c:v>6.1340732376186244E-2</c:v>
                </c:pt>
                <c:pt idx="28">
                  <c:v>7.3201164361777954E-2</c:v>
                </c:pt>
                <c:pt idx="29">
                  <c:v>6.2239982322772107E-2</c:v>
                </c:pt>
                <c:pt idx="30">
                  <c:v>6.303079950917069E-2</c:v>
                </c:pt>
                <c:pt idx="31">
                  <c:v>4.9283548541865625E-2</c:v>
                </c:pt>
                <c:pt idx="32">
                  <c:v>5.6836862841447129E-2</c:v>
                </c:pt>
                <c:pt idx="33">
                  <c:v>7.0050111156760075E-2</c:v>
                </c:pt>
                <c:pt idx="34">
                  <c:v>6.6451292568827272E-2</c:v>
                </c:pt>
                <c:pt idx="35">
                  <c:v>7.4978585037687118E-2</c:v>
                </c:pt>
                <c:pt idx="36">
                  <c:v>6.3578613793482328E-2</c:v>
                </c:pt>
                <c:pt idx="37">
                  <c:v>6.5983415991133915E-2</c:v>
                </c:pt>
                <c:pt idx="38">
                  <c:v>6.691503087887192E-2</c:v>
                </c:pt>
                <c:pt idx="39">
                  <c:v>6.4561712917947378E-2</c:v>
                </c:pt>
                <c:pt idx="40">
                  <c:v>7.5327317593449322E-2</c:v>
                </c:pt>
                <c:pt idx="41">
                  <c:v>6.6228707500394668E-2</c:v>
                </c:pt>
                <c:pt idx="42">
                  <c:v>6.9487011964778939E-2</c:v>
                </c:pt>
                <c:pt idx="43">
                  <c:v>6.4522440174270349E-2</c:v>
                </c:pt>
                <c:pt idx="44">
                  <c:v>6.3718386394268439E-2</c:v>
                </c:pt>
                <c:pt idx="45">
                  <c:v>8.499115010637058E-2</c:v>
                </c:pt>
                <c:pt idx="46">
                  <c:v>5.6116532499091043E-2</c:v>
                </c:pt>
                <c:pt idx="47">
                  <c:v>7.6591587214070389E-2</c:v>
                </c:pt>
                <c:pt idx="48">
                  <c:v>6.3790598990325728E-2</c:v>
                </c:pt>
                <c:pt idx="49">
                  <c:v>7.584681331079679E-2</c:v>
                </c:pt>
                <c:pt idx="50">
                  <c:v>8.420752564857481E-2</c:v>
                </c:pt>
                <c:pt idx="51">
                  <c:v>7.5381353800965611E-2</c:v>
                </c:pt>
                <c:pt idx="52">
                  <c:v>7.9932939811719367E-2</c:v>
                </c:pt>
                <c:pt idx="53">
                  <c:v>8.6038998215357904E-2</c:v>
                </c:pt>
                <c:pt idx="54">
                  <c:v>8.0083448609672633E-2</c:v>
                </c:pt>
                <c:pt idx="55">
                  <c:v>7.4842745972682437E-2</c:v>
                </c:pt>
                <c:pt idx="56">
                  <c:v>8.6342368648021597E-2</c:v>
                </c:pt>
                <c:pt idx="57">
                  <c:v>8.7236224253737185E-2</c:v>
                </c:pt>
                <c:pt idx="58">
                  <c:v>8.215806063992169E-2</c:v>
                </c:pt>
                <c:pt idx="59">
                  <c:v>7.6059701191750456E-2</c:v>
                </c:pt>
                <c:pt idx="60">
                  <c:v>8.0400577438426032E-2</c:v>
                </c:pt>
                <c:pt idx="61">
                  <c:v>8.120432289039671E-2</c:v>
                </c:pt>
                <c:pt idx="62">
                  <c:v>7.6443872904319532E-2</c:v>
                </c:pt>
                <c:pt idx="63">
                  <c:v>7.1999283297360078E-2</c:v>
                </c:pt>
                <c:pt idx="64">
                  <c:v>7.8559966271913154E-2</c:v>
                </c:pt>
                <c:pt idx="65">
                  <c:v>6.5020948098434464E-2</c:v>
                </c:pt>
                <c:pt idx="66">
                  <c:v>8.0539376232866167E-2</c:v>
                </c:pt>
                <c:pt idx="67">
                  <c:v>8.6811878123964806E-2</c:v>
                </c:pt>
                <c:pt idx="68">
                  <c:v>7.5422491204614694E-2</c:v>
                </c:pt>
                <c:pt idx="69">
                  <c:v>8.2480488024359921E-2</c:v>
                </c:pt>
                <c:pt idx="70">
                  <c:v>9.8261392267903411E-2</c:v>
                </c:pt>
                <c:pt idx="71">
                  <c:v>8.5789466423836461E-2</c:v>
                </c:pt>
                <c:pt idx="72">
                  <c:v>7.3150580141895044E-2</c:v>
                </c:pt>
                <c:pt idx="73">
                  <c:v>9.5873572930777889E-2</c:v>
                </c:pt>
                <c:pt idx="74">
                  <c:v>8.857757687983818E-2</c:v>
                </c:pt>
                <c:pt idx="75">
                  <c:v>8.722930766046906E-2</c:v>
                </c:pt>
                <c:pt idx="76">
                  <c:v>0.10267068631095666</c:v>
                </c:pt>
                <c:pt idx="77">
                  <c:v>9.8059062965282537E-2</c:v>
                </c:pt>
                <c:pt idx="78">
                  <c:v>8.5729018501199794E-2</c:v>
                </c:pt>
                <c:pt idx="79">
                  <c:v>8.8535557156460665E-2</c:v>
                </c:pt>
                <c:pt idx="80">
                  <c:v>9.9593467560492074E-2</c:v>
                </c:pt>
                <c:pt idx="81">
                  <c:v>9.8912501320464474E-2</c:v>
                </c:pt>
                <c:pt idx="82">
                  <c:v>8.5283230567039653E-2</c:v>
                </c:pt>
                <c:pt idx="83">
                  <c:v>9.1602468966496403E-2</c:v>
                </c:pt>
                <c:pt idx="84">
                  <c:v>9.4420885550679082E-2</c:v>
                </c:pt>
                <c:pt idx="85">
                  <c:v>8.819565503765428E-2</c:v>
                </c:pt>
                <c:pt idx="86">
                  <c:v>8.251162503313958E-2</c:v>
                </c:pt>
                <c:pt idx="87">
                  <c:v>9.4738254241961792E-2</c:v>
                </c:pt>
                <c:pt idx="88">
                  <c:v>0.11134233780754325</c:v>
                </c:pt>
                <c:pt idx="89">
                  <c:v>8.1874203876456775E-2</c:v>
                </c:pt>
                <c:pt idx="90">
                  <c:v>8.8931342931892851E-2</c:v>
                </c:pt>
                <c:pt idx="91">
                  <c:v>9.6999214070450979E-2</c:v>
                </c:pt>
                <c:pt idx="92">
                  <c:v>8.1875141209926075E-2</c:v>
                </c:pt>
                <c:pt idx="93">
                  <c:v>0.10267399802287193</c:v>
                </c:pt>
                <c:pt idx="94">
                  <c:v>0.10031680971331938</c:v>
                </c:pt>
                <c:pt idx="95">
                  <c:v>0.10757572096761425</c:v>
                </c:pt>
                <c:pt idx="96">
                  <c:v>8.4099433532576068E-2</c:v>
                </c:pt>
                <c:pt idx="97">
                  <c:v>9.1011608263633026E-2</c:v>
                </c:pt>
                <c:pt idx="98">
                  <c:v>9.516293964056384E-2</c:v>
                </c:pt>
                <c:pt idx="99">
                  <c:v>0.10541948824252842</c:v>
                </c:pt>
                <c:pt idx="100">
                  <c:v>9.1775314367758279E-2</c:v>
                </c:pt>
                <c:pt idx="101">
                  <c:v>9.9785297415402888E-2</c:v>
                </c:pt>
                <c:pt idx="102">
                  <c:v>0.10153804521940793</c:v>
                </c:pt>
                <c:pt idx="103">
                  <c:v>0.10188577825098126</c:v>
                </c:pt>
                <c:pt idx="104">
                  <c:v>0.11416268611569468</c:v>
                </c:pt>
                <c:pt idx="105">
                  <c:v>0.12070539561909747</c:v>
                </c:pt>
                <c:pt idx="106">
                  <c:v>0.10380426796723154</c:v>
                </c:pt>
                <c:pt idx="107">
                  <c:v>9.250464993638767E-2</c:v>
                </c:pt>
                <c:pt idx="108">
                  <c:v>0.1131951137894459</c:v>
                </c:pt>
                <c:pt idx="109">
                  <c:v>7.6728357905524083E-2</c:v>
                </c:pt>
                <c:pt idx="110">
                  <c:v>0.10147388019572477</c:v>
                </c:pt>
                <c:pt idx="111">
                  <c:v>9.861029297081654E-2</c:v>
                </c:pt>
                <c:pt idx="112">
                  <c:v>0.11500226820192669</c:v>
                </c:pt>
                <c:pt idx="113">
                  <c:v>9.9987235837218913E-2</c:v>
                </c:pt>
                <c:pt idx="114">
                  <c:v>0.10874186035947815</c:v>
                </c:pt>
                <c:pt idx="115">
                  <c:v>0.10666974177626261</c:v>
                </c:pt>
                <c:pt idx="116">
                  <c:v>0.10123291196093334</c:v>
                </c:pt>
                <c:pt idx="117">
                  <c:v>0.10834518274657039</c:v>
                </c:pt>
                <c:pt idx="118">
                  <c:v>0.11397253686271529</c:v>
                </c:pt>
                <c:pt idx="119">
                  <c:v>0.11114270803644212</c:v>
                </c:pt>
                <c:pt idx="120">
                  <c:v>0.11785561466216866</c:v>
                </c:pt>
                <c:pt idx="121">
                  <c:v>0.11521554446129166</c:v>
                </c:pt>
                <c:pt idx="122">
                  <c:v>0.12360731504618165</c:v>
                </c:pt>
                <c:pt idx="123">
                  <c:v>0.10171666218644561</c:v>
                </c:pt>
                <c:pt idx="124">
                  <c:v>0.12827326978405593</c:v>
                </c:pt>
                <c:pt idx="125">
                  <c:v>0.119355223408593</c:v>
                </c:pt>
                <c:pt idx="126">
                  <c:v>0.10373085351687025</c:v>
                </c:pt>
                <c:pt idx="127">
                  <c:v>0.11004490547007106</c:v>
                </c:pt>
                <c:pt idx="128">
                  <c:v>0.13324327216073073</c:v>
                </c:pt>
                <c:pt idx="129">
                  <c:v>0.10932962263872865</c:v>
                </c:pt>
                <c:pt idx="130">
                  <c:v>0.11728086792154527</c:v>
                </c:pt>
                <c:pt idx="131">
                  <c:v>0.12522847252428737</c:v>
                </c:pt>
                <c:pt idx="132">
                  <c:v>0.11951478921528901</c:v>
                </c:pt>
                <c:pt idx="133">
                  <c:v>0.11843807940253867</c:v>
                </c:pt>
                <c:pt idx="134">
                  <c:v>0.13444267968427248</c:v>
                </c:pt>
                <c:pt idx="135">
                  <c:v>0.12516222575694952</c:v>
                </c:pt>
                <c:pt idx="136">
                  <c:v>0.12174871050903271</c:v>
                </c:pt>
                <c:pt idx="137">
                  <c:v>0.11651055023404747</c:v>
                </c:pt>
                <c:pt idx="138">
                  <c:v>0.10899374054152826</c:v>
                </c:pt>
                <c:pt idx="139">
                  <c:v>0.10490838075619546</c:v>
                </c:pt>
                <c:pt idx="140">
                  <c:v>0.11761500144838728</c:v>
                </c:pt>
                <c:pt idx="141">
                  <c:v>0.1250995924496483</c:v>
                </c:pt>
                <c:pt idx="142">
                  <c:v>0.12286567115590458</c:v>
                </c:pt>
                <c:pt idx="143">
                  <c:v>0.12179727401541847</c:v>
                </c:pt>
                <c:pt idx="144">
                  <c:v>0.12969154177567707</c:v>
                </c:pt>
                <c:pt idx="145">
                  <c:v>0.11387550009571645</c:v>
                </c:pt>
                <c:pt idx="146">
                  <c:v>0.13852502140126496</c:v>
                </c:pt>
                <c:pt idx="147">
                  <c:v>0.11677315853660353</c:v>
                </c:pt>
                <c:pt idx="148">
                  <c:v>0.11778857730648705</c:v>
                </c:pt>
                <c:pt idx="149">
                  <c:v>0.11687222378244584</c:v>
                </c:pt>
                <c:pt idx="150">
                  <c:v>0.12286567115590458</c:v>
                </c:pt>
                <c:pt idx="151">
                  <c:v>0.11692055803545759</c:v>
                </c:pt>
                <c:pt idx="152">
                  <c:v>0.13301054308620863</c:v>
                </c:pt>
                <c:pt idx="153">
                  <c:v>0.12494814015854704</c:v>
                </c:pt>
                <c:pt idx="154">
                  <c:v>0.12596312505059126</c:v>
                </c:pt>
                <c:pt idx="155">
                  <c:v>0.13383582036625322</c:v>
                </c:pt>
                <c:pt idx="156">
                  <c:v>0.14257054294505908</c:v>
                </c:pt>
                <c:pt idx="157">
                  <c:v>0.12089982041741011</c:v>
                </c:pt>
                <c:pt idx="158">
                  <c:v>0.11285439424690497</c:v>
                </c:pt>
                <c:pt idx="159">
                  <c:v>0.13591335304856703</c:v>
                </c:pt>
                <c:pt idx="160">
                  <c:v>0.12588695815154158</c:v>
                </c:pt>
                <c:pt idx="161">
                  <c:v>0.11814006841913903</c:v>
                </c:pt>
                <c:pt idx="162">
                  <c:v>0.10979485507548919</c:v>
                </c:pt>
                <c:pt idx="163">
                  <c:v>0.13946914023102683</c:v>
                </c:pt>
                <c:pt idx="164">
                  <c:v>0.11389737399124002</c:v>
                </c:pt>
                <c:pt idx="165">
                  <c:v>0.10081285838433197</c:v>
                </c:pt>
                <c:pt idx="166">
                  <c:v>0.12997360254508916</c:v>
                </c:pt>
                <c:pt idx="167">
                  <c:v>0.13903220683431308</c:v>
                </c:pt>
                <c:pt idx="168">
                  <c:v>0.12007326953872494</c:v>
                </c:pt>
                <c:pt idx="169">
                  <c:v>0.12778029800214077</c:v>
                </c:pt>
                <c:pt idx="170">
                  <c:v>0.14118774492476757</c:v>
                </c:pt>
                <c:pt idx="171">
                  <c:v>0.14370895465556696</c:v>
                </c:pt>
                <c:pt idx="172">
                  <c:v>0.12766511143543213</c:v>
                </c:pt>
                <c:pt idx="173">
                  <c:v>0.11759999953493724</c:v>
                </c:pt>
                <c:pt idx="174">
                  <c:v>0.13708153393427372</c:v>
                </c:pt>
                <c:pt idx="175">
                  <c:v>0.15501743557053382</c:v>
                </c:pt>
                <c:pt idx="176">
                  <c:v>0.11367164134151717</c:v>
                </c:pt>
                <c:pt idx="177">
                  <c:v>0.13150466365905411</c:v>
                </c:pt>
                <c:pt idx="178">
                  <c:v>0.13150466365905411</c:v>
                </c:pt>
                <c:pt idx="179">
                  <c:v>0.12653330313070768</c:v>
                </c:pt>
                <c:pt idx="180">
                  <c:v>0.1485072025275716</c:v>
                </c:pt>
                <c:pt idx="181">
                  <c:v>0.1472269680230236</c:v>
                </c:pt>
                <c:pt idx="182">
                  <c:v>0.13772845395702207</c:v>
                </c:pt>
                <c:pt idx="183">
                  <c:v>0.15088766633181266</c:v>
                </c:pt>
                <c:pt idx="184">
                  <c:v>0.12928402711181006</c:v>
                </c:pt>
                <c:pt idx="185">
                  <c:v>0.12286567115590459</c:v>
                </c:pt>
                <c:pt idx="186">
                  <c:v>0.11947627333091412</c:v>
                </c:pt>
                <c:pt idx="187">
                  <c:v>0.12824664945470332</c:v>
                </c:pt>
                <c:pt idx="188">
                  <c:v>0.11341446568237346</c:v>
                </c:pt>
                <c:pt idx="189">
                  <c:v>0.13295165908661316</c:v>
                </c:pt>
                <c:pt idx="190">
                  <c:v>0.1472357216331088</c:v>
                </c:pt>
                <c:pt idx="191">
                  <c:v>0.13798759991355442</c:v>
                </c:pt>
                <c:pt idx="192">
                  <c:v>0.1401436561622037</c:v>
                </c:pt>
                <c:pt idx="193">
                  <c:v>0.132803335734691</c:v>
                </c:pt>
                <c:pt idx="194">
                  <c:v>0.15950981869363051</c:v>
                </c:pt>
                <c:pt idx="195">
                  <c:v>0.13672270173739756</c:v>
                </c:pt>
                <c:pt idx="196">
                  <c:v>0.12896538532676508</c:v>
                </c:pt>
                <c:pt idx="197">
                  <c:v>0.13170492807359555</c:v>
                </c:pt>
                <c:pt idx="198">
                  <c:v>0.13857030581492996</c:v>
                </c:pt>
                <c:pt idx="199">
                  <c:v>0.14286705948360995</c:v>
                </c:pt>
                <c:pt idx="200">
                  <c:v>0.15857022516702213</c:v>
                </c:pt>
                <c:pt idx="201">
                  <c:v>0.11116417866486607</c:v>
                </c:pt>
                <c:pt idx="202">
                  <c:v>0.15408563677748691</c:v>
                </c:pt>
                <c:pt idx="203">
                  <c:v>0.15259123675813957</c:v>
                </c:pt>
                <c:pt idx="204">
                  <c:v>0.14003072815562653</c:v>
                </c:pt>
                <c:pt idx="205">
                  <c:v>0.15114427800924771</c:v>
                </c:pt>
                <c:pt idx="206">
                  <c:v>0.13990543576876727</c:v>
                </c:pt>
                <c:pt idx="207">
                  <c:v>0.15333635760256892</c:v>
                </c:pt>
                <c:pt idx="208">
                  <c:v>0.13978195921360159</c:v>
                </c:pt>
                <c:pt idx="209">
                  <c:v>0.1677383510563219</c:v>
                </c:pt>
                <c:pt idx="210">
                  <c:v>0.12771563185942714</c:v>
                </c:pt>
                <c:pt idx="211">
                  <c:v>0.13028708753444915</c:v>
                </c:pt>
                <c:pt idx="212">
                  <c:v>0.14688452416382577</c:v>
                </c:pt>
                <c:pt idx="213">
                  <c:v>0.12848697637218781</c:v>
                </c:pt>
                <c:pt idx="214">
                  <c:v>0.15121928757649797</c:v>
                </c:pt>
                <c:pt idx="215">
                  <c:v>0.12061812839085756</c:v>
                </c:pt>
                <c:pt idx="216">
                  <c:v>0.16082417118781009</c:v>
                </c:pt>
                <c:pt idx="217">
                  <c:v>0.15923390981805235</c:v>
                </c:pt>
                <c:pt idx="218">
                  <c:v>0.16867998921403851</c:v>
                </c:pt>
                <c:pt idx="219">
                  <c:v>0.13623880543137717</c:v>
                </c:pt>
                <c:pt idx="220">
                  <c:v>0.16516368909482257</c:v>
                </c:pt>
                <c:pt idx="221">
                  <c:v>0.15838152922440829</c:v>
                </c:pt>
                <c:pt idx="222">
                  <c:v>0.14078358153280734</c:v>
                </c:pt>
                <c:pt idx="223">
                  <c:v>0.15451288948394062</c:v>
                </c:pt>
                <c:pt idx="224">
                  <c:v>0.15107926971763083</c:v>
                </c:pt>
                <c:pt idx="225">
                  <c:v>0.14996839273441293</c:v>
                </c:pt>
                <c:pt idx="226">
                  <c:v>0.15198938580026716</c:v>
                </c:pt>
                <c:pt idx="227">
                  <c:v>0.15756818896329747</c:v>
                </c:pt>
                <c:pt idx="228">
                  <c:v>0.14137967639857513</c:v>
                </c:pt>
                <c:pt idx="229">
                  <c:v>0.15380961796553982</c:v>
                </c:pt>
                <c:pt idx="230">
                  <c:v>0.15156422208283118</c:v>
                </c:pt>
                <c:pt idx="231">
                  <c:v>0.14504975067016512</c:v>
                </c:pt>
                <c:pt idx="232">
                  <c:v>0.14919402926074127</c:v>
                </c:pt>
                <c:pt idx="233">
                  <c:v>0.15916689217924004</c:v>
                </c:pt>
                <c:pt idx="234">
                  <c:v>0.14882320731560275</c:v>
                </c:pt>
                <c:pt idx="235">
                  <c:v>0.16640075148673691</c:v>
                </c:pt>
                <c:pt idx="236">
                  <c:v>0.16350585469208839</c:v>
                </c:pt>
                <c:pt idx="237">
                  <c:v>0.14950088658131044</c:v>
                </c:pt>
                <c:pt idx="238">
                  <c:v>0.13972958680475425</c:v>
                </c:pt>
                <c:pt idx="239">
                  <c:v>0.16539609578679462</c:v>
                </c:pt>
                <c:pt idx="240">
                  <c:v>0.14334328301522201</c:v>
                </c:pt>
                <c:pt idx="241">
                  <c:v>0.14226551396999476</c:v>
                </c:pt>
                <c:pt idx="242">
                  <c:v>0.14710447703019866</c:v>
                </c:pt>
                <c:pt idx="243">
                  <c:v>0.15645484744313032</c:v>
                </c:pt>
                <c:pt idx="244">
                  <c:v>0.14307384075391522</c:v>
                </c:pt>
                <c:pt idx="245">
                  <c:v>0.15847890917210883</c:v>
                </c:pt>
                <c:pt idx="246">
                  <c:v>0.16053251924749576</c:v>
                </c:pt>
                <c:pt idx="247">
                  <c:v>0.14189003314133494</c:v>
                </c:pt>
                <c:pt idx="248">
                  <c:v>0.14842832757089142</c:v>
                </c:pt>
                <c:pt idx="249">
                  <c:v>0.1348525659028221</c:v>
                </c:pt>
                <c:pt idx="250">
                  <c:v>0.14727606939879953</c:v>
                </c:pt>
                <c:pt idx="251">
                  <c:v>0.15231977040560774</c:v>
                </c:pt>
                <c:pt idx="252">
                  <c:v>0.16813197105544836</c:v>
                </c:pt>
                <c:pt idx="253">
                  <c:v>0.1405276113845659</c:v>
                </c:pt>
                <c:pt idx="254">
                  <c:v>0.17704266001205149</c:v>
                </c:pt>
                <c:pt idx="255">
                  <c:v>0.17801010624162553</c:v>
                </c:pt>
                <c:pt idx="256">
                  <c:v>0.17351258903696448</c:v>
                </c:pt>
                <c:pt idx="257">
                  <c:v>0.17484730126032577</c:v>
                </c:pt>
                <c:pt idx="258">
                  <c:v>0.15235343223332168</c:v>
                </c:pt>
                <c:pt idx="259">
                  <c:v>0.16649188772575477</c:v>
                </c:pt>
                <c:pt idx="260">
                  <c:v>0.14499675478026006</c:v>
                </c:pt>
                <c:pt idx="261">
                  <c:v>0.1585631296674174</c:v>
                </c:pt>
                <c:pt idx="262">
                  <c:v>0.15644895460518518</c:v>
                </c:pt>
                <c:pt idx="263">
                  <c:v>0.16971373281966676</c:v>
                </c:pt>
                <c:pt idx="264">
                  <c:v>0.13948867372405638</c:v>
                </c:pt>
                <c:pt idx="265">
                  <c:v>0.18477473026546887</c:v>
                </c:pt>
                <c:pt idx="266">
                  <c:v>0.17526426620768737</c:v>
                </c:pt>
                <c:pt idx="267">
                  <c:v>0.16523314396828548</c:v>
                </c:pt>
                <c:pt idx="268">
                  <c:v>0.1770711143129213</c:v>
                </c:pt>
                <c:pt idx="269">
                  <c:v>0.183367706194797</c:v>
                </c:pt>
                <c:pt idx="270">
                  <c:v>0.17045448744868455</c:v>
                </c:pt>
                <c:pt idx="271">
                  <c:v>0.16354417038995406</c:v>
                </c:pt>
                <c:pt idx="272">
                  <c:v>0.18291280367570759</c:v>
                </c:pt>
                <c:pt idx="273">
                  <c:v>0.16409576214781885</c:v>
                </c:pt>
                <c:pt idx="274">
                  <c:v>0.16603469075122237</c:v>
                </c:pt>
                <c:pt idx="275">
                  <c:v>0.13354964256076585</c:v>
                </c:pt>
                <c:pt idx="276">
                  <c:v>0.17936594329329136</c:v>
                </c:pt>
                <c:pt idx="277">
                  <c:v>0.16686486420497851</c:v>
                </c:pt>
                <c:pt idx="278">
                  <c:v>0.164363348168826</c:v>
                </c:pt>
                <c:pt idx="279">
                  <c:v>0.14846268598005136</c:v>
                </c:pt>
                <c:pt idx="280">
                  <c:v>0.14241248247616212</c:v>
                </c:pt>
                <c:pt idx="281">
                  <c:v>0.15099154768556947</c:v>
                </c:pt>
                <c:pt idx="282">
                  <c:v>0.17251686703397559</c:v>
                </c:pt>
                <c:pt idx="283">
                  <c:v>0.16019195100073635</c:v>
                </c:pt>
                <c:pt idx="284">
                  <c:v>0.18888304670236075</c:v>
                </c:pt>
                <c:pt idx="285">
                  <c:v>0.17910699950191725</c:v>
                </c:pt>
                <c:pt idx="286">
                  <c:v>0.16487780387373002</c:v>
                </c:pt>
                <c:pt idx="287">
                  <c:v>0.16703306928384418</c:v>
                </c:pt>
                <c:pt idx="288">
                  <c:v>0.18474046957974144</c:v>
                </c:pt>
                <c:pt idx="289">
                  <c:v>0.19112437735362936</c:v>
                </c:pt>
                <c:pt idx="290">
                  <c:v>0.18256800432321035</c:v>
                </c:pt>
                <c:pt idx="291">
                  <c:v>0.176358208257795</c:v>
                </c:pt>
                <c:pt idx="292">
                  <c:v>0.18875016148588239</c:v>
                </c:pt>
                <c:pt idx="293">
                  <c:v>0.18300970598746624</c:v>
                </c:pt>
                <c:pt idx="294">
                  <c:v>0.17298193175897095</c:v>
                </c:pt>
                <c:pt idx="295">
                  <c:v>0.17970149182666315</c:v>
                </c:pt>
                <c:pt idx="296">
                  <c:v>0.17379025854289135</c:v>
                </c:pt>
                <c:pt idx="297">
                  <c:v>0.18053731271888018</c:v>
                </c:pt>
                <c:pt idx="298">
                  <c:v>0.17575486734884366</c:v>
                </c:pt>
                <c:pt idx="299">
                  <c:v>0.18909113929667584</c:v>
                </c:pt>
                <c:pt idx="300">
                  <c:v>0.19461204847322114</c:v>
                </c:pt>
                <c:pt idx="301">
                  <c:v>0.18730570847543493</c:v>
                </c:pt>
                <c:pt idx="302">
                  <c:v>0.16432341295697669</c:v>
                </c:pt>
                <c:pt idx="303">
                  <c:v>0.18058779854458457</c:v>
                </c:pt>
                <c:pt idx="304">
                  <c:v>0.18949001396579651</c:v>
                </c:pt>
                <c:pt idx="305">
                  <c:v>0.15994347724437283</c:v>
                </c:pt>
                <c:pt idx="306">
                  <c:v>0.18346833328010076</c:v>
                </c:pt>
                <c:pt idx="307">
                  <c:v>0.1399655326054377</c:v>
                </c:pt>
                <c:pt idx="308">
                  <c:v>0.18726422983072355</c:v>
                </c:pt>
                <c:pt idx="309">
                  <c:v>0.19570746191261945</c:v>
                </c:pt>
                <c:pt idx="310">
                  <c:v>0.18766468950525153</c:v>
                </c:pt>
                <c:pt idx="311">
                  <c:v>0.18850623519810017</c:v>
                </c:pt>
                <c:pt idx="312">
                  <c:v>0.1834794022594842</c:v>
                </c:pt>
                <c:pt idx="313">
                  <c:v>0.190653627655714</c:v>
                </c:pt>
                <c:pt idx="314">
                  <c:v>0.18973134253326762</c:v>
                </c:pt>
                <c:pt idx="315">
                  <c:v>0.19539054649098717</c:v>
                </c:pt>
                <c:pt idx="316">
                  <c:v>0.18350067770037695</c:v>
                </c:pt>
                <c:pt idx="317">
                  <c:v>0.18921313358009306</c:v>
                </c:pt>
                <c:pt idx="318">
                  <c:v>0.19523860074088947</c:v>
                </c:pt>
                <c:pt idx="319">
                  <c:v>0.18351090627772931</c:v>
                </c:pt>
                <c:pt idx="320">
                  <c:v>0.19343041472517411</c:v>
                </c:pt>
                <c:pt idx="321">
                  <c:v>0.20536119321772622</c:v>
                </c:pt>
                <c:pt idx="322">
                  <c:v>0.20050994945581649</c:v>
                </c:pt>
                <c:pt idx="323">
                  <c:v>0.19121478623601043</c:v>
                </c:pt>
                <c:pt idx="324">
                  <c:v>0.18010123225337565</c:v>
                </c:pt>
                <c:pt idx="325">
                  <c:v>0.19202846617744027</c:v>
                </c:pt>
                <c:pt idx="326">
                  <c:v>0.19675110854019853</c:v>
                </c:pt>
                <c:pt idx="327">
                  <c:v>0.17974792632067521</c:v>
                </c:pt>
                <c:pt idx="328">
                  <c:v>0.20306965093823118</c:v>
                </c:pt>
                <c:pt idx="329">
                  <c:v>0.21660762766744662</c:v>
                </c:pt>
                <c:pt idx="330">
                  <c:v>0.19068113900169609</c:v>
                </c:pt>
                <c:pt idx="331">
                  <c:v>0.20974925290186569</c:v>
                </c:pt>
                <c:pt idx="332">
                  <c:v>0.18902410947062245</c:v>
                </c:pt>
                <c:pt idx="333">
                  <c:v>0.18623035690926418</c:v>
                </c:pt>
                <c:pt idx="334">
                  <c:v>0.2085255404829085</c:v>
                </c:pt>
                <c:pt idx="335">
                  <c:v>0.19691054582601927</c:v>
                </c:pt>
                <c:pt idx="336">
                  <c:v>0.19904238727256543</c:v>
                </c:pt>
                <c:pt idx="337">
                  <c:v>0.19095046982191544</c:v>
                </c:pt>
                <c:pt idx="338">
                  <c:v>0.18280014489049221</c:v>
                </c:pt>
                <c:pt idx="339">
                  <c:v>0.20068059622131082</c:v>
                </c:pt>
                <c:pt idx="340">
                  <c:v>0.17103459905225352</c:v>
                </c:pt>
                <c:pt idx="341">
                  <c:v>0.21136332240805961</c:v>
                </c:pt>
                <c:pt idx="342">
                  <c:v>0.19884838884442452</c:v>
                </c:pt>
                <c:pt idx="343">
                  <c:v>0.18281819744282185</c:v>
                </c:pt>
                <c:pt idx="344">
                  <c:v>0.20231880517005621</c:v>
                </c:pt>
                <c:pt idx="345">
                  <c:v>0.20179262547459825</c:v>
                </c:pt>
                <c:pt idx="346">
                  <c:v>0.18210447689178716</c:v>
                </c:pt>
                <c:pt idx="347">
                  <c:v>0.18616010781197664</c:v>
                </c:pt>
                <c:pt idx="348">
                  <c:v>0.18844428091396409</c:v>
                </c:pt>
                <c:pt idx="349">
                  <c:v>0.19154834447286986</c:v>
                </c:pt>
                <c:pt idx="350">
                  <c:v>0.21122796890501405</c:v>
                </c:pt>
                <c:pt idx="351">
                  <c:v>0.18879359226395095</c:v>
                </c:pt>
                <c:pt idx="352">
                  <c:v>0.20586102518174743</c:v>
                </c:pt>
                <c:pt idx="353">
                  <c:v>0.18072683024676661</c:v>
                </c:pt>
                <c:pt idx="354">
                  <c:v>0.21229850662312763</c:v>
                </c:pt>
                <c:pt idx="355">
                  <c:v>0.18429850673385689</c:v>
                </c:pt>
                <c:pt idx="356">
                  <c:v>0.21313432751534467</c:v>
                </c:pt>
                <c:pt idx="357">
                  <c:v>0.20424423257085436</c:v>
                </c:pt>
                <c:pt idx="358">
                  <c:v>0.18947958925247935</c:v>
                </c:pt>
                <c:pt idx="359">
                  <c:v>0.20504206160433427</c:v>
                </c:pt>
                <c:pt idx="360">
                  <c:v>0.18465776308226595</c:v>
                </c:pt>
                <c:pt idx="361">
                  <c:v>0.1886865664179963</c:v>
                </c:pt>
                <c:pt idx="362">
                  <c:v>0.19095989854351436</c:v>
                </c:pt>
                <c:pt idx="363">
                  <c:v>0.21074310483032638</c:v>
                </c:pt>
                <c:pt idx="364">
                  <c:v>0.19765347098993341</c:v>
                </c:pt>
                <c:pt idx="365">
                  <c:v>0.20477611859317432</c:v>
                </c:pt>
                <c:pt idx="366">
                  <c:v>0.21378626781127399</c:v>
                </c:pt>
                <c:pt idx="367">
                  <c:v>0.18607402221298847</c:v>
                </c:pt>
                <c:pt idx="368">
                  <c:v>0.19584043341819943</c:v>
                </c:pt>
                <c:pt idx="369">
                  <c:v>0.20926798183973422</c:v>
                </c:pt>
                <c:pt idx="370">
                  <c:v>0.2142065977389126</c:v>
                </c:pt>
                <c:pt idx="371">
                  <c:v>0.18712300492134895</c:v>
                </c:pt>
                <c:pt idx="372">
                  <c:v>0.19112437735362936</c:v>
                </c:pt>
                <c:pt idx="373">
                  <c:v>0.19338620430455986</c:v>
                </c:pt>
                <c:pt idx="374">
                  <c:v>0.22016868589682229</c:v>
                </c:pt>
                <c:pt idx="375">
                  <c:v>0.21381818097261318</c:v>
                </c:pt>
                <c:pt idx="376">
                  <c:v>0.21243870883730598</c:v>
                </c:pt>
                <c:pt idx="377">
                  <c:v>0.19441685612316664</c:v>
                </c:pt>
                <c:pt idx="378">
                  <c:v>0.19629426752718482</c:v>
                </c:pt>
                <c:pt idx="379">
                  <c:v>0.2068111607655288</c:v>
                </c:pt>
                <c:pt idx="380">
                  <c:v>0.21208023492516012</c:v>
                </c:pt>
                <c:pt idx="381">
                  <c:v>0.20502737763439294</c:v>
                </c:pt>
                <c:pt idx="382">
                  <c:v>0.19730781309154091</c:v>
                </c:pt>
                <c:pt idx="383">
                  <c:v>0.21923090343504548</c:v>
                </c:pt>
                <c:pt idx="384">
                  <c:v>0.22294830395177387</c:v>
                </c:pt>
                <c:pt idx="385">
                  <c:v>0.21798748108305652</c:v>
                </c:pt>
                <c:pt idx="386">
                  <c:v>0.18771144204374315</c:v>
                </c:pt>
                <c:pt idx="387">
                  <c:v>0.25690094878052772</c:v>
                </c:pt>
                <c:pt idx="388">
                  <c:v>0.1813418461980196</c:v>
                </c:pt>
                <c:pt idx="389">
                  <c:v>0.2195728445818424</c:v>
                </c:pt>
                <c:pt idx="390">
                  <c:v>0.2175583221741495</c:v>
                </c:pt>
                <c:pt idx="391">
                  <c:v>0.19743732127943048</c:v>
                </c:pt>
                <c:pt idx="392">
                  <c:v>0.18429850673385684</c:v>
                </c:pt>
                <c:pt idx="393">
                  <c:v>0.18799119083963542</c:v>
                </c:pt>
                <c:pt idx="394">
                  <c:v>0.20600232289612749</c:v>
                </c:pt>
                <c:pt idx="395">
                  <c:v>0.21181137174729561</c:v>
                </c:pt>
                <c:pt idx="396">
                  <c:v>0.1946523554267702</c:v>
                </c:pt>
                <c:pt idx="397">
                  <c:v>0.18728713116737888</c:v>
                </c:pt>
                <c:pt idx="398">
                  <c:v>0.22147124163771334</c:v>
                </c:pt>
                <c:pt idx="399">
                  <c:v>0.22147124163771334</c:v>
                </c:pt>
                <c:pt idx="400">
                  <c:v>0.19603286858582528</c:v>
                </c:pt>
                <c:pt idx="401">
                  <c:v>0.21147788247440544</c:v>
                </c:pt>
                <c:pt idx="402">
                  <c:v>0.22738127454177148</c:v>
                </c:pt>
                <c:pt idx="403">
                  <c:v>0.21615256962612844</c:v>
                </c:pt>
                <c:pt idx="404">
                  <c:v>0.21962238719117946</c:v>
                </c:pt>
                <c:pt idx="405">
                  <c:v>0.21766942976385564</c:v>
                </c:pt>
                <c:pt idx="406">
                  <c:v>0.22604133090861936</c:v>
                </c:pt>
                <c:pt idx="407">
                  <c:v>0.17261128435561227</c:v>
                </c:pt>
                <c:pt idx="408">
                  <c:v>0.22829234382516461</c:v>
                </c:pt>
                <c:pt idx="409">
                  <c:v>0.19726766091142461</c:v>
                </c:pt>
                <c:pt idx="410">
                  <c:v>0.20715723625123444</c:v>
                </c:pt>
                <c:pt idx="411">
                  <c:v>0.22409462034724734</c:v>
                </c:pt>
                <c:pt idx="412">
                  <c:v>0.20787157154865252</c:v>
                </c:pt>
                <c:pt idx="413">
                  <c:v>0.20314721764981947</c:v>
                </c:pt>
                <c:pt idx="414">
                  <c:v>0.21612515649110928</c:v>
                </c:pt>
                <c:pt idx="415">
                  <c:v>0.20809041415421992</c:v>
                </c:pt>
                <c:pt idx="416">
                  <c:v>0.21817964635563661</c:v>
                </c:pt>
                <c:pt idx="417">
                  <c:v>0.22025919097460947</c:v>
                </c:pt>
                <c:pt idx="418">
                  <c:v>0.21501492452283302</c:v>
                </c:pt>
                <c:pt idx="419">
                  <c:v>0.21574626780352291</c:v>
                </c:pt>
                <c:pt idx="420">
                  <c:v>0.22311802860213348</c:v>
                </c:pt>
                <c:pt idx="421">
                  <c:v>0.21215758333316084</c:v>
                </c:pt>
                <c:pt idx="422">
                  <c:v>0.20685858759581674</c:v>
                </c:pt>
                <c:pt idx="423">
                  <c:v>0.22056608436421424</c:v>
                </c:pt>
                <c:pt idx="424">
                  <c:v>0.21609903338597339</c:v>
                </c:pt>
                <c:pt idx="425">
                  <c:v>0.22960522297259675</c:v>
                </c:pt>
                <c:pt idx="426">
                  <c:v>0.21430058922541495</c:v>
                </c:pt>
                <c:pt idx="427">
                  <c:v>0.22413676980561986</c:v>
                </c:pt>
                <c:pt idx="428">
                  <c:v>0.22550345742638586</c:v>
                </c:pt>
                <c:pt idx="429">
                  <c:v>0.21699083443908293</c:v>
                </c:pt>
                <c:pt idx="430">
                  <c:v>0.19491255685989051</c:v>
                </c:pt>
                <c:pt idx="431">
                  <c:v>0.23414024125936533</c:v>
                </c:pt>
                <c:pt idx="432">
                  <c:v>0.22365966485865271</c:v>
                </c:pt>
                <c:pt idx="433">
                  <c:v>0.20866572084578211</c:v>
                </c:pt>
                <c:pt idx="434">
                  <c:v>0.23132117100340058</c:v>
                </c:pt>
                <c:pt idx="435">
                  <c:v>0.22173982072515322</c:v>
                </c:pt>
                <c:pt idx="436">
                  <c:v>0.23207960107226419</c:v>
                </c:pt>
                <c:pt idx="437">
                  <c:v>0.2237910438911119</c:v>
                </c:pt>
                <c:pt idx="438">
                  <c:v>0.23574850653039195</c:v>
                </c:pt>
                <c:pt idx="439">
                  <c:v>0.23951029567100388</c:v>
                </c:pt>
                <c:pt idx="440">
                  <c:v>0.23291713120965962</c:v>
                </c:pt>
                <c:pt idx="441">
                  <c:v>0.20860160652293688</c:v>
                </c:pt>
                <c:pt idx="442">
                  <c:v>0.24106555733120519</c:v>
                </c:pt>
                <c:pt idx="443">
                  <c:v>0.25058130301533171</c:v>
                </c:pt>
                <c:pt idx="444">
                  <c:v>0.22016391941231458</c:v>
                </c:pt>
                <c:pt idx="445">
                  <c:v>0.19798561517868563</c:v>
                </c:pt>
                <c:pt idx="446">
                  <c:v>0.22287261279443157</c:v>
                </c:pt>
                <c:pt idx="447">
                  <c:v>0.20070203874681797</c:v>
                </c:pt>
                <c:pt idx="448">
                  <c:v>0.24494875841909641</c:v>
                </c:pt>
                <c:pt idx="449">
                  <c:v>0.20741839109115073</c:v>
                </c:pt>
                <c:pt idx="450">
                  <c:v>0.19646033712746164</c:v>
                </c:pt>
                <c:pt idx="451">
                  <c:v>0.22442515656223036</c:v>
                </c:pt>
                <c:pt idx="452">
                  <c:v>0.24191563823864443</c:v>
                </c:pt>
                <c:pt idx="453">
                  <c:v>0.24042233182976389</c:v>
                </c:pt>
                <c:pt idx="454">
                  <c:v>0.23898871401666807</c:v>
                </c:pt>
                <c:pt idx="455">
                  <c:v>0.23127655746993805</c:v>
                </c:pt>
                <c:pt idx="456">
                  <c:v>0.24649925275653356</c:v>
                </c:pt>
                <c:pt idx="457">
                  <c:v>0.22157236202834474</c:v>
                </c:pt>
                <c:pt idx="458">
                  <c:v>0.20185074547041465</c:v>
                </c:pt>
                <c:pt idx="459">
                  <c:v>0.24198543770339745</c:v>
                </c:pt>
                <c:pt idx="460">
                  <c:v>0.23837411649409038</c:v>
                </c:pt>
                <c:pt idx="461">
                  <c:v>0.24422378806449746</c:v>
                </c:pt>
                <c:pt idx="462">
                  <c:v>0.22688263139584652</c:v>
                </c:pt>
                <c:pt idx="463">
                  <c:v>0.22949047773372985</c:v>
                </c:pt>
                <c:pt idx="464">
                  <c:v>0.23287330695828423</c:v>
                </c:pt>
                <c:pt idx="465">
                  <c:v>0.25350765061281577</c:v>
                </c:pt>
                <c:pt idx="466">
                  <c:v>0.22571390150551013</c:v>
                </c:pt>
                <c:pt idx="467">
                  <c:v>0.22698912128802712</c:v>
                </c:pt>
                <c:pt idx="468">
                  <c:v>0.25031018719960685</c:v>
                </c:pt>
                <c:pt idx="469">
                  <c:v>0.23365783705371454</c:v>
                </c:pt>
                <c:pt idx="470">
                  <c:v>0.23918820006090299</c:v>
                </c:pt>
                <c:pt idx="471">
                  <c:v>0.22210332862798135</c:v>
                </c:pt>
                <c:pt idx="472">
                  <c:v>0.24134328262766971</c:v>
                </c:pt>
                <c:pt idx="473">
                  <c:v>0.22400923470413545</c:v>
                </c:pt>
                <c:pt idx="474">
                  <c:v>0.23922668913296713</c:v>
                </c:pt>
                <c:pt idx="475">
                  <c:v>0.21469159380926484</c:v>
                </c:pt>
                <c:pt idx="476">
                  <c:v>0.20154812066461192</c:v>
                </c:pt>
                <c:pt idx="477">
                  <c:v>0.21089829121090839</c:v>
                </c:pt>
                <c:pt idx="478">
                  <c:v>0.21996918545653882</c:v>
                </c:pt>
                <c:pt idx="479">
                  <c:v>0.24870990403680079</c:v>
                </c:pt>
                <c:pt idx="480">
                  <c:v>0.24070175343408209</c:v>
                </c:pt>
                <c:pt idx="481">
                  <c:v>0.23386363543879565</c:v>
                </c:pt>
                <c:pt idx="482">
                  <c:v>0.23456173584309051</c:v>
                </c:pt>
                <c:pt idx="483">
                  <c:v>0.21170700260709713</c:v>
                </c:pt>
                <c:pt idx="484">
                  <c:v>0.23660417816879911</c:v>
                </c:pt>
                <c:pt idx="485">
                  <c:v>0.24573134231180913</c:v>
                </c:pt>
                <c:pt idx="486">
                  <c:v>0.23867009684307902</c:v>
                </c:pt>
                <c:pt idx="487">
                  <c:v>0.2326897347589478</c:v>
                </c:pt>
                <c:pt idx="488">
                  <c:v>0.22155033256304074</c:v>
                </c:pt>
                <c:pt idx="489">
                  <c:v>0.24008234593682504</c:v>
                </c:pt>
                <c:pt idx="490">
                  <c:v>0.27030447654299006</c:v>
                </c:pt>
                <c:pt idx="491">
                  <c:v>0.19856489983015857</c:v>
                </c:pt>
                <c:pt idx="492">
                  <c:v>0.24717682079599632</c:v>
                </c:pt>
                <c:pt idx="493">
                  <c:v>0.22836988877890962</c:v>
                </c:pt>
                <c:pt idx="494">
                  <c:v>0.25235284554775611</c:v>
                </c:pt>
                <c:pt idx="495">
                  <c:v>0.22481803658314459</c:v>
                </c:pt>
                <c:pt idx="496">
                  <c:v>0.26416119298519491</c:v>
                </c:pt>
                <c:pt idx="497">
                  <c:v>0.22723543482597408</c:v>
                </c:pt>
                <c:pt idx="498">
                  <c:v>0.24788688040226362</c:v>
                </c:pt>
                <c:pt idx="499">
                  <c:v>0.23487028850797229</c:v>
                </c:pt>
                <c:pt idx="500">
                  <c:v>0.24017809163809595</c:v>
                </c:pt>
                <c:pt idx="501">
                  <c:v>0.24087224797231013</c:v>
                </c:pt>
                <c:pt idx="502">
                  <c:v>0.24020928967558872</c:v>
                </c:pt>
                <c:pt idx="503">
                  <c:v>0.25300150036837155</c:v>
                </c:pt>
                <c:pt idx="504">
                  <c:v>0.25372851617402781</c:v>
                </c:pt>
                <c:pt idx="505">
                  <c:v>0.23955373873413802</c:v>
                </c:pt>
                <c:pt idx="506">
                  <c:v>0.23498898854954425</c:v>
                </c:pt>
                <c:pt idx="507">
                  <c:v>0.26953656609826571</c:v>
                </c:pt>
                <c:pt idx="508">
                  <c:v>0.24364887330916671</c:v>
                </c:pt>
                <c:pt idx="509">
                  <c:v>0.23504737090694788</c:v>
                </c:pt>
                <c:pt idx="510">
                  <c:v>0.22293152704576502</c:v>
                </c:pt>
                <c:pt idx="511">
                  <c:v>0.23830539515403468</c:v>
                </c:pt>
                <c:pt idx="512">
                  <c:v>0.24642944271610404</c:v>
                </c:pt>
                <c:pt idx="513">
                  <c:v>0.24030081540989079</c:v>
                </c:pt>
                <c:pt idx="514">
                  <c:v>0.23834597410025202</c:v>
                </c:pt>
                <c:pt idx="515">
                  <c:v>0.24435854151677114</c:v>
                </c:pt>
                <c:pt idx="516">
                  <c:v>0.25064596915804532</c:v>
                </c:pt>
                <c:pt idx="517">
                  <c:v>0.26255223776767705</c:v>
                </c:pt>
                <c:pt idx="518">
                  <c:v>0.22005791848818732</c:v>
                </c:pt>
                <c:pt idx="519">
                  <c:v>0.24237435676110139</c:v>
                </c:pt>
                <c:pt idx="520">
                  <c:v>0.28511136511818885</c:v>
                </c:pt>
                <c:pt idx="521">
                  <c:v>0.25128459298552236</c:v>
                </c:pt>
                <c:pt idx="522">
                  <c:v>0.26390673745321513</c:v>
                </c:pt>
                <c:pt idx="523">
                  <c:v>0.24916334429940426</c:v>
                </c:pt>
                <c:pt idx="524">
                  <c:v>0.25267290565395067</c:v>
                </c:pt>
                <c:pt idx="525">
                  <c:v>0.25773545960865046</c:v>
                </c:pt>
                <c:pt idx="526">
                  <c:v>0.27682697513521709</c:v>
                </c:pt>
                <c:pt idx="527">
                  <c:v>0.24176793356484452</c:v>
                </c:pt>
                <c:pt idx="528">
                  <c:v>0.23858043023395226</c:v>
                </c:pt>
                <c:pt idx="529">
                  <c:v>0.2621610541524243</c:v>
                </c:pt>
                <c:pt idx="530">
                  <c:v>0.24843168673281804</c:v>
                </c:pt>
                <c:pt idx="531">
                  <c:v>0.24308906981383271</c:v>
                </c:pt>
                <c:pt idx="532">
                  <c:v>0.25328174668451836</c:v>
                </c:pt>
                <c:pt idx="533">
                  <c:v>0.23013925206359792</c:v>
                </c:pt>
                <c:pt idx="534">
                  <c:v>0.26126608234301552</c:v>
                </c:pt>
                <c:pt idx="535">
                  <c:v>0.23194029759022802</c:v>
                </c:pt>
                <c:pt idx="536">
                  <c:v>0.25608519100472249</c:v>
                </c:pt>
                <c:pt idx="537">
                  <c:v>0.24705961983781893</c:v>
                </c:pt>
                <c:pt idx="538">
                  <c:v>0.26117731239997999</c:v>
                </c:pt>
                <c:pt idx="539">
                  <c:v>0.24639191043630326</c:v>
                </c:pt>
                <c:pt idx="540">
                  <c:v>0.24377071989974688</c:v>
                </c:pt>
                <c:pt idx="541">
                  <c:v>0.2418513737489911</c:v>
                </c:pt>
                <c:pt idx="542">
                  <c:v>0.21372912098748054</c:v>
                </c:pt>
                <c:pt idx="543">
                  <c:v>0.28441127582385317</c:v>
                </c:pt>
                <c:pt idx="544">
                  <c:v>0.25383237557483584</c:v>
                </c:pt>
                <c:pt idx="545">
                  <c:v>0.2321482027870358</c:v>
                </c:pt>
                <c:pt idx="546">
                  <c:v>0.24379135803040011</c:v>
                </c:pt>
                <c:pt idx="547">
                  <c:v>0.25378810763350779</c:v>
                </c:pt>
                <c:pt idx="548">
                  <c:v>0.2476919647238715</c:v>
                </c:pt>
                <c:pt idx="549">
                  <c:v>0.25374432086545512</c:v>
                </c:pt>
                <c:pt idx="550">
                  <c:v>0.22555050743596008</c:v>
                </c:pt>
                <c:pt idx="551">
                  <c:v>0.25580229896393247</c:v>
                </c:pt>
                <c:pt idx="552">
                  <c:v>0.25370100746786783</c:v>
                </c:pt>
                <c:pt idx="553">
                  <c:v>0.26973957690549172</c:v>
                </c:pt>
                <c:pt idx="554">
                  <c:v>0.24509141694120545</c:v>
                </c:pt>
                <c:pt idx="555">
                  <c:v>0.249631839808822</c:v>
                </c:pt>
                <c:pt idx="556">
                  <c:v>0.27271917759460906</c:v>
                </c:pt>
                <c:pt idx="557">
                  <c:v>0.23770494168353398</c:v>
                </c:pt>
                <c:pt idx="558">
                  <c:v>0.25848788740449868</c:v>
                </c:pt>
                <c:pt idx="559">
                  <c:v>0.24961131087462718</c:v>
                </c:pt>
                <c:pt idx="560">
                  <c:v>0.23656226237480138</c:v>
                </c:pt>
                <c:pt idx="561">
                  <c:v>0.25292029115603765</c:v>
                </c:pt>
                <c:pt idx="562">
                  <c:v>0.23254575809019987</c:v>
                </c:pt>
                <c:pt idx="563">
                  <c:v>0.26781955285669085</c:v>
                </c:pt>
                <c:pt idx="564">
                  <c:v>0.25288225438966605</c:v>
                </c:pt>
                <c:pt idx="565">
                  <c:v>0.25353233730583485</c:v>
                </c:pt>
                <c:pt idx="566">
                  <c:v>0.25488091356809994</c:v>
                </c:pt>
                <c:pt idx="567">
                  <c:v>0.21836580646344861</c:v>
                </c:pt>
                <c:pt idx="568">
                  <c:v>0.25284461801030889</c:v>
                </c:pt>
                <c:pt idx="569">
                  <c:v>0.2646337532588714</c:v>
                </c:pt>
                <c:pt idx="570">
                  <c:v>0.28475926138486124</c:v>
                </c:pt>
                <c:pt idx="571">
                  <c:v>0.26158497729966784</c:v>
                </c:pt>
                <c:pt idx="572">
                  <c:v>0.25079796792648568</c:v>
                </c:pt>
                <c:pt idx="573">
                  <c:v>0.24760239314159455</c:v>
                </c:pt>
                <c:pt idx="574">
                  <c:v>0.28266206427774582</c:v>
                </c:pt>
                <c:pt idx="575">
                  <c:v>0.25469029750026051</c:v>
                </c:pt>
                <c:pt idx="576">
                  <c:v>0.25011940199594862</c:v>
                </c:pt>
                <c:pt idx="577">
                  <c:v>0.26422724979764423</c:v>
                </c:pt>
                <c:pt idx="578">
                  <c:v>0.25731030608566402</c:v>
                </c:pt>
                <c:pt idx="579">
                  <c:v>0.24758358861064192</c:v>
                </c:pt>
                <c:pt idx="580">
                  <c:v>0.25137313333427413</c:v>
                </c:pt>
                <c:pt idx="581">
                  <c:v>0.25072081119123679</c:v>
                </c:pt>
                <c:pt idx="582">
                  <c:v>0.26620895417112656</c:v>
                </c:pt>
                <c:pt idx="583">
                  <c:v>0.27205970041664584</c:v>
                </c:pt>
                <c:pt idx="584">
                  <c:v>0.27974500268830249</c:v>
                </c:pt>
                <c:pt idx="585">
                  <c:v>0.27424160854688101</c:v>
                </c:pt>
                <c:pt idx="586">
                  <c:v>0.25325373034176252</c:v>
                </c:pt>
                <c:pt idx="587">
                  <c:v>0.28598044148357105</c:v>
                </c:pt>
                <c:pt idx="588">
                  <c:v>0.24215273053056924</c:v>
                </c:pt>
                <c:pt idx="589">
                  <c:v>0.24098291057631527</c:v>
                </c:pt>
                <c:pt idx="590">
                  <c:v>0.27713034716276264</c:v>
                </c:pt>
                <c:pt idx="591">
                  <c:v>0.28575044663116089</c:v>
                </c:pt>
                <c:pt idx="592">
                  <c:v>0.28005136218776017</c:v>
                </c:pt>
                <c:pt idx="593">
                  <c:v>0.28162468444724192</c:v>
                </c:pt>
                <c:pt idx="594">
                  <c:v>0.26664464804047378</c:v>
                </c:pt>
                <c:pt idx="595">
                  <c:v>0.28715462573008554</c:v>
                </c:pt>
                <c:pt idx="596">
                  <c:v>0.31212459318487562</c:v>
                </c:pt>
                <c:pt idx="597">
                  <c:v>0.27986069541067154</c:v>
                </c:pt>
                <c:pt idx="598">
                  <c:v>0.24633068704915506</c:v>
                </c:pt>
                <c:pt idx="599">
                  <c:v>0.31960627117137208</c:v>
                </c:pt>
                <c:pt idx="600">
                  <c:v>0.30866253973312613</c:v>
                </c:pt>
                <c:pt idx="601">
                  <c:v>0.2376556643954586</c:v>
                </c:pt>
                <c:pt idx="602">
                  <c:v>0.30753649810538541</c:v>
                </c:pt>
                <c:pt idx="603">
                  <c:v>0.28102976717427902</c:v>
                </c:pt>
                <c:pt idx="604">
                  <c:v>0.28259104365858057</c:v>
                </c:pt>
                <c:pt idx="605">
                  <c:v>0.26556902880052291</c:v>
                </c:pt>
                <c:pt idx="606">
                  <c:v>0.26283120376134228</c:v>
                </c:pt>
                <c:pt idx="607">
                  <c:v>0.29374781149917423</c:v>
                </c:pt>
                <c:pt idx="608">
                  <c:v>0.2594523817302351</c:v>
                </c:pt>
                <c:pt idx="609">
                  <c:v>0.29110786859097842</c:v>
                </c:pt>
                <c:pt idx="610">
                  <c:v>0.27318005608068152</c:v>
                </c:pt>
                <c:pt idx="611">
                  <c:v>0.27173465895856147</c:v>
                </c:pt>
                <c:pt idx="612">
                  <c:v>0.26000361724406068</c:v>
                </c:pt>
                <c:pt idx="613">
                  <c:v>0.28990776340157259</c:v>
                </c:pt>
                <c:pt idx="614">
                  <c:v>0.26876865565354124</c:v>
                </c:pt>
                <c:pt idx="615">
                  <c:v>0.27017582138994722</c:v>
                </c:pt>
                <c:pt idx="616">
                  <c:v>0.26726450117418421</c:v>
                </c:pt>
                <c:pt idx="617">
                  <c:v>0.24986624470647908</c:v>
                </c:pt>
                <c:pt idx="618">
                  <c:v>0.30287816610525314</c:v>
                </c:pt>
                <c:pt idx="619">
                  <c:v>0.2917201689455835</c:v>
                </c:pt>
                <c:pt idx="620">
                  <c:v>0.28140202103449113</c:v>
                </c:pt>
                <c:pt idx="621">
                  <c:v>0.28893685304795147</c:v>
                </c:pt>
                <c:pt idx="622">
                  <c:v>0.2546346518158602</c:v>
                </c:pt>
                <c:pt idx="623">
                  <c:v>0.26215398152571723</c:v>
                </c:pt>
                <c:pt idx="624">
                  <c:v>0.26345823019002429</c:v>
                </c:pt>
                <c:pt idx="625">
                  <c:v>0.27789513057251719</c:v>
                </c:pt>
                <c:pt idx="626">
                  <c:v>0.27565199798189993</c:v>
                </c:pt>
                <c:pt idx="627">
                  <c:v>0.26468077418162533</c:v>
                </c:pt>
                <c:pt idx="628">
                  <c:v>0.27205970041664584</c:v>
                </c:pt>
                <c:pt idx="629">
                  <c:v>0.27982495786815964</c:v>
                </c:pt>
                <c:pt idx="630">
                  <c:v>0.24629754356137551</c:v>
                </c:pt>
                <c:pt idx="631">
                  <c:v>0.27756182706722488</c:v>
                </c:pt>
                <c:pt idx="632">
                  <c:v>0.27756182706722488</c:v>
                </c:pt>
                <c:pt idx="633">
                  <c:v>0.27964738695380364</c:v>
                </c:pt>
                <c:pt idx="634">
                  <c:v>0.24405590134150137</c:v>
                </c:pt>
                <c:pt idx="635">
                  <c:v>0.24350752925921362</c:v>
                </c:pt>
                <c:pt idx="636">
                  <c:v>0.24461438166493729</c:v>
                </c:pt>
                <c:pt idx="637">
                  <c:v>0.29155691695914654</c:v>
                </c:pt>
                <c:pt idx="638">
                  <c:v>0.26440210606589271</c:v>
                </c:pt>
                <c:pt idx="639">
                  <c:v>0.25380702022815971</c:v>
                </c:pt>
                <c:pt idx="640">
                  <c:v>0.24854936229244917</c:v>
                </c:pt>
                <c:pt idx="641">
                  <c:v>0.27929773700904087</c:v>
                </c:pt>
                <c:pt idx="642">
                  <c:v>0.2882114945731592</c:v>
                </c:pt>
                <c:pt idx="643">
                  <c:v>0.26362440121800884</c:v>
                </c:pt>
                <c:pt idx="644">
                  <c:v>0.28798673186278162</c:v>
                </c:pt>
                <c:pt idx="645">
                  <c:v>0.28798673186278162</c:v>
                </c:pt>
                <c:pt idx="646">
                  <c:v>0.27551695956172545</c:v>
                </c:pt>
                <c:pt idx="647">
                  <c:v>0.31787920735103214</c:v>
                </c:pt>
                <c:pt idx="648">
                  <c:v>0.27895522277743634</c:v>
                </c:pt>
                <c:pt idx="649">
                  <c:v>0.2739904466776672</c:v>
                </c:pt>
                <c:pt idx="650">
                  <c:v>0.28020895411576197</c:v>
                </c:pt>
                <c:pt idx="651">
                  <c:v>0.25309195855617211</c:v>
                </c:pt>
                <c:pt idx="652">
                  <c:v>0.24906706189070252</c:v>
                </c:pt>
                <c:pt idx="653">
                  <c:v>0.27446112611443363</c:v>
                </c:pt>
                <c:pt idx="654">
                  <c:v>0.27507239811023415</c:v>
                </c:pt>
                <c:pt idx="655">
                  <c:v>0.31061546078739921</c:v>
                </c:pt>
                <c:pt idx="656">
                  <c:v>0.30446383346875255</c:v>
                </c:pt>
                <c:pt idx="657">
                  <c:v>0.27767641681234434</c:v>
                </c:pt>
                <c:pt idx="658">
                  <c:v>0.26958875418674211</c:v>
                </c:pt>
                <c:pt idx="659">
                  <c:v>0.26630693317523818</c:v>
                </c:pt>
                <c:pt idx="660">
                  <c:v>0.27478332366887032</c:v>
                </c:pt>
                <c:pt idx="661">
                  <c:v>0.30151899840421992</c:v>
                </c:pt>
                <c:pt idx="662">
                  <c:v>0.28522387946906413</c:v>
                </c:pt>
                <c:pt idx="663">
                  <c:v>0.29960826763151066</c:v>
                </c:pt>
                <c:pt idx="664">
                  <c:v>0.28585074513822695</c:v>
                </c:pt>
                <c:pt idx="665">
                  <c:v>0.2540706412590425</c:v>
                </c:pt>
                <c:pt idx="666">
                  <c:v>0.29708789268914487</c:v>
                </c:pt>
                <c:pt idx="667">
                  <c:v>0.29932168824151228</c:v>
                </c:pt>
                <c:pt idx="668">
                  <c:v>0.29220385005471611</c:v>
                </c:pt>
                <c:pt idx="669">
                  <c:v>0.26287538944984234</c:v>
                </c:pt>
                <c:pt idx="670">
                  <c:v>0.27303482479089902</c:v>
                </c:pt>
                <c:pt idx="671">
                  <c:v>0.31643058325626822</c:v>
                </c:pt>
                <c:pt idx="672">
                  <c:v>0.26222719630959268</c:v>
                </c:pt>
                <c:pt idx="673">
                  <c:v>0.28240766205984036</c:v>
                </c:pt>
                <c:pt idx="674">
                  <c:v>0.29475028883514937</c:v>
                </c:pt>
                <c:pt idx="675">
                  <c:v>0.30258939226161613</c:v>
                </c:pt>
                <c:pt idx="676">
                  <c:v>0.31848978444882531</c:v>
                </c:pt>
                <c:pt idx="677">
                  <c:v>0.30389647386965762</c:v>
                </c:pt>
                <c:pt idx="678">
                  <c:v>0.29912323082458442</c:v>
                </c:pt>
                <c:pt idx="679">
                  <c:v>0.29820522270131011</c:v>
                </c:pt>
                <c:pt idx="680">
                  <c:v>0.26687566711538346</c:v>
                </c:pt>
                <c:pt idx="681">
                  <c:v>0.29424753040926893</c:v>
                </c:pt>
                <c:pt idx="682">
                  <c:v>0.30263754789980707</c:v>
                </c:pt>
                <c:pt idx="683">
                  <c:v>0.27381492429030163</c:v>
                </c:pt>
                <c:pt idx="684">
                  <c:v>0.25956756654107771</c:v>
                </c:pt>
                <c:pt idx="685">
                  <c:v>0.28307286981997626</c:v>
                </c:pt>
                <c:pt idx="686">
                  <c:v>0.28934865557215528</c:v>
                </c:pt>
                <c:pt idx="687">
                  <c:v>0.29227136926480335</c:v>
                </c:pt>
                <c:pt idx="688">
                  <c:v>0.29676785186887727</c:v>
                </c:pt>
                <c:pt idx="689">
                  <c:v>0.28567781667776826</c:v>
                </c:pt>
                <c:pt idx="690">
                  <c:v>0.28913165401364616</c:v>
                </c:pt>
                <c:pt idx="691">
                  <c:v>0.2920374997826275</c:v>
                </c:pt>
                <c:pt idx="692">
                  <c:v>0.30175299548134077</c:v>
                </c:pt>
                <c:pt idx="693">
                  <c:v>0.29265491521557169</c:v>
                </c:pt>
                <c:pt idx="694">
                  <c:v>0.29388974608146018</c:v>
                </c:pt>
                <c:pt idx="695">
                  <c:v>0.31613005119032744</c:v>
                </c:pt>
                <c:pt idx="696">
                  <c:v>0.27775793905860896</c:v>
                </c:pt>
                <c:pt idx="697">
                  <c:v>0.34885074488908624</c:v>
                </c:pt>
                <c:pt idx="698">
                  <c:v>0.29218801399264877</c:v>
                </c:pt>
                <c:pt idx="699">
                  <c:v>0.32809939001409161</c:v>
                </c:pt>
                <c:pt idx="700">
                  <c:v>0.29426328241839145</c:v>
                </c:pt>
                <c:pt idx="701">
                  <c:v>0.3211868903586419</c:v>
                </c:pt>
                <c:pt idx="702">
                  <c:v>0.28609301206350729</c:v>
                </c:pt>
                <c:pt idx="703">
                  <c:v>0.31070219459843934</c:v>
                </c:pt>
                <c:pt idx="704">
                  <c:v>0.30811909243242397</c:v>
                </c:pt>
                <c:pt idx="705">
                  <c:v>0.30558897697750631</c:v>
                </c:pt>
                <c:pt idx="706">
                  <c:v>0.30465671521311033</c:v>
                </c:pt>
                <c:pt idx="707">
                  <c:v>0.30219990834810873</c:v>
                </c:pt>
                <c:pt idx="708">
                  <c:v>0.29391395845137963</c:v>
                </c:pt>
                <c:pt idx="709">
                  <c:v>0.28282286567962944</c:v>
                </c:pt>
                <c:pt idx="710">
                  <c:v>0.31033081889893427</c:v>
                </c:pt>
                <c:pt idx="711">
                  <c:v>0.27490492633056274</c:v>
                </c:pt>
                <c:pt idx="712">
                  <c:v>0.29003386796898634</c:v>
                </c:pt>
                <c:pt idx="713">
                  <c:v>0.31257536029818217</c:v>
                </c:pt>
                <c:pt idx="714">
                  <c:v>0.28923402013734478</c:v>
                </c:pt>
                <c:pt idx="715">
                  <c:v>0.37085834483868135</c:v>
                </c:pt>
                <c:pt idx="716">
                  <c:v>0.29838805852148254</c:v>
                </c:pt>
                <c:pt idx="717">
                  <c:v>0.30872338691458262</c:v>
                </c:pt>
                <c:pt idx="718">
                  <c:v>0.3241562387943015</c:v>
                </c:pt>
                <c:pt idx="719">
                  <c:v>0.34499569810443259</c:v>
                </c:pt>
                <c:pt idx="720">
                  <c:v>0.2840197142534166</c:v>
                </c:pt>
                <c:pt idx="721">
                  <c:v>0.29702477784291498</c:v>
                </c:pt>
                <c:pt idx="722">
                  <c:v>0.30964631266058779</c:v>
                </c:pt>
                <c:pt idx="723">
                  <c:v>0.33320635818911082</c:v>
                </c:pt>
                <c:pt idx="724">
                  <c:v>0.29967236867293801</c:v>
                </c:pt>
                <c:pt idx="725">
                  <c:v>0.30174363357405981</c:v>
                </c:pt>
                <c:pt idx="726">
                  <c:v>0.29881408373353491</c:v>
                </c:pt>
                <c:pt idx="727">
                  <c:v>0.33889322483661594</c:v>
                </c:pt>
                <c:pt idx="728">
                  <c:v>0.30383530502593148</c:v>
                </c:pt>
                <c:pt idx="729">
                  <c:v>0.30594768609613865</c:v>
                </c:pt>
                <c:pt idx="730">
                  <c:v>0.30355048167929366</c:v>
                </c:pt>
                <c:pt idx="731">
                  <c:v>0.2646337532588714</c:v>
                </c:pt>
                <c:pt idx="732">
                  <c:v>0.30415276438103833</c:v>
                </c:pt>
                <c:pt idx="733">
                  <c:v>0.3086923578792628</c:v>
                </c:pt>
                <c:pt idx="734">
                  <c:v>0.31719402859636586</c:v>
                </c:pt>
                <c:pt idx="735">
                  <c:v>0.33854834389154143</c:v>
                </c:pt>
                <c:pt idx="736">
                  <c:v>0.28631083003302538</c:v>
                </c:pt>
                <c:pt idx="737">
                  <c:v>0.30595961248627218</c:v>
                </c:pt>
                <c:pt idx="738">
                  <c:v>0.31745495745358088</c:v>
                </c:pt>
                <c:pt idx="739">
                  <c:v>0.3050664713090509</c:v>
                </c:pt>
                <c:pt idx="740">
                  <c:v>0.35401973044921659</c:v>
                </c:pt>
                <c:pt idx="741">
                  <c:v>0.32299738293562547</c:v>
                </c:pt>
                <c:pt idx="742">
                  <c:v>0.3004036266060634</c:v>
                </c:pt>
                <c:pt idx="743">
                  <c:v>0.29202026958449884</c:v>
                </c:pt>
                <c:pt idx="744">
                  <c:v>0.29955820777058639</c:v>
                </c:pt>
                <c:pt idx="745">
                  <c:v>0.29591591222055891</c:v>
                </c:pt>
                <c:pt idx="746">
                  <c:v>0.30508673900548289</c:v>
                </c:pt>
                <c:pt idx="747">
                  <c:v>0.35084974985630535</c:v>
                </c:pt>
                <c:pt idx="748">
                  <c:v>0.30508673900548289</c:v>
                </c:pt>
                <c:pt idx="749">
                  <c:v>0.30275512270474098</c:v>
                </c:pt>
                <c:pt idx="750">
                  <c:v>0.28687188378482703</c:v>
                </c:pt>
                <c:pt idx="751">
                  <c:v>0.28742783704797592</c:v>
                </c:pt>
                <c:pt idx="752">
                  <c:v>0.27983062549604698</c:v>
                </c:pt>
                <c:pt idx="753">
                  <c:v>0.31663889382466948</c:v>
                </c:pt>
                <c:pt idx="754">
                  <c:v>0.3135192988116185</c:v>
                </c:pt>
                <c:pt idx="755">
                  <c:v>0.32534328229548204</c:v>
                </c:pt>
                <c:pt idx="756">
                  <c:v>0.30569449282808797</c:v>
                </c:pt>
                <c:pt idx="757">
                  <c:v>0.29578772685680738</c:v>
                </c:pt>
                <c:pt idx="758">
                  <c:v>0.3184727098120711</c:v>
                </c:pt>
                <c:pt idx="759">
                  <c:v>0.31533504764643489</c:v>
                </c:pt>
                <c:pt idx="760">
                  <c:v>0.32229085599689544</c:v>
                </c:pt>
                <c:pt idx="761">
                  <c:v>0.29208520915699132</c:v>
                </c:pt>
                <c:pt idx="762">
                  <c:v>0.33123064955947479</c:v>
                </c:pt>
                <c:pt idx="763">
                  <c:v>0.30657910326520948</c:v>
                </c:pt>
                <c:pt idx="764">
                  <c:v>0.31253209556162137</c:v>
                </c:pt>
                <c:pt idx="765">
                  <c:v>0.29589209796720134</c:v>
                </c:pt>
                <c:pt idx="766">
                  <c:v>0.34494372918101551</c:v>
                </c:pt>
                <c:pt idx="767">
                  <c:v>0.30341475600002726</c:v>
                </c:pt>
                <c:pt idx="768">
                  <c:v>0.29298736967946482</c:v>
                </c:pt>
                <c:pt idx="769">
                  <c:v>0.31491783674911461</c:v>
                </c:pt>
                <c:pt idx="770">
                  <c:v>0.30891940176341715</c:v>
                </c:pt>
                <c:pt idx="771">
                  <c:v>0.3009071298216367</c:v>
                </c:pt>
                <c:pt idx="772">
                  <c:v>0.27776042752766461</c:v>
                </c:pt>
                <c:pt idx="773">
                  <c:v>0.33916044641994497</c:v>
                </c:pt>
                <c:pt idx="774">
                  <c:v>0.29655305174447877</c:v>
                </c:pt>
                <c:pt idx="775">
                  <c:v>0.31216110709945138</c:v>
                </c:pt>
                <c:pt idx="776">
                  <c:v>0.29180596899527339</c:v>
                </c:pt>
                <c:pt idx="777">
                  <c:v>0.35332182191860129</c:v>
                </c:pt>
                <c:pt idx="778">
                  <c:v>0.2859711909436557</c:v>
                </c:pt>
                <c:pt idx="779">
                  <c:v>0.29959026665412353</c:v>
                </c:pt>
                <c:pt idx="780">
                  <c:v>0.36653781227515669</c:v>
                </c:pt>
                <c:pt idx="781">
                  <c:v>0.29609519850634658</c:v>
                </c:pt>
                <c:pt idx="782">
                  <c:v>0.31968931912410126</c:v>
                </c:pt>
                <c:pt idx="783">
                  <c:v>0.32764178974907893</c:v>
                </c:pt>
                <c:pt idx="784">
                  <c:v>0.34185940627316458</c:v>
                </c:pt>
                <c:pt idx="785">
                  <c:v>0.3156883512474678</c:v>
                </c:pt>
                <c:pt idx="786">
                  <c:v>0.29642031875281011</c:v>
                </c:pt>
                <c:pt idx="787">
                  <c:v>0.3479038477993508</c:v>
                </c:pt>
                <c:pt idx="788">
                  <c:v>0.34313262566338121</c:v>
                </c:pt>
                <c:pt idx="789">
                  <c:v>0.31594029725804035</c:v>
                </c:pt>
                <c:pt idx="790">
                  <c:v>0.33850746134790038</c:v>
                </c:pt>
                <c:pt idx="791">
                  <c:v>0.33741283297129132</c:v>
                </c:pt>
                <c:pt idx="792">
                  <c:v>0.32326793090534112</c:v>
                </c:pt>
                <c:pt idx="793">
                  <c:v>0.28458629814743708</c:v>
                </c:pt>
                <c:pt idx="794">
                  <c:v>0.32703950704733431</c:v>
                </c:pt>
                <c:pt idx="795">
                  <c:v>0.32134098610005818</c:v>
                </c:pt>
                <c:pt idx="796">
                  <c:v>0.33649141095461299</c:v>
                </c:pt>
                <c:pt idx="797">
                  <c:v>0.31945074500535192</c:v>
                </c:pt>
                <c:pt idx="798">
                  <c:v>0.30829138588201749</c:v>
                </c:pt>
                <c:pt idx="799">
                  <c:v>0.33497705369868513</c:v>
                </c:pt>
                <c:pt idx="800">
                  <c:v>0.3290402608028859</c:v>
                </c:pt>
                <c:pt idx="801">
                  <c:v>0.3212059688790076</c:v>
                </c:pt>
                <c:pt idx="802">
                  <c:v>0.32333071356817</c:v>
                </c:pt>
                <c:pt idx="803">
                  <c:v>0.35077194200468098</c:v>
                </c:pt>
                <c:pt idx="804">
                  <c:v>0.32450646161750873</c:v>
                </c:pt>
                <c:pt idx="805">
                  <c:v>0.34489703629043272</c:v>
                </c:pt>
                <c:pt idx="806">
                  <c:v>0.33864468567348832</c:v>
                </c:pt>
                <c:pt idx="807">
                  <c:v>0.29723834856057268</c:v>
                </c:pt>
                <c:pt idx="808">
                  <c:v>0.34969460252065149</c:v>
                </c:pt>
                <c:pt idx="809">
                  <c:v>0.35954375348780493</c:v>
                </c:pt>
                <c:pt idx="810">
                  <c:v>0.30416079481706165</c:v>
                </c:pt>
                <c:pt idx="811">
                  <c:v>0.34218089416919428</c:v>
                </c:pt>
                <c:pt idx="812">
                  <c:v>0.30743966145737556</c:v>
                </c:pt>
                <c:pt idx="813">
                  <c:v>0.31945074500535192</c:v>
                </c:pt>
                <c:pt idx="814">
                  <c:v>0.32302711665402145</c:v>
                </c:pt>
                <c:pt idx="815">
                  <c:v>0.33954503211065257</c:v>
                </c:pt>
                <c:pt idx="816">
                  <c:v>0.36469651597070091</c:v>
                </c:pt>
                <c:pt idx="817">
                  <c:v>0.31386594177099258</c:v>
                </c:pt>
                <c:pt idx="818">
                  <c:v>0.32324006009707607</c:v>
                </c:pt>
                <c:pt idx="819">
                  <c:v>0.33156094991354162</c:v>
                </c:pt>
                <c:pt idx="820">
                  <c:v>0.34305068580163461</c:v>
                </c:pt>
                <c:pt idx="821">
                  <c:v>0.33535799131925642</c:v>
                </c:pt>
                <c:pt idx="822">
                  <c:v>0.31899986180844947</c:v>
                </c:pt>
                <c:pt idx="823">
                  <c:v>0.35184260376463589</c:v>
                </c:pt>
                <c:pt idx="824">
                  <c:v>0.34209657459095</c:v>
                </c:pt>
                <c:pt idx="825">
                  <c:v>0.33937168392092087</c:v>
                </c:pt>
                <c:pt idx="826">
                  <c:v>0.33290746137004618</c:v>
                </c:pt>
                <c:pt idx="827">
                  <c:v>0.34330113999443934</c:v>
                </c:pt>
                <c:pt idx="828">
                  <c:v>0.34559752822670697</c:v>
                </c:pt>
                <c:pt idx="829">
                  <c:v>0.33407761061915009</c:v>
                </c:pt>
                <c:pt idx="830">
                  <c:v>0.35737070848900165</c:v>
                </c:pt>
                <c:pt idx="831">
                  <c:v>0.33052596043348975</c:v>
                </c:pt>
                <c:pt idx="832">
                  <c:v>0.32203148513008784</c:v>
                </c:pt>
                <c:pt idx="833">
                  <c:v>0.29809181820525371</c:v>
                </c:pt>
                <c:pt idx="834">
                  <c:v>0.36107462543776037</c:v>
                </c:pt>
                <c:pt idx="835">
                  <c:v>0.36732379407749716</c:v>
                </c:pt>
                <c:pt idx="836">
                  <c:v>0.29787181620570147</c:v>
                </c:pt>
                <c:pt idx="837">
                  <c:v>0.32783052349893427</c:v>
                </c:pt>
                <c:pt idx="838">
                  <c:v>0.32783052349893427</c:v>
                </c:pt>
                <c:pt idx="839">
                  <c:v>0.32991707995566971</c:v>
                </c:pt>
                <c:pt idx="840">
                  <c:v>0.38108069128569338</c:v>
                </c:pt>
                <c:pt idx="841">
                  <c:v>0.31586263248486979</c:v>
                </c:pt>
                <c:pt idx="842">
                  <c:v>0.33414869445203954</c:v>
                </c:pt>
                <c:pt idx="843">
                  <c:v>0.33788059567873757</c:v>
                </c:pt>
                <c:pt idx="844">
                  <c:v>0.38511121658006647</c:v>
                </c:pt>
                <c:pt idx="845">
                  <c:v>0.35698284554750392</c:v>
                </c:pt>
                <c:pt idx="846">
                  <c:v>0.34390630443159892</c:v>
                </c:pt>
                <c:pt idx="847">
                  <c:v>0.29457548207460726</c:v>
                </c:pt>
                <c:pt idx="848">
                  <c:v>0.32432109593405445</c:v>
                </c:pt>
                <c:pt idx="849">
                  <c:v>0.33083554572713753</c:v>
                </c:pt>
                <c:pt idx="850">
                  <c:v>0.37368989102858025</c:v>
                </c:pt>
                <c:pt idx="851">
                  <c:v>0.3407783709418486</c:v>
                </c:pt>
                <c:pt idx="852">
                  <c:v>0.38088358058330413</c:v>
                </c:pt>
                <c:pt idx="853">
                  <c:v>0.33716626038131953</c:v>
                </c:pt>
                <c:pt idx="854">
                  <c:v>0.3630680582656981</c:v>
                </c:pt>
                <c:pt idx="855">
                  <c:v>0.32562157691990862</c:v>
                </c:pt>
                <c:pt idx="856">
                  <c:v>0.34802142260428476</c:v>
                </c:pt>
                <c:pt idx="857">
                  <c:v>0.36187302151390804</c:v>
                </c:pt>
                <c:pt idx="858">
                  <c:v>0.33023623831044047</c:v>
                </c:pt>
                <c:pt idx="859">
                  <c:v>0.37489781711673448</c:v>
                </c:pt>
                <c:pt idx="860">
                  <c:v>0.3416124969054356</c:v>
                </c:pt>
                <c:pt idx="861">
                  <c:v>0.36431810949711013</c:v>
                </c:pt>
                <c:pt idx="862">
                  <c:v>0.31080849864438576</c:v>
                </c:pt>
                <c:pt idx="863">
                  <c:v>0.36193926774005392</c:v>
                </c:pt>
                <c:pt idx="864">
                  <c:v>0.37741813857634282</c:v>
                </c:pt>
                <c:pt idx="865">
                  <c:v>0.31859972736963998</c:v>
                </c:pt>
                <c:pt idx="866">
                  <c:v>0.32910447631045869</c:v>
                </c:pt>
                <c:pt idx="867">
                  <c:v>0.38063024930257044</c:v>
                </c:pt>
                <c:pt idx="868">
                  <c:v>0.34402387923653283</c:v>
                </c:pt>
                <c:pt idx="869">
                  <c:v>0.29995141581785612</c:v>
                </c:pt>
                <c:pt idx="870">
                  <c:v>0.34677974475778672</c:v>
                </c:pt>
                <c:pt idx="871">
                  <c:v>0.35678300662579987</c:v>
                </c:pt>
                <c:pt idx="872">
                  <c:v>0.3274613702613316</c:v>
                </c:pt>
                <c:pt idx="873">
                  <c:v>0.35625165894965638</c:v>
                </c:pt>
                <c:pt idx="874">
                  <c:v>0.41204122868306126</c:v>
                </c:pt>
                <c:pt idx="875">
                  <c:v>0.37919963483649743</c:v>
                </c:pt>
                <c:pt idx="876">
                  <c:v>0.33498801821878926</c:v>
                </c:pt>
                <c:pt idx="877">
                  <c:v>0.35631044635212322</c:v>
                </c:pt>
                <c:pt idx="878">
                  <c:v>0.3552040730099611</c:v>
                </c:pt>
                <c:pt idx="879">
                  <c:v>0.34222858175845566</c:v>
                </c:pt>
                <c:pt idx="880">
                  <c:v>0.3208159191293064</c:v>
                </c:pt>
                <c:pt idx="881">
                  <c:v>0.39996697206071069</c:v>
                </c:pt>
                <c:pt idx="882">
                  <c:v>0.35194699261013784</c:v>
                </c:pt>
                <c:pt idx="883">
                  <c:v>0.32377477291727647</c:v>
                </c:pt>
                <c:pt idx="884">
                  <c:v>0.35584680231002552</c:v>
                </c:pt>
                <c:pt idx="885">
                  <c:v>0.36154252517168095</c:v>
                </c:pt>
                <c:pt idx="886">
                  <c:v>0.32906631926972707</c:v>
                </c:pt>
                <c:pt idx="887">
                  <c:v>0.35700591241526991</c:v>
                </c:pt>
                <c:pt idx="888">
                  <c:v>0.31718878285854868</c:v>
                </c:pt>
                <c:pt idx="889">
                  <c:v>0.35481768586144408</c:v>
                </c:pt>
                <c:pt idx="890">
                  <c:v>0.40889166906185448</c:v>
                </c:pt>
                <c:pt idx="891">
                  <c:v>0.33952611806028987</c:v>
                </c:pt>
                <c:pt idx="892">
                  <c:v>0.3385631827407149</c:v>
                </c:pt>
                <c:pt idx="893">
                  <c:v>0.37586000880697901</c:v>
                </c:pt>
                <c:pt idx="894">
                  <c:v>0.34215059097675671</c:v>
                </c:pt>
                <c:pt idx="895">
                  <c:v>0.32659165580757543</c:v>
                </c:pt>
                <c:pt idx="896">
                  <c:v>0.37707050803018988</c:v>
                </c:pt>
                <c:pt idx="897">
                  <c:v>0.35168889358387367</c:v>
                </c:pt>
                <c:pt idx="898">
                  <c:v>0.31471739537885396</c:v>
                </c:pt>
                <c:pt idx="899">
                  <c:v>0.34747078946805598</c:v>
                </c:pt>
                <c:pt idx="900">
                  <c:v>0.37702897129213858</c:v>
                </c:pt>
                <c:pt idx="901">
                  <c:v>0.33205506816703528</c:v>
                </c:pt>
                <c:pt idx="902">
                  <c:v>0.33205506816703528</c:v>
                </c:pt>
                <c:pt idx="903">
                  <c:v>0.36055907236405643</c:v>
                </c:pt>
                <c:pt idx="904">
                  <c:v>0.31415653315879671</c:v>
                </c:pt>
                <c:pt idx="905">
                  <c:v>0.34250164968238889</c:v>
                </c:pt>
                <c:pt idx="906">
                  <c:v>0.3445699488861147</c:v>
                </c:pt>
                <c:pt idx="907">
                  <c:v>0.34977974851590854</c:v>
                </c:pt>
                <c:pt idx="908">
                  <c:v>0.39884087098301335</c:v>
                </c:pt>
                <c:pt idx="909">
                  <c:v>0.33868189353410222</c:v>
                </c:pt>
                <c:pt idx="910">
                  <c:v>0.34369912415858772</c:v>
                </c:pt>
                <c:pt idx="911">
                  <c:v>0.35625434330593336</c:v>
                </c:pt>
                <c:pt idx="912">
                  <c:v>0.34424038262182954</c:v>
                </c:pt>
                <c:pt idx="913">
                  <c:v>0.36917656852033592</c:v>
                </c:pt>
                <c:pt idx="914">
                  <c:v>0.37150852226287739</c:v>
                </c:pt>
                <c:pt idx="915">
                  <c:v>0.37386268508868103</c:v>
                </c:pt>
                <c:pt idx="916">
                  <c:v>0.3714947887308247</c:v>
                </c:pt>
                <c:pt idx="917">
                  <c:v>0.37383772929900821</c:v>
                </c:pt>
                <c:pt idx="918">
                  <c:v>0.34402387923653283</c:v>
                </c:pt>
                <c:pt idx="919">
                  <c:v>0.38847234262528657</c:v>
                </c:pt>
                <c:pt idx="920">
                  <c:v>0.345092276377019</c:v>
                </c:pt>
                <c:pt idx="921">
                  <c:v>0.32529189986358348</c:v>
                </c:pt>
                <c:pt idx="922">
                  <c:v>0.37031141818151708</c:v>
                </c:pt>
                <c:pt idx="923">
                  <c:v>0.41531156552178156</c:v>
                </c:pt>
                <c:pt idx="924">
                  <c:v>0.37319012266980361</c:v>
                </c:pt>
                <c:pt idx="925">
                  <c:v>0.38454592270429755</c:v>
                </c:pt>
                <c:pt idx="926">
                  <c:v>0.41877252315441826</c:v>
                </c:pt>
                <c:pt idx="927">
                  <c:v>0.38329386408444871</c:v>
                </c:pt>
                <c:pt idx="928">
                  <c:v>0.39329060423924361</c:v>
                </c:pt>
                <c:pt idx="929">
                  <c:v>0.35872387917839998</c:v>
                </c:pt>
                <c:pt idx="930">
                  <c:v>0.33392952119135894</c:v>
                </c:pt>
                <c:pt idx="931">
                  <c:v>0.35043426207944961</c:v>
                </c:pt>
                <c:pt idx="932">
                  <c:v>0.36526129388882045</c:v>
                </c:pt>
                <c:pt idx="933">
                  <c:v>0.34549406675463767</c:v>
                </c:pt>
                <c:pt idx="934">
                  <c:v>0.35931382942482326</c:v>
                </c:pt>
                <c:pt idx="935">
                  <c:v>0.3748540615358385</c:v>
                </c:pt>
                <c:pt idx="936">
                  <c:v>0.38431916096159729</c:v>
                </c:pt>
                <c:pt idx="937">
                  <c:v>0.38490146272063003</c:v>
                </c:pt>
                <c:pt idx="938">
                  <c:v>0.35059083752245185</c:v>
                </c:pt>
                <c:pt idx="939">
                  <c:v>0.34759433463764455</c:v>
                </c:pt>
                <c:pt idx="940">
                  <c:v>0.39543660182701329</c:v>
                </c:pt>
                <c:pt idx="941">
                  <c:v>0.38122806377346097</c:v>
                </c:pt>
                <c:pt idx="942">
                  <c:v>0.35066811724753882</c:v>
                </c:pt>
                <c:pt idx="943">
                  <c:v>0.40249099171761843</c:v>
                </c:pt>
                <c:pt idx="944">
                  <c:v>0.36207317252138249</c:v>
                </c:pt>
                <c:pt idx="945">
                  <c:v>0.35323880457322571</c:v>
                </c:pt>
                <c:pt idx="946">
                  <c:v>0.32961553547045896</c:v>
                </c:pt>
                <c:pt idx="947">
                  <c:v>0.39328772250382854</c:v>
                </c:pt>
                <c:pt idx="948">
                  <c:v>0.31859354264845019</c:v>
                </c:pt>
                <c:pt idx="949">
                  <c:v>0.39387559652849796</c:v>
                </c:pt>
                <c:pt idx="950">
                  <c:v>0.36479143958235388</c:v>
                </c:pt>
                <c:pt idx="951">
                  <c:v>0.39258507307434271</c:v>
                </c:pt>
                <c:pt idx="952">
                  <c:v>0.38763253998482566</c:v>
                </c:pt>
                <c:pt idx="953">
                  <c:v>0.3503754096945923</c:v>
                </c:pt>
                <c:pt idx="954">
                  <c:v>0.36320816824157764</c:v>
                </c:pt>
                <c:pt idx="955">
                  <c:v>0.37471249936235157</c:v>
                </c:pt>
                <c:pt idx="956">
                  <c:v>0.33989478700916231</c:v>
                </c:pt>
                <c:pt idx="957">
                  <c:v>0.37925659224379676</c:v>
                </c:pt>
                <c:pt idx="958">
                  <c:v>0.37468495212859193</c:v>
                </c:pt>
                <c:pt idx="959">
                  <c:v>0.35906433208492811</c:v>
                </c:pt>
                <c:pt idx="960">
                  <c:v>0.37188805823081839</c:v>
                </c:pt>
                <c:pt idx="961">
                  <c:v>0.34524238176039301</c:v>
                </c:pt>
                <c:pt idx="962">
                  <c:v>0.39224721307988314</c:v>
                </c:pt>
                <c:pt idx="963">
                  <c:v>0.3768987480052749</c:v>
                </c:pt>
                <c:pt idx="964">
                  <c:v>0.36274626722219444</c:v>
                </c:pt>
                <c:pt idx="965">
                  <c:v>0.41338548472651632</c:v>
                </c:pt>
                <c:pt idx="966">
                  <c:v>0.33616047628255497</c:v>
                </c:pt>
                <c:pt idx="967">
                  <c:v>0.35310974399428041</c:v>
                </c:pt>
                <c:pt idx="968">
                  <c:v>0.38841405720253697</c:v>
                </c:pt>
                <c:pt idx="969">
                  <c:v>0.37966599285112856</c:v>
                </c:pt>
                <c:pt idx="970">
                  <c:v>0.38367598220048388</c:v>
                </c:pt>
                <c:pt idx="971">
                  <c:v>0.42909432363077343</c:v>
                </c:pt>
                <c:pt idx="972">
                  <c:v>0.37792164029651004</c:v>
                </c:pt>
                <c:pt idx="973">
                  <c:v>0.40955223718634853</c:v>
                </c:pt>
                <c:pt idx="974">
                  <c:v>0.36913121203795685</c:v>
                </c:pt>
                <c:pt idx="975">
                  <c:v>0.42878878166025292</c:v>
                </c:pt>
                <c:pt idx="976">
                  <c:v>0.42725147959741688</c:v>
                </c:pt>
                <c:pt idx="977">
                  <c:v>0.38879411009608161</c:v>
                </c:pt>
                <c:pt idx="978">
                  <c:v>0.35528656575915746</c:v>
                </c:pt>
                <c:pt idx="979">
                  <c:v>0.408572447145233</c:v>
                </c:pt>
                <c:pt idx="980">
                  <c:v>0.40279076157242305</c:v>
                </c:pt>
                <c:pt idx="981">
                  <c:v>0.38575393151200671</c:v>
                </c:pt>
                <c:pt idx="982">
                  <c:v>0.38575393151200671</c:v>
                </c:pt>
                <c:pt idx="983">
                  <c:v>0.36237596682690842</c:v>
                </c:pt>
                <c:pt idx="984">
                  <c:v>0.4359548433399863</c:v>
                </c:pt>
                <c:pt idx="985">
                  <c:v>0.38395522236220181</c:v>
                </c:pt>
                <c:pt idx="986">
                  <c:v>0.38972323746737159</c:v>
                </c:pt>
                <c:pt idx="987">
                  <c:v>0.35204775980181641</c:v>
                </c:pt>
                <c:pt idx="988">
                  <c:v>0.39621360927798588</c:v>
                </c:pt>
                <c:pt idx="989">
                  <c:v>0.42609572657023059</c:v>
                </c:pt>
                <c:pt idx="990">
                  <c:v>0.42400702202821972</c:v>
                </c:pt>
                <c:pt idx="991">
                  <c:v>0.3919470505199672</c:v>
                </c:pt>
                <c:pt idx="992">
                  <c:v>0.37879110845444819</c:v>
                </c:pt>
                <c:pt idx="993">
                  <c:v>0.37714419059160276</c:v>
                </c:pt>
                <c:pt idx="994">
                  <c:v>0.37767838916184582</c:v>
                </c:pt>
                <c:pt idx="995">
                  <c:v>0.37986417108463083</c:v>
                </c:pt>
                <c:pt idx="996">
                  <c:v>0.40329518911822382</c:v>
                </c:pt>
                <c:pt idx="997">
                  <c:v>0.3877094512030767</c:v>
                </c:pt>
                <c:pt idx="998">
                  <c:v>0.39707950996294616</c:v>
                </c:pt>
                <c:pt idx="999">
                  <c:v>0.34992143145201632</c:v>
                </c:pt>
                <c:pt idx="1000">
                  <c:v>0.38088358058330418</c:v>
                </c:pt>
                <c:pt idx="1001">
                  <c:v>0.35611066477300801</c:v>
                </c:pt>
                <c:pt idx="1002">
                  <c:v>0.40426769219039566</c:v>
                </c:pt>
                <c:pt idx="1003">
                  <c:v>0.39750658315145609</c:v>
                </c:pt>
                <c:pt idx="1004">
                  <c:v>0.34771470572184854</c:v>
                </c:pt>
                <c:pt idx="1005">
                  <c:v>0.40225884118166017</c:v>
                </c:pt>
                <c:pt idx="1006">
                  <c:v>0.41416691028140606</c:v>
                </c:pt>
                <c:pt idx="1007">
                  <c:v>0.40154735255043356</c:v>
                </c:pt>
                <c:pt idx="1008">
                  <c:v>0.39669633736435561</c:v>
                </c:pt>
                <c:pt idx="1009">
                  <c:v>0.42125372967738706</c:v>
                </c:pt>
                <c:pt idx="1010">
                  <c:v>0.37116742499817207</c:v>
                </c:pt>
                <c:pt idx="1011">
                  <c:v>0.38402170811499187</c:v>
                </c:pt>
                <c:pt idx="1012">
                  <c:v>0.38791214081100006</c:v>
                </c:pt>
                <c:pt idx="1013">
                  <c:v>0.36160465819867854</c:v>
                </c:pt>
                <c:pt idx="1014">
                  <c:v>0.3901523943722584</c:v>
                </c:pt>
                <c:pt idx="1015">
                  <c:v>0.42825774801937905</c:v>
                </c:pt>
                <c:pt idx="1016">
                  <c:v>0.37637332176872035</c:v>
                </c:pt>
                <c:pt idx="1017">
                  <c:v>0.43151373396300785</c:v>
                </c:pt>
                <c:pt idx="1018">
                  <c:v>0.41797293739018004</c:v>
                </c:pt>
                <c:pt idx="1019">
                  <c:v>0.41660034545420671</c:v>
                </c:pt>
                <c:pt idx="1020">
                  <c:v>0.38114499690491255</c:v>
                </c:pt>
                <c:pt idx="1021">
                  <c:v>0.41143091717344193</c:v>
                </c:pt>
                <c:pt idx="1022">
                  <c:v>0.40275697585186659</c:v>
                </c:pt>
                <c:pt idx="1023">
                  <c:v>0.38766237623328526</c:v>
                </c:pt>
                <c:pt idx="1024">
                  <c:v>0.36461755853149008</c:v>
                </c:pt>
                <c:pt idx="1025">
                  <c:v>0.41368533315795397</c:v>
                </c:pt>
                <c:pt idx="1026">
                  <c:v>0.4180845754610642</c:v>
                </c:pt>
                <c:pt idx="1027">
                  <c:v>0.43626216569850174</c:v>
                </c:pt>
                <c:pt idx="1028">
                  <c:v>0.43897637849876586</c:v>
                </c:pt>
                <c:pt idx="1029">
                  <c:v>0.39542357922227805</c:v>
                </c:pt>
                <c:pt idx="1030">
                  <c:v>0.39253188447211074</c:v>
                </c:pt>
                <c:pt idx="1031">
                  <c:v>0.40479850586186422</c:v>
                </c:pt>
                <c:pt idx="1032">
                  <c:v>0.39649664185246064</c:v>
                </c:pt>
                <c:pt idx="1033">
                  <c:v>0.39530694197986693</c:v>
                </c:pt>
                <c:pt idx="1034">
                  <c:v>0.41383391966602406</c:v>
                </c:pt>
                <c:pt idx="1035">
                  <c:v>0.42345796430942001</c:v>
                </c:pt>
                <c:pt idx="1036">
                  <c:v>0.38144907112000503</c:v>
                </c:pt>
                <c:pt idx="1037">
                  <c:v>0.43679040032936417</c:v>
                </c:pt>
                <c:pt idx="1038">
                  <c:v>0.37463958745898773</c:v>
                </c:pt>
                <c:pt idx="1039">
                  <c:v>0.42181993092695347</c:v>
                </c:pt>
                <c:pt idx="1040">
                  <c:v>0.36179812257371113</c:v>
                </c:pt>
                <c:pt idx="1041">
                  <c:v>0.39003315183959497</c:v>
                </c:pt>
                <c:pt idx="1042">
                  <c:v>0.41852872457673435</c:v>
                </c:pt>
                <c:pt idx="1043">
                  <c:v>0.44553716676437244</c:v>
                </c:pt>
                <c:pt idx="1044">
                  <c:v>0.40719640573350679</c:v>
                </c:pt>
                <c:pt idx="1045">
                  <c:v>0.40362450743759887</c:v>
                </c:pt>
                <c:pt idx="1046">
                  <c:v>0.43060398769592723</c:v>
                </c:pt>
                <c:pt idx="1047">
                  <c:v>0.45679266850536804</c:v>
                </c:pt>
                <c:pt idx="1048">
                  <c:v>0.41432728569166033</c:v>
                </c:pt>
                <c:pt idx="1049">
                  <c:v>0.45514770792729181</c:v>
                </c:pt>
                <c:pt idx="1050">
                  <c:v>0.41487825282688856</c:v>
                </c:pt>
                <c:pt idx="1051">
                  <c:v>0.38761805879310485</c:v>
                </c:pt>
                <c:pt idx="1052">
                  <c:v>0.42748194342261731</c:v>
                </c:pt>
                <c:pt idx="1053">
                  <c:v>0.4033199205335129</c:v>
                </c:pt>
                <c:pt idx="1054">
                  <c:v>0.346591221618895</c:v>
                </c:pt>
                <c:pt idx="1055">
                  <c:v>0.38593075960589113</c:v>
                </c:pt>
                <c:pt idx="1056">
                  <c:v>0.42332808516443488</c:v>
                </c:pt>
                <c:pt idx="1057">
                  <c:v>0.38856268503054825</c:v>
                </c:pt>
                <c:pt idx="1058">
                  <c:v>0.40776379946937769</c:v>
                </c:pt>
                <c:pt idx="1059">
                  <c:v>0.41189769052706338</c:v>
                </c:pt>
                <c:pt idx="1060">
                  <c:v>0.39009850591999706</c:v>
                </c:pt>
                <c:pt idx="1061">
                  <c:v>0.40407977194808281</c:v>
                </c:pt>
                <c:pt idx="1062">
                  <c:v>0.47649427798533556</c:v>
                </c:pt>
                <c:pt idx="1063">
                  <c:v>0.41589486032861506</c:v>
                </c:pt>
                <c:pt idx="1064">
                  <c:v>0.45909806880694098</c:v>
                </c:pt>
                <c:pt idx="1065">
                  <c:v>0.38153024201044056</c:v>
                </c:pt>
                <c:pt idx="1066">
                  <c:v>0.46945689277479963</c:v>
                </c:pt>
                <c:pt idx="1067">
                  <c:v>0.43742454221708627</c:v>
                </c:pt>
                <c:pt idx="1068">
                  <c:v>0.40955223718634864</c:v>
                </c:pt>
                <c:pt idx="1069">
                  <c:v>0.4191567808017807</c:v>
                </c:pt>
                <c:pt idx="1070">
                  <c:v>0.42156576947714824</c:v>
                </c:pt>
                <c:pt idx="1071">
                  <c:v>0.37539590436171644</c:v>
                </c:pt>
                <c:pt idx="1072">
                  <c:v>0.43823976716437851</c:v>
                </c:pt>
                <c:pt idx="1073">
                  <c:v>0.43226377033940977</c:v>
                </c:pt>
                <c:pt idx="1074">
                  <c:v>0.4839784813044769</c:v>
                </c:pt>
                <c:pt idx="1075">
                  <c:v>0.4726070618224647</c:v>
                </c:pt>
                <c:pt idx="1076">
                  <c:v>0.42619029682204401</c:v>
                </c:pt>
                <c:pt idx="1077">
                  <c:v>0.43449769163315349</c:v>
                </c:pt>
                <c:pt idx="1078">
                  <c:v>0.39880149096020695</c:v>
                </c:pt>
                <c:pt idx="1079">
                  <c:v>0.38643235282905475</c:v>
                </c:pt>
                <c:pt idx="1080">
                  <c:v>0.45694328177505461</c:v>
                </c:pt>
                <c:pt idx="1081">
                  <c:v>0.41236461306402311</c:v>
                </c:pt>
                <c:pt idx="1082">
                  <c:v>0.4025264456697627</c:v>
                </c:pt>
                <c:pt idx="1083">
                  <c:v>0.47625653720333311</c:v>
                </c:pt>
                <c:pt idx="1084">
                  <c:v>0.39317014769889475</c:v>
                </c:pt>
                <c:pt idx="1085">
                  <c:v>0.43840705389720497</c:v>
                </c:pt>
                <c:pt idx="1086">
                  <c:v>0.4409699430526986</c:v>
                </c:pt>
                <c:pt idx="1087">
                  <c:v>0.43361113542464985</c:v>
                </c:pt>
                <c:pt idx="1088">
                  <c:v>0.40289701333207045</c:v>
                </c:pt>
                <c:pt idx="1089">
                  <c:v>0.39197631121802756</c:v>
                </c:pt>
                <c:pt idx="1090">
                  <c:v>0.45299539505611547</c:v>
                </c:pt>
                <c:pt idx="1091">
                  <c:v>0.43139502316962053</c:v>
                </c:pt>
                <c:pt idx="1092">
                  <c:v>0.4650083535134954</c:v>
                </c:pt>
                <c:pt idx="1093">
                  <c:v>0.39080165283323876</c:v>
                </c:pt>
                <c:pt idx="1094">
                  <c:v>0.416378107806121</c:v>
                </c:pt>
                <c:pt idx="1095">
                  <c:v>0.41690317477687283</c:v>
                </c:pt>
                <c:pt idx="1096">
                  <c:v>0.42468786334323544</c:v>
                </c:pt>
                <c:pt idx="1097">
                  <c:v>0.42654239549757272</c:v>
                </c:pt>
                <c:pt idx="1098">
                  <c:v>0.39918805812285735</c:v>
                </c:pt>
                <c:pt idx="1099">
                  <c:v>0.39695062988830709</c:v>
                </c:pt>
                <c:pt idx="1100">
                  <c:v>0.39218722232964748</c:v>
                </c:pt>
                <c:pt idx="1101">
                  <c:v>0.41774328193007565</c:v>
                </c:pt>
                <c:pt idx="1102">
                  <c:v>0.43880596841394492</c:v>
                </c:pt>
                <c:pt idx="1103">
                  <c:v>0.42550881785594658</c:v>
                </c:pt>
                <c:pt idx="1104">
                  <c:v>0.44587451704540942</c:v>
                </c:pt>
                <c:pt idx="1105">
                  <c:v>0.41108805807579735</c:v>
                </c:pt>
                <c:pt idx="1106">
                  <c:v>0.38891338428876882</c:v>
                </c:pt>
                <c:pt idx="1107">
                  <c:v>0.43818465022858</c:v>
                </c:pt>
                <c:pt idx="1108">
                  <c:v>0.43298077127866808</c:v>
                </c:pt>
                <c:pt idx="1109">
                  <c:v>0.42660226594475026</c:v>
                </c:pt>
                <c:pt idx="1110">
                  <c:v>0.40391467602669845</c:v>
                </c:pt>
                <c:pt idx="1111">
                  <c:v>0.39220649537610325</c:v>
                </c:pt>
                <c:pt idx="1112">
                  <c:v>0.40264412716151865</c:v>
                </c:pt>
                <c:pt idx="1113">
                  <c:v>0.45836188737157096</c:v>
                </c:pt>
                <c:pt idx="1114">
                  <c:v>0.41530627688235522</c:v>
                </c:pt>
                <c:pt idx="1115">
                  <c:v>0.43055491601641771</c:v>
                </c:pt>
                <c:pt idx="1116">
                  <c:v>0.41341277056966252</c:v>
                </c:pt>
                <c:pt idx="1117">
                  <c:v>0.39810412346972229</c:v>
                </c:pt>
                <c:pt idx="1118">
                  <c:v>0.45604195059669089</c:v>
                </c:pt>
                <c:pt idx="1119">
                  <c:v>0.4295092317950055</c:v>
                </c:pt>
                <c:pt idx="1120">
                  <c:v>0.40971737921747214</c:v>
                </c:pt>
                <c:pt idx="1121">
                  <c:v>0.39691371111692614</c:v>
                </c:pt>
                <c:pt idx="1122">
                  <c:v>0.45675175510423727</c:v>
                </c:pt>
                <c:pt idx="1123">
                  <c:v>0.43395109386979064</c:v>
                </c:pt>
                <c:pt idx="1124">
                  <c:v>0.45991609338088607</c:v>
                </c:pt>
                <c:pt idx="1125">
                  <c:v>0.49146268462361842</c:v>
                </c:pt>
                <c:pt idx="1126">
                  <c:v>0.43738078663619018</c:v>
                </c:pt>
                <c:pt idx="1127">
                  <c:v>0.43236274153596799</c:v>
                </c:pt>
                <c:pt idx="1128">
                  <c:v>0.41535560896834139</c:v>
                </c:pt>
                <c:pt idx="1129">
                  <c:v>0.44659000472320104</c:v>
                </c:pt>
                <c:pt idx="1130">
                  <c:v>0.45303333373344551</c:v>
                </c:pt>
                <c:pt idx="1131">
                  <c:v>0.45158522995021072</c:v>
                </c:pt>
                <c:pt idx="1132">
                  <c:v>0.46644478778191839</c:v>
                </c:pt>
                <c:pt idx="1133">
                  <c:v>0.43917942030195684</c:v>
                </c:pt>
                <c:pt idx="1134">
                  <c:v>0.44926099757441629</c:v>
                </c:pt>
                <c:pt idx="1135">
                  <c:v>0.42749130212095732</c:v>
                </c:pt>
                <c:pt idx="1136">
                  <c:v>0.4315656699351148</c:v>
                </c:pt>
                <c:pt idx="1137">
                  <c:v>0.40826230888024984</c:v>
                </c:pt>
                <c:pt idx="1138">
                  <c:v>0.4399215768082177</c:v>
                </c:pt>
                <c:pt idx="1139">
                  <c:v>0.44231641616125655</c:v>
                </c:pt>
                <c:pt idx="1140">
                  <c:v>0.43181420526577252</c:v>
                </c:pt>
                <c:pt idx="1141">
                  <c:v>0.40383755480700417</c:v>
                </c:pt>
                <c:pt idx="1142">
                  <c:v>0.43645587787181178</c:v>
                </c:pt>
                <c:pt idx="1143">
                  <c:v>0.42453585561999552</c:v>
                </c:pt>
                <c:pt idx="1144">
                  <c:v>0.44304528031218138</c:v>
                </c:pt>
                <c:pt idx="1145">
                  <c:v>0.43436328558021037</c:v>
                </c:pt>
                <c:pt idx="1146">
                  <c:v>0.45174317886201126</c:v>
                </c:pt>
                <c:pt idx="1147">
                  <c:v>0.43719701319642712</c:v>
                </c:pt>
                <c:pt idx="1148">
                  <c:v>0.42358930983184845</c:v>
                </c:pt>
                <c:pt idx="1149">
                  <c:v>0.47805915686115602</c:v>
                </c:pt>
                <c:pt idx="1150">
                  <c:v>0.44616898381614506</c:v>
                </c:pt>
                <c:pt idx="1151">
                  <c:v>0.45244096932088468</c:v>
                </c:pt>
                <c:pt idx="1152">
                  <c:v>0.54402892537588687</c:v>
                </c:pt>
                <c:pt idx="1153">
                  <c:v>0.47383173629631364</c:v>
                </c:pt>
                <c:pt idx="1154">
                  <c:v>0.49490751652518572</c:v>
                </c:pt>
                <c:pt idx="1155">
                  <c:v>0.43102875694124254</c:v>
                </c:pt>
                <c:pt idx="1156">
                  <c:v>0.45703911296355892</c:v>
                </c:pt>
                <c:pt idx="1157">
                  <c:v>0.43328955052531254</c:v>
                </c:pt>
                <c:pt idx="1158">
                  <c:v>0.47928680730186207</c:v>
                </c:pt>
                <c:pt idx="1159">
                  <c:v>0.44947061979818259</c:v>
                </c:pt>
                <c:pt idx="1160">
                  <c:v>0.49146268462361825</c:v>
                </c:pt>
                <c:pt idx="1161">
                  <c:v>0.4642185575412221</c:v>
                </c:pt>
                <c:pt idx="1162">
                  <c:v>0.43629850573729384</c:v>
                </c:pt>
                <c:pt idx="1163">
                  <c:v>0.42978313083049358</c:v>
                </c:pt>
                <c:pt idx="1164">
                  <c:v>0.45643289752810512</c:v>
                </c:pt>
                <c:pt idx="1165">
                  <c:v>0.44743581912608582</c:v>
                </c:pt>
                <c:pt idx="1166">
                  <c:v>0.44424571182403516</c:v>
                </c:pt>
                <c:pt idx="1167">
                  <c:v>0.41879505032129344</c:v>
                </c:pt>
                <c:pt idx="1168">
                  <c:v>0.49885737779503853</c:v>
                </c:pt>
                <c:pt idx="1169">
                  <c:v>0.48158955033430456</c:v>
                </c:pt>
                <c:pt idx="1170">
                  <c:v>0.4169842662009271</c:v>
                </c:pt>
                <c:pt idx="1171">
                  <c:v>0.43597496216611303</c:v>
                </c:pt>
                <c:pt idx="1172">
                  <c:v>0.41520123356133271</c:v>
                </c:pt>
                <c:pt idx="1173">
                  <c:v>0.43923233858568317</c:v>
                </c:pt>
                <c:pt idx="1174">
                  <c:v>0.45444875858501949</c:v>
                </c:pt>
                <c:pt idx="1175">
                  <c:v>0.46126688408530281</c:v>
                </c:pt>
                <c:pt idx="1176">
                  <c:v>0.47590327648597103</c:v>
                </c:pt>
                <c:pt idx="1177">
                  <c:v>0.47080854162758268</c:v>
                </c:pt>
                <c:pt idx="1178">
                  <c:v>0.45000184085907435</c:v>
                </c:pt>
                <c:pt idx="1179">
                  <c:v>0.49091171748839008</c:v>
                </c:pt>
                <c:pt idx="1180">
                  <c:v>0.45101308095089254</c:v>
                </c:pt>
                <c:pt idx="1181">
                  <c:v>0.47142450649518752</c:v>
                </c:pt>
                <c:pt idx="1182">
                  <c:v>0.48019552700670132</c:v>
                </c:pt>
                <c:pt idx="1183">
                  <c:v>0.48496758306471588</c:v>
                </c:pt>
                <c:pt idx="1184">
                  <c:v>0.4812685896368839</c:v>
                </c:pt>
                <c:pt idx="1185">
                  <c:v>0.44669381659110247</c:v>
                </c:pt>
                <c:pt idx="1186">
                  <c:v>0.45643073706263732</c:v>
                </c:pt>
                <c:pt idx="1187">
                  <c:v>0.47107221153817036</c:v>
                </c:pt>
                <c:pt idx="1188">
                  <c:v>0.47159504418138698</c:v>
                </c:pt>
                <c:pt idx="1189">
                  <c:v>0.48291550749972934</c:v>
                </c:pt>
                <c:pt idx="1190">
                  <c:v>0.46473040470685256</c:v>
                </c:pt>
                <c:pt idx="1191">
                  <c:v>0.49862525738158592</c:v>
                </c:pt>
                <c:pt idx="1192">
                  <c:v>0.451170703394354</c:v>
                </c:pt>
                <c:pt idx="1193">
                  <c:v>0.48087081642052315</c:v>
                </c:pt>
                <c:pt idx="1194">
                  <c:v>0.46535372950298859</c:v>
                </c:pt>
                <c:pt idx="1195">
                  <c:v>0.42191607830895528</c:v>
                </c:pt>
                <c:pt idx="1196">
                  <c:v>0.44241354317402803</c:v>
                </c:pt>
                <c:pt idx="1197">
                  <c:v>0.39920412016135548</c:v>
                </c:pt>
                <c:pt idx="1198">
                  <c:v>0.48404837688145169</c:v>
                </c:pt>
                <c:pt idx="1199">
                  <c:v>0.49744287215775529</c:v>
                </c:pt>
                <c:pt idx="1200">
                  <c:v>0.51212645659074763</c:v>
                </c:pt>
                <c:pt idx="1201">
                  <c:v>0.43214822268628506</c:v>
                </c:pt>
                <c:pt idx="1202">
                  <c:v>0.52517931066175039</c:v>
                </c:pt>
                <c:pt idx="1203">
                  <c:v>0.41557506420379481</c:v>
                </c:pt>
                <c:pt idx="1204">
                  <c:v>0.41450286862486485</c:v>
                </c:pt>
                <c:pt idx="1205">
                  <c:v>0.46477464949549152</c:v>
                </c:pt>
                <c:pt idx="1206">
                  <c:v>0.42203672917492874</c:v>
                </c:pt>
                <c:pt idx="1207">
                  <c:v>0.48987390439315415</c:v>
                </c:pt>
                <c:pt idx="1208">
                  <c:v>0.47655429774696045</c:v>
                </c:pt>
                <c:pt idx="1209">
                  <c:v>0.50008483698543627</c:v>
                </c:pt>
                <c:pt idx="1210">
                  <c:v>0.46399271749526572</c:v>
                </c:pt>
                <c:pt idx="1211">
                  <c:v>0.4607462668346422</c:v>
                </c:pt>
                <c:pt idx="1212">
                  <c:v>0.45212624445117455</c:v>
                </c:pt>
                <c:pt idx="1213">
                  <c:v>0.46360650007005294</c:v>
                </c:pt>
                <c:pt idx="1214">
                  <c:v>0.53128026323895772</c:v>
                </c:pt>
                <c:pt idx="1215">
                  <c:v>0.49304464605481024</c:v>
                </c:pt>
                <c:pt idx="1216">
                  <c:v>0.51802823514381402</c:v>
                </c:pt>
                <c:pt idx="1217">
                  <c:v>0.5209282075705095</c:v>
                </c:pt>
                <c:pt idx="1218">
                  <c:v>0.52624657326136293</c:v>
                </c:pt>
                <c:pt idx="1219">
                  <c:v>0.50380290487071799</c:v>
                </c:pt>
                <c:pt idx="1220">
                  <c:v>0.5070903357794132</c:v>
                </c:pt>
                <c:pt idx="1221">
                  <c:v>0.4925083499100516</c:v>
                </c:pt>
                <c:pt idx="1222">
                  <c:v>0.51266516769919479</c:v>
                </c:pt>
                <c:pt idx="1223">
                  <c:v>0.48990742296341699</c:v>
                </c:pt>
                <c:pt idx="1224">
                  <c:v>0.52356272483552135</c:v>
                </c:pt>
                <c:pt idx="1225">
                  <c:v>0.4793278035218006</c:v>
                </c:pt>
                <c:pt idx="1226">
                  <c:v>0.47786689314325187</c:v>
                </c:pt>
                <c:pt idx="1227">
                  <c:v>0.49249952573041922</c:v>
                </c:pt>
                <c:pt idx="1228">
                  <c:v>0.48636452399474261</c:v>
                </c:pt>
                <c:pt idx="1229">
                  <c:v>0.4741227713556479</c:v>
                </c:pt>
                <c:pt idx="1230">
                  <c:v>0.42846610414004543</c:v>
                </c:pt>
                <c:pt idx="1231">
                  <c:v>0.45460298327684701</c:v>
                </c:pt>
                <c:pt idx="1232">
                  <c:v>0.51327001153873564</c:v>
                </c:pt>
                <c:pt idx="1233">
                  <c:v>0.53573860215727775</c:v>
                </c:pt>
                <c:pt idx="1234">
                  <c:v>0.46737137655383315</c:v>
                </c:pt>
                <c:pt idx="1235">
                  <c:v>0.48745074434097657</c:v>
                </c:pt>
                <c:pt idx="1236">
                  <c:v>0.51805698573961489</c:v>
                </c:pt>
                <c:pt idx="1237">
                  <c:v>0.51858887176193491</c:v>
                </c:pt>
                <c:pt idx="1238">
                  <c:v>0.52018452982889474</c:v>
                </c:pt>
                <c:pt idx="1239">
                  <c:v>0.46133470395703635</c:v>
                </c:pt>
                <c:pt idx="1240">
                  <c:v>0.47549982183564643</c:v>
                </c:pt>
                <c:pt idx="1241">
                  <c:v>0.46594442984508433</c:v>
                </c:pt>
                <c:pt idx="1242">
                  <c:v>0.47281769950657443</c:v>
                </c:pt>
                <c:pt idx="1243">
                  <c:v>0.50314000047727869</c:v>
                </c:pt>
                <c:pt idx="1244">
                  <c:v>0.48998237533258343</c:v>
                </c:pt>
                <c:pt idx="1245">
                  <c:v>0.52694544310398739</c:v>
                </c:pt>
                <c:pt idx="1246">
                  <c:v>0.48417815866575836</c:v>
                </c:pt>
                <c:pt idx="1247">
                  <c:v>0.48134433523430864</c:v>
                </c:pt>
                <c:pt idx="1248">
                  <c:v>0.4934364303449984</c:v>
                </c:pt>
                <c:pt idx="1249">
                  <c:v>0.4934364303449984</c:v>
                </c:pt>
                <c:pt idx="1250">
                  <c:v>0.51624231578111168</c:v>
                </c:pt>
                <c:pt idx="1251">
                  <c:v>0.51491422351644656</c:v>
                </c:pt>
                <c:pt idx="1252">
                  <c:v>0.54427336783975278</c:v>
                </c:pt>
                <c:pt idx="1253">
                  <c:v>0.47912867902495609</c:v>
                </c:pt>
                <c:pt idx="1254">
                  <c:v>0.45125210133623134</c:v>
                </c:pt>
                <c:pt idx="1255">
                  <c:v>0.51573244682725383</c:v>
                </c:pt>
                <c:pt idx="1256">
                  <c:v>0.45406878470660389</c:v>
                </c:pt>
                <c:pt idx="1257">
                  <c:v>0.48574800224427389</c:v>
                </c:pt>
                <c:pt idx="1258">
                  <c:v>0.49339757708276644</c:v>
                </c:pt>
                <c:pt idx="1259">
                  <c:v>0.50738050436851279</c:v>
                </c:pt>
                <c:pt idx="1260">
                  <c:v>0.51865426758435129</c:v>
                </c:pt>
                <c:pt idx="1261">
                  <c:v>0.48118494787293437</c:v>
                </c:pt>
                <c:pt idx="1262">
                  <c:v>0.52294066649000714</c:v>
                </c:pt>
                <c:pt idx="1263">
                  <c:v>0.52584484774543527</c:v>
                </c:pt>
                <c:pt idx="1264">
                  <c:v>0.47857789513910404</c:v>
                </c:pt>
                <c:pt idx="1265">
                  <c:v>0.47679215672440584</c:v>
                </c:pt>
                <c:pt idx="1266">
                  <c:v>0.55848032343592979</c:v>
                </c:pt>
                <c:pt idx="1267">
                  <c:v>0.53530686603194932</c:v>
                </c:pt>
                <c:pt idx="1268">
                  <c:v>0.54897427537744592</c:v>
                </c:pt>
                <c:pt idx="1269">
                  <c:v>0.51477316768877024</c:v>
                </c:pt>
                <c:pt idx="1270">
                  <c:v>0.55420260180961223</c:v>
                </c:pt>
                <c:pt idx="1271">
                  <c:v>0.49332428570173814</c:v>
                </c:pt>
                <c:pt idx="1272">
                  <c:v>0.53817194803825974</c:v>
                </c:pt>
                <c:pt idx="1273">
                  <c:v>0.55185428570024941</c:v>
                </c:pt>
                <c:pt idx="1274">
                  <c:v>0.55237927788578944</c:v>
                </c:pt>
                <c:pt idx="1275">
                  <c:v>0.53879618088859793</c:v>
                </c:pt>
                <c:pt idx="1276">
                  <c:v>0.5344157241334061</c:v>
                </c:pt>
                <c:pt idx="1277">
                  <c:v>0.50563949283391496</c:v>
                </c:pt>
                <c:pt idx="1278">
                  <c:v>0.57660643919656973</c:v>
                </c:pt>
                <c:pt idx="1279">
                  <c:v>0.53941026361128852</c:v>
                </c:pt>
                <c:pt idx="1280">
                  <c:v>0.57196088296714209</c:v>
                </c:pt>
                <c:pt idx="1281">
                  <c:v>0.6086923158182429</c:v>
                </c:pt>
                <c:pt idx="1282">
                  <c:v>0.5438316592146597</c:v>
                </c:pt>
                <c:pt idx="1283">
                  <c:v>0.55520889057898315</c:v>
                </c:pt>
                <c:pt idx="1284">
                  <c:v>0.54832613573709488</c:v>
                </c:pt>
                <c:pt idx="1285">
                  <c:v>0.6086923158182429</c:v>
                </c:pt>
                <c:pt idx="1286">
                  <c:v>0.52313899046849999</c:v>
                </c:pt>
                <c:pt idx="1287">
                  <c:v>0.52313899046849999</c:v>
                </c:pt>
                <c:pt idx="1288">
                  <c:v>0.52725819511785821</c:v>
                </c:pt>
                <c:pt idx="1289">
                  <c:v>0.51707946548237826</c:v>
                </c:pt>
                <c:pt idx="1290">
                  <c:v>0.51908364945711616</c:v>
                </c:pt>
                <c:pt idx="1291">
                  <c:v>0.5747793199997252</c:v>
                </c:pt>
                <c:pt idx="1292">
                  <c:v>0.5341985702430635</c:v>
                </c:pt>
                <c:pt idx="1293">
                  <c:v>0.57757366782690189</c:v>
                </c:pt>
                <c:pt idx="1294">
                  <c:v>0.56786654735922293</c:v>
                </c:pt>
                <c:pt idx="1295">
                  <c:v>0.54060895308598023</c:v>
                </c:pt>
                <c:pt idx="1296">
                  <c:v>0.54496870270764142</c:v>
                </c:pt>
                <c:pt idx="1297">
                  <c:v>0.49688322893931997</c:v>
                </c:pt>
                <c:pt idx="1298">
                  <c:v>0.51659429917823507</c:v>
                </c:pt>
                <c:pt idx="1299">
                  <c:v>0.52053776711089339</c:v>
                </c:pt>
                <c:pt idx="1300">
                  <c:v>0.61991315901388211</c:v>
                </c:pt>
                <c:pt idx="1301">
                  <c:v>0.55893809419284457</c:v>
                </c:pt>
                <c:pt idx="1302">
                  <c:v>0.57099399043407939</c:v>
                </c:pt>
                <c:pt idx="1303">
                  <c:v>0.52723966166518443</c:v>
                </c:pt>
                <c:pt idx="1304">
                  <c:v>0.56629445141816115</c:v>
                </c:pt>
                <c:pt idx="1305">
                  <c:v>0.55712369107130821</c:v>
                </c:pt>
                <c:pt idx="1306">
                  <c:v>0.58335381683265619</c:v>
                </c:pt>
                <c:pt idx="1307">
                  <c:v>0.61981343038469716</c:v>
                </c:pt>
                <c:pt idx="1308">
                  <c:v>0.55758316628984816</c:v>
                </c:pt>
                <c:pt idx="1309">
                  <c:v>0.54876762215878327</c:v>
                </c:pt>
                <c:pt idx="1310">
                  <c:v>0.4690480013722032</c:v>
                </c:pt>
                <c:pt idx="1311">
                  <c:v>0.62251940052325005</c:v>
                </c:pt>
                <c:pt idx="1312">
                  <c:v>0.51685190080343635</c:v>
                </c:pt>
                <c:pt idx="1313">
                  <c:v>0.53665465562349135</c:v>
                </c:pt>
                <c:pt idx="1314">
                  <c:v>0.54928182399110292</c:v>
                </c:pt>
                <c:pt idx="1315">
                  <c:v>0.61701101235497935</c:v>
                </c:pt>
                <c:pt idx="1316">
                  <c:v>0.54136215260264464</c:v>
                </c:pt>
                <c:pt idx="1317">
                  <c:v>0.5519356321456651</c:v>
                </c:pt>
                <c:pt idx="1318">
                  <c:v>0.5519356321456651</c:v>
                </c:pt>
                <c:pt idx="1319">
                  <c:v>0.61432835577952294</c:v>
                </c:pt>
                <c:pt idx="1320">
                  <c:v>0.54191702867243086</c:v>
                </c:pt>
                <c:pt idx="1321">
                  <c:v>0.56111881315294998</c:v>
                </c:pt>
                <c:pt idx="1322">
                  <c:v>0.63626865420022016</c:v>
                </c:pt>
                <c:pt idx="1323">
                  <c:v>0.56782541251334384</c:v>
                </c:pt>
                <c:pt idx="1324">
                  <c:v>0.58915096414921453</c:v>
                </c:pt>
                <c:pt idx="1325">
                  <c:v>0.52656716209673382</c:v>
                </c:pt>
                <c:pt idx="1326">
                  <c:v>0.5989701468850348</c:v>
                </c:pt>
                <c:pt idx="1327">
                  <c:v>0.5989701468850348</c:v>
                </c:pt>
                <c:pt idx="1328">
                  <c:v>0.53639117631495647</c:v>
                </c:pt>
                <c:pt idx="1329">
                  <c:v>0.6222381629354824</c:v>
                </c:pt>
                <c:pt idx="1330">
                  <c:v>0.54917231804533106</c:v>
                </c:pt>
                <c:pt idx="1331">
                  <c:v>0.59418644247527619</c:v>
                </c:pt>
                <c:pt idx="1332">
                  <c:v>0.52339888795656109</c:v>
                </c:pt>
                <c:pt idx="1333">
                  <c:v>0.5869696030929854</c:v>
                </c:pt>
                <c:pt idx="1334">
                  <c:v>0.55805400257834525</c:v>
                </c:pt>
                <c:pt idx="1335">
                  <c:v>0.55593212424154548</c:v>
                </c:pt>
                <c:pt idx="1336">
                  <c:v>0.62751136770612204</c:v>
                </c:pt>
                <c:pt idx="1337">
                  <c:v>0.58484059470210581</c:v>
                </c:pt>
                <c:pt idx="1338">
                  <c:v>0.62739917185993832</c:v>
                </c:pt>
                <c:pt idx="1339">
                  <c:v>0.64080802628726097</c:v>
                </c:pt>
                <c:pt idx="1340">
                  <c:v>0.57847261516982307</c:v>
                </c:pt>
                <c:pt idx="1341">
                  <c:v>0.6378558247242706</c:v>
                </c:pt>
                <c:pt idx="1342">
                  <c:v>0.59958447524081437</c:v>
                </c:pt>
                <c:pt idx="1343">
                  <c:v>0.59014220004017159</c:v>
                </c:pt>
                <c:pt idx="1344">
                  <c:v>0.55765599823528644</c:v>
                </c:pt>
                <c:pt idx="1345">
                  <c:v>0.58803414599907644</c:v>
                </c:pt>
                <c:pt idx="1346">
                  <c:v>0.57028217178023632</c:v>
                </c:pt>
                <c:pt idx="1347">
                  <c:v>0.62185074380947636</c:v>
                </c:pt>
                <c:pt idx="1348">
                  <c:v>0.60218747918308968</c:v>
                </c:pt>
                <c:pt idx="1349">
                  <c:v>0.61932289525740525</c:v>
                </c:pt>
                <c:pt idx="1350">
                  <c:v>0.64014047156857845</c:v>
                </c:pt>
                <c:pt idx="1351">
                  <c:v>0.59298103839722283</c:v>
                </c:pt>
                <c:pt idx="1352">
                  <c:v>0.6346367311771931</c:v>
                </c:pt>
                <c:pt idx="1353">
                  <c:v>0.588437122394179</c:v>
                </c:pt>
                <c:pt idx="1354">
                  <c:v>0.55047343707842544</c:v>
                </c:pt>
                <c:pt idx="1355">
                  <c:v>0.69421859038762235</c:v>
                </c:pt>
                <c:pt idx="1356">
                  <c:v>0.62423687764693458</c:v>
                </c:pt>
                <c:pt idx="1357">
                  <c:v>0.59772488670440072</c:v>
                </c:pt>
                <c:pt idx="1358">
                  <c:v>0.61190018046023631</c:v>
                </c:pt>
                <c:pt idx="1359">
                  <c:v>0.61432835577952294</c:v>
                </c:pt>
                <c:pt idx="1360">
                  <c:v>0.64746639986721499</c:v>
                </c:pt>
                <c:pt idx="1361">
                  <c:v>0.61675653109880957</c:v>
                </c:pt>
                <c:pt idx="1362">
                  <c:v>0.63950574740983124</c:v>
                </c:pt>
                <c:pt idx="1363">
                  <c:v>0.65802535179731336</c:v>
                </c:pt>
                <c:pt idx="1364">
                  <c:v>0.63671278979578083</c:v>
                </c:pt>
                <c:pt idx="1365">
                  <c:v>0.6445412257358929</c:v>
                </c:pt>
                <c:pt idx="1366">
                  <c:v>0.59797741094888934</c:v>
                </c:pt>
                <c:pt idx="1367">
                  <c:v>0.60956612046340253</c:v>
                </c:pt>
                <c:pt idx="1368">
                  <c:v>0.57845516712086464</c:v>
                </c:pt>
                <c:pt idx="1369">
                  <c:v>0.67733639226973041</c:v>
                </c:pt>
                <c:pt idx="1370">
                  <c:v>0.60494929691265997</c:v>
                </c:pt>
                <c:pt idx="1371">
                  <c:v>0.58485872985651999</c:v>
                </c:pt>
                <c:pt idx="1372">
                  <c:v>0.58722563420101448</c:v>
                </c:pt>
                <c:pt idx="1373">
                  <c:v>0.54513779011152208</c:v>
                </c:pt>
                <c:pt idx="1374">
                  <c:v>0.61909059109564324</c:v>
                </c:pt>
                <c:pt idx="1375">
                  <c:v>0.63635606574771297</c:v>
                </c:pt>
                <c:pt idx="1376">
                  <c:v>0.63132558301452957</c:v>
                </c:pt>
                <c:pt idx="1377">
                  <c:v>0.61199250651800396</c:v>
                </c:pt>
                <c:pt idx="1378">
                  <c:v>0.63618193365310283</c:v>
                </c:pt>
                <c:pt idx="1379">
                  <c:v>0.6998001270184131</c:v>
                </c:pt>
                <c:pt idx="1380">
                  <c:v>0.63870646513585316</c:v>
                </c:pt>
                <c:pt idx="1381">
                  <c:v>0.58106147730770763</c:v>
                </c:pt>
                <c:pt idx="1382">
                  <c:v>0.59190761286786153</c:v>
                </c:pt>
                <c:pt idx="1383">
                  <c:v>0.66468313904013954</c:v>
                </c:pt>
                <c:pt idx="1384">
                  <c:v>0.63601053304232968</c:v>
                </c:pt>
                <c:pt idx="1385">
                  <c:v>0.57716258336581516</c:v>
                </c:pt>
                <c:pt idx="1386">
                  <c:v>0.66197014663589415</c:v>
                </c:pt>
                <c:pt idx="1387">
                  <c:v>0.62138960124825304</c:v>
                </c:pt>
                <c:pt idx="1388">
                  <c:v>0.60299388427067568</c:v>
                </c:pt>
                <c:pt idx="1389">
                  <c:v>0.66427375055834603</c:v>
                </c:pt>
                <c:pt idx="1390">
                  <c:v>0.57947284623174855</c:v>
                </c:pt>
                <c:pt idx="1391">
                  <c:v>0.7262726339437916</c:v>
                </c:pt>
                <c:pt idx="1392">
                  <c:v>0.63832555717716066</c:v>
                </c:pt>
                <c:pt idx="1393">
                  <c:v>0.64845770887838527</c:v>
                </c:pt>
                <c:pt idx="1394">
                  <c:v>0.65855999739564863</c:v>
                </c:pt>
                <c:pt idx="1395">
                  <c:v>0.62128301641098915</c:v>
                </c:pt>
                <c:pt idx="1396">
                  <c:v>0.56772413568590396</c:v>
                </c:pt>
                <c:pt idx="1397">
                  <c:v>0.64564705627024377</c:v>
                </c:pt>
                <c:pt idx="1398">
                  <c:v>0.5543434321512194</c:v>
                </c:pt>
                <c:pt idx="1399">
                  <c:v>0.68315352426934495</c:v>
                </c:pt>
                <c:pt idx="1400">
                  <c:v>0.66387096511658128</c:v>
                </c:pt>
                <c:pt idx="1401">
                  <c:v>0.63795636946335077</c:v>
                </c:pt>
                <c:pt idx="1402">
                  <c:v>0.62829036386542125</c:v>
                </c:pt>
                <c:pt idx="1403">
                  <c:v>0.70283328839182713</c:v>
                </c:pt>
                <c:pt idx="1404">
                  <c:v>0.66613918096574787</c:v>
                </c:pt>
                <c:pt idx="1405">
                  <c:v>0.67153302048773766</c:v>
                </c:pt>
                <c:pt idx="1406">
                  <c:v>0.64540333097459612</c:v>
                </c:pt>
                <c:pt idx="1407">
                  <c:v>0.69915193628464534</c:v>
                </c:pt>
                <c:pt idx="1408">
                  <c:v>0.66046368684596923</c:v>
                </c:pt>
                <c:pt idx="1409">
                  <c:v>0.66046368684596923</c:v>
                </c:pt>
                <c:pt idx="1410">
                  <c:v>0.67062139236489748</c:v>
                </c:pt>
                <c:pt idx="1411">
                  <c:v>0.66532003748454271</c:v>
                </c:pt>
                <c:pt idx="1412">
                  <c:v>0.60990872732067736</c:v>
                </c:pt>
                <c:pt idx="1413">
                  <c:v>0.61432835577952283</c:v>
                </c:pt>
                <c:pt idx="1414">
                  <c:v>0.63031459552099744</c:v>
                </c:pt>
                <c:pt idx="1415">
                  <c:v>0.7028118638136106</c:v>
                </c:pt>
                <c:pt idx="1416">
                  <c:v>0.63019661589190912</c:v>
                </c:pt>
                <c:pt idx="1417">
                  <c:v>0.69707462410900978</c:v>
                </c:pt>
                <c:pt idx="1418">
                  <c:v>0.71971522852831138</c:v>
                </c:pt>
                <c:pt idx="1419">
                  <c:v>0.68530653234369077</c:v>
                </c:pt>
                <c:pt idx="1420">
                  <c:v>0.7577618485386185</c:v>
                </c:pt>
                <c:pt idx="1421">
                  <c:v>0.71079313891845619</c:v>
                </c:pt>
                <c:pt idx="1422">
                  <c:v>0.68746268384851383</c:v>
                </c:pt>
                <c:pt idx="1423">
                  <c:v>0.64401708672797575</c:v>
                </c:pt>
                <c:pt idx="1424">
                  <c:v>0.68474544003883597</c:v>
                </c:pt>
                <c:pt idx="1425">
                  <c:v>0.65373809935783189</c:v>
                </c:pt>
                <c:pt idx="1426">
                  <c:v>0.71000244397469459</c:v>
                </c:pt>
                <c:pt idx="1427">
                  <c:v>0.59343283347409692</c:v>
                </c:pt>
                <c:pt idx="1428">
                  <c:v>0.62310447514780176</c:v>
                </c:pt>
                <c:pt idx="1429">
                  <c:v>0.70067973108989767</c:v>
                </c:pt>
                <c:pt idx="1430">
                  <c:v>0.59749744192254961</c:v>
                </c:pt>
                <c:pt idx="1431">
                  <c:v>0.70067973108989767</c:v>
                </c:pt>
                <c:pt idx="1432">
                  <c:v>0.7290369699292264</c:v>
                </c:pt>
                <c:pt idx="1433">
                  <c:v>0.66552238542781661</c:v>
                </c:pt>
                <c:pt idx="1434">
                  <c:v>0.70279163901177433</c:v>
                </c:pt>
                <c:pt idx="1435">
                  <c:v>0.68631995997243589</c:v>
                </c:pt>
                <c:pt idx="1436">
                  <c:v>0.62079497005088624</c:v>
                </c:pt>
                <c:pt idx="1437">
                  <c:v>0.69382967240981408</c:v>
                </c:pt>
              </c:numCache>
            </c:numRef>
          </c:xVal>
          <c:yVal>
            <c:numRef>
              <c:f>'curves processed'!$AJ$2:$AJ$1439</c:f>
              <c:numCache>
                <c:formatCode>General</c:formatCode>
                <c:ptCount val="1438"/>
                <c:pt idx="0">
                  <c:v>2.6658435922099946</c:v>
                </c:pt>
                <c:pt idx="1">
                  <c:v>4.5390145908018287</c:v>
                </c:pt>
                <c:pt idx="2">
                  <c:v>4.5379226089977589</c:v>
                </c:pt>
                <c:pt idx="3">
                  <c:v>3.9802272763592681</c:v>
                </c:pt>
                <c:pt idx="4">
                  <c:v>4.9091904575540743</c:v>
                </c:pt>
                <c:pt idx="5">
                  <c:v>4.5841622820787258</c:v>
                </c:pt>
                <c:pt idx="6">
                  <c:v>5.9190371121986178</c:v>
                </c:pt>
                <c:pt idx="7">
                  <c:v>4.8650362051805764</c:v>
                </c:pt>
                <c:pt idx="8">
                  <c:v>6.9926330113102608</c:v>
                </c:pt>
                <c:pt idx="9">
                  <c:v>5.9418955173577359</c:v>
                </c:pt>
                <c:pt idx="10">
                  <c:v>8.4263110124361393</c:v>
                </c:pt>
                <c:pt idx="11">
                  <c:v>4.4162732665067601</c:v>
                </c:pt>
                <c:pt idx="12">
                  <c:v>6.6630684008155709</c:v>
                </c:pt>
                <c:pt idx="13">
                  <c:v>7.1159248914907662</c:v>
                </c:pt>
                <c:pt idx="14">
                  <c:v>6.1740932414157896</c:v>
                </c:pt>
                <c:pt idx="15">
                  <c:v>5.9549009770402179</c:v>
                </c:pt>
                <c:pt idx="16">
                  <c:v>9.346741300255184</c:v>
                </c:pt>
                <c:pt idx="17">
                  <c:v>9.7530314289372626</c:v>
                </c:pt>
                <c:pt idx="18">
                  <c:v>9.2145019851195489</c:v>
                </c:pt>
                <c:pt idx="19">
                  <c:v>8.1626947255967579</c:v>
                </c:pt>
                <c:pt idx="20">
                  <c:v>7.1299679868855677</c:v>
                </c:pt>
                <c:pt idx="21">
                  <c:v>8.0057344907262706</c:v>
                </c:pt>
                <c:pt idx="22">
                  <c:v>7.1145033005429186</c:v>
                </c:pt>
                <c:pt idx="23">
                  <c:v>6.0326416434928216</c:v>
                </c:pt>
                <c:pt idx="24">
                  <c:v>8.4934365531885465</c:v>
                </c:pt>
                <c:pt idx="25">
                  <c:v>4.9603648493508743</c:v>
                </c:pt>
                <c:pt idx="26">
                  <c:v>6.9473487983766402</c:v>
                </c:pt>
                <c:pt idx="27">
                  <c:v>8.7596162223266898</c:v>
                </c:pt>
                <c:pt idx="28">
                  <c:v>12.498472301037056</c:v>
                </c:pt>
                <c:pt idx="29">
                  <c:v>8.9246640556084973</c:v>
                </c:pt>
                <c:pt idx="30">
                  <c:v>9.0513563026650896</c:v>
                </c:pt>
                <c:pt idx="31">
                  <c:v>5.5941598296506791</c:v>
                </c:pt>
                <c:pt idx="32">
                  <c:v>7.1819386730927262</c:v>
                </c:pt>
                <c:pt idx="33">
                  <c:v>10.836471814936029</c:v>
                </c:pt>
                <c:pt idx="34">
                  <c:v>9.7567420363631285</c:v>
                </c:pt>
                <c:pt idx="35">
                  <c:v>12.192728543634146</c:v>
                </c:pt>
                <c:pt idx="36">
                  <c:v>8.6943952009269054</c:v>
                </c:pt>
                <c:pt idx="37">
                  <c:v>9.3464741731774872</c:v>
                </c:pt>
                <c:pt idx="38">
                  <c:v>9.4525038682354232</c:v>
                </c:pt>
                <c:pt idx="39">
                  <c:v>8.6874692440947943</c:v>
                </c:pt>
                <c:pt idx="40">
                  <c:v>11.693753545617115</c:v>
                </c:pt>
                <c:pt idx="41">
                  <c:v>9.0949600582228456</c:v>
                </c:pt>
                <c:pt idx="42">
                  <c:v>10.018836188953296</c:v>
                </c:pt>
                <c:pt idx="43">
                  <c:v>8.4999859552214581</c:v>
                </c:pt>
                <c:pt idx="44">
                  <c:v>8.0736430104106365</c:v>
                </c:pt>
                <c:pt idx="45">
                  <c:v>14.1194425788145</c:v>
                </c:pt>
                <c:pt idx="46">
                  <c:v>6.1492363312689395</c:v>
                </c:pt>
                <c:pt idx="47">
                  <c:v>11.455846882673846</c:v>
                </c:pt>
                <c:pt idx="48">
                  <c:v>7.8801801428141376</c:v>
                </c:pt>
                <c:pt idx="49">
                  <c:v>11.137258474629613</c:v>
                </c:pt>
                <c:pt idx="50">
                  <c:v>13.503314087756852</c:v>
                </c:pt>
                <c:pt idx="51">
                  <c:v>10.742819856311117</c:v>
                </c:pt>
                <c:pt idx="52">
                  <c:v>12.123678784861493</c:v>
                </c:pt>
                <c:pt idx="53">
                  <c:v>13.830580121848255</c:v>
                </c:pt>
                <c:pt idx="54">
                  <c:v>11.976447403771951</c:v>
                </c:pt>
                <c:pt idx="55">
                  <c:v>10.371666280615077</c:v>
                </c:pt>
                <c:pt idx="56">
                  <c:v>13.74279035138783</c:v>
                </c:pt>
                <c:pt idx="57">
                  <c:v>13.919459663478174</c:v>
                </c:pt>
                <c:pt idx="58">
                  <c:v>12.237842511132172</c:v>
                </c:pt>
                <c:pt idx="59">
                  <c:v>10.441067964331758</c:v>
                </c:pt>
                <c:pt idx="60">
                  <c:v>11.494767860798584</c:v>
                </c:pt>
                <c:pt idx="61">
                  <c:v>11.654070754729862</c:v>
                </c:pt>
                <c:pt idx="62">
                  <c:v>10.381147545709913</c:v>
                </c:pt>
                <c:pt idx="63">
                  <c:v>9.0977457637390309</c:v>
                </c:pt>
                <c:pt idx="64">
                  <c:v>10.705057308489247</c:v>
                </c:pt>
                <c:pt idx="65">
                  <c:v>7.3524664059027556</c:v>
                </c:pt>
                <c:pt idx="66">
                  <c:v>11.110228342763209</c:v>
                </c:pt>
                <c:pt idx="67">
                  <c:v>12.806116252522189</c:v>
                </c:pt>
                <c:pt idx="68">
                  <c:v>9.6212184612318286</c:v>
                </c:pt>
                <c:pt idx="69">
                  <c:v>11.418845225262514</c:v>
                </c:pt>
                <c:pt idx="70">
                  <c:v>16.237189329124035</c:v>
                </c:pt>
                <c:pt idx="71">
                  <c:v>12.431287405141362</c:v>
                </c:pt>
                <c:pt idx="72">
                  <c:v>8.9080131516026277</c:v>
                </c:pt>
                <c:pt idx="73">
                  <c:v>15.189414343145177</c:v>
                </c:pt>
                <c:pt idx="74">
                  <c:v>13.102250436385106</c:v>
                </c:pt>
                <c:pt idx="75">
                  <c:v>12.678794586541649</c:v>
                </c:pt>
                <c:pt idx="76">
                  <c:v>17.272336695395843</c:v>
                </c:pt>
                <c:pt idx="77">
                  <c:v>15.674563617874169</c:v>
                </c:pt>
                <c:pt idx="78">
                  <c:v>11.822849105902202</c:v>
                </c:pt>
                <c:pt idx="79">
                  <c:v>12.579170029753703</c:v>
                </c:pt>
                <c:pt idx="80">
                  <c:v>15.982346446605428</c:v>
                </c:pt>
                <c:pt idx="81">
                  <c:v>15.368070754269443</c:v>
                </c:pt>
                <c:pt idx="82">
                  <c:v>11.372864576548384</c:v>
                </c:pt>
                <c:pt idx="83">
                  <c:v>13.128462384559388</c:v>
                </c:pt>
                <c:pt idx="84">
                  <c:v>13.926594012559763</c:v>
                </c:pt>
                <c:pt idx="85">
                  <c:v>12.025166446751118</c:v>
                </c:pt>
                <c:pt idx="86">
                  <c:v>10.448249714129563</c:v>
                </c:pt>
                <c:pt idx="87">
                  <c:v>13.600403973904058</c:v>
                </c:pt>
                <c:pt idx="88">
                  <c:v>18.851897542449738</c:v>
                </c:pt>
                <c:pt idx="89">
                  <c:v>10.057619140149995</c:v>
                </c:pt>
                <c:pt idx="90">
                  <c:v>11.779137666203365</c:v>
                </c:pt>
                <c:pt idx="91">
                  <c:v>13.986941385228702</c:v>
                </c:pt>
                <c:pt idx="92">
                  <c:v>9.8670614350084787</c:v>
                </c:pt>
                <c:pt idx="93">
                  <c:v>15.48413376222406</c:v>
                </c:pt>
                <c:pt idx="94">
                  <c:v>14.752654949820217</c:v>
                </c:pt>
                <c:pt idx="95">
                  <c:v>16.927977597329985</c:v>
                </c:pt>
                <c:pt idx="96">
                  <c:v>10.303129190735349</c:v>
                </c:pt>
                <c:pt idx="97">
                  <c:v>12.011817414334708</c:v>
                </c:pt>
                <c:pt idx="98">
                  <c:v>12.585146180613638</c:v>
                </c:pt>
                <c:pt idx="99">
                  <c:v>14.478278723658406</c:v>
                </c:pt>
                <c:pt idx="100">
                  <c:v>10.90794196318034</c:v>
                </c:pt>
                <c:pt idx="101">
                  <c:v>12.728139085800086</c:v>
                </c:pt>
                <c:pt idx="102">
                  <c:v>13.102445201543148</c:v>
                </c:pt>
                <c:pt idx="103">
                  <c:v>13.233001621111072</c:v>
                </c:pt>
                <c:pt idx="104">
                  <c:v>16.28062351359327</c:v>
                </c:pt>
                <c:pt idx="105">
                  <c:v>18.295997854309956</c:v>
                </c:pt>
                <c:pt idx="106">
                  <c:v>13.359106664412398</c:v>
                </c:pt>
                <c:pt idx="107">
                  <c:v>10.548666217612947</c:v>
                </c:pt>
                <c:pt idx="108">
                  <c:v>15.875467911744177</c:v>
                </c:pt>
                <c:pt idx="109">
                  <c:v>7.2803706803047232</c:v>
                </c:pt>
                <c:pt idx="110">
                  <c:v>12.658518970102831</c:v>
                </c:pt>
                <c:pt idx="111">
                  <c:v>11.901358653941852</c:v>
                </c:pt>
                <c:pt idx="112">
                  <c:v>16.166696989960354</c:v>
                </c:pt>
                <c:pt idx="113">
                  <c:v>12.117335608429217</c:v>
                </c:pt>
                <c:pt idx="114">
                  <c:v>14.367204290011381</c:v>
                </c:pt>
                <c:pt idx="115">
                  <c:v>13.710884126008983</c:v>
                </c:pt>
                <c:pt idx="116">
                  <c:v>12.228527125131293</c:v>
                </c:pt>
                <c:pt idx="117">
                  <c:v>13.960214518023493</c:v>
                </c:pt>
                <c:pt idx="118">
                  <c:v>15.449448678136296</c:v>
                </c:pt>
                <c:pt idx="119">
                  <c:v>14.455159303494744</c:v>
                </c:pt>
                <c:pt idx="120">
                  <c:v>16.321361456611317</c:v>
                </c:pt>
                <c:pt idx="121">
                  <c:v>15.541140585925122</c:v>
                </c:pt>
                <c:pt idx="122">
                  <c:v>17.819139139947477</c:v>
                </c:pt>
                <c:pt idx="123">
                  <c:v>11.925474574179539</c:v>
                </c:pt>
                <c:pt idx="124">
                  <c:v>18.746210699874492</c:v>
                </c:pt>
                <c:pt idx="125">
                  <c:v>16.363260722146961</c:v>
                </c:pt>
                <c:pt idx="126">
                  <c:v>12.217428341238042</c:v>
                </c:pt>
                <c:pt idx="127">
                  <c:v>13.856769711860522</c:v>
                </c:pt>
                <c:pt idx="128">
                  <c:v>20.088529536933894</c:v>
                </c:pt>
                <c:pt idx="129">
                  <c:v>13.371850280083725</c:v>
                </c:pt>
                <c:pt idx="130">
                  <c:v>15.506520435471286</c:v>
                </c:pt>
                <c:pt idx="131">
                  <c:v>17.480413391135301</c:v>
                </c:pt>
                <c:pt idx="132">
                  <c:v>15.744413653540178</c:v>
                </c:pt>
                <c:pt idx="133">
                  <c:v>15.576575052041603</c:v>
                </c:pt>
                <c:pt idx="134">
                  <c:v>19.851372107557289</c:v>
                </c:pt>
                <c:pt idx="135">
                  <c:v>17.014367119821653</c:v>
                </c:pt>
                <c:pt idx="136">
                  <c:v>16.220200089677959</c:v>
                </c:pt>
                <c:pt idx="137">
                  <c:v>14.690546751892967</c:v>
                </c:pt>
                <c:pt idx="138">
                  <c:v>12.949743175259398</c:v>
                </c:pt>
                <c:pt idx="139">
                  <c:v>11.867130475272505</c:v>
                </c:pt>
                <c:pt idx="140">
                  <c:v>14.766027380098189</c:v>
                </c:pt>
                <c:pt idx="141">
                  <c:v>16.819508004428435</c:v>
                </c:pt>
                <c:pt idx="142">
                  <c:v>16.048838817601414</c:v>
                </c:pt>
                <c:pt idx="143">
                  <c:v>15.602207854088535</c:v>
                </c:pt>
                <c:pt idx="144">
                  <c:v>17.813653364166466</c:v>
                </c:pt>
                <c:pt idx="145">
                  <c:v>13.83257735017855</c:v>
                </c:pt>
                <c:pt idx="146">
                  <c:v>20.253010063453292</c:v>
                </c:pt>
                <c:pt idx="147">
                  <c:v>14.4883472924347</c:v>
                </c:pt>
                <c:pt idx="148">
                  <c:v>14.586650275107797</c:v>
                </c:pt>
                <c:pt idx="149">
                  <c:v>14.213105863448904</c:v>
                </c:pt>
                <c:pt idx="150">
                  <c:v>15.811356170391324</c:v>
                </c:pt>
                <c:pt idx="151">
                  <c:v>14.173794517930567</c:v>
                </c:pt>
                <c:pt idx="152">
                  <c:v>18.466728090056865</c:v>
                </c:pt>
                <c:pt idx="153">
                  <c:v>15.852609779049754</c:v>
                </c:pt>
                <c:pt idx="154">
                  <c:v>15.688933869981325</c:v>
                </c:pt>
                <c:pt idx="155">
                  <c:v>17.82827841701776</c:v>
                </c:pt>
                <c:pt idx="156">
                  <c:v>20.034252081998574</c:v>
                </c:pt>
                <c:pt idx="157">
                  <c:v>14.498823063209777</c:v>
                </c:pt>
                <c:pt idx="158">
                  <c:v>12.512412633957002</c:v>
                </c:pt>
                <c:pt idx="159">
                  <c:v>17.969323851690405</c:v>
                </c:pt>
                <c:pt idx="160">
                  <c:v>15.510741216783334</c:v>
                </c:pt>
                <c:pt idx="161">
                  <c:v>13.747266520761443</c:v>
                </c:pt>
                <c:pt idx="162">
                  <c:v>11.758365181338219</c:v>
                </c:pt>
                <c:pt idx="163">
                  <c:v>19.089953099545653</c:v>
                </c:pt>
                <c:pt idx="164">
                  <c:v>12.609848370705265</c:v>
                </c:pt>
                <c:pt idx="165">
                  <c:v>9.7878259336755917</c:v>
                </c:pt>
                <c:pt idx="166">
                  <c:v>16.363665731121447</c:v>
                </c:pt>
                <c:pt idx="167">
                  <c:v>18.543552322077371</c:v>
                </c:pt>
                <c:pt idx="168">
                  <c:v>13.912051307741388</c:v>
                </c:pt>
                <c:pt idx="169">
                  <c:v>15.605941501145773</c:v>
                </c:pt>
                <c:pt idx="170">
                  <c:v>18.871530622019939</c:v>
                </c:pt>
                <c:pt idx="171">
                  <c:v>19.670680951449665</c:v>
                </c:pt>
                <c:pt idx="172">
                  <c:v>15.144831537012005</c:v>
                </c:pt>
                <c:pt idx="173">
                  <c:v>12.734686317993361</c:v>
                </c:pt>
                <c:pt idx="174">
                  <c:v>17.148199150531727</c:v>
                </c:pt>
                <c:pt idx="175">
                  <c:v>22.054855247816558</c:v>
                </c:pt>
                <c:pt idx="176">
                  <c:v>11.751829871885263</c:v>
                </c:pt>
                <c:pt idx="177">
                  <c:v>15.590814306200087</c:v>
                </c:pt>
                <c:pt idx="178">
                  <c:v>15.680348725771939</c:v>
                </c:pt>
                <c:pt idx="179">
                  <c:v>14.384647559059225</c:v>
                </c:pt>
                <c:pt idx="180">
                  <c:v>19.639318377299372</c:v>
                </c:pt>
                <c:pt idx="181">
                  <c:v>19.411185899973944</c:v>
                </c:pt>
                <c:pt idx="182">
                  <c:v>17.080916456774592</c:v>
                </c:pt>
                <c:pt idx="183">
                  <c:v>20.317616762675794</c:v>
                </c:pt>
                <c:pt idx="184">
                  <c:v>14.788502859152826</c:v>
                </c:pt>
                <c:pt idx="185">
                  <c:v>13.430375195876127</c:v>
                </c:pt>
                <c:pt idx="186">
                  <c:v>12.764114594800711</c:v>
                </c:pt>
                <c:pt idx="187">
                  <c:v>14.375020689701193</c:v>
                </c:pt>
                <c:pt idx="188">
                  <c:v>11.148067604216608</c:v>
                </c:pt>
                <c:pt idx="189">
                  <c:v>15.18619242947401</c:v>
                </c:pt>
                <c:pt idx="190">
                  <c:v>18.724827757250225</c:v>
                </c:pt>
                <c:pt idx="191">
                  <c:v>16.311981718701926</c:v>
                </c:pt>
                <c:pt idx="192">
                  <c:v>16.910179998381501</c:v>
                </c:pt>
                <c:pt idx="193">
                  <c:v>15.054081268431144</c:v>
                </c:pt>
                <c:pt idx="194">
                  <c:v>21.531562418307367</c:v>
                </c:pt>
                <c:pt idx="195">
                  <c:v>15.912989023982503</c:v>
                </c:pt>
                <c:pt idx="196">
                  <c:v>14.228095211138598</c:v>
                </c:pt>
                <c:pt idx="197">
                  <c:v>14.712109049224495</c:v>
                </c:pt>
                <c:pt idx="198">
                  <c:v>16.147693876843601</c:v>
                </c:pt>
                <c:pt idx="199">
                  <c:v>17.264421287446094</c:v>
                </c:pt>
                <c:pt idx="200">
                  <c:v>21.088547935700959</c:v>
                </c:pt>
                <c:pt idx="201">
                  <c:v>10.277247404309469</c:v>
                </c:pt>
                <c:pt idx="202">
                  <c:v>19.581357752395217</c:v>
                </c:pt>
                <c:pt idx="203">
                  <c:v>19.044798831560247</c:v>
                </c:pt>
                <c:pt idx="204">
                  <c:v>15.907046111672274</c:v>
                </c:pt>
                <c:pt idx="205">
                  <c:v>18.636772646661278</c:v>
                </c:pt>
                <c:pt idx="206">
                  <c:v>15.837886972444689</c:v>
                </c:pt>
                <c:pt idx="207">
                  <c:v>19.113292712527002</c:v>
                </c:pt>
                <c:pt idx="208">
                  <c:v>15.75452093471195</c:v>
                </c:pt>
                <c:pt idx="209">
                  <c:v>22.812081235354132</c:v>
                </c:pt>
                <c:pt idx="210">
                  <c:v>13.117800916939849</c:v>
                </c:pt>
                <c:pt idx="211">
                  <c:v>13.713687240772861</c:v>
                </c:pt>
                <c:pt idx="212">
                  <c:v>17.289924160767615</c:v>
                </c:pt>
                <c:pt idx="213">
                  <c:v>13.136065023568813</c:v>
                </c:pt>
                <c:pt idx="214">
                  <c:v>18.260903229269726</c:v>
                </c:pt>
                <c:pt idx="215">
                  <c:v>11.53591397351139</c:v>
                </c:pt>
                <c:pt idx="216">
                  <c:v>20.599764708770067</c:v>
                </c:pt>
                <c:pt idx="217">
                  <c:v>20.034415252889751</c:v>
                </c:pt>
                <c:pt idx="218">
                  <c:v>22.601150242983788</c:v>
                </c:pt>
                <c:pt idx="219">
                  <c:v>14.627345736995062</c:v>
                </c:pt>
                <c:pt idx="220">
                  <c:v>21.329361198477979</c:v>
                </c:pt>
                <c:pt idx="221">
                  <c:v>19.46106629184365</c:v>
                </c:pt>
                <c:pt idx="222">
                  <c:v>15.443383881799106</c:v>
                </c:pt>
                <c:pt idx="223">
                  <c:v>18.474212914938605</c:v>
                </c:pt>
                <c:pt idx="224">
                  <c:v>17.738193902733073</c:v>
                </c:pt>
                <c:pt idx="225">
                  <c:v>17.553118616172696</c:v>
                </c:pt>
                <c:pt idx="226">
                  <c:v>17.89006200121538</c:v>
                </c:pt>
                <c:pt idx="227">
                  <c:v>19.07990664993708</c:v>
                </c:pt>
                <c:pt idx="228">
                  <c:v>15.438682476847166</c:v>
                </c:pt>
                <c:pt idx="229">
                  <c:v>18.133050958787063</c:v>
                </c:pt>
                <c:pt idx="230">
                  <c:v>17.681216461788811</c:v>
                </c:pt>
                <c:pt idx="231">
                  <c:v>16.070729640178154</c:v>
                </c:pt>
                <c:pt idx="232">
                  <c:v>17.072783054395625</c:v>
                </c:pt>
                <c:pt idx="233">
                  <c:v>19.300231033233366</c:v>
                </c:pt>
                <c:pt idx="234">
                  <c:v>16.746237034838238</c:v>
                </c:pt>
                <c:pt idx="235">
                  <c:v>21.021453383216453</c:v>
                </c:pt>
                <c:pt idx="236">
                  <c:v>20.144314773095754</c:v>
                </c:pt>
                <c:pt idx="237">
                  <c:v>16.715869612828897</c:v>
                </c:pt>
                <c:pt idx="238">
                  <c:v>14.673138338657871</c:v>
                </c:pt>
                <c:pt idx="239">
                  <c:v>20.406354640062851</c:v>
                </c:pt>
                <c:pt idx="240">
                  <c:v>15.388946287310317</c:v>
                </c:pt>
                <c:pt idx="241">
                  <c:v>15.046536942170277</c:v>
                </c:pt>
                <c:pt idx="242">
                  <c:v>16.164369807432372</c:v>
                </c:pt>
                <c:pt idx="243">
                  <c:v>18.150187113308117</c:v>
                </c:pt>
                <c:pt idx="244">
                  <c:v>15.238212572006841</c:v>
                </c:pt>
                <c:pt idx="245">
                  <c:v>18.559523278253838</c:v>
                </c:pt>
                <c:pt idx="246">
                  <c:v>18.905187242713307</c:v>
                </c:pt>
                <c:pt idx="247">
                  <c:v>14.838382393980856</c:v>
                </c:pt>
                <c:pt idx="248">
                  <c:v>16.119816002108465</c:v>
                </c:pt>
                <c:pt idx="249">
                  <c:v>13.36766480962649</c:v>
                </c:pt>
                <c:pt idx="250">
                  <c:v>15.829157088159905</c:v>
                </c:pt>
                <c:pt idx="251">
                  <c:v>16.996833778126948</c:v>
                </c:pt>
                <c:pt idx="252">
                  <c:v>20.560145110632259</c:v>
                </c:pt>
                <c:pt idx="253">
                  <c:v>14.260636910523205</c:v>
                </c:pt>
                <c:pt idx="254">
                  <c:v>22.72033002398252</c:v>
                </c:pt>
                <c:pt idx="255">
                  <c:v>22.806131874526258</c:v>
                </c:pt>
                <c:pt idx="256">
                  <c:v>21.515296256142065</c:v>
                </c:pt>
                <c:pt idx="257">
                  <c:v>21.945838858494561</c:v>
                </c:pt>
                <c:pt idx="258">
                  <c:v>16.545269989154576</c:v>
                </c:pt>
                <c:pt idx="259">
                  <c:v>19.620482713894035</c:v>
                </c:pt>
                <c:pt idx="260">
                  <c:v>14.468437593102811</c:v>
                </c:pt>
                <c:pt idx="261">
                  <c:v>17.185001319313269</c:v>
                </c:pt>
                <c:pt idx="262">
                  <c:v>16.803597624672978</c:v>
                </c:pt>
                <c:pt idx="263">
                  <c:v>19.640020941077687</c:v>
                </c:pt>
                <c:pt idx="264">
                  <c:v>13.178157185120485</c:v>
                </c:pt>
                <c:pt idx="265">
                  <c:v>22.985963602360791</c:v>
                </c:pt>
                <c:pt idx="266">
                  <c:v>20.755477852200794</c:v>
                </c:pt>
                <c:pt idx="267">
                  <c:v>18.324718972733695</c:v>
                </c:pt>
                <c:pt idx="268">
                  <c:v>20.905120807155377</c:v>
                </c:pt>
                <c:pt idx="269">
                  <c:v>22.270719266331838</c:v>
                </c:pt>
                <c:pt idx="270">
                  <c:v>19.326804709059211</c:v>
                </c:pt>
                <c:pt idx="271">
                  <c:v>17.854710929551214</c:v>
                </c:pt>
                <c:pt idx="272">
                  <c:v>22.187432090469212</c:v>
                </c:pt>
                <c:pt idx="273">
                  <c:v>17.740524494199803</c:v>
                </c:pt>
                <c:pt idx="274">
                  <c:v>18.056887415660782</c:v>
                </c:pt>
                <c:pt idx="275">
                  <c:v>11.723238421551686</c:v>
                </c:pt>
                <c:pt idx="276">
                  <c:v>21.220409081329525</c:v>
                </c:pt>
                <c:pt idx="277">
                  <c:v>18.246427871388502</c:v>
                </c:pt>
                <c:pt idx="278">
                  <c:v>17.589301089527382</c:v>
                </c:pt>
                <c:pt idx="279">
                  <c:v>14.258700120101112</c:v>
                </c:pt>
                <c:pt idx="280">
                  <c:v>13.036591239577534</c:v>
                </c:pt>
                <c:pt idx="281">
                  <c:v>14.714839885834582</c:v>
                </c:pt>
                <c:pt idx="282">
                  <c:v>19.087353440677322</c:v>
                </c:pt>
                <c:pt idx="283">
                  <c:v>16.353546065890793</c:v>
                </c:pt>
                <c:pt idx="284">
                  <c:v>22.813200157959336</c:v>
                </c:pt>
                <c:pt idx="285">
                  <c:v>20.397465765384933</c:v>
                </c:pt>
                <c:pt idx="286">
                  <c:v>17.177040488684359</c:v>
                </c:pt>
                <c:pt idx="287">
                  <c:v>17.688166764409491</c:v>
                </c:pt>
                <c:pt idx="288">
                  <c:v>21.502313225789649</c:v>
                </c:pt>
                <c:pt idx="289">
                  <c:v>22.871335631434942</c:v>
                </c:pt>
                <c:pt idx="290">
                  <c:v>20.754352784160172</c:v>
                </c:pt>
                <c:pt idx="291">
                  <c:v>19.430545957111654</c:v>
                </c:pt>
                <c:pt idx="292">
                  <c:v>22.120277548553126</c:v>
                </c:pt>
                <c:pt idx="293">
                  <c:v>20.66812380468804</c:v>
                </c:pt>
                <c:pt idx="294">
                  <c:v>18.352941556851007</c:v>
                </c:pt>
                <c:pt idx="295">
                  <c:v>19.699525169438182</c:v>
                </c:pt>
                <c:pt idx="296">
                  <c:v>18.484718552363642</c:v>
                </c:pt>
                <c:pt idx="297">
                  <c:v>19.827610508641293</c:v>
                </c:pt>
                <c:pt idx="298">
                  <c:v>18.851749200853018</c:v>
                </c:pt>
                <c:pt idx="299">
                  <c:v>21.704110013860149</c:v>
                </c:pt>
                <c:pt idx="300">
                  <c:v>23.063738570673646</c:v>
                </c:pt>
                <c:pt idx="301">
                  <c:v>21.236598722695174</c:v>
                </c:pt>
                <c:pt idx="302">
                  <c:v>16.396970353713492</c:v>
                </c:pt>
                <c:pt idx="303">
                  <c:v>19.685374684709405</c:v>
                </c:pt>
                <c:pt idx="304">
                  <c:v>21.756381721490659</c:v>
                </c:pt>
                <c:pt idx="305">
                  <c:v>15.408409337192593</c:v>
                </c:pt>
                <c:pt idx="306">
                  <c:v>20.154468459047546</c:v>
                </c:pt>
                <c:pt idx="307">
                  <c:v>11.766589838835095</c:v>
                </c:pt>
                <c:pt idx="308">
                  <c:v>21.128716918992509</c:v>
                </c:pt>
                <c:pt idx="309">
                  <c:v>22.749589330547021</c:v>
                </c:pt>
                <c:pt idx="310">
                  <c:v>20.983104190567722</c:v>
                </c:pt>
                <c:pt idx="311">
                  <c:v>21.048027161454378</c:v>
                </c:pt>
                <c:pt idx="312">
                  <c:v>20.001939778710295</c:v>
                </c:pt>
                <c:pt idx="313">
                  <c:v>21.484153278377434</c:v>
                </c:pt>
                <c:pt idx="314">
                  <c:v>20.967570027548962</c:v>
                </c:pt>
                <c:pt idx="315">
                  <c:v>21.917058196987153</c:v>
                </c:pt>
                <c:pt idx="316">
                  <c:v>19.221454580036493</c:v>
                </c:pt>
                <c:pt idx="317">
                  <c:v>20.321773994114022</c:v>
                </c:pt>
                <c:pt idx="318">
                  <c:v>21.528457146015651</c:v>
                </c:pt>
                <c:pt idx="319">
                  <c:v>18.913728245064497</c:v>
                </c:pt>
                <c:pt idx="320">
                  <c:v>21.07689867692245</c:v>
                </c:pt>
                <c:pt idx="321">
                  <c:v>23.625116666669872</c:v>
                </c:pt>
                <c:pt idx="322">
                  <c:v>22.410926134434483</c:v>
                </c:pt>
                <c:pt idx="323">
                  <c:v>20.441948264157425</c:v>
                </c:pt>
                <c:pt idx="324">
                  <c:v>18.03482737619974</c:v>
                </c:pt>
                <c:pt idx="325">
                  <c:v>20.563337505631043</c:v>
                </c:pt>
                <c:pt idx="326">
                  <c:v>21.468615618759742</c:v>
                </c:pt>
                <c:pt idx="327">
                  <c:v>17.981604716133873</c:v>
                </c:pt>
                <c:pt idx="328">
                  <c:v>22.824707379322795</c:v>
                </c:pt>
                <c:pt idx="329">
                  <c:v>26.045378889715085</c:v>
                </c:pt>
                <c:pt idx="330">
                  <c:v>20.073407333128579</c:v>
                </c:pt>
                <c:pt idx="331">
                  <c:v>24.373551324968446</c:v>
                </c:pt>
                <c:pt idx="332">
                  <c:v>19.687109796877117</c:v>
                </c:pt>
                <c:pt idx="333">
                  <c:v>19.005949213410123</c:v>
                </c:pt>
                <c:pt idx="334">
                  <c:v>23.897703834142103</c:v>
                </c:pt>
                <c:pt idx="335">
                  <c:v>21.194561561293863</c:v>
                </c:pt>
                <c:pt idx="336">
                  <c:v>21.551905591820685</c:v>
                </c:pt>
                <c:pt idx="337">
                  <c:v>19.729067056001679</c:v>
                </c:pt>
                <c:pt idx="338">
                  <c:v>18.132275130532623</c:v>
                </c:pt>
                <c:pt idx="339">
                  <c:v>21.736425331476685</c:v>
                </c:pt>
                <c:pt idx="340">
                  <c:v>15.833337680967368</c:v>
                </c:pt>
                <c:pt idx="341">
                  <c:v>24.065438195635451</c:v>
                </c:pt>
                <c:pt idx="342">
                  <c:v>21.3598529999121</c:v>
                </c:pt>
                <c:pt idx="343">
                  <c:v>17.959135642233605</c:v>
                </c:pt>
                <c:pt idx="344">
                  <c:v>22.056259546880415</c:v>
                </c:pt>
                <c:pt idx="345">
                  <c:v>21.825785616956679</c:v>
                </c:pt>
                <c:pt idx="346">
                  <c:v>17.690986944059425</c:v>
                </c:pt>
                <c:pt idx="347">
                  <c:v>18.390975704556595</c:v>
                </c:pt>
                <c:pt idx="348">
                  <c:v>18.897143724038294</c:v>
                </c:pt>
                <c:pt idx="349">
                  <c:v>19.422943160039864</c:v>
                </c:pt>
                <c:pt idx="350">
                  <c:v>23.696884373630009</c:v>
                </c:pt>
                <c:pt idx="351">
                  <c:v>18.832045112868727</c:v>
                </c:pt>
                <c:pt idx="352">
                  <c:v>22.274925810409073</c:v>
                </c:pt>
                <c:pt idx="353">
                  <c:v>17.214524116095092</c:v>
                </c:pt>
                <c:pt idx="354">
                  <c:v>23.631745082973637</c:v>
                </c:pt>
                <c:pt idx="355">
                  <c:v>17.717725866622743</c:v>
                </c:pt>
                <c:pt idx="356">
                  <c:v>23.772638956097055</c:v>
                </c:pt>
                <c:pt idx="357">
                  <c:v>21.718959911018775</c:v>
                </c:pt>
                <c:pt idx="358">
                  <c:v>18.742587868237084</c:v>
                </c:pt>
                <c:pt idx="359">
                  <c:v>21.835665767606731</c:v>
                </c:pt>
                <c:pt idx="360">
                  <c:v>17.76667442978917</c:v>
                </c:pt>
                <c:pt idx="361">
                  <c:v>18.455896579112995</c:v>
                </c:pt>
                <c:pt idx="362">
                  <c:v>18.95351731369956</c:v>
                </c:pt>
                <c:pt idx="363">
                  <c:v>22.966844486808697</c:v>
                </c:pt>
                <c:pt idx="364">
                  <c:v>20.255812630343939</c:v>
                </c:pt>
                <c:pt idx="365">
                  <c:v>21.643310192638445</c:v>
                </c:pt>
                <c:pt idx="366">
                  <c:v>23.470910884243072</c:v>
                </c:pt>
                <c:pt idx="367">
                  <c:v>17.69118222937249</c:v>
                </c:pt>
                <c:pt idx="368">
                  <c:v>19.499110780176643</c:v>
                </c:pt>
                <c:pt idx="369">
                  <c:v>22.165409725170157</c:v>
                </c:pt>
                <c:pt idx="370">
                  <c:v>23.108893122170752</c:v>
                </c:pt>
                <c:pt idx="371">
                  <c:v>17.680399152531809</c:v>
                </c:pt>
                <c:pt idx="372">
                  <c:v>18.353533148301121</c:v>
                </c:pt>
                <c:pt idx="373">
                  <c:v>18.838960850001506</c:v>
                </c:pt>
                <c:pt idx="374">
                  <c:v>24.310627381370072</c:v>
                </c:pt>
                <c:pt idx="375">
                  <c:v>22.815994962945567</c:v>
                </c:pt>
                <c:pt idx="376">
                  <c:v>22.580147121275211</c:v>
                </c:pt>
                <c:pt idx="377">
                  <c:v>18.819098015088485</c:v>
                </c:pt>
                <c:pt idx="378">
                  <c:v>19.100613084029305</c:v>
                </c:pt>
                <c:pt idx="379">
                  <c:v>21.099359914369856</c:v>
                </c:pt>
                <c:pt idx="380">
                  <c:v>22.244326600989943</c:v>
                </c:pt>
                <c:pt idx="381">
                  <c:v>20.688934639437733</c:v>
                </c:pt>
                <c:pt idx="382">
                  <c:v>19.06810389213291</c:v>
                </c:pt>
                <c:pt idx="383">
                  <c:v>23.599987207059719</c:v>
                </c:pt>
                <c:pt idx="384">
                  <c:v>24.302126143018505</c:v>
                </c:pt>
                <c:pt idx="385">
                  <c:v>23.121609832856816</c:v>
                </c:pt>
                <c:pt idx="386">
                  <c:v>17.187672045734725</c:v>
                </c:pt>
                <c:pt idx="387">
                  <c:v>32.039972011548734</c:v>
                </c:pt>
                <c:pt idx="388">
                  <c:v>16.012043523867685</c:v>
                </c:pt>
                <c:pt idx="389">
                  <c:v>23.363539980584765</c:v>
                </c:pt>
                <c:pt idx="390">
                  <c:v>22.82822613821936</c:v>
                </c:pt>
                <c:pt idx="391">
                  <c:v>18.847166431500852</c:v>
                </c:pt>
                <c:pt idx="392">
                  <c:v>16.344685575667963</c:v>
                </c:pt>
                <c:pt idx="393">
                  <c:v>16.93455820814933</c:v>
                </c:pt>
                <c:pt idx="394">
                  <c:v>20.384571618922617</c:v>
                </c:pt>
                <c:pt idx="395">
                  <c:v>21.449404039578194</c:v>
                </c:pt>
                <c:pt idx="396">
                  <c:v>18.030334363558037</c:v>
                </c:pt>
                <c:pt idx="397">
                  <c:v>16.732125990427843</c:v>
                </c:pt>
                <c:pt idx="398">
                  <c:v>23.299837302904656</c:v>
                </c:pt>
                <c:pt idx="399">
                  <c:v>23.355981489176717</c:v>
                </c:pt>
                <c:pt idx="400">
                  <c:v>18.213782532954706</c:v>
                </c:pt>
                <c:pt idx="401">
                  <c:v>21.2477275967514</c:v>
                </c:pt>
                <c:pt idx="402">
                  <c:v>24.449876955176961</c:v>
                </c:pt>
                <c:pt idx="403">
                  <c:v>22.157977424397227</c:v>
                </c:pt>
                <c:pt idx="404">
                  <c:v>22.769447561457067</c:v>
                </c:pt>
                <c:pt idx="405">
                  <c:v>22.263441381676603</c:v>
                </c:pt>
                <c:pt idx="406">
                  <c:v>24.065814171110329</c:v>
                </c:pt>
                <c:pt idx="407">
                  <c:v>13.975641435456152</c:v>
                </c:pt>
                <c:pt idx="408">
                  <c:v>24.504067819873665</c:v>
                </c:pt>
                <c:pt idx="409">
                  <c:v>18.212781710490276</c:v>
                </c:pt>
                <c:pt idx="410">
                  <c:v>19.993172845703921</c:v>
                </c:pt>
                <c:pt idx="411">
                  <c:v>23.450888948804426</c:v>
                </c:pt>
                <c:pt idx="412">
                  <c:v>20.09608576161536</c:v>
                </c:pt>
                <c:pt idx="413">
                  <c:v>19.237683988218254</c:v>
                </c:pt>
                <c:pt idx="414">
                  <c:v>21.675511586096263</c:v>
                </c:pt>
                <c:pt idx="415">
                  <c:v>20.003150633629218</c:v>
                </c:pt>
                <c:pt idx="416">
                  <c:v>22.040704990314371</c:v>
                </c:pt>
                <c:pt idx="417">
                  <c:v>22.361767229652319</c:v>
                </c:pt>
                <c:pt idx="418">
                  <c:v>21.368437112586193</c:v>
                </c:pt>
                <c:pt idx="419">
                  <c:v>21.417469781499882</c:v>
                </c:pt>
                <c:pt idx="420">
                  <c:v>22.803664615170796</c:v>
                </c:pt>
                <c:pt idx="421">
                  <c:v>20.526448864517736</c:v>
                </c:pt>
                <c:pt idx="422">
                  <c:v>19.436149920674033</c:v>
                </c:pt>
                <c:pt idx="423">
                  <c:v>22.147591773559899</c:v>
                </c:pt>
                <c:pt idx="424">
                  <c:v>21.16549954877636</c:v>
                </c:pt>
                <c:pt idx="425">
                  <c:v>23.947923242463155</c:v>
                </c:pt>
                <c:pt idx="426">
                  <c:v>20.769697574853861</c:v>
                </c:pt>
                <c:pt idx="427">
                  <c:v>22.630354847066322</c:v>
                </c:pt>
                <c:pt idx="428">
                  <c:v>22.95862986164488</c:v>
                </c:pt>
                <c:pt idx="429">
                  <c:v>21.1742411824392</c:v>
                </c:pt>
                <c:pt idx="430">
                  <c:v>17.009947218089543</c:v>
                </c:pt>
                <c:pt idx="431">
                  <c:v>24.600442328647777</c:v>
                </c:pt>
                <c:pt idx="432">
                  <c:v>22.349588746744761</c:v>
                </c:pt>
                <c:pt idx="433">
                  <c:v>19.496631771960445</c:v>
                </c:pt>
                <c:pt idx="434">
                  <c:v>23.855947136595205</c:v>
                </c:pt>
                <c:pt idx="435">
                  <c:v>21.969096834852579</c:v>
                </c:pt>
                <c:pt idx="436">
                  <c:v>23.97195748960252</c:v>
                </c:pt>
                <c:pt idx="437">
                  <c:v>22.33928395707726</c:v>
                </c:pt>
                <c:pt idx="438">
                  <c:v>24.683119080155024</c:v>
                </c:pt>
                <c:pt idx="439">
                  <c:v>25.367398914412298</c:v>
                </c:pt>
                <c:pt idx="440">
                  <c:v>23.897490464687895</c:v>
                </c:pt>
                <c:pt idx="441">
                  <c:v>19.210129277977071</c:v>
                </c:pt>
                <c:pt idx="442">
                  <c:v>25.544793312415184</c:v>
                </c:pt>
                <c:pt idx="443">
                  <c:v>27.661189330789146</c:v>
                </c:pt>
                <c:pt idx="444">
                  <c:v>21.399579549800283</c:v>
                </c:pt>
                <c:pt idx="445">
                  <c:v>17.238816988452747</c:v>
                </c:pt>
                <c:pt idx="446">
                  <c:v>21.75204813582668</c:v>
                </c:pt>
                <c:pt idx="447">
                  <c:v>17.677599026828119</c:v>
                </c:pt>
                <c:pt idx="448">
                  <c:v>26.219334989051745</c:v>
                </c:pt>
                <c:pt idx="449">
                  <c:v>18.720785240853175</c:v>
                </c:pt>
                <c:pt idx="450">
                  <c:v>16.731298509352484</c:v>
                </c:pt>
                <c:pt idx="451">
                  <c:v>21.741750873630277</c:v>
                </c:pt>
                <c:pt idx="452">
                  <c:v>25.156929128671756</c:v>
                </c:pt>
                <c:pt idx="453">
                  <c:v>24.900040313661041</c:v>
                </c:pt>
                <c:pt idx="454">
                  <c:v>24.347879091282739</c:v>
                </c:pt>
                <c:pt idx="455">
                  <c:v>22.707420556628392</c:v>
                </c:pt>
                <c:pt idx="456">
                  <c:v>25.699419208729083</c:v>
                </c:pt>
                <c:pt idx="457">
                  <c:v>20.808263785850411</c:v>
                </c:pt>
                <c:pt idx="458">
                  <c:v>17.197858388127457</c:v>
                </c:pt>
                <c:pt idx="459">
                  <c:v>24.625728937210308</c:v>
                </c:pt>
                <c:pt idx="460">
                  <c:v>23.79854077029038</c:v>
                </c:pt>
                <c:pt idx="461">
                  <c:v>25.032985870377075</c:v>
                </c:pt>
                <c:pt idx="462">
                  <c:v>21.516183485197192</c:v>
                </c:pt>
                <c:pt idx="463">
                  <c:v>22.059360473143357</c:v>
                </c:pt>
                <c:pt idx="464">
                  <c:v>22.63148578088806</c:v>
                </c:pt>
                <c:pt idx="465">
                  <c:v>26.875251297436805</c:v>
                </c:pt>
                <c:pt idx="466">
                  <c:v>21.218838260214376</c:v>
                </c:pt>
                <c:pt idx="467">
                  <c:v>21.503449503145724</c:v>
                </c:pt>
                <c:pt idx="468">
                  <c:v>26.043187667585059</c:v>
                </c:pt>
                <c:pt idx="469">
                  <c:v>22.611050993630808</c:v>
                </c:pt>
                <c:pt idx="470">
                  <c:v>23.742517532152107</c:v>
                </c:pt>
                <c:pt idx="471">
                  <c:v>20.521999785433529</c:v>
                </c:pt>
                <c:pt idx="472">
                  <c:v>24.133879639318319</c:v>
                </c:pt>
                <c:pt idx="473">
                  <c:v>20.833873110941067</c:v>
                </c:pt>
                <c:pt idx="474">
                  <c:v>23.665135468337731</c:v>
                </c:pt>
                <c:pt idx="475">
                  <c:v>18.983554379013302</c:v>
                </c:pt>
                <c:pt idx="476">
                  <c:v>16.663598027853144</c:v>
                </c:pt>
                <c:pt idx="477">
                  <c:v>18.282338962090027</c:v>
                </c:pt>
                <c:pt idx="478">
                  <c:v>19.928835912378315</c:v>
                </c:pt>
                <c:pt idx="479">
                  <c:v>25.385442970855621</c:v>
                </c:pt>
                <c:pt idx="480">
                  <c:v>23.682588930917689</c:v>
                </c:pt>
                <c:pt idx="481">
                  <c:v>22.400777407553722</c:v>
                </c:pt>
                <c:pt idx="482">
                  <c:v>22.454389160423812</c:v>
                </c:pt>
                <c:pt idx="483">
                  <c:v>18.328232917309879</c:v>
                </c:pt>
                <c:pt idx="484">
                  <c:v>22.802120970714391</c:v>
                </c:pt>
                <c:pt idx="485">
                  <c:v>24.498401763787971</c:v>
                </c:pt>
                <c:pt idx="486">
                  <c:v>23.156386273714102</c:v>
                </c:pt>
                <c:pt idx="487">
                  <c:v>21.932630956582884</c:v>
                </c:pt>
                <c:pt idx="488">
                  <c:v>19.922117658649057</c:v>
                </c:pt>
                <c:pt idx="489">
                  <c:v>23.302656380456867</c:v>
                </c:pt>
                <c:pt idx="490">
                  <c:v>29.423314157008619</c:v>
                </c:pt>
                <c:pt idx="491">
                  <c:v>15.908874928001445</c:v>
                </c:pt>
                <c:pt idx="492">
                  <c:v>24.565387485344505</c:v>
                </c:pt>
                <c:pt idx="493">
                  <c:v>21.010266906128198</c:v>
                </c:pt>
                <c:pt idx="494">
                  <c:v>25.555146990616233</c:v>
                </c:pt>
                <c:pt idx="495">
                  <c:v>20.204034417969563</c:v>
                </c:pt>
                <c:pt idx="496">
                  <c:v>27.95906523928204</c:v>
                </c:pt>
                <c:pt idx="497">
                  <c:v>20.728869469679733</c:v>
                </c:pt>
                <c:pt idx="498">
                  <c:v>24.572342471887421</c:v>
                </c:pt>
                <c:pt idx="499">
                  <c:v>21.974413609715214</c:v>
                </c:pt>
                <c:pt idx="500">
                  <c:v>23.023003042398422</c:v>
                </c:pt>
                <c:pt idx="501">
                  <c:v>23.067176110399956</c:v>
                </c:pt>
                <c:pt idx="502">
                  <c:v>22.861136157670245</c:v>
                </c:pt>
                <c:pt idx="503">
                  <c:v>25.409339171144008</c:v>
                </c:pt>
                <c:pt idx="504">
                  <c:v>25.457793288556569</c:v>
                </c:pt>
                <c:pt idx="505">
                  <c:v>22.735992389809432</c:v>
                </c:pt>
                <c:pt idx="506">
                  <c:v>21.802520523717877</c:v>
                </c:pt>
                <c:pt idx="507">
                  <c:v>28.575332338523754</c:v>
                </c:pt>
                <c:pt idx="508">
                  <c:v>23.394056813611289</c:v>
                </c:pt>
                <c:pt idx="509">
                  <c:v>21.688808599983702</c:v>
                </c:pt>
                <c:pt idx="510">
                  <c:v>19.554601488414072</c:v>
                </c:pt>
                <c:pt idx="511">
                  <c:v>22.26001931123572</c:v>
                </c:pt>
                <c:pt idx="512">
                  <c:v>23.84829473504622</c:v>
                </c:pt>
                <c:pt idx="513">
                  <c:v>22.591150323867158</c:v>
                </c:pt>
                <c:pt idx="514">
                  <c:v>22.141376983715013</c:v>
                </c:pt>
                <c:pt idx="515">
                  <c:v>23.193822023798752</c:v>
                </c:pt>
                <c:pt idx="516">
                  <c:v>24.311417126921011</c:v>
                </c:pt>
                <c:pt idx="517">
                  <c:v>26.428608544479026</c:v>
                </c:pt>
                <c:pt idx="518">
                  <c:v>18.497189317264326</c:v>
                </c:pt>
                <c:pt idx="519">
                  <c:v>22.356261568103434</c:v>
                </c:pt>
                <c:pt idx="520">
                  <c:v>30.821529491355854</c:v>
                </c:pt>
                <c:pt idx="521">
                  <c:v>23.994810538432123</c:v>
                </c:pt>
                <c:pt idx="522">
                  <c:v>26.368730695912607</c:v>
                </c:pt>
                <c:pt idx="523">
                  <c:v>23.547992118016907</c:v>
                </c:pt>
                <c:pt idx="524">
                  <c:v>24.127329742436721</c:v>
                </c:pt>
                <c:pt idx="525">
                  <c:v>25.021330134684362</c:v>
                </c:pt>
                <c:pt idx="526">
                  <c:v>28.918217086005328</c:v>
                </c:pt>
                <c:pt idx="527">
                  <c:v>21.976921819069947</c:v>
                </c:pt>
                <c:pt idx="528">
                  <c:v>21.323520766494887</c:v>
                </c:pt>
                <c:pt idx="529">
                  <c:v>25.793719015257704</c:v>
                </c:pt>
                <c:pt idx="530">
                  <c:v>23.087249758612721</c:v>
                </c:pt>
                <c:pt idx="531">
                  <c:v>22.144928866103243</c:v>
                </c:pt>
                <c:pt idx="532">
                  <c:v>23.953991982120652</c:v>
                </c:pt>
                <c:pt idx="533">
                  <c:v>19.812253733581073</c:v>
                </c:pt>
                <c:pt idx="534">
                  <c:v>25.441856691569818</c:v>
                </c:pt>
                <c:pt idx="535">
                  <c:v>20.094188120857766</c:v>
                </c:pt>
                <c:pt idx="536">
                  <c:v>24.407342156870719</c:v>
                </c:pt>
                <c:pt idx="537">
                  <c:v>22.635679384827224</c:v>
                </c:pt>
                <c:pt idx="538">
                  <c:v>25.341715101816551</c:v>
                </c:pt>
                <c:pt idx="539">
                  <c:v>22.480942960169841</c:v>
                </c:pt>
                <c:pt idx="540">
                  <c:v>22.044324374645086</c:v>
                </c:pt>
                <c:pt idx="541">
                  <c:v>21.621011045564419</c:v>
                </c:pt>
                <c:pt idx="542">
                  <c:v>16.915141087989092</c:v>
                </c:pt>
                <c:pt idx="543">
                  <c:v>29.846299910063845</c:v>
                </c:pt>
                <c:pt idx="544">
                  <c:v>23.697227765264451</c:v>
                </c:pt>
                <c:pt idx="545">
                  <c:v>19.856338742558012</c:v>
                </c:pt>
                <c:pt idx="546">
                  <c:v>21.820353700594449</c:v>
                </c:pt>
                <c:pt idx="547">
                  <c:v>23.562921157361515</c:v>
                </c:pt>
                <c:pt idx="548">
                  <c:v>22.365396239426769</c:v>
                </c:pt>
                <c:pt idx="549">
                  <c:v>23.389250435187847</c:v>
                </c:pt>
                <c:pt idx="550">
                  <c:v>18.519151914645001</c:v>
                </c:pt>
                <c:pt idx="551">
                  <c:v>23.736481783213701</c:v>
                </c:pt>
                <c:pt idx="552">
                  <c:v>23.266470021489074</c:v>
                </c:pt>
                <c:pt idx="553">
                  <c:v>26.356044858712107</c:v>
                </c:pt>
                <c:pt idx="554">
                  <c:v>21.683472010356653</c:v>
                </c:pt>
                <c:pt idx="555">
                  <c:v>22.416041270882886</c:v>
                </c:pt>
                <c:pt idx="556">
                  <c:v>26.800337742144002</c:v>
                </c:pt>
                <c:pt idx="557">
                  <c:v>20.289669612687753</c:v>
                </c:pt>
                <c:pt idx="558">
                  <c:v>24.042279076381845</c:v>
                </c:pt>
                <c:pt idx="559">
                  <c:v>22.341711413749902</c:v>
                </c:pt>
                <c:pt idx="560">
                  <c:v>19.997516895220212</c:v>
                </c:pt>
                <c:pt idx="561">
                  <c:v>22.897905673698833</c:v>
                </c:pt>
                <c:pt idx="562">
                  <c:v>19.29718633642155</c:v>
                </c:pt>
                <c:pt idx="563">
                  <c:v>25.639065579962619</c:v>
                </c:pt>
                <c:pt idx="564">
                  <c:v>22.780214772345552</c:v>
                </c:pt>
                <c:pt idx="565">
                  <c:v>22.818956634203285</c:v>
                </c:pt>
                <c:pt idx="566">
                  <c:v>23.101512222096979</c:v>
                </c:pt>
                <c:pt idx="567">
                  <c:v>16.904143091626022</c:v>
                </c:pt>
                <c:pt idx="568">
                  <c:v>22.702061597842643</c:v>
                </c:pt>
                <c:pt idx="569">
                  <c:v>24.783489968890819</c:v>
                </c:pt>
                <c:pt idx="570">
                  <c:v>28.453710026884419</c:v>
                </c:pt>
                <c:pt idx="571">
                  <c:v>23.808998665290193</c:v>
                </c:pt>
                <c:pt idx="572">
                  <c:v>21.922627693479633</c:v>
                </c:pt>
                <c:pt idx="573">
                  <c:v>21.302808460117593</c:v>
                </c:pt>
                <c:pt idx="574">
                  <c:v>27.66963786214453</c:v>
                </c:pt>
                <c:pt idx="575">
                  <c:v>22.501857899944213</c:v>
                </c:pt>
                <c:pt idx="576">
                  <c:v>21.628810591185019</c:v>
                </c:pt>
                <c:pt idx="577">
                  <c:v>24.057009068053631</c:v>
                </c:pt>
                <c:pt idx="578">
                  <c:v>22.859487496924086</c:v>
                </c:pt>
                <c:pt idx="579">
                  <c:v>21.093428484702596</c:v>
                </c:pt>
                <c:pt idx="580">
                  <c:v>21.780111398118688</c:v>
                </c:pt>
                <c:pt idx="581">
                  <c:v>21.602345773584261</c:v>
                </c:pt>
                <c:pt idx="582">
                  <c:v>24.273018128525013</c:v>
                </c:pt>
                <c:pt idx="583">
                  <c:v>25.393467975542549</c:v>
                </c:pt>
                <c:pt idx="584">
                  <c:v>26.892563799332613</c:v>
                </c:pt>
                <c:pt idx="585">
                  <c:v>25.759318376017564</c:v>
                </c:pt>
                <c:pt idx="586">
                  <c:v>22.010665008684285</c:v>
                </c:pt>
                <c:pt idx="587">
                  <c:v>27.974157914553949</c:v>
                </c:pt>
                <c:pt idx="588">
                  <c:v>19.990797979744919</c:v>
                </c:pt>
                <c:pt idx="589">
                  <c:v>19.830413804659976</c:v>
                </c:pt>
                <c:pt idx="590">
                  <c:v>26.268435159360976</c:v>
                </c:pt>
                <c:pt idx="591">
                  <c:v>27.845158426782024</c:v>
                </c:pt>
                <c:pt idx="592">
                  <c:v>26.65777831115194</c:v>
                </c:pt>
                <c:pt idx="593">
                  <c:v>27.001823409766423</c:v>
                </c:pt>
                <c:pt idx="594">
                  <c:v>24.244841301563472</c:v>
                </c:pt>
                <c:pt idx="595">
                  <c:v>28.025912457465449</c:v>
                </c:pt>
                <c:pt idx="596">
                  <c:v>33.17596723377892</c:v>
                </c:pt>
                <c:pt idx="597">
                  <c:v>26.58451063932727</c:v>
                </c:pt>
                <c:pt idx="598">
                  <c:v>20.528781505333097</c:v>
                </c:pt>
                <c:pt idx="599">
                  <c:v>34.614081910312585</c:v>
                </c:pt>
                <c:pt idx="600">
                  <c:v>32.179128452426511</c:v>
                </c:pt>
                <c:pt idx="601">
                  <c:v>19.113282561074019</c:v>
                </c:pt>
                <c:pt idx="602">
                  <c:v>31.902090525648752</c:v>
                </c:pt>
                <c:pt idx="603">
                  <c:v>26.553472501089935</c:v>
                </c:pt>
                <c:pt idx="604">
                  <c:v>26.892043538753935</c:v>
                </c:pt>
                <c:pt idx="605">
                  <c:v>23.67312577861999</c:v>
                </c:pt>
                <c:pt idx="606">
                  <c:v>23.231660813050041</c:v>
                </c:pt>
                <c:pt idx="607">
                  <c:v>28.924913608381928</c:v>
                </c:pt>
                <c:pt idx="608">
                  <c:v>22.600803485139821</c:v>
                </c:pt>
                <c:pt idx="609">
                  <c:v>28.369552560424037</c:v>
                </c:pt>
                <c:pt idx="610">
                  <c:v>24.902647073311321</c:v>
                </c:pt>
                <c:pt idx="611">
                  <c:v>24.678566003374353</c:v>
                </c:pt>
                <c:pt idx="612">
                  <c:v>22.521348695387083</c:v>
                </c:pt>
                <c:pt idx="613">
                  <c:v>27.910328629635625</c:v>
                </c:pt>
                <c:pt idx="614">
                  <c:v>24.026007767708204</c:v>
                </c:pt>
                <c:pt idx="615">
                  <c:v>24.323769304725726</c:v>
                </c:pt>
                <c:pt idx="616">
                  <c:v>23.614074982812181</c:v>
                </c:pt>
                <c:pt idx="617">
                  <c:v>20.574223929838652</c:v>
                </c:pt>
                <c:pt idx="618">
                  <c:v>30.134772922794728</c:v>
                </c:pt>
                <c:pt idx="619">
                  <c:v>27.867139608482226</c:v>
                </c:pt>
                <c:pt idx="620">
                  <c:v>25.857084571981822</c:v>
                </c:pt>
                <c:pt idx="621">
                  <c:v>27.047928870296559</c:v>
                </c:pt>
                <c:pt idx="622">
                  <c:v>20.941433731175124</c:v>
                </c:pt>
                <c:pt idx="623">
                  <c:v>22.02488461902125</c:v>
                </c:pt>
                <c:pt idx="624">
                  <c:v>22.278836911016146</c:v>
                </c:pt>
                <c:pt idx="625">
                  <c:v>24.718290828071247</c:v>
                </c:pt>
                <c:pt idx="626">
                  <c:v>24.245801652293675</c:v>
                </c:pt>
                <c:pt idx="627">
                  <c:v>22.388449884748081</c:v>
                </c:pt>
                <c:pt idx="628">
                  <c:v>23.581311480662414</c:v>
                </c:pt>
                <c:pt idx="629">
                  <c:v>24.870029875511829</c:v>
                </c:pt>
                <c:pt idx="630">
                  <c:v>19.302687199674043</c:v>
                </c:pt>
                <c:pt idx="631">
                  <c:v>24.438995290957369</c:v>
                </c:pt>
                <c:pt idx="632">
                  <c:v>24.476147913777307</c:v>
                </c:pt>
                <c:pt idx="633">
                  <c:v>24.776820510449085</c:v>
                </c:pt>
                <c:pt idx="634">
                  <c:v>18.899929945136677</c:v>
                </c:pt>
                <c:pt idx="635">
                  <c:v>18.757611584366309</c:v>
                </c:pt>
                <c:pt idx="636">
                  <c:v>18.957115814864771</c:v>
                </c:pt>
                <c:pt idx="637">
                  <c:v>26.849037355350621</c:v>
                </c:pt>
                <c:pt idx="638">
                  <c:v>22.120554141286501</c:v>
                </c:pt>
                <c:pt idx="639">
                  <c:v>20.32120785539022</c:v>
                </c:pt>
                <c:pt idx="640">
                  <c:v>19.428852311224205</c:v>
                </c:pt>
                <c:pt idx="641">
                  <c:v>24.570110407217534</c:v>
                </c:pt>
                <c:pt idx="642">
                  <c:v>26.202596574622536</c:v>
                </c:pt>
                <c:pt idx="643">
                  <c:v>21.862693255499178</c:v>
                </c:pt>
                <c:pt idx="644">
                  <c:v>26.01128605128028</c:v>
                </c:pt>
                <c:pt idx="645">
                  <c:v>26.05002791313801</c:v>
                </c:pt>
                <c:pt idx="646">
                  <c:v>23.770965848704801</c:v>
                </c:pt>
                <c:pt idx="647">
                  <c:v>31.547486586669919</c:v>
                </c:pt>
                <c:pt idx="648">
                  <c:v>24.337815515330767</c:v>
                </c:pt>
                <c:pt idx="649">
                  <c:v>23.408635472109172</c:v>
                </c:pt>
                <c:pt idx="650">
                  <c:v>24.409863518632523</c:v>
                </c:pt>
                <c:pt idx="651">
                  <c:v>19.943367134133378</c:v>
                </c:pt>
                <c:pt idx="652">
                  <c:v>19.256303372712004</c:v>
                </c:pt>
                <c:pt idx="653">
                  <c:v>23.320160161469541</c:v>
                </c:pt>
                <c:pt idx="654">
                  <c:v>23.354414215760777</c:v>
                </c:pt>
                <c:pt idx="655">
                  <c:v>29.823430967629424</c:v>
                </c:pt>
                <c:pt idx="656">
                  <c:v>28.568695955373467</c:v>
                </c:pt>
                <c:pt idx="657">
                  <c:v>23.699254062067372</c:v>
                </c:pt>
                <c:pt idx="658">
                  <c:v>22.37143134438012</c:v>
                </c:pt>
                <c:pt idx="659">
                  <c:v>21.765480611193308</c:v>
                </c:pt>
                <c:pt idx="660">
                  <c:v>23.104706656918506</c:v>
                </c:pt>
                <c:pt idx="661">
                  <c:v>27.86800684534284</c:v>
                </c:pt>
                <c:pt idx="662">
                  <c:v>24.863765939433538</c:v>
                </c:pt>
                <c:pt idx="663">
                  <c:v>27.354237478243558</c:v>
                </c:pt>
                <c:pt idx="664">
                  <c:v>24.93581394273529</c:v>
                </c:pt>
                <c:pt idx="665">
                  <c:v>19.641656118251856</c:v>
                </c:pt>
                <c:pt idx="666">
                  <c:v>26.902348874008084</c:v>
                </c:pt>
                <c:pt idx="667">
                  <c:v>27.228460337705492</c:v>
                </c:pt>
                <c:pt idx="668">
                  <c:v>25.8730865318071</c:v>
                </c:pt>
                <c:pt idx="669">
                  <c:v>20.87897238011255</c:v>
                </c:pt>
                <c:pt idx="670">
                  <c:v>22.556288275528548</c:v>
                </c:pt>
                <c:pt idx="671">
                  <c:v>30.216755843295356</c:v>
                </c:pt>
                <c:pt idx="672">
                  <c:v>20.781013632168357</c:v>
                </c:pt>
                <c:pt idx="673">
                  <c:v>24.032644490727129</c:v>
                </c:pt>
                <c:pt idx="674">
                  <c:v>26.10343279329074</c:v>
                </c:pt>
                <c:pt idx="675">
                  <c:v>27.549532202487175</c:v>
                </c:pt>
                <c:pt idx="676">
                  <c:v>30.44135151279956</c:v>
                </c:pt>
                <c:pt idx="677">
                  <c:v>27.635673434501776</c:v>
                </c:pt>
                <c:pt idx="678">
                  <c:v>26.81228968275132</c:v>
                </c:pt>
                <c:pt idx="679">
                  <c:v>26.571262965599793</c:v>
                </c:pt>
                <c:pt idx="680">
                  <c:v>21.220269032153393</c:v>
                </c:pt>
                <c:pt idx="681">
                  <c:v>25.840042437033389</c:v>
                </c:pt>
                <c:pt idx="682">
                  <c:v>27.256274562759401</c:v>
                </c:pt>
                <c:pt idx="683">
                  <c:v>22.343206570590354</c:v>
                </c:pt>
                <c:pt idx="684">
                  <c:v>20.021088138350272</c:v>
                </c:pt>
                <c:pt idx="685">
                  <c:v>23.749999650791974</c:v>
                </c:pt>
                <c:pt idx="686">
                  <c:v>24.744097087869463</c:v>
                </c:pt>
                <c:pt idx="687">
                  <c:v>25.281802406953339</c:v>
                </c:pt>
                <c:pt idx="688">
                  <c:v>26.10208230400049</c:v>
                </c:pt>
                <c:pt idx="689">
                  <c:v>24.118895815405335</c:v>
                </c:pt>
                <c:pt idx="690">
                  <c:v>24.64236665711103</c:v>
                </c:pt>
                <c:pt idx="691">
                  <c:v>25.175125713021458</c:v>
                </c:pt>
                <c:pt idx="692">
                  <c:v>26.801902102305633</c:v>
                </c:pt>
                <c:pt idx="693">
                  <c:v>25.245017788848834</c:v>
                </c:pt>
                <c:pt idx="694">
                  <c:v>25.279963826762526</c:v>
                </c:pt>
                <c:pt idx="695">
                  <c:v>29.299416366998578</c:v>
                </c:pt>
                <c:pt idx="696">
                  <c:v>22.554669104646049</c:v>
                </c:pt>
                <c:pt idx="697">
                  <c:v>35.627137232687303</c:v>
                </c:pt>
                <c:pt idx="698">
                  <c:v>24.923249902299119</c:v>
                </c:pt>
                <c:pt idx="699">
                  <c:v>31.469308615530302</c:v>
                </c:pt>
                <c:pt idx="700">
                  <c:v>25.249219875177765</c:v>
                </c:pt>
                <c:pt idx="701">
                  <c:v>29.872184931903675</c:v>
                </c:pt>
                <c:pt idx="702">
                  <c:v>23.635011111156626</c:v>
                </c:pt>
                <c:pt idx="703">
                  <c:v>27.798593491115117</c:v>
                </c:pt>
                <c:pt idx="704">
                  <c:v>27.262594625272904</c:v>
                </c:pt>
                <c:pt idx="705">
                  <c:v>26.749903086224705</c:v>
                </c:pt>
                <c:pt idx="706">
                  <c:v>26.513665215043588</c:v>
                </c:pt>
                <c:pt idx="707">
                  <c:v>26.016040734326459</c:v>
                </c:pt>
                <c:pt idx="708">
                  <c:v>24.541444612551775</c:v>
                </c:pt>
                <c:pt idx="709">
                  <c:v>22.761156920898419</c:v>
                </c:pt>
                <c:pt idx="710">
                  <c:v>27.217593120955428</c:v>
                </c:pt>
                <c:pt idx="711">
                  <c:v>21.387069342751371</c:v>
                </c:pt>
                <c:pt idx="712">
                  <c:v>23.740965486203738</c:v>
                </c:pt>
                <c:pt idx="713">
                  <c:v>27.611829279780348</c:v>
                </c:pt>
                <c:pt idx="714">
                  <c:v>23.584022950469141</c:v>
                </c:pt>
                <c:pt idx="715">
                  <c:v>38.825608963335561</c:v>
                </c:pt>
                <c:pt idx="716">
                  <c:v>25.065920128959267</c:v>
                </c:pt>
                <c:pt idx="717">
                  <c:v>26.651689057736668</c:v>
                </c:pt>
                <c:pt idx="718">
                  <c:v>29.3036809271481</c:v>
                </c:pt>
                <c:pt idx="719">
                  <c:v>33.112131773948306</c:v>
                </c:pt>
                <c:pt idx="720">
                  <c:v>22.471690089636482</c:v>
                </c:pt>
                <c:pt idx="721">
                  <c:v>24.510740230956415</c:v>
                </c:pt>
                <c:pt idx="722">
                  <c:v>26.566719479856296</c:v>
                </c:pt>
                <c:pt idx="723">
                  <c:v>30.812333061944425</c:v>
                </c:pt>
                <c:pt idx="724">
                  <c:v>24.855829772578478</c:v>
                </c:pt>
                <c:pt idx="725">
                  <c:v>25.133365634372126</c:v>
                </c:pt>
                <c:pt idx="726">
                  <c:v>24.680319593916728</c:v>
                </c:pt>
                <c:pt idx="727">
                  <c:v>31.660365304156208</c:v>
                </c:pt>
                <c:pt idx="728">
                  <c:v>25.489058652036547</c:v>
                </c:pt>
                <c:pt idx="729">
                  <c:v>25.775965984687637</c:v>
                </c:pt>
                <c:pt idx="730">
                  <c:v>25.306286382319644</c:v>
                </c:pt>
                <c:pt idx="731">
                  <c:v>19.258717074549534</c:v>
                </c:pt>
                <c:pt idx="732">
                  <c:v>25.372794362299466</c:v>
                </c:pt>
                <c:pt idx="733">
                  <c:v>26.176948289358144</c:v>
                </c:pt>
                <c:pt idx="734">
                  <c:v>27.565566063249126</c:v>
                </c:pt>
                <c:pt idx="735">
                  <c:v>31.319195532053349</c:v>
                </c:pt>
                <c:pt idx="736">
                  <c:v>22.340850559309366</c:v>
                </c:pt>
                <c:pt idx="737">
                  <c:v>25.552365908244962</c:v>
                </c:pt>
                <c:pt idx="738">
                  <c:v>27.436191545387469</c:v>
                </c:pt>
                <c:pt idx="739">
                  <c:v>25.369543265493448</c:v>
                </c:pt>
                <c:pt idx="740">
                  <c:v>34.075104656381704</c:v>
                </c:pt>
                <c:pt idx="741">
                  <c:v>28.401606223488212</c:v>
                </c:pt>
                <c:pt idx="742">
                  <c:v>24.502798696793164</c:v>
                </c:pt>
                <c:pt idx="743">
                  <c:v>23.190209357090886</c:v>
                </c:pt>
                <c:pt idx="744">
                  <c:v>24.3390323260532</c:v>
                </c:pt>
                <c:pt idx="745">
                  <c:v>23.688757160756598</c:v>
                </c:pt>
                <c:pt idx="746">
                  <c:v>25.114217873784355</c:v>
                </c:pt>
                <c:pt idx="747">
                  <c:v>33.264808621317613</c:v>
                </c:pt>
                <c:pt idx="748">
                  <c:v>25.185271473735906</c:v>
                </c:pt>
                <c:pt idx="749">
                  <c:v>24.737244921717224</c:v>
                </c:pt>
                <c:pt idx="750">
                  <c:v>22.152115916401183</c:v>
                </c:pt>
                <c:pt idx="751">
                  <c:v>22.180450677102645</c:v>
                </c:pt>
                <c:pt idx="752">
                  <c:v>21.055639914946418</c:v>
                </c:pt>
                <c:pt idx="753">
                  <c:v>26.889432618615732</c:v>
                </c:pt>
                <c:pt idx="754">
                  <c:v>26.395784058630742</c:v>
                </c:pt>
                <c:pt idx="755">
                  <c:v>28.350889299238187</c:v>
                </c:pt>
                <c:pt idx="756">
                  <c:v>24.971691146641287</c:v>
                </c:pt>
                <c:pt idx="757">
                  <c:v>23.409043617623844</c:v>
                </c:pt>
                <c:pt idx="758">
                  <c:v>27.067553700930134</c:v>
                </c:pt>
                <c:pt idx="759">
                  <c:v>26.570412655456281</c:v>
                </c:pt>
                <c:pt idx="760">
                  <c:v>27.684251235224316</c:v>
                </c:pt>
                <c:pt idx="761">
                  <c:v>22.685634521136816</c:v>
                </c:pt>
                <c:pt idx="762">
                  <c:v>29.210559274908121</c:v>
                </c:pt>
                <c:pt idx="763">
                  <c:v>24.960374306527484</c:v>
                </c:pt>
                <c:pt idx="764">
                  <c:v>25.978253948882223</c:v>
                </c:pt>
                <c:pt idx="765">
                  <c:v>23.220274030231089</c:v>
                </c:pt>
                <c:pt idx="766">
                  <c:v>31.604592086408136</c:v>
                </c:pt>
                <c:pt idx="767">
                  <c:v>24.390329932707928</c:v>
                </c:pt>
                <c:pt idx="768">
                  <c:v>22.684809417588625</c:v>
                </c:pt>
                <c:pt idx="769">
                  <c:v>26.141311028651756</c:v>
                </c:pt>
                <c:pt idx="770">
                  <c:v>25.19259302650272</c:v>
                </c:pt>
                <c:pt idx="771">
                  <c:v>23.842104992202287</c:v>
                </c:pt>
                <c:pt idx="772">
                  <c:v>20.340440290810317</c:v>
                </c:pt>
                <c:pt idx="773">
                  <c:v>30.25024540503011</c:v>
                </c:pt>
                <c:pt idx="774">
                  <c:v>23.068779848315081</c:v>
                </c:pt>
                <c:pt idx="775">
                  <c:v>25.598993207924586</c:v>
                </c:pt>
                <c:pt idx="776">
                  <c:v>22.31292889753615</c:v>
                </c:pt>
                <c:pt idx="777">
                  <c:v>32.752590749749999</c:v>
                </c:pt>
                <c:pt idx="778">
                  <c:v>21.401981588024906</c:v>
                </c:pt>
                <c:pt idx="779">
                  <c:v>23.429978826651524</c:v>
                </c:pt>
                <c:pt idx="780">
                  <c:v>35.123307392463964</c:v>
                </c:pt>
                <c:pt idx="781">
                  <c:v>22.862790970890313</c:v>
                </c:pt>
                <c:pt idx="782">
                  <c:v>26.584826285624889</c:v>
                </c:pt>
                <c:pt idx="783">
                  <c:v>27.95815911250212</c:v>
                </c:pt>
                <c:pt idx="784">
                  <c:v>30.368553893019993</c:v>
                </c:pt>
                <c:pt idx="785">
                  <c:v>25.928485199709751</c:v>
                </c:pt>
                <c:pt idx="786">
                  <c:v>22.802912989522046</c:v>
                </c:pt>
                <c:pt idx="787">
                  <c:v>31.450137343583428</c:v>
                </c:pt>
                <c:pt idx="788">
                  <c:v>30.517164384299758</c:v>
                </c:pt>
                <c:pt idx="789">
                  <c:v>25.813935006977005</c:v>
                </c:pt>
                <c:pt idx="790">
                  <c:v>29.66936775966019</c:v>
                </c:pt>
                <c:pt idx="791">
                  <c:v>29.404579605311294</c:v>
                </c:pt>
                <c:pt idx="792">
                  <c:v>26.923985011545518</c:v>
                </c:pt>
                <c:pt idx="793">
                  <c:v>20.891411461709506</c:v>
                </c:pt>
                <c:pt idx="794">
                  <c:v>27.521002115647491</c:v>
                </c:pt>
                <c:pt idx="795">
                  <c:v>26.51106466581199</c:v>
                </c:pt>
                <c:pt idx="796">
                  <c:v>28.99822226077902</c:v>
                </c:pt>
                <c:pt idx="797">
                  <c:v>26.071258453436048</c:v>
                </c:pt>
                <c:pt idx="798">
                  <c:v>24.222001427572383</c:v>
                </c:pt>
                <c:pt idx="799">
                  <c:v>28.526776413736538</c:v>
                </c:pt>
                <c:pt idx="800">
                  <c:v>27.463913659685279</c:v>
                </c:pt>
                <c:pt idx="801">
                  <c:v>26.203058267476049</c:v>
                </c:pt>
                <c:pt idx="802">
                  <c:v>26.486087031961574</c:v>
                </c:pt>
                <c:pt idx="803">
                  <c:v>31.104175824854831</c:v>
                </c:pt>
                <c:pt idx="804">
                  <c:v>26.555787260993057</c:v>
                </c:pt>
                <c:pt idx="805">
                  <c:v>29.925203983479545</c:v>
                </c:pt>
                <c:pt idx="806">
                  <c:v>28.780256415491642</c:v>
                </c:pt>
                <c:pt idx="807">
                  <c:v>22.19894810338662</c:v>
                </c:pt>
                <c:pt idx="808">
                  <c:v>30.658664435150602</c:v>
                </c:pt>
                <c:pt idx="809">
                  <c:v>32.331845240831619</c:v>
                </c:pt>
                <c:pt idx="810">
                  <c:v>23.082736024522308</c:v>
                </c:pt>
                <c:pt idx="811">
                  <c:v>29.248685232221543</c:v>
                </c:pt>
                <c:pt idx="812">
                  <c:v>23.559856159298711</c:v>
                </c:pt>
                <c:pt idx="813">
                  <c:v>25.375705462264698</c:v>
                </c:pt>
                <c:pt idx="814">
                  <c:v>25.884984968604233</c:v>
                </c:pt>
                <c:pt idx="815">
                  <c:v>28.531626127497038</c:v>
                </c:pt>
                <c:pt idx="816">
                  <c:v>32.953827696185591</c:v>
                </c:pt>
                <c:pt idx="817">
                  <c:v>24.349743330224495</c:v>
                </c:pt>
                <c:pt idx="818">
                  <c:v>25.770553210755732</c:v>
                </c:pt>
                <c:pt idx="819">
                  <c:v>27.050025248670806</c:v>
                </c:pt>
                <c:pt idx="820">
                  <c:v>28.991178583830255</c:v>
                </c:pt>
                <c:pt idx="821">
                  <c:v>27.639850381153106</c:v>
                </c:pt>
                <c:pt idx="822">
                  <c:v>24.950000989593672</c:v>
                </c:pt>
                <c:pt idx="823">
                  <c:v>30.287331004141251</c:v>
                </c:pt>
                <c:pt idx="824">
                  <c:v>28.565177401330587</c:v>
                </c:pt>
                <c:pt idx="825">
                  <c:v>28.045817720359921</c:v>
                </c:pt>
                <c:pt idx="826">
                  <c:v>27.01896187819985</c:v>
                </c:pt>
                <c:pt idx="827">
                  <c:v>28.671590169298291</c:v>
                </c:pt>
                <c:pt idx="828">
                  <c:v>28.988347073040778</c:v>
                </c:pt>
                <c:pt idx="829">
                  <c:v>27.119380784135092</c:v>
                </c:pt>
                <c:pt idx="830">
                  <c:v>30.852343287066855</c:v>
                </c:pt>
                <c:pt idx="831">
                  <c:v>26.421840654966989</c:v>
                </c:pt>
                <c:pt idx="832">
                  <c:v>25.028526643149672</c:v>
                </c:pt>
                <c:pt idx="833">
                  <c:v>21.39573544801441</c:v>
                </c:pt>
                <c:pt idx="834">
                  <c:v>31.31926703527024</c:v>
                </c:pt>
                <c:pt idx="835">
                  <c:v>32.337642902476887</c:v>
                </c:pt>
                <c:pt idx="836">
                  <c:v>21.294497883822917</c:v>
                </c:pt>
                <c:pt idx="837">
                  <c:v>25.644830771065116</c:v>
                </c:pt>
                <c:pt idx="838">
                  <c:v>25.674219758884352</c:v>
                </c:pt>
                <c:pt idx="839">
                  <c:v>25.942156041527895</c:v>
                </c:pt>
                <c:pt idx="840">
                  <c:v>34.651866805483301</c:v>
                </c:pt>
                <c:pt idx="841">
                  <c:v>23.756790037940505</c:v>
                </c:pt>
                <c:pt idx="842">
                  <c:v>26.526022054879668</c:v>
                </c:pt>
                <c:pt idx="843">
                  <c:v>27.059665451955532</c:v>
                </c:pt>
                <c:pt idx="844">
                  <c:v>35.19347618568937</c:v>
                </c:pt>
                <c:pt idx="845">
                  <c:v>30.170971019715594</c:v>
                </c:pt>
                <c:pt idx="846">
                  <c:v>27.943455457165207</c:v>
                </c:pt>
                <c:pt idx="847">
                  <c:v>20.525093655466495</c:v>
                </c:pt>
                <c:pt idx="848">
                  <c:v>24.822779683452513</c:v>
                </c:pt>
                <c:pt idx="849">
                  <c:v>25.771184495553687</c:v>
                </c:pt>
                <c:pt idx="850">
                  <c:v>32.91722381846796</c:v>
                </c:pt>
                <c:pt idx="851">
                  <c:v>27.318314962420288</c:v>
                </c:pt>
                <c:pt idx="852">
                  <c:v>34.04925888416723</c:v>
                </c:pt>
                <c:pt idx="853">
                  <c:v>26.621138859185663</c:v>
                </c:pt>
                <c:pt idx="854">
                  <c:v>30.79865104533193</c:v>
                </c:pt>
                <c:pt idx="855">
                  <c:v>24.806586085989689</c:v>
                </c:pt>
                <c:pt idx="856">
                  <c:v>28.272947448950372</c:v>
                </c:pt>
                <c:pt idx="857">
                  <c:v>30.602572103785093</c:v>
                </c:pt>
                <c:pt idx="858">
                  <c:v>25.342609971385549</c:v>
                </c:pt>
                <c:pt idx="859">
                  <c:v>32.587569011436194</c:v>
                </c:pt>
                <c:pt idx="860">
                  <c:v>27.094134625660867</c:v>
                </c:pt>
                <c:pt idx="861">
                  <c:v>30.746439131808259</c:v>
                </c:pt>
                <c:pt idx="862">
                  <c:v>22.327829384724311</c:v>
                </c:pt>
                <c:pt idx="863">
                  <c:v>30.210747250819605</c:v>
                </c:pt>
                <c:pt idx="864">
                  <c:v>32.776820026467988</c:v>
                </c:pt>
                <c:pt idx="865">
                  <c:v>23.387853660226551</c:v>
                </c:pt>
                <c:pt idx="866">
                  <c:v>24.90001509109473</c:v>
                </c:pt>
                <c:pt idx="867">
                  <c:v>33.233262176059867</c:v>
                </c:pt>
                <c:pt idx="868">
                  <c:v>27.088176383031026</c:v>
                </c:pt>
                <c:pt idx="869">
                  <c:v>20.546720178220085</c:v>
                </c:pt>
                <c:pt idx="870">
                  <c:v>27.408409664816425</c:v>
                </c:pt>
                <c:pt idx="871">
                  <c:v>29.044457910904065</c:v>
                </c:pt>
                <c:pt idx="872">
                  <c:v>24.412725360569251</c:v>
                </c:pt>
                <c:pt idx="873">
                  <c:v>28.830549281202195</c:v>
                </c:pt>
                <c:pt idx="874">
                  <c:v>38.491129721592664</c:v>
                </c:pt>
                <c:pt idx="875">
                  <c:v>32.528325874320835</c:v>
                </c:pt>
                <c:pt idx="876">
                  <c:v>25.413253773531281</c:v>
                </c:pt>
                <c:pt idx="877">
                  <c:v>28.694702370994129</c:v>
                </c:pt>
                <c:pt idx="878">
                  <c:v>28.454443355006877</c:v>
                </c:pt>
                <c:pt idx="879">
                  <c:v>26.442404675792439</c:v>
                </c:pt>
                <c:pt idx="880">
                  <c:v>23.186282210225386</c:v>
                </c:pt>
                <c:pt idx="881">
                  <c:v>35.960048855548926</c:v>
                </c:pt>
                <c:pt idx="882">
                  <c:v>27.783122211501897</c:v>
                </c:pt>
                <c:pt idx="883">
                  <c:v>23.462207129351452</c:v>
                </c:pt>
                <c:pt idx="884">
                  <c:v>28.377546290990239</c:v>
                </c:pt>
                <c:pt idx="885">
                  <c:v>29.22974150201884</c:v>
                </c:pt>
                <c:pt idx="886">
                  <c:v>24.16197044607004</c:v>
                </c:pt>
                <c:pt idx="887">
                  <c:v>28.469921116156218</c:v>
                </c:pt>
                <c:pt idx="888">
                  <c:v>22.424958118589402</c:v>
                </c:pt>
                <c:pt idx="889">
                  <c:v>28.00674098936258</c:v>
                </c:pt>
                <c:pt idx="890">
                  <c:v>37.113556723212767</c:v>
                </c:pt>
                <c:pt idx="891">
                  <c:v>25.617117873957451</c:v>
                </c:pt>
                <c:pt idx="892">
                  <c:v>25.422719685937647</c:v>
                </c:pt>
                <c:pt idx="893">
                  <c:v>31.265235316266182</c:v>
                </c:pt>
                <c:pt idx="894">
                  <c:v>25.936435082053389</c:v>
                </c:pt>
                <c:pt idx="895">
                  <c:v>23.580555158208288</c:v>
                </c:pt>
                <c:pt idx="896">
                  <c:v>31.365982583665531</c:v>
                </c:pt>
                <c:pt idx="897">
                  <c:v>27.233007616092443</c:v>
                </c:pt>
                <c:pt idx="898">
                  <c:v>21.761713114663344</c:v>
                </c:pt>
                <c:pt idx="899">
                  <c:v>26.55533772940802</c:v>
                </c:pt>
                <c:pt idx="900">
                  <c:v>31.198893408531266</c:v>
                </c:pt>
                <c:pt idx="901">
                  <c:v>24.148280435063487</c:v>
                </c:pt>
                <c:pt idx="902">
                  <c:v>24.179134285704535</c:v>
                </c:pt>
                <c:pt idx="903">
                  <c:v>28.447934794330962</c:v>
                </c:pt>
                <c:pt idx="904">
                  <c:v>21.55108599194595</c:v>
                </c:pt>
                <c:pt idx="905">
                  <c:v>25.561308989271296</c:v>
                </c:pt>
                <c:pt idx="906">
                  <c:v>25.821829048749141</c:v>
                </c:pt>
                <c:pt idx="907">
                  <c:v>26.552511842389926</c:v>
                </c:pt>
                <c:pt idx="908">
                  <c:v>34.450963620980012</c:v>
                </c:pt>
                <c:pt idx="909">
                  <c:v>24.789825892914646</c:v>
                </c:pt>
                <c:pt idx="910">
                  <c:v>25.47625002974257</c:v>
                </c:pt>
                <c:pt idx="911">
                  <c:v>27.400379179542231</c:v>
                </c:pt>
                <c:pt idx="912">
                  <c:v>25.535334733585529</c:v>
                </c:pt>
                <c:pt idx="913">
                  <c:v>29.307452864327807</c:v>
                </c:pt>
                <c:pt idx="914">
                  <c:v>29.616991073465758</c:v>
                </c:pt>
                <c:pt idx="915">
                  <c:v>29.937386331942697</c:v>
                </c:pt>
                <c:pt idx="916">
                  <c:v>29.399827689493787</c:v>
                </c:pt>
                <c:pt idx="917">
                  <c:v>29.716460396970263</c:v>
                </c:pt>
                <c:pt idx="918">
                  <c:v>25.035735942928785</c:v>
                </c:pt>
                <c:pt idx="919">
                  <c:v>31.857322410331435</c:v>
                </c:pt>
                <c:pt idx="920">
                  <c:v>25.088057230165838</c:v>
                </c:pt>
                <c:pt idx="921">
                  <c:v>22.319586554902525</c:v>
                </c:pt>
                <c:pt idx="922">
                  <c:v>28.776696661548872</c:v>
                </c:pt>
                <c:pt idx="923">
                  <c:v>36.121601053263802</c:v>
                </c:pt>
                <c:pt idx="924">
                  <c:v>29.106703626407036</c:v>
                </c:pt>
                <c:pt idx="925">
                  <c:v>30.842143521689096</c:v>
                </c:pt>
                <c:pt idx="926">
                  <c:v>36.62221909978512</c:v>
                </c:pt>
                <c:pt idx="927">
                  <c:v>30.61740969819099</c:v>
                </c:pt>
                <c:pt idx="928">
                  <c:v>32.16990991623657</c:v>
                </c:pt>
                <c:pt idx="929">
                  <c:v>26.709320574009894</c:v>
                </c:pt>
                <c:pt idx="930">
                  <c:v>23.102693596501865</c:v>
                </c:pt>
                <c:pt idx="931">
                  <c:v>25.391520696140727</c:v>
                </c:pt>
                <c:pt idx="932">
                  <c:v>27.53005349753823</c:v>
                </c:pt>
                <c:pt idx="933">
                  <c:v>24.581401872318736</c:v>
                </c:pt>
                <c:pt idx="934">
                  <c:v>26.620047774372129</c:v>
                </c:pt>
                <c:pt idx="935">
                  <c:v>28.914262187607356</c:v>
                </c:pt>
                <c:pt idx="936">
                  <c:v>30.331926836154373</c:v>
                </c:pt>
                <c:pt idx="937">
                  <c:v>30.36301099974953</c:v>
                </c:pt>
                <c:pt idx="938">
                  <c:v>25.140745964017331</c:v>
                </c:pt>
                <c:pt idx="939">
                  <c:v>24.738100095235016</c:v>
                </c:pt>
                <c:pt idx="940">
                  <c:v>31.959187634828744</c:v>
                </c:pt>
                <c:pt idx="941">
                  <c:v>29.64459744342328</c:v>
                </c:pt>
                <c:pt idx="942">
                  <c:v>25.032472187117694</c:v>
                </c:pt>
                <c:pt idx="943">
                  <c:v>33.011521284521649</c:v>
                </c:pt>
                <c:pt idx="944">
                  <c:v>26.666780058555023</c:v>
                </c:pt>
                <c:pt idx="945">
                  <c:v>25.331011376303817</c:v>
                </c:pt>
                <c:pt idx="946">
                  <c:v>22.012552287311443</c:v>
                </c:pt>
                <c:pt idx="947">
                  <c:v>31.276393681761327</c:v>
                </c:pt>
                <c:pt idx="948">
                  <c:v>20.54516030377436</c:v>
                </c:pt>
                <c:pt idx="949">
                  <c:v>31.346093910792803</c:v>
                </c:pt>
                <c:pt idx="950">
                  <c:v>26.834768309279514</c:v>
                </c:pt>
                <c:pt idx="951">
                  <c:v>31.111032295060784</c:v>
                </c:pt>
                <c:pt idx="952">
                  <c:v>30.271339951499929</c:v>
                </c:pt>
                <c:pt idx="953">
                  <c:v>24.683358235905999</c:v>
                </c:pt>
                <c:pt idx="954">
                  <c:v>26.477858532700925</c:v>
                </c:pt>
                <c:pt idx="955">
                  <c:v>28.210087754373266</c:v>
                </c:pt>
                <c:pt idx="956">
                  <c:v>23.16569460593195</c:v>
                </c:pt>
                <c:pt idx="957">
                  <c:v>28.785402558457594</c:v>
                </c:pt>
                <c:pt idx="958">
                  <c:v>28.046371434199511</c:v>
                </c:pt>
                <c:pt idx="959">
                  <c:v>25.706399892436622</c:v>
                </c:pt>
                <c:pt idx="960">
                  <c:v>27.602940964961899</c:v>
                </c:pt>
                <c:pt idx="961">
                  <c:v>23.67305962545845</c:v>
                </c:pt>
                <c:pt idx="962">
                  <c:v>30.588572857077924</c:v>
                </c:pt>
                <c:pt idx="963">
                  <c:v>28.192387785278644</c:v>
                </c:pt>
                <c:pt idx="964">
                  <c:v>26.064307971310363</c:v>
                </c:pt>
                <c:pt idx="965">
                  <c:v>33.783917001250025</c:v>
                </c:pt>
                <c:pt idx="966">
                  <c:v>22.297365340030922</c:v>
                </c:pt>
                <c:pt idx="967">
                  <c:v>24.626954872525815</c:v>
                </c:pt>
                <c:pt idx="968">
                  <c:v>29.65936650717272</c:v>
                </c:pt>
                <c:pt idx="969">
                  <c:v>28.366484203872993</c:v>
                </c:pt>
                <c:pt idx="970">
                  <c:v>28.913175734526785</c:v>
                </c:pt>
                <c:pt idx="971">
                  <c:v>36.094246272733557</c:v>
                </c:pt>
                <c:pt idx="972">
                  <c:v>27.950460005887681</c:v>
                </c:pt>
                <c:pt idx="973">
                  <c:v>32.762168995842146</c:v>
                </c:pt>
                <c:pt idx="974">
                  <c:v>26.563517530250671</c:v>
                </c:pt>
                <c:pt idx="975">
                  <c:v>35.878838266444248</c:v>
                </c:pt>
                <c:pt idx="976">
                  <c:v>35.554098973387049</c:v>
                </c:pt>
                <c:pt idx="977">
                  <c:v>29.391350286733061</c:v>
                </c:pt>
                <c:pt idx="978">
                  <c:v>24.496917519955279</c:v>
                </c:pt>
                <c:pt idx="979">
                  <c:v>32.334569886148309</c:v>
                </c:pt>
                <c:pt idx="980">
                  <c:v>31.456707129856362</c:v>
                </c:pt>
                <c:pt idx="981">
                  <c:v>28.714677041061694</c:v>
                </c:pt>
                <c:pt idx="982">
                  <c:v>28.748373122079954</c:v>
                </c:pt>
                <c:pt idx="983">
                  <c:v>25.249135982410372</c:v>
                </c:pt>
                <c:pt idx="984">
                  <c:v>36.579211446917682</c:v>
                </c:pt>
                <c:pt idx="985">
                  <c:v>28.320043747824617</c:v>
                </c:pt>
                <c:pt idx="986">
                  <c:v>29.128134001100559</c:v>
                </c:pt>
                <c:pt idx="987">
                  <c:v>23.723966527199874</c:v>
                </c:pt>
                <c:pt idx="988">
                  <c:v>29.993581955277172</c:v>
                </c:pt>
                <c:pt idx="989">
                  <c:v>34.623477562911312</c:v>
                </c:pt>
                <c:pt idx="990">
                  <c:v>34.318117669584595</c:v>
                </c:pt>
                <c:pt idx="991">
                  <c:v>29.275474756748146</c:v>
                </c:pt>
                <c:pt idx="992">
                  <c:v>27.292144708181695</c:v>
                </c:pt>
                <c:pt idx="993">
                  <c:v>27.08149827389747</c:v>
                </c:pt>
                <c:pt idx="994">
                  <c:v>27.107658917515998</c:v>
                </c:pt>
                <c:pt idx="995">
                  <c:v>27.371313567323593</c:v>
                </c:pt>
                <c:pt idx="996">
                  <c:v>30.800748723442222</c:v>
                </c:pt>
                <c:pt idx="997">
                  <c:v>28.41330628125117</c:v>
                </c:pt>
                <c:pt idx="998">
                  <c:v>29.748089432557023</c:v>
                </c:pt>
                <c:pt idx="999">
                  <c:v>23.059062825330887</c:v>
                </c:pt>
                <c:pt idx="1000">
                  <c:v>27.275087036674559</c:v>
                </c:pt>
                <c:pt idx="1001">
                  <c:v>23.865357959671893</c:v>
                </c:pt>
                <c:pt idx="1002">
                  <c:v>30.699736675973664</c:v>
                </c:pt>
                <c:pt idx="1003">
                  <c:v>29.626825789446251</c:v>
                </c:pt>
                <c:pt idx="1004">
                  <c:v>22.627875711693104</c:v>
                </c:pt>
                <c:pt idx="1005">
                  <c:v>30.233906175573239</c:v>
                </c:pt>
                <c:pt idx="1006">
                  <c:v>31.991718400980577</c:v>
                </c:pt>
                <c:pt idx="1007">
                  <c:v>30.016863020279093</c:v>
                </c:pt>
                <c:pt idx="1008">
                  <c:v>29.242495691225006</c:v>
                </c:pt>
                <c:pt idx="1009">
                  <c:v>33.006439144588391</c:v>
                </c:pt>
                <c:pt idx="1010">
                  <c:v>25.511539432664915</c:v>
                </c:pt>
                <c:pt idx="1011">
                  <c:v>27.335105076379225</c:v>
                </c:pt>
                <c:pt idx="1012">
                  <c:v>27.841048798232151</c:v>
                </c:pt>
                <c:pt idx="1013">
                  <c:v>24.148924880618548</c:v>
                </c:pt>
                <c:pt idx="1014">
                  <c:v>28.144371647668827</c:v>
                </c:pt>
                <c:pt idx="1015">
                  <c:v>33.848948635813521</c:v>
                </c:pt>
                <c:pt idx="1016">
                  <c:v>26.096686995090813</c:v>
                </c:pt>
                <c:pt idx="1017">
                  <c:v>34.241375758469886</c:v>
                </c:pt>
                <c:pt idx="1018">
                  <c:v>32.068141495372871</c:v>
                </c:pt>
                <c:pt idx="1019">
                  <c:v>31.800465245419492</c:v>
                </c:pt>
                <c:pt idx="1020">
                  <c:v>26.648025054348942</c:v>
                </c:pt>
                <c:pt idx="1021">
                  <c:v>30.995309352618474</c:v>
                </c:pt>
                <c:pt idx="1022">
                  <c:v>29.648796069119825</c:v>
                </c:pt>
                <c:pt idx="1023">
                  <c:v>27.418788603015013</c:v>
                </c:pt>
                <c:pt idx="1024">
                  <c:v>24.216911528226717</c:v>
                </c:pt>
                <c:pt idx="1025">
                  <c:v>31.117613279038046</c:v>
                </c:pt>
                <c:pt idx="1026">
                  <c:v>31.726194948568757</c:v>
                </c:pt>
                <c:pt idx="1027">
                  <c:v>34.577265503695394</c:v>
                </c:pt>
                <c:pt idx="1028">
                  <c:v>34.946393336206619</c:v>
                </c:pt>
                <c:pt idx="1029">
                  <c:v>28.310784029140713</c:v>
                </c:pt>
                <c:pt idx="1030">
                  <c:v>27.848610845366238</c:v>
                </c:pt>
                <c:pt idx="1031">
                  <c:v>29.643925808494256</c:v>
                </c:pt>
                <c:pt idx="1032">
                  <c:v>28.389952888282604</c:v>
                </c:pt>
                <c:pt idx="1033">
                  <c:v>28.169781048428124</c:v>
                </c:pt>
                <c:pt idx="1034">
                  <c:v>30.823183783445288</c:v>
                </c:pt>
                <c:pt idx="1035">
                  <c:v>32.30342873263757</c:v>
                </c:pt>
                <c:pt idx="1036">
                  <c:v>26.165681469399907</c:v>
                </c:pt>
                <c:pt idx="1037">
                  <c:v>34.24815799228525</c:v>
                </c:pt>
                <c:pt idx="1038">
                  <c:v>25.150794264116367</c:v>
                </c:pt>
                <c:pt idx="1039">
                  <c:v>31.834151605796162</c:v>
                </c:pt>
                <c:pt idx="1040">
                  <c:v>23.440801496863813</c:v>
                </c:pt>
                <c:pt idx="1041">
                  <c:v>27.194317085743346</c:v>
                </c:pt>
                <c:pt idx="1042">
                  <c:v>31.341924878705527</c:v>
                </c:pt>
                <c:pt idx="1043">
                  <c:v>35.461653708278348</c:v>
                </c:pt>
                <c:pt idx="1044">
                  <c:v>29.49006646589239</c:v>
                </c:pt>
                <c:pt idx="1045">
                  <c:v>29.00158765888235</c:v>
                </c:pt>
                <c:pt idx="1046">
                  <c:v>32.95052910530962</c:v>
                </c:pt>
                <c:pt idx="1047">
                  <c:v>37.02242693274345</c:v>
                </c:pt>
                <c:pt idx="1048">
                  <c:v>30.405739238896491</c:v>
                </c:pt>
                <c:pt idx="1049">
                  <c:v>36.725737209311163</c:v>
                </c:pt>
                <c:pt idx="1050">
                  <c:v>30.461396824909485</c:v>
                </c:pt>
                <c:pt idx="1051">
                  <c:v>26.543630201735684</c:v>
                </c:pt>
                <c:pt idx="1052">
                  <c:v>32.233841840137771</c:v>
                </c:pt>
                <c:pt idx="1053">
                  <c:v>28.71915456441716</c:v>
                </c:pt>
                <c:pt idx="1054">
                  <c:v>21.171574606052125</c:v>
                </c:pt>
                <c:pt idx="1055">
                  <c:v>26.204973615339053</c:v>
                </c:pt>
                <c:pt idx="1056">
                  <c:v>31.475102698345612</c:v>
                </c:pt>
                <c:pt idx="1057">
                  <c:v>26.476660560014437</c:v>
                </c:pt>
                <c:pt idx="1058">
                  <c:v>29.107750544502426</c:v>
                </c:pt>
                <c:pt idx="1059">
                  <c:v>29.649778655740874</c:v>
                </c:pt>
                <c:pt idx="1060">
                  <c:v>26.548738583317562</c:v>
                </c:pt>
                <c:pt idx="1061">
                  <c:v>28.442107982609908</c:v>
                </c:pt>
                <c:pt idx="1062">
                  <c:v>39.481870651225641</c:v>
                </c:pt>
                <c:pt idx="1063">
                  <c:v>30.02654507304479</c:v>
                </c:pt>
                <c:pt idx="1064">
                  <c:v>36.526346560339221</c:v>
                </c:pt>
                <c:pt idx="1065">
                  <c:v>25.183228904680874</c:v>
                </c:pt>
                <c:pt idx="1066">
                  <c:v>38.069955939273285</c:v>
                </c:pt>
                <c:pt idx="1067">
                  <c:v>32.995717334319266</c:v>
                </c:pt>
                <c:pt idx="1068">
                  <c:v>28.875622383340254</c:v>
                </c:pt>
                <c:pt idx="1069">
                  <c:v>30.194533323769274</c:v>
                </c:pt>
                <c:pt idx="1070">
                  <c:v>30.496329120034449</c:v>
                </c:pt>
                <c:pt idx="1071">
                  <c:v>24.141301375574738</c:v>
                </c:pt>
                <c:pt idx="1072">
                  <c:v>32.845132786777874</c:v>
                </c:pt>
                <c:pt idx="1073">
                  <c:v>31.984056938925693</c:v>
                </c:pt>
                <c:pt idx="1074">
                  <c:v>39.924044780628819</c:v>
                </c:pt>
                <c:pt idx="1075">
                  <c:v>38.00598352952759</c:v>
                </c:pt>
                <c:pt idx="1076">
                  <c:v>30.940226992899941</c:v>
                </c:pt>
                <c:pt idx="1077">
                  <c:v>32.104147265354698</c:v>
                </c:pt>
                <c:pt idx="1078">
                  <c:v>27.000427529350475</c:v>
                </c:pt>
                <c:pt idx="1079">
                  <c:v>25.309061585230346</c:v>
                </c:pt>
                <c:pt idx="1080">
                  <c:v>35.334902525961716</c:v>
                </c:pt>
                <c:pt idx="1081">
                  <c:v>28.728712988677845</c:v>
                </c:pt>
                <c:pt idx="1082">
                  <c:v>27.32860064581768</c:v>
                </c:pt>
                <c:pt idx="1083">
                  <c:v>38.290875785147819</c:v>
                </c:pt>
                <c:pt idx="1084">
                  <c:v>26.052557993912398</c:v>
                </c:pt>
                <c:pt idx="1085">
                  <c:v>32.344327918212713</c:v>
                </c:pt>
                <c:pt idx="1086">
                  <c:v>32.669238950166083</c:v>
                </c:pt>
                <c:pt idx="1087">
                  <c:v>31.535588234960194</c:v>
                </c:pt>
                <c:pt idx="1088">
                  <c:v>27.250298010134642</c:v>
                </c:pt>
                <c:pt idx="1089">
                  <c:v>25.750316566919231</c:v>
                </c:pt>
                <c:pt idx="1090">
                  <c:v>34.340591778497668</c:v>
                </c:pt>
                <c:pt idx="1091">
                  <c:v>31.092259538479006</c:v>
                </c:pt>
                <c:pt idx="1092">
                  <c:v>36.06670033156108</c:v>
                </c:pt>
                <c:pt idx="1093">
                  <c:v>25.432064567189876</c:v>
                </c:pt>
                <c:pt idx="1094">
                  <c:v>28.827418235211542</c:v>
                </c:pt>
                <c:pt idx="1095">
                  <c:v>28.852692142133524</c:v>
                </c:pt>
                <c:pt idx="1096">
                  <c:v>29.891151398527096</c:v>
                </c:pt>
                <c:pt idx="1097">
                  <c:v>30.179169104889372</c:v>
                </c:pt>
                <c:pt idx="1098">
                  <c:v>26.389166265338172</c:v>
                </c:pt>
                <c:pt idx="1099">
                  <c:v>25.986225034410388</c:v>
                </c:pt>
                <c:pt idx="1100">
                  <c:v>25.392868492499961</c:v>
                </c:pt>
                <c:pt idx="1101">
                  <c:v>28.763027230940107</c:v>
                </c:pt>
                <c:pt idx="1102">
                  <c:v>31.684910652026609</c:v>
                </c:pt>
                <c:pt idx="1103">
                  <c:v>29.819643089962842</c:v>
                </c:pt>
                <c:pt idx="1104">
                  <c:v>32.613309567380099</c:v>
                </c:pt>
                <c:pt idx="1105">
                  <c:v>27.677960948399846</c:v>
                </c:pt>
                <c:pt idx="1106">
                  <c:v>24.732383419233233</c:v>
                </c:pt>
                <c:pt idx="1107">
                  <c:v>31.267490538074071</c:v>
                </c:pt>
                <c:pt idx="1108">
                  <c:v>30.485288693571352</c:v>
                </c:pt>
                <c:pt idx="1109">
                  <c:v>29.473059412164442</c:v>
                </c:pt>
                <c:pt idx="1110">
                  <c:v>26.249353709688982</c:v>
                </c:pt>
                <c:pt idx="1111">
                  <c:v>24.649453572038993</c:v>
                </c:pt>
                <c:pt idx="1112">
                  <c:v>25.874011976730301</c:v>
                </c:pt>
                <c:pt idx="1113">
                  <c:v>33.477169254533379</c:v>
                </c:pt>
                <c:pt idx="1114">
                  <c:v>27.439765259615044</c:v>
                </c:pt>
                <c:pt idx="1115">
                  <c:v>29.378389406110731</c:v>
                </c:pt>
                <c:pt idx="1116">
                  <c:v>27.04291501559425</c:v>
                </c:pt>
                <c:pt idx="1117">
                  <c:v>24.976918693282897</c:v>
                </c:pt>
                <c:pt idx="1118">
                  <c:v>32.730126695737837</c:v>
                </c:pt>
                <c:pt idx="1119">
                  <c:v>28.98691938595524</c:v>
                </c:pt>
                <c:pt idx="1120">
                  <c:v>26.27210197983193</c:v>
                </c:pt>
                <c:pt idx="1121">
                  <c:v>24.676868564071707</c:v>
                </c:pt>
                <c:pt idx="1122">
                  <c:v>32.548556300396612</c:v>
                </c:pt>
                <c:pt idx="1123">
                  <c:v>29.339390383328702</c:v>
                </c:pt>
                <c:pt idx="1124">
                  <c:v>32.90422311433219</c:v>
                </c:pt>
                <c:pt idx="1125">
                  <c:v>37.514691891969477</c:v>
                </c:pt>
                <c:pt idx="1126">
                  <c:v>29.671566726405711</c:v>
                </c:pt>
                <c:pt idx="1127">
                  <c:v>28.949780229637184</c:v>
                </c:pt>
                <c:pt idx="1128">
                  <c:v>26.675803631692226</c:v>
                </c:pt>
                <c:pt idx="1129">
                  <c:v>30.79107753900437</c:v>
                </c:pt>
                <c:pt idx="1130">
                  <c:v>31.637173239549593</c:v>
                </c:pt>
                <c:pt idx="1131">
                  <c:v>31.392208708788388</c:v>
                </c:pt>
                <c:pt idx="1132">
                  <c:v>33.440684579862719</c:v>
                </c:pt>
                <c:pt idx="1133">
                  <c:v>29.600006765278327</c:v>
                </c:pt>
                <c:pt idx="1134">
                  <c:v>30.927112885820701</c:v>
                </c:pt>
                <c:pt idx="1135">
                  <c:v>27.959636802597757</c:v>
                </c:pt>
                <c:pt idx="1136">
                  <c:v>28.456403600073592</c:v>
                </c:pt>
                <c:pt idx="1137">
                  <c:v>25.427378408637537</c:v>
                </c:pt>
                <c:pt idx="1138">
                  <c:v>29.478896930822302</c:v>
                </c:pt>
                <c:pt idx="1139">
                  <c:v>29.755374223748291</c:v>
                </c:pt>
                <c:pt idx="1140">
                  <c:v>28.316048958418744</c:v>
                </c:pt>
                <c:pt idx="1141">
                  <c:v>24.732364599645798</c:v>
                </c:pt>
                <c:pt idx="1142">
                  <c:v>28.845241071729195</c:v>
                </c:pt>
                <c:pt idx="1143">
                  <c:v>27.249866370970704</c:v>
                </c:pt>
                <c:pt idx="1144">
                  <c:v>29.632950505477645</c:v>
                </c:pt>
                <c:pt idx="1145">
                  <c:v>28.439949542888431</c:v>
                </c:pt>
                <c:pt idx="1146">
                  <c:v>30.720150621607598</c:v>
                </c:pt>
                <c:pt idx="1147">
                  <c:v>28.730300088625469</c:v>
                </c:pt>
                <c:pt idx="1148">
                  <c:v>26.929129538765718</c:v>
                </c:pt>
                <c:pt idx="1149">
                  <c:v>34.248617380158407</c:v>
                </c:pt>
                <c:pt idx="1150">
                  <c:v>29.787004080132988</c:v>
                </c:pt>
                <c:pt idx="1151">
                  <c:v>30.589579047394334</c:v>
                </c:pt>
                <c:pt idx="1152">
                  <c:v>44.161482488877965</c:v>
                </c:pt>
                <c:pt idx="1153">
                  <c:v>33.450209193807055</c:v>
                </c:pt>
                <c:pt idx="1154">
                  <c:v>36.353160779243836</c:v>
                </c:pt>
                <c:pt idx="1155">
                  <c:v>27.533433291917362</c:v>
                </c:pt>
                <c:pt idx="1156">
                  <c:v>30.987550660496712</c:v>
                </c:pt>
                <c:pt idx="1157">
                  <c:v>27.809376506422243</c:v>
                </c:pt>
                <c:pt idx="1158">
                  <c:v>33.898257504370896</c:v>
                </c:pt>
                <c:pt idx="1159">
                  <c:v>29.772693131483891</c:v>
                </c:pt>
                <c:pt idx="1160">
                  <c:v>35.543041868583721</c:v>
                </c:pt>
                <c:pt idx="1161">
                  <c:v>31.664843035863115</c:v>
                </c:pt>
                <c:pt idx="1162">
                  <c:v>27.929264383916355</c:v>
                </c:pt>
                <c:pt idx="1163">
                  <c:v>27.061466632667198</c:v>
                </c:pt>
                <c:pt idx="1164">
                  <c:v>30.406915178622349</c:v>
                </c:pt>
                <c:pt idx="1165">
                  <c:v>29.181989034658379</c:v>
                </c:pt>
                <c:pt idx="1166">
                  <c:v>28.725265802263216</c:v>
                </c:pt>
                <c:pt idx="1167">
                  <c:v>25.490928923846887</c:v>
                </c:pt>
                <c:pt idx="1168">
                  <c:v>36.11613217032285</c:v>
                </c:pt>
                <c:pt idx="1169">
                  <c:v>33.615571990503163</c:v>
                </c:pt>
                <c:pt idx="1170">
                  <c:v>25.164783444535818</c:v>
                </c:pt>
                <c:pt idx="1171">
                  <c:v>27.469152189944175</c:v>
                </c:pt>
                <c:pt idx="1172">
                  <c:v>24.82122450254322</c:v>
                </c:pt>
                <c:pt idx="1173">
                  <c:v>27.737391735402429</c:v>
                </c:pt>
                <c:pt idx="1174">
                  <c:v>29.654438998653227</c:v>
                </c:pt>
                <c:pt idx="1175">
                  <c:v>30.438004669805565</c:v>
                </c:pt>
                <c:pt idx="1176">
                  <c:v>32.353673769320011</c:v>
                </c:pt>
                <c:pt idx="1177">
                  <c:v>31.548062280475829</c:v>
                </c:pt>
                <c:pt idx="1178">
                  <c:v>28.784629406784784</c:v>
                </c:pt>
                <c:pt idx="1179">
                  <c:v>34.207152363583717</c:v>
                </c:pt>
                <c:pt idx="1180">
                  <c:v>28.831502276686734</c:v>
                </c:pt>
                <c:pt idx="1181">
                  <c:v>31.384908102626586</c:v>
                </c:pt>
                <c:pt idx="1182">
                  <c:v>32.517289411546592</c:v>
                </c:pt>
                <c:pt idx="1183">
                  <c:v>33.125033509049636</c:v>
                </c:pt>
                <c:pt idx="1184">
                  <c:v>32.575346574917312</c:v>
                </c:pt>
                <c:pt idx="1185">
                  <c:v>28.023203917170559</c:v>
                </c:pt>
                <c:pt idx="1186">
                  <c:v>29.216780715628694</c:v>
                </c:pt>
                <c:pt idx="1187">
                  <c:v>31.008337598506095</c:v>
                </c:pt>
                <c:pt idx="1188">
                  <c:v>31.038408719500282</c:v>
                </c:pt>
                <c:pt idx="1189">
                  <c:v>32.428733829524056</c:v>
                </c:pt>
                <c:pt idx="1190">
                  <c:v>30.056615213831044</c:v>
                </c:pt>
                <c:pt idx="1191">
                  <c:v>34.552229396864263</c:v>
                </c:pt>
                <c:pt idx="1192">
                  <c:v>28.191061865193113</c:v>
                </c:pt>
                <c:pt idx="1193">
                  <c:v>31.980016189450559</c:v>
                </c:pt>
                <c:pt idx="1194">
                  <c:v>29.907574469243166</c:v>
                </c:pt>
                <c:pt idx="1195">
                  <c:v>24.550518867580298</c:v>
                </c:pt>
                <c:pt idx="1196">
                  <c:v>26.956273110394577</c:v>
                </c:pt>
                <c:pt idx="1197">
                  <c:v>21.872883615710929</c:v>
                </c:pt>
                <c:pt idx="1198">
                  <c:v>32.113716208895113</c:v>
                </c:pt>
                <c:pt idx="1199">
                  <c:v>33.868598936388722</c:v>
                </c:pt>
                <c:pt idx="1200">
                  <c:v>35.769761514925833</c:v>
                </c:pt>
                <c:pt idx="1201">
                  <c:v>25.434746339158714</c:v>
                </c:pt>
                <c:pt idx="1202">
                  <c:v>37.518681082244122</c:v>
                </c:pt>
                <c:pt idx="1203">
                  <c:v>23.460274263004898</c:v>
                </c:pt>
                <c:pt idx="1204">
                  <c:v>23.307287487039606</c:v>
                </c:pt>
                <c:pt idx="1205">
                  <c:v>29.200025651185747</c:v>
                </c:pt>
                <c:pt idx="1206">
                  <c:v>24.047669391328185</c:v>
                </c:pt>
                <c:pt idx="1207">
                  <c:v>32.355404705583361</c:v>
                </c:pt>
                <c:pt idx="1208">
                  <c:v>30.512091891261338</c:v>
                </c:pt>
                <c:pt idx="1209">
                  <c:v>33.553883867500751</c:v>
                </c:pt>
                <c:pt idx="1210">
                  <c:v>28.846073716299468</c:v>
                </c:pt>
                <c:pt idx="1211">
                  <c:v>28.409691640746658</c:v>
                </c:pt>
                <c:pt idx="1212">
                  <c:v>27.319495269726168</c:v>
                </c:pt>
                <c:pt idx="1213">
                  <c:v>28.685562306664956</c:v>
                </c:pt>
                <c:pt idx="1214">
                  <c:v>37.539895593594451</c:v>
                </c:pt>
                <c:pt idx="1215">
                  <c:v>32.292398947699283</c:v>
                </c:pt>
                <c:pt idx="1216">
                  <c:v>35.599909595793093</c:v>
                </c:pt>
                <c:pt idx="1217">
                  <c:v>35.951144378012053</c:v>
                </c:pt>
                <c:pt idx="1218">
                  <c:v>36.639639303056789</c:v>
                </c:pt>
                <c:pt idx="1219">
                  <c:v>33.53592873250561</c:v>
                </c:pt>
                <c:pt idx="1220">
                  <c:v>33.862694604459655</c:v>
                </c:pt>
                <c:pt idx="1221">
                  <c:v>31.90044752133365</c:v>
                </c:pt>
                <c:pt idx="1222">
                  <c:v>34.518876035967395</c:v>
                </c:pt>
                <c:pt idx="1223">
                  <c:v>31.41359131301056</c:v>
                </c:pt>
                <c:pt idx="1224">
                  <c:v>35.830166149417877</c:v>
                </c:pt>
                <c:pt idx="1225">
                  <c:v>29.933014719382452</c:v>
                </c:pt>
                <c:pt idx="1226">
                  <c:v>29.711409638071661</c:v>
                </c:pt>
                <c:pt idx="1227">
                  <c:v>31.517071378512242</c:v>
                </c:pt>
                <c:pt idx="1228">
                  <c:v>30.503370815018233</c:v>
                </c:pt>
                <c:pt idx="1229">
                  <c:v>28.828209195409961</c:v>
                </c:pt>
                <c:pt idx="1230">
                  <c:v>23.463591092917873</c:v>
                </c:pt>
                <c:pt idx="1231">
                  <c:v>26.269496663451694</c:v>
                </c:pt>
                <c:pt idx="1232">
                  <c:v>33.310444933682618</c:v>
                </c:pt>
                <c:pt idx="1233">
                  <c:v>36.094118784060925</c:v>
                </c:pt>
                <c:pt idx="1234">
                  <c:v>27.377876942730929</c:v>
                </c:pt>
                <c:pt idx="1235">
                  <c:v>29.686082896426203</c:v>
                </c:pt>
                <c:pt idx="1236">
                  <c:v>33.419370399831379</c:v>
                </c:pt>
                <c:pt idx="1237">
                  <c:v>33.445305034628696</c:v>
                </c:pt>
                <c:pt idx="1238">
                  <c:v>33.471239669426026</c:v>
                </c:pt>
                <c:pt idx="1239">
                  <c:v>26.239231926243924</c:v>
                </c:pt>
                <c:pt idx="1240">
                  <c:v>27.731158095736969</c:v>
                </c:pt>
                <c:pt idx="1241">
                  <c:v>26.486498428283824</c:v>
                </c:pt>
                <c:pt idx="1242">
                  <c:v>27.12942197155758</c:v>
                </c:pt>
                <c:pt idx="1243">
                  <c:v>30.620433881682033</c:v>
                </c:pt>
                <c:pt idx="1244">
                  <c:v>28.949787382521745</c:v>
                </c:pt>
                <c:pt idx="1245">
                  <c:v>33.373581776738085</c:v>
                </c:pt>
                <c:pt idx="1246">
                  <c:v>28.084856248317735</c:v>
                </c:pt>
                <c:pt idx="1247">
                  <c:v>27.667319671603082</c:v>
                </c:pt>
                <c:pt idx="1248">
                  <c:v>29.039069687479401</c:v>
                </c:pt>
                <c:pt idx="1249">
                  <c:v>29.065854378966698</c:v>
                </c:pt>
                <c:pt idx="1250">
                  <c:v>31.839134513765515</c:v>
                </c:pt>
                <c:pt idx="1251">
                  <c:v>31.075219666416803</c:v>
                </c:pt>
                <c:pt idx="1252">
                  <c:v>34.751856553979273</c:v>
                </c:pt>
                <c:pt idx="1253">
                  <c:v>26.951363413626492</c:v>
                </c:pt>
                <c:pt idx="1254">
                  <c:v>23.924737946405266</c:v>
                </c:pt>
                <c:pt idx="1255">
                  <c:v>30.664231489852803</c:v>
                </c:pt>
                <c:pt idx="1256">
                  <c:v>23.788018579234119</c:v>
                </c:pt>
                <c:pt idx="1257">
                  <c:v>27.248013655258731</c:v>
                </c:pt>
                <c:pt idx="1258">
                  <c:v>28.134426793292551</c:v>
                </c:pt>
                <c:pt idx="1259">
                  <c:v>29.774370618162596</c:v>
                </c:pt>
                <c:pt idx="1260">
                  <c:v>30.534272962424456</c:v>
                </c:pt>
                <c:pt idx="1261">
                  <c:v>26.301845814430195</c:v>
                </c:pt>
                <c:pt idx="1262">
                  <c:v>31.088318270366475</c:v>
                </c:pt>
                <c:pt idx="1263">
                  <c:v>30.86109754344097</c:v>
                </c:pt>
                <c:pt idx="1264">
                  <c:v>25.581798691103344</c:v>
                </c:pt>
                <c:pt idx="1265">
                  <c:v>25.410513824591867</c:v>
                </c:pt>
                <c:pt idx="1266">
                  <c:v>34.228531005507875</c:v>
                </c:pt>
                <c:pt idx="1267">
                  <c:v>31.47551386239579</c:v>
                </c:pt>
                <c:pt idx="1268">
                  <c:v>33.128351628596299</c:v>
                </c:pt>
                <c:pt idx="1269">
                  <c:v>28.603745047362871</c:v>
                </c:pt>
                <c:pt idx="1270">
                  <c:v>33.183482017085645</c:v>
                </c:pt>
                <c:pt idx="1271">
                  <c:v>26.313442556832165</c:v>
                </c:pt>
                <c:pt idx="1272">
                  <c:v>31.338801831985414</c:v>
                </c:pt>
                <c:pt idx="1273">
                  <c:v>32.977403916543629</c:v>
                </c:pt>
                <c:pt idx="1274">
                  <c:v>32.454808385578666</c:v>
                </c:pt>
                <c:pt idx="1275">
                  <c:v>30.901539643915246</c:v>
                </c:pt>
                <c:pt idx="1276">
                  <c:v>30.423986421567157</c:v>
                </c:pt>
                <c:pt idx="1277">
                  <c:v>27.256240537499682</c:v>
                </c:pt>
                <c:pt idx="1278">
                  <c:v>35.470640165866392</c:v>
                </c:pt>
                <c:pt idx="1279">
                  <c:v>30.497164981811462</c:v>
                </c:pt>
                <c:pt idx="1280">
                  <c:v>34.314624221290174</c:v>
                </c:pt>
                <c:pt idx="1281">
                  <c:v>38.892648601425428</c:v>
                </c:pt>
                <c:pt idx="1282">
                  <c:v>31.068901675987</c:v>
                </c:pt>
                <c:pt idx="1283">
                  <c:v>32.406681049508627</c:v>
                </c:pt>
                <c:pt idx="1284">
                  <c:v>31.636546442966427</c:v>
                </c:pt>
                <c:pt idx="1285">
                  <c:v>39.014952527845004</c:v>
                </c:pt>
                <c:pt idx="1286">
                  <c:v>28.313148528758642</c:v>
                </c:pt>
                <c:pt idx="1287">
                  <c:v>28.334265137148229</c:v>
                </c:pt>
                <c:pt idx="1288">
                  <c:v>28.80368122753373</c:v>
                </c:pt>
                <c:pt idx="1289">
                  <c:v>27.727060952169325</c:v>
                </c:pt>
                <c:pt idx="1290">
                  <c:v>27.963206444623065</c:v>
                </c:pt>
                <c:pt idx="1291">
                  <c:v>34.311311164827309</c:v>
                </c:pt>
                <c:pt idx="1292">
                  <c:v>29.126957919733378</c:v>
                </c:pt>
                <c:pt idx="1293">
                  <c:v>34.074281312214801</c:v>
                </c:pt>
                <c:pt idx="1294">
                  <c:v>32.962983644853011</c:v>
                </c:pt>
                <c:pt idx="1295">
                  <c:v>29.896626298023588</c:v>
                </c:pt>
                <c:pt idx="1296">
                  <c:v>30.403275261347119</c:v>
                </c:pt>
                <c:pt idx="1297">
                  <c:v>25.293400461198551</c:v>
                </c:pt>
                <c:pt idx="1298">
                  <c:v>26.873387531253123</c:v>
                </c:pt>
                <c:pt idx="1299">
                  <c:v>27.30539472387445</c:v>
                </c:pt>
                <c:pt idx="1300">
                  <c:v>38.754863914732596</c:v>
                </c:pt>
                <c:pt idx="1301">
                  <c:v>31.529147264184328</c:v>
                </c:pt>
                <c:pt idx="1302">
                  <c:v>32.347583360778593</c:v>
                </c:pt>
                <c:pt idx="1303">
                  <c:v>27.600356530655773</c:v>
                </c:pt>
                <c:pt idx="1304">
                  <c:v>31.864176959342611</c:v>
                </c:pt>
                <c:pt idx="1305">
                  <c:v>30.863178929660236</c:v>
                </c:pt>
                <c:pt idx="1306">
                  <c:v>33.265934280189633</c:v>
                </c:pt>
                <c:pt idx="1307">
                  <c:v>37.581701997259273</c:v>
                </c:pt>
                <c:pt idx="1308">
                  <c:v>30.440801875314683</c:v>
                </c:pt>
                <c:pt idx="1309">
                  <c:v>29.507476372366472</c:v>
                </c:pt>
                <c:pt idx="1310">
                  <c:v>21.572862869409988</c:v>
                </c:pt>
                <c:pt idx="1311">
                  <c:v>37.368664312555651</c:v>
                </c:pt>
                <c:pt idx="1312">
                  <c:v>25.778142030617094</c:v>
                </c:pt>
                <c:pt idx="1313">
                  <c:v>27.811635573728658</c:v>
                </c:pt>
                <c:pt idx="1314">
                  <c:v>29.157098423150938</c:v>
                </c:pt>
                <c:pt idx="1315">
                  <c:v>36.180168627844814</c:v>
                </c:pt>
                <c:pt idx="1316">
                  <c:v>27.872581451538139</c:v>
                </c:pt>
                <c:pt idx="1317">
                  <c:v>28.997326640581267</c:v>
                </c:pt>
                <c:pt idx="1318">
                  <c:v>29.018443248970851</c:v>
                </c:pt>
                <c:pt idx="1319">
                  <c:v>35.358512834645772</c:v>
                </c:pt>
                <c:pt idx="1320">
                  <c:v>27.534307173146843</c:v>
                </c:pt>
                <c:pt idx="1321">
                  <c:v>29.545867234737088</c:v>
                </c:pt>
                <c:pt idx="1322">
                  <c:v>38.017479842229697</c:v>
                </c:pt>
                <c:pt idx="1323">
                  <c:v>30.300296290711856</c:v>
                </c:pt>
                <c:pt idx="1324">
                  <c:v>32.087020704423502</c:v>
                </c:pt>
                <c:pt idx="1325">
                  <c:v>25.650642873324184</c:v>
                </c:pt>
                <c:pt idx="1326">
                  <c:v>33.218358339633355</c:v>
                </c:pt>
                <c:pt idx="1327">
                  <c:v>33.242384347401071</c:v>
                </c:pt>
                <c:pt idx="1328">
                  <c:v>26.682195590153786</c:v>
                </c:pt>
                <c:pt idx="1329">
                  <c:v>35.325865536565892</c:v>
                </c:pt>
                <c:pt idx="1330">
                  <c:v>27.536584770460944</c:v>
                </c:pt>
                <c:pt idx="1331">
                  <c:v>32.259031681830578</c:v>
                </c:pt>
                <c:pt idx="1332">
                  <c:v>25.048646642819346</c:v>
                </c:pt>
                <c:pt idx="1333">
                  <c:v>31.525537319154637</c:v>
                </c:pt>
                <c:pt idx="1334">
                  <c:v>28.043269389330593</c:v>
                </c:pt>
                <c:pt idx="1335">
                  <c:v>27.850425508661822</c:v>
                </c:pt>
                <c:pt idx="1336">
                  <c:v>35.509403010850264</c:v>
                </c:pt>
                <c:pt idx="1337">
                  <c:v>30.866462049655517</c:v>
                </c:pt>
                <c:pt idx="1338">
                  <c:v>34.957678155742684</c:v>
                </c:pt>
                <c:pt idx="1339">
                  <c:v>35.893312912424008</c:v>
                </c:pt>
                <c:pt idx="1340">
                  <c:v>29.270777335701215</c:v>
                </c:pt>
                <c:pt idx="1341">
                  <c:v>35.032855958228161</c:v>
                </c:pt>
                <c:pt idx="1342">
                  <c:v>30.981602367200857</c:v>
                </c:pt>
                <c:pt idx="1343">
                  <c:v>30.034937782836408</c:v>
                </c:pt>
                <c:pt idx="1344">
                  <c:v>26.403751910307509</c:v>
                </c:pt>
                <c:pt idx="1345">
                  <c:v>29.383921356898632</c:v>
                </c:pt>
                <c:pt idx="1346">
                  <c:v>27.656283656094232</c:v>
                </c:pt>
                <c:pt idx="1347">
                  <c:v>32.378949067832366</c:v>
                </c:pt>
                <c:pt idx="1348">
                  <c:v>30.389587330743197</c:v>
                </c:pt>
                <c:pt idx="1349">
                  <c:v>32.166550887384517</c:v>
                </c:pt>
                <c:pt idx="1350">
                  <c:v>34.389783411277115</c:v>
                </c:pt>
                <c:pt idx="1351">
                  <c:v>29.059775340197703</c:v>
                </c:pt>
                <c:pt idx="1352">
                  <c:v>33.31431369531974</c:v>
                </c:pt>
                <c:pt idx="1353">
                  <c:v>28.660814804540827</c:v>
                </c:pt>
                <c:pt idx="1354">
                  <c:v>25.099719471069811</c:v>
                </c:pt>
                <c:pt idx="1355">
                  <c:v>39.316518759576212</c:v>
                </c:pt>
                <c:pt idx="1356">
                  <c:v>31.816334531930757</c:v>
                </c:pt>
                <c:pt idx="1357">
                  <c:v>29.191808963779458</c:v>
                </c:pt>
                <c:pt idx="1358">
                  <c:v>30.614439143662754</c:v>
                </c:pt>
                <c:pt idx="1359">
                  <c:v>30.395305555120114</c:v>
                </c:pt>
                <c:pt idx="1360">
                  <c:v>33.786736303464977</c:v>
                </c:pt>
                <c:pt idx="1361">
                  <c:v>30.683624316868769</c:v>
                </c:pt>
                <c:pt idx="1362">
                  <c:v>33.012160826153476</c:v>
                </c:pt>
                <c:pt idx="1363">
                  <c:v>34.432098615102916</c:v>
                </c:pt>
                <c:pt idx="1364">
                  <c:v>32.260482929415552</c:v>
                </c:pt>
                <c:pt idx="1365">
                  <c:v>33.086543951518699</c:v>
                </c:pt>
                <c:pt idx="1366">
                  <c:v>28.498668171363434</c:v>
                </c:pt>
                <c:pt idx="1367">
                  <c:v>29.634761684881575</c:v>
                </c:pt>
                <c:pt idx="1368">
                  <c:v>26.293251836004544</c:v>
                </c:pt>
                <c:pt idx="1369">
                  <c:v>36.075974740435704</c:v>
                </c:pt>
                <c:pt idx="1370">
                  <c:v>28.801304564771879</c:v>
                </c:pt>
                <c:pt idx="1371">
                  <c:v>26.938912168837863</c:v>
                </c:pt>
                <c:pt idx="1372">
                  <c:v>26.759901419753476</c:v>
                </c:pt>
                <c:pt idx="1373">
                  <c:v>23.077594901355418</c:v>
                </c:pt>
                <c:pt idx="1374">
                  <c:v>29.78861129654716</c:v>
                </c:pt>
                <c:pt idx="1375">
                  <c:v>31.495262303626692</c:v>
                </c:pt>
                <c:pt idx="1376">
                  <c:v>31.020902036248103</c:v>
                </c:pt>
                <c:pt idx="1377">
                  <c:v>28.726753552684375</c:v>
                </c:pt>
                <c:pt idx="1378">
                  <c:v>31.068466842827242</c:v>
                </c:pt>
                <c:pt idx="1379">
                  <c:v>37.619005523439498</c:v>
                </c:pt>
                <c:pt idx="1380">
                  <c:v>31.359115807466768</c:v>
                </c:pt>
                <c:pt idx="1381">
                  <c:v>25.972099053614528</c:v>
                </c:pt>
                <c:pt idx="1382">
                  <c:v>26.562377941448784</c:v>
                </c:pt>
                <c:pt idx="1383">
                  <c:v>33.523544813039393</c:v>
                </c:pt>
                <c:pt idx="1384">
                  <c:v>30.714981346198126</c:v>
                </c:pt>
                <c:pt idx="1385">
                  <c:v>25.31155329952702</c:v>
                </c:pt>
                <c:pt idx="1386">
                  <c:v>33.324218871151309</c:v>
                </c:pt>
                <c:pt idx="1387">
                  <c:v>29.384039221213385</c:v>
                </c:pt>
                <c:pt idx="1388">
                  <c:v>27.274329513973086</c:v>
                </c:pt>
                <c:pt idx="1389">
                  <c:v>33.122445830575671</c:v>
                </c:pt>
                <c:pt idx="1390">
                  <c:v>25.222848824638316</c:v>
                </c:pt>
                <c:pt idx="1391">
                  <c:v>39.653975458517365</c:v>
                </c:pt>
                <c:pt idx="1392">
                  <c:v>30.652868738324916</c:v>
                </c:pt>
                <c:pt idx="1393">
                  <c:v>31.655491050678403</c:v>
                </c:pt>
                <c:pt idx="1394">
                  <c:v>32.186147227675221</c:v>
                </c:pt>
                <c:pt idx="1395">
                  <c:v>28.665263079773883</c:v>
                </c:pt>
                <c:pt idx="1396">
                  <c:v>23.955752407063319</c:v>
                </c:pt>
                <c:pt idx="1397">
                  <c:v>31.004424075070286</c:v>
                </c:pt>
                <c:pt idx="1398">
                  <c:v>22.871210120609742</c:v>
                </c:pt>
                <c:pt idx="1399">
                  <c:v>34.758879350842527</c:v>
                </c:pt>
                <c:pt idx="1400">
                  <c:v>32.84687775792964</c:v>
                </c:pt>
                <c:pt idx="1401">
                  <c:v>29.909394190541558</c:v>
                </c:pt>
                <c:pt idx="1402">
                  <c:v>29.029771368916855</c:v>
                </c:pt>
                <c:pt idx="1403">
                  <c:v>36.351674148510646</c:v>
                </c:pt>
                <c:pt idx="1404">
                  <c:v>32.681787729751989</c:v>
                </c:pt>
                <c:pt idx="1405">
                  <c:v>33.235873708465519</c:v>
                </c:pt>
                <c:pt idx="1406">
                  <c:v>30.720697014749554</c:v>
                </c:pt>
                <c:pt idx="1407">
                  <c:v>35.546562825836617</c:v>
                </c:pt>
                <c:pt idx="1408">
                  <c:v>31.743022281585912</c:v>
                </c:pt>
                <c:pt idx="1409">
                  <c:v>31.764642648212792</c:v>
                </c:pt>
                <c:pt idx="1410">
                  <c:v>32.294835150503538</c:v>
                </c:pt>
                <c:pt idx="1411">
                  <c:v>31.807883381466556</c:v>
                </c:pt>
                <c:pt idx="1412">
                  <c:v>26.362179822624515</c:v>
                </c:pt>
                <c:pt idx="1413">
                  <c:v>26.767425213566177</c:v>
                </c:pt>
                <c:pt idx="1414">
                  <c:v>28.197776165559311</c:v>
                </c:pt>
                <c:pt idx="1415">
                  <c:v>34.578116126665257</c:v>
                </c:pt>
                <c:pt idx="1416">
                  <c:v>27.824564709363454</c:v>
                </c:pt>
                <c:pt idx="1417">
                  <c:v>34.066601497172528</c:v>
                </c:pt>
                <c:pt idx="1418">
                  <c:v>35.822756130235831</c:v>
                </c:pt>
                <c:pt idx="1419">
                  <c:v>32.505711505723795</c:v>
                </c:pt>
                <c:pt idx="1420">
                  <c:v>39.769377023026344</c:v>
                </c:pt>
                <c:pt idx="1421">
                  <c:v>35.015711472354091</c:v>
                </c:pt>
                <c:pt idx="1422">
                  <c:v>32.313618428986608</c:v>
                </c:pt>
                <c:pt idx="1423">
                  <c:v>28.381375359258019</c:v>
                </c:pt>
                <c:pt idx="1424">
                  <c:v>32.106244440917507</c:v>
                </c:pt>
                <c:pt idx="1425">
                  <c:v>29.284051241952422</c:v>
                </c:pt>
                <c:pt idx="1426">
                  <c:v>34.564908568152525</c:v>
                </c:pt>
                <c:pt idx="1427">
                  <c:v>23.82707522525838</c:v>
                </c:pt>
                <c:pt idx="1428">
                  <c:v>26.287002196656289</c:v>
                </c:pt>
                <c:pt idx="1429">
                  <c:v>33.262122711976794</c:v>
                </c:pt>
                <c:pt idx="1430">
                  <c:v>24.20328354654594</c:v>
                </c:pt>
                <c:pt idx="1431">
                  <c:v>33.306763864455618</c:v>
                </c:pt>
                <c:pt idx="1432">
                  <c:v>35.583294778275452</c:v>
                </c:pt>
                <c:pt idx="1433">
                  <c:v>29.673112403357969</c:v>
                </c:pt>
                <c:pt idx="1434">
                  <c:v>33.111698241789718</c:v>
                </c:pt>
                <c:pt idx="1435">
                  <c:v>31.598892794178418</c:v>
                </c:pt>
                <c:pt idx="1436">
                  <c:v>25.512452277090759</c:v>
                </c:pt>
                <c:pt idx="1437">
                  <c:v>31.894034815280285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77-C241-9EF8-0A4F540E22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351055"/>
        <c:axId val="270128639"/>
      </c:scatterChart>
      <c:valAx>
        <c:axId val="2273510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270128639"/>
        <c:crosses val="autoZero"/>
        <c:crossBetween val="midCat"/>
      </c:valAx>
      <c:valAx>
        <c:axId val="270128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2273510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SS curve B - elastic 1-5 mN -</a:t>
            </a:r>
            <a:r>
              <a:rPr lang="en-US" baseline="0"/>
              <a:t> 152 pm 10 GPa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'curves processed'!$AL$2:$AL$1439</c:f>
              <c:numCache>
                <c:formatCode>General</c:formatCode>
                <c:ptCount val="1438"/>
                <c:pt idx="0">
                  <c:v>2.0272907422704503E-2</c:v>
                </c:pt>
                <c:pt idx="1">
                  <c:v>2.9949319295974264E-2</c:v>
                </c:pt>
                <c:pt idx="2">
                  <c:v>3.1553310987365302E-2</c:v>
                </c:pt>
                <c:pt idx="3">
                  <c:v>3.1804337613427672E-2</c:v>
                </c:pt>
                <c:pt idx="4">
                  <c:v>3.5518167005591253E-2</c:v>
                </c:pt>
                <c:pt idx="5">
                  <c:v>3.5496309672049357E-2</c:v>
                </c:pt>
                <c:pt idx="6">
                  <c:v>4.2036845657872697E-2</c:v>
                </c:pt>
                <c:pt idx="7">
                  <c:v>3.7726618594863329E-2</c:v>
                </c:pt>
                <c:pt idx="8">
                  <c:v>4.7967986043309936E-2</c:v>
                </c:pt>
                <c:pt idx="9">
                  <c:v>4.3611918934676017E-2</c:v>
                </c:pt>
                <c:pt idx="10">
                  <c:v>5.2362568615600763E-2</c:v>
                </c:pt>
                <c:pt idx="11">
                  <c:v>3.8730173324499351E-2</c:v>
                </c:pt>
                <c:pt idx="12">
                  <c:v>4.8816142967454908E-2</c:v>
                </c:pt>
                <c:pt idx="13">
                  <c:v>5.0412469876761817E-2</c:v>
                </c:pt>
                <c:pt idx="14">
                  <c:v>4.8009842924674084E-2</c:v>
                </c:pt>
                <c:pt idx="15">
                  <c:v>4.7644644604749313E-2</c:v>
                </c:pt>
                <c:pt idx="16">
                  <c:v>5.9058690791132018E-2</c:v>
                </c:pt>
                <c:pt idx="17">
                  <c:v>6.0355848119093579E-2</c:v>
                </c:pt>
                <c:pt idx="18">
                  <c:v>6.064072273809884E-2</c:v>
                </c:pt>
                <c:pt idx="19">
                  <c:v>5.7266213879784061E-2</c:v>
                </c:pt>
                <c:pt idx="20">
                  <c:v>5.4217184584441955E-2</c:v>
                </c:pt>
                <c:pt idx="21">
                  <c:v>5.8954381917573268E-2</c:v>
                </c:pt>
                <c:pt idx="22">
                  <c:v>5.4846201321761469E-2</c:v>
                </c:pt>
                <c:pt idx="23">
                  <c:v>5.1426594201419207E-2</c:v>
                </c:pt>
                <c:pt idx="24">
                  <c:v>6.1104758433887782E-2</c:v>
                </c:pt>
                <c:pt idx="25">
                  <c:v>4.726103866903239E-2</c:v>
                </c:pt>
                <c:pt idx="26">
                  <c:v>5.605588262106919E-2</c:v>
                </c:pt>
                <c:pt idx="27">
                  <c:v>6.3291235386551917E-2</c:v>
                </c:pt>
                <c:pt idx="28">
                  <c:v>7.5528803532668415E-2</c:v>
                </c:pt>
                <c:pt idx="29">
                  <c:v>6.4219079542237364E-2</c:v>
                </c:pt>
                <c:pt idx="30">
                  <c:v>6.5035043009793139E-2</c:v>
                </c:pt>
                <c:pt idx="31">
                  <c:v>5.085065910720557E-2</c:v>
                </c:pt>
                <c:pt idx="32">
                  <c:v>5.8644152513049122E-2</c:v>
                </c:pt>
                <c:pt idx="33">
                  <c:v>7.2277553630869726E-2</c:v>
                </c:pt>
                <c:pt idx="34">
                  <c:v>6.8564300372570178E-2</c:v>
                </c:pt>
                <c:pt idx="35">
                  <c:v>7.7362742353124417E-2</c:v>
                </c:pt>
                <c:pt idx="36">
                  <c:v>6.5600276607003072E-2</c:v>
                </c:pt>
                <c:pt idx="37">
                  <c:v>6.8081546328666087E-2</c:v>
                </c:pt>
                <c:pt idx="38">
                  <c:v>6.9042784560838399E-2</c:v>
                </c:pt>
                <c:pt idx="39">
                  <c:v>6.6614636163606383E-2</c:v>
                </c:pt>
                <c:pt idx="40">
                  <c:v>7.7722563852130014E-2</c:v>
                </c:pt>
                <c:pt idx="41">
                  <c:v>6.833463757895851E-2</c:v>
                </c:pt>
                <c:pt idx="42">
                  <c:v>7.1696549098887771E-2</c:v>
                </c:pt>
                <c:pt idx="43">
                  <c:v>6.6574114631370751E-2</c:v>
                </c:pt>
                <c:pt idx="44">
                  <c:v>6.5744493675079341E-2</c:v>
                </c:pt>
                <c:pt idx="45">
                  <c:v>8.7693685399236984E-2</c:v>
                </c:pt>
                <c:pt idx="46">
                  <c:v>5.7900917219173918E-2</c:v>
                </c:pt>
                <c:pt idx="47">
                  <c:v>7.9027034520332523E-2</c:v>
                </c:pt>
                <c:pt idx="48">
                  <c:v>6.5819002475967239E-2</c:v>
                </c:pt>
                <c:pt idx="49">
                  <c:v>7.8258578413014326E-2</c:v>
                </c:pt>
                <c:pt idx="50">
                  <c:v>8.6885143373542723E-2</c:v>
                </c:pt>
                <c:pt idx="51">
                  <c:v>7.777831829451809E-2</c:v>
                </c:pt>
                <c:pt idx="52">
                  <c:v>8.2474634925073828E-2</c:v>
                </c:pt>
                <c:pt idx="53">
                  <c:v>8.8774852818441399E-2</c:v>
                </c:pt>
                <c:pt idx="54">
                  <c:v>8.2629929578234895E-2</c:v>
                </c:pt>
                <c:pt idx="55">
                  <c:v>7.7222583898784919E-2</c:v>
                </c:pt>
                <c:pt idx="56">
                  <c:v>8.9087869776655809E-2</c:v>
                </c:pt>
                <c:pt idx="57">
                  <c:v>9.0010148063064011E-2</c:v>
                </c:pt>
                <c:pt idx="58">
                  <c:v>8.4770509797215815E-2</c:v>
                </c:pt>
                <c:pt idx="59">
                  <c:v>7.8478235669496868E-2</c:v>
                </c:pt>
                <c:pt idx="60">
                  <c:v>8.2957142419865182E-2</c:v>
                </c:pt>
                <c:pt idx="61">
                  <c:v>8.378644524395884E-2</c:v>
                </c:pt>
                <c:pt idx="62">
                  <c:v>7.8874623214072459E-2</c:v>
                </c:pt>
                <c:pt idx="63">
                  <c:v>7.4288705242217576E-2</c:v>
                </c:pt>
                <c:pt idx="64">
                  <c:v>8.1058003787472382E-2</c:v>
                </c:pt>
                <c:pt idx="65">
                  <c:v>6.708847403250795E-2</c:v>
                </c:pt>
                <c:pt idx="66">
                  <c:v>8.3100354716653627E-2</c:v>
                </c:pt>
                <c:pt idx="67">
                  <c:v>8.9572308641452825E-2</c:v>
                </c:pt>
                <c:pt idx="68">
                  <c:v>7.7820763778891786E-2</c:v>
                </c:pt>
                <c:pt idx="69">
                  <c:v>8.510318967717552E-2</c:v>
                </c:pt>
                <c:pt idx="70">
                  <c:v>0.10138589264468198</c:v>
                </c:pt>
                <c:pt idx="71">
                  <c:v>8.8517386454056365E-2</c:v>
                </c:pt>
                <c:pt idx="72">
                  <c:v>7.5476610843676364E-2</c:v>
                </c:pt>
                <c:pt idx="73">
                  <c:v>9.8922145801886838E-2</c:v>
                </c:pt>
                <c:pt idx="74">
                  <c:v>9.1394152810093846E-2</c:v>
                </c:pt>
                <c:pt idx="75">
                  <c:v>9.000301153704536E-2</c:v>
                </c:pt>
                <c:pt idx="76">
                  <c:v>0.1059353927298121</c:v>
                </c:pt>
                <c:pt idx="77">
                  <c:v>0.10117712970655397</c:v>
                </c:pt>
                <c:pt idx="78">
                  <c:v>8.8455016417833737E-2</c:v>
                </c:pt>
                <c:pt idx="79">
                  <c:v>9.1350796950127031E-2</c:v>
                </c:pt>
                <c:pt idx="80">
                  <c:v>0.10276032505900003</c:v>
                </c:pt>
                <c:pt idx="81">
                  <c:v>0.10205770556102003</c:v>
                </c:pt>
                <c:pt idx="82">
                  <c:v>8.7995053388693775E-2</c:v>
                </c:pt>
                <c:pt idx="83">
                  <c:v>9.4515229942031181E-2</c:v>
                </c:pt>
                <c:pt idx="84">
                  <c:v>9.7423266095771663E-2</c:v>
                </c:pt>
                <c:pt idx="85">
                  <c:v>9.1000086676929909E-2</c:v>
                </c:pt>
                <c:pt idx="86">
                  <c:v>8.5135316775688488E-2</c:v>
                </c:pt>
                <c:pt idx="87">
                  <c:v>9.7750726427042398E-2</c:v>
                </c:pt>
                <c:pt idx="88">
                  <c:v>0.11488278404386949</c:v>
                </c:pt>
                <c:pt idx="89">
                  <c:v>8.4477627000800137E-2</c:v>
                </c:pt>
                <c:pt idx="90">
                  <c:v>9.1759167859719423E-2</c:v>
                </c:pt>
                <c:pt idx="91">
                  <c:v>0.10008357990239478</c:v>
                </c:pt>
                <c:pt idx="92">
                  <c:v>8.447859413945244E-2</c:v>
                </c:pt>
                <c:pt idx="93">
                  <c:v>0.10593880974702469</c:v>
                </c:pt>
                <c:pt idx="94">
                  <c:v>0.10350666793242456</c:v>
                </c:pt>
                <c:pt idx="95">
                  <c:v>0.11099639691101149</c:v>
                </c:pt>
                <c:pt idx="96">
                  <c:v>8.6773614161352181E-2</c:v>
                </c:pt>
                <c:pt idx="97">
                  <c:v>9.3905581142987707E-2</c:v>
                </c:pt>
                <c:pt idx="98">
                  <c:v>9.8188915905500398E-2</c:v>
                </c:pt>
                <c:pt idx="99">
                  <c:v>0.10877160063511024</c:v>
                </c:pt>
                <c:pt idx="100">
                  <c:v>9.4693571454317976E-2</c:v>
                </c:pt>
                <c:pt idx="101">
                  <c:v>0.10295825468962246</c:v>
                </c:pt>
                <c:pt idx="102">
                  <c:v>0.10476673609405401</c:v>
                </c:pt>
                <c:pt idx="103">
                  <c:v>0.10512552628615694</c:v>
                </c:pt>
                <c:pt idx="104">
                  <c:v>0.11779281334623522</c:v>
                </c:pt>
                <c:pt idx="105">
                  <c:v>0.12454356690271635</c:v>
                </c:pt>
                <c:pt idx="106">
                  <c:v>0.10710501983822636</c:v>
                </c:pt>
                <c:pt idx="107">
                  <c:v>9.5446098321242512E-2</c:v>
                </c:pt>
                <c:pt idx="108">
                  <c:v>0.11679447430654842</c:v>
                </c:pt>
                <c:pt idx="109">
                  <c:v>7.9168154224833101E-2</c:v>
                </c:pt>
                <c:pt idx="110">
                  <c:v>0.10470053076098741</c:v>
                </c:pt>
                <c:pt idx="111">
                  <c:v>0.10174588763755527</c:v>
                </c:pt>
                <c:pt idx="112">
                  <c:v>0.11865909233227927</c:v>
                </c:pt>
                <c:pt idx="113">
                  <c:v>0.10316661431777892</c:v>
                </c:pt>
                <c:pt idx="114">
                  <c:v>0.11219961702079684</c:v>
                </c:pt>
                <c:pt idx="115">
                  <c:v>0.1100616095350881</c:v>
                </c:pt>
                <c:pt idx="116">
                  <c:v>0.10445190025596941</c:v>
                </c:pt>
                <c:pt idx="117">
                  <c:v>0.11179032591522037</c:v>
                </c:pt>
                <c:pt idx="118">
                  <c:v>0.11759661775706146</c:v>
                </c:pt>
                <c:pt idx="119">
                  <c:v>0.11467680647654215</c:v>
                </c:pt>
                <c:pt idx="120">
                  <c:v>0.12160316905681263</c:v>
                </c:pt>
                <c:pt idx="121">
                  <c:v>0.11887915031676906</c:v>
                </c:pt>
                <c:pt idx="122">
                  <c:v>0.12753776110969153</c:v>
                </c:pt>
                <c:pt idx="123">
                  <c:v>0.1049510326954621</c:v>
                </c:pt>
                <c:pt idx="124">
                  <c:v>0.13235208314625799</c:v>
                </c:pt>
                <c:pt idx="125">
                  <c:v>0.12315046212751815</c:v>
                </c:pt>
                <c:pt idx="126">
                  <c:v>0.10702927096665936</c:v>
                </c:pt>
                <c:pt idx="127">
                  <c:v>0.11354409615593426</c:v>
                </c:pt>
                <c:pt idx="128">
                  <c:v>0.13748012088087042</c:v>
                </c:pt>
                <c:pt idx="129">
                  <c:v>0.11280606887303819</c:v>
                </c:pt>
                <c:pt idx="130">
                  <c:v>0.12101014660925917</c:v>
                </c:pt>
                <c:pt idx="131">
                  <c:v>0.1292104678996302</c:v>
                </c:pt>
                <c:pt idx="132">
                  <c:v>0.12331510178276889</c:v>
                </c:pt>
                <c:pt idx="133">
                  <c:v>0.12220415491986104</c:v>
                </c:pt>
                <c:pt idx="134">
                  <c:v>0.13871766697717941</c:v>
                </c:pt>
                <c:pt idx="135">
                  <c:v>0.12914211462794992</c:v>
                </c:pt>
                <c:pt idx="136">
                  <c:v>0.12562005695627856</c:v>
                </c:pt>
                <c:pt idx="137">
                  <c:v>0.12021533448046272</c:v>
                </c:pt>
                <c:pt idx="138">
                  <c:v>0.11245950644946512</c:v>
                </c:pt>
                <c:pt idx="139">
                  <c:v>0.10824424103289776</c:v>
                </c:pt>
                <c:pt idx="140">
                  <c:v>0.12135490486170721</c:v>
                </c:pt>
                <c:pt idx="141">
                  <c:v>0.12907748971654312</c:v>
                </c:pt>
                <c:pt idx="142">
                  <c:v>0.12677253454303342</c:v>
                </c:pt>
                <c:pt idx="143">
                  <c:v>0.12567016467744183</c:v>
                </c:pt>
                <c:pt idx="144">
                  <c:v>0.13381545312875748</c:v>
                </c:pt>
                <c:pt idx="145">
                  <c:v>0.11749649543012854</c:v>
                </c:pt>
                <c:pt idx="146">
                  <c:v>0.14292981835734156</c:v>
                </c:pt>
                <c:pt idx="147">
                  <c:v>0.12048629316073421</c:v>
                </c:pt>
                <c:pt idx="148">
                  <c:v>0.1215340000577841</c:v>
                </c:pt>
                <c:pt idx="149">
                  <c:v>0.12058850846776351</c:v>
                </c:pt>
                <c:pt idx="150">
                  <c:v>0.12677253454303342</c:v>
                </c:pt>
                <c:pt idx="151">
                  <c:v>0.12063837964578984</c:v>
                </c:pt>
                <c:pt idx="152">
                  <c:v>0.13723999152365085</c:v>
                </c:pt>
                <c:pt idx="153">
                  <c:v>0.12892122156918651</c:v>
                </c:pt>
                <c:pt idx="154">
                  <c:v>0.12996848079201745</c:v>
                </c:pt>
                <c:pt idx="155">
                  <c:v>0.13809151084151855</c:v>
                </c:pt>
                <c:pt idx="156">
                  <c:v>0.14710397876219913</c:v>
                </c:pt>
                <c:pt idx="157">
                  <c:v>0.12474417399034488</c:v>
                </c:pt>
                <c:pt idx="158">
                  <c:v>0.11644292061730474</c:v>
                </c:pt>
                <c:pt idx="159">
                  <c:v>0.14023510458300156</c:v>
                </c:pt>
                <c:pt idx="160">
                  <c:v>0.12988989194982933</c:v>
                </c:pt>
                <c:pt idx="161">
                  <c:v>0.12189666782983981</c:v>
                </c:pt>
                <c:pt idx="162">
                  <c:v>0.11328609469802985</c:v>
                </c:pt>
                <c:pt idx="163">
                  <c:v>0.14390395812992982</c:v>
                </c:pt>
                <c:pt idx="164">
                  <c:v>0.11751906486835945</c:v>
                </c:pt>
                <c:pt idx="165">
                  <c:v>0.10401848988146331</c:v>
                </c:pt>
                <c:pt idx="166">
                  <c:v>0.13410648282238244</c:v>
                </c:pt>
                <c:pt idx="167">
                  <c:v>0.14345313119343253</c:v>
                </c:pt>
                <c:pt idx="168">
                  <c:v>0.12389134057614629</c:v>
                </c:pt>
                <c:pt idx="169">
                  <c:v>0.13184343592475475</c:v>
                </c:pt>
                <c:pt idx="170">
                  <c:v>0.14567721074681908</c:v>
                </c:pt>
                <c:pt idx="171">
                  <c:v>0.14827858951015516</c:v>
                </c:pt>
                <c:pt idx="172">
                  <c:v>0.13172458667362066</c:v>
                </c:pt>
                <c:pt idx="173">
                  <c:v>0.12133942591976056</c:v>
                </c:pt>
                <c:pt idx="174">
                  <c:v>0.14144043110173149</c:v>
                </c:pt>
                <c:pt idx="175">
                  <c:v>0.15994665573186459</c:v>
                </c:pt>
                <c:pt idx="176">
                  <c:v>0.11728615440716016</c:v>
                </c:pt>
                <c:pt idx="177">
                  <c:v>0.13568622837809041</c:v>
                </c:pt>
                <c:pt idx="178">
                  <c:v>0.13568622837809041</c:v>
                </c:pt>
                <c:pt idx="179">
                  <c:v>0.13055678930551201</c:v>
                </c:pt>
                <c:pt idx="180">
                  <c:v>0.15322941131723167</c:v>
                </c:pt>
                <c:pt idx="181">
                  <c:v>0.15190846811622105</c:v>
                </c:pt>
                <c:pt idx="182">
                  <c:v>0.14210792178614226</c:v>
                </c:pt>
                <c:pt idx="183">
                  <c:v>0.15568556873705858</c:v>
                </c:pt>
                <c:pt idx="184">
                  <c:v>0.13339498037737099</c:v>
                </c:pt>
                <c:pt idx="185">
                  <c:v>0.12677253454303342</c:v>
                </c:pt>
                <c:pt idx="186">
                  <c:v>0.12327536117632903</c:v>
                </c:pt>
                <c:pt idx="187">
                  <c:v>0.13232461634783779</c:v>
                </c:pt>
                <c:pt idx="188">
                  <c:v>0.11702080111664621</c:v>
                </c:pt>
                <c:pt idx="189">
                  <c:v>0.13717923513984956</c:v>
                </c:pt>
                <c:pt idx="190">
                  <c:v>0.15191750007223009</c:v>
                </c:pt>
                <c:pt idx="191">
                  <c:v>0.14237530802525292</c:v>
                </c:pt>
                <c:pt idx="192">
                  <c:v>0.14459992221314749</c:v>
                </c:pt>
                <c:pt idx="193">
                  <c:v>0.13702619542519054</c:v>
                </c:pt>
                <c:pt idx="194">
                  <c:v>0.16458188695060477</c:v>
                </c:pt>
                <c:pt idx="195">
                  <c:v>0.14107018881480407</c:v>
                </c:pt>
                <c:pt idx="196">
                  <c:v>0.13306620647070172</c:v>
                </c:pt>
                <c:pt idx="197">
                  <c:v>0.13589286076915089</c:v>
                </c:pt>
                <c:pt idx="198">
                  <c:v>0.14297654271770682</c:v>
                </c:pt>
                <c:pt idx="199">
                  <c:v>0.14740992388724816</c:v>
                </c:pt>
                <c:pt idx="200">
                  <c:v>0.16361241637605167</c:v>
                </c:pt>
                <c:pt idx="201">
                  <c:v>0.1146989598246493</c:v>
                </c:pt>
                <c:pt idx="202">
                  <c:v>0.1589852277465911</c:v>
                </c:pt>
                <c:pt idx="203">
                  <c:v>0.15744330902925116</c:v>
                </c:pt>
                <c:pt idx="204">
                  <c:v>0.14448340333948662</c:v>
                </c:pt>
                <c:pt idx="205">
                  <c:v>0.15595034011246173</c:v>
                </c:pt>
                <c:pt idx="206">
                  <c:v>0.14435412692491398</c:v>
                </c:pt>
                <c:pt idx="207">
                  <c:v>0.1582121231097057</c:v>
                </c:pt>
                <c:pt idx="208">
                  <c:v>0.144226724081567</c:v>
                </c:pt>
                <c:pt idx="209">
                  <c:v>0.17307206889788038</c:v>
                </c:pt>
                <c:pt idx="210">
                  <c:v>0.13177671353815315</c:v>
                </c:pt>
                <c:pt idx="211">
                  <c:v>0.13442993595838443</c:v>
                </c:pt>
                <c:pt idx="212">
                  <c:v>0.15155513528076925</c:v>
                </c:pt>
                <c:pt idx="213">
                  <c:v>0.13257258514304146</c:v>
                </c:pt>
                <c:pt idx="214">
                  <c:v>0.15602773482219495</c:v>
                </c:pt>
                <c:pt idx="215">
                  <c:v>0.12445352476480717</c:v>
                </c:pt>
                <c:pt idx="216">
                  <c:v>0.16593803301974294</c:v>
                </c:pt>
                <c:pt idx="217">
                  <c:v>0.16429720476777129</c:v>
                </c:pt>
                <c:pt idx="218">
                  <c:v>0.17404364911840178</c:v>
                </c:pt>
                <c:pt idx="219">
                  <c:v>0.1405709056497581</c:v>
                </c:pt>
                <c:pt idx="220">
                  <c:v>0.17041553823817607</c:v>
                </c:pt>
                <c:pt idx="221">
                  <c:v>0.16341772030937901</c:v>
                </c:pt>
                <c:pt idx="222">
                  <c:v>0.14526019583055913</c:v>
                </c:pt>
                <c:pt idx="223">
                  <c:v>0.15942606616775415</c:v>
                </c:pt>
                <c:pt idx="224">
                  <c:v>0.15588326469735958</c:v>
                </c:pt>
                <c:pt idx="225">
                  <c:v>0.15473706422164374</c:v>
                </c:pt>
                <c:pt idx="226">
                  <c:v>0.15682232050878947</c:v>
                </c:pt>
                <c:pt idx="227">
                  <c:v>0.16257851758190545</c:v>
                </c:pt>
                <c:pt idx="228">
                  <c:v>0.14587524522760006</c:v>
                </c:pt>
                <c:pt idx="229">
                  <c:v>0.15870043213164919</c:v>
                </c:pt>
                <c:pt idx="230">
                  <c:v>0.15638363750199011</c:v>
                </c:pt>
                <c:pt idx="231">
                  <c:v>0.14966201994663664</c:v>
                </c:pt>
                <c:pt idx="232">
                  <c:v>0.15393807765939771</c:v>
                </c:pt>
                <c:pt idx="233">
                  <c:v>0.16422805611256602</c:v>
                </c:pt>
                <c:pt idx="234">
                  <c:v>0.15355546437606865</c:v>
                </c:pt>
                <c:pt idx="235">
                  <c:v>0.17169193654647044</c:v>
                </c:pt>
                <c:pt idx="236">
                  <c:v>0.1687049882764983</c:v>
                </c:pt>
                <c:pt idx="237">
                  <c:v>0.15425469238103368</c:v>
                </c:pt>
                <c:pt idx="238">
                  <c:v>0.14417268634305758</c:v>
                </c:pt>
                <c:pt idx="239">
                  <c:v>0.17065533496177573</c:v>
                </c:pt>
                <c:pt idx="240">
                  <c:v>0.14790129030020563</c:v>
                </c:pt>
                <c:pt idx="241">
                  <c:v>0.14678925052351235</c:v>
                </c:pt>
                <c:pt idx="242">
                  <c:v>0.15178208217397196</c:v>
                </c:pt>
                <c:pt idx="243">
                  <c:v>0.16142977420227994</c:v>
                </c:pt>
                <c:pt idx="244">
                  <c:v>0.14762328035603234</c:v>
                </c:pt>
                <c:pt idx="245">
                  <c:v>0.16351819672941992</c:v>
                </c:pt>
                <c:pt idx="246">
                  <c:v>0.16563710717666411</c:v>
                </c:pt>
                <c:pt idx="247">
                  <c:v>0.14640183021421277</c:v>
                </c:pt>
                <c:pt idx="248">
                  <c:v>0.15314802830702023</c:v>
                </c:pt>
                <c:pt idx="249">
                  <c:v>0.13914058669357324</c:v>
                </c:pt>
                <c:pt idx="250">
                  <c:v>0.15195913080986123</c:v>
                </c:pt>
                <c:pt idx="251">
                  <c:v>0.15716321063211675</c:v>
                </c:pt>
                <c:pt idx="252">
                  <c:v>0.17347820516415097</c:v>
                </c:pt>
                <c:pt idx="253">
                  <c:v>0.14499608638359449</c:v>
                </c:pt>
                <c:pt idx="254">
                  <c:v>0.18267223481397726</c:v>
                </c:pt>
                <c:pt idx="255">
                  <c:v>0.18367044374738695</c:v>
                </c:pt>
                <c:pt idx="256">
                  <c:v>0.17902991519436018</c:v>
                </c:pt>
                <c:pt idx="257">
                  <c:v>0.18040706838816292</c:v>
                </c:pt>
                <c:pt idx="258">
                  <c:v>0.15719794283336141</c:v>
                </c:pt>
                <c:pt idx="259">
                  <c:v>0.17178597072135687</c:v>
                </c:pt>
                <c:pt idx="260">
                  <c:v>0.14960733890171646</c:v>
                </c:pt>
                <c:pt idx="261">
                  <c:v>0.16360509525486069</c:v>
                </c:pt>
                <c:pt idx="262">
                  <c:v>0.16142369398479589</c:v>
                </c:pt>
                <c:pt idx="263">
                  <c:v>0.1751102635414562</c:v>
                </c:pt>
                <c:pt idx="264">
                  <c:v>0.14392411274591441</c:v>
                </c:pt>
                <c:pt idx="265">
                  <c:v>0.1906501682275076</c:v>
                </c:pt>
                <c:pt idx="266">
                  <c:v>0.18083729192167999</c:v>
                </c:pt>
                <c:pt idx="267">
                  <c:v>0.17048720162683803</c:v>
                </c:pt>
                <c:pt idx="268">
                  <c:v>0.18270159390025403</c:v>
                </c:pt>
                <c:pt idx="269">
                  <c:v>0.18919840382558775</c:v>
                </c:pt>
                <c:pt idx="270">
                  <c:v>0.17587457257026468</c:v>
                </c:pt>
                <c:pt idx="271">
                  <c:v>0.16874452233092962</c:v>
                </c:pt>
                <c:pt idx="272">
                  <c:v>0.18872903638737304</c:v>
                </c:pt>
                <c:pt idx="273">
                  <c:v>0.1693136535172057</c:v>
                </c:pt>
                <c:pt idx="274">
                  <c:v>0.17131423586896405</c:v>
                </c:pt>
                <c:pt idx="275">
                  <c:v>0.13779623319894935</c:v>
                </c:pt>
                <c:pt idx="276">
                  <c:v>0.18506939349347942</c:v>
                </c:pt>
                <c:pt idx="277">
                  <c:v>0.17217080704830889</c:v>
                </c:pt>
                <c:pt idx="278">
                  <c:v>0.16958974819664072</c:v>
                </c:pt>
                <c:pt idx="279">
                  <c:v>0.15318347923949871</c:v>
                </c:pt>
                <c:pt idx="280">
                  <c:v>0.14694089231124324</c:v>
                </c:pt>
                <c:pt idx="281">
                  <c:v>0.15579275329384829</c:v>
                </c:pt>
                <c:pt idx="282">
                  <c:v>0.17800253137891675</c:v>
                </c:pt>
                <c:pt idx="283">
                  <c:v>0.16528570959408154</c:v>
                </c:pt>
                <c:pt idx="284">
                  <c:v>0.19488912026764837</c:v>
                </c:pt>
                <c:pt idx="285">
                  <c:v>0.18480221584794307</c:v>
                </c:pt>
                <c:pt idx="286">
                  <c:v>0.1701205624835545</c:v>
                </c:pt>
                <c:pt idx="287">
                  <c:v>0.17234436068595391</c:v>
                </c:pt>
                <c:pt idx="288">
                  <c:v>0.19061481812585598</c:v>
                </c:pt>
                <c:pt idx="289">
                  <c:v>0.19720172040027417</c:v>
                </c:pt>
                <c:pt idx="290">
                  <c:v>0.18837327315901442</c:v>
                </c:pt>
                <c:pt idx="291">
                  <c:v>0.18196601896993228</c:v>
                </c:pt>
                <c:pt idx="292">
                  <c:v>0.19475200958784841</c:v>
                </c:pt>
                <c:pt idx="293">
                  <c:v>0.18882901998367915</c:v>
                </c:pt>
                <c:pt idx="294">
                  <c:v>0.17848238415927073</c:v>
                </c:pt>
                <c:pt idx="295">
                  <c:v>0.18541561174661347</c:v>
                </c:pt>
                <c:pt idx="296">
                  <c:v>0.17931641399179069</c:v>
                </c:pt>
                <c:pt idx="297">
                  <c:v>0.18627800994078378</c:v>
                </c:pt>
                <c:pt idx="298">
                  <c:v>0.18134349312116035</c:v>
                </c:pt>
                <c:pt idx="299">
                  <c:v>0.19510382975771806</c:v>
                </c:pt>
                <c:pt idx="300">
                  <c:v>0.2008002919404252</c:v>
                </c:pt>
                <c:pt idx="301">
                  <c:v>0.19326162608658243</c:v>
                </c:pt>
                <c:pt idx="302">
                  <c:v>0.16954854313117351</c:v>
                </c:pt>
                <c:pt idx="303">
                  <c:v>0.18633010110687462</c:v>
                </c:pt>
                <c:pt idx="304">
                  <c:v>0.19551538778115715</c:v>
                </c:pt>
                <c:pt idx="305">
                  <c:v>0.16502933490809082</c:v>
                </c:pt>
                <c:pt idx="306">
                  <c:v>0.18930223063520529</c:v>
                </c:pt>
                <c:pt idx="307">
                  <c:v>0.14441613471139372</c:v>
                </c:pt>
                <c:pt idx="308">
                  <c:v>0.19321882851041641</c:v>
                </c:pt>
                <c:pt idx="309">
                  <c:v>0.20193053716497464</c:v>
                </c:pt>
                <c:pt idx="310">
                  <c:v>0.1936320219390168</c:v>
                </c:pt>
                <c:pt idx="311">
                  <c:v>0.19450032697013345</c:v>
                </c:pt>
                <c:pt idx="312">
                  <c:v>0.18931365158426322</c:v>
                </c:pt>
                <c:pt idx="313">
                  <c:v>0.19671600187712077</c:v>
                </c:pt>
                <c:pt idx="314">
                  <c:v>0.19576439007665702</c:v>
                </c:pt>
                <c:pt idx="315">
                  <c:v>0.20160354451635173</c:v>
                </c:pt>
                <c:pt idx="316">
                  <c:v>0.18933560353829665</c:v>
                </c:pt>
                <c:pt idx="317">
                  <c:v>0.19522970319627145</c:v>
                </c:pt>
                <c:pt idx="318">
                  <c:v>0.20144676721906679</c:v>
                </c:pt>
                <c:pt idx="319">
                  <c:v>0.18934615736235119</c:v>
                </c:pt>
                <c:pt idx="320">
                  <c:v>0.19958108478734315</c:v>
                </c:pt>
                <c:pt idx="321">
                  <c:v>0.21189123630764156</c:v>
                </c:pt>
                <c:pt idx="322">
                  <c:v>0.20688573345564479</c:v>
                </c:pt>
                <c:pt idx="323">
                  <c:v>0.1972950040901513</c:v>
                </c:pt>
                <c:pt idx="324">
                  <c:v>0.18582806305686886</c:v>
                </c:pt>
                <c:pt idx="325">
                  <c:v>0.19813455729904556</c:v>
                </c:pt>
                <c:pt idx="326">
                  <c:v>0.2030073695047224</c:v>
                </c:pt>
                <c:pt idx="327">
                  <c:v>0.18546352275740069</c:v>
                </c:pt>
                <c:pt idx="328">
                  <c:v>0.20952682792529131</c:v>
                </c:pt>
                <c:pt idx="329">
                  <c:v>0.22349528312031072</c:v>
                </c:pt>
                <c:pt idx="330">
                  <c:v>0.19674438802457783</c:v>
                </c:pt>
                <c:pt idx="331">
                  <c:v>0.21641882682703562</c:v>
                </c:pt>
                <c:pt idx="332">
                  <c:v>0.1950346685277437</c:v>
                </c:pt>
                <c:pt idx="333">
                  <c:v>0.19215208065956638</c:v>
                </c:pt>
                <c:pt idx="334">
                  <c:v>0.21515620299204966</c:v>
                </c:pt>
                <c:pt idx="335">
                  <c:v>0.20317187655241115</c:v>
                </c:pt>
                <c:pt idx="336">
                  <c:v>0.20537150595971412</c:v>
                </c:pt>
                <c:pt idx="337">
                  <c:v>0.1970222829840774</c:v>
                </c:pt>
                <c:pt idx="338">
                  <c:v>0.18861279529573263</c:v>
                </c:pt>
                <c:pt idx="339">
                  <c:v>0.2070618064202879</c:v>
                </c:pt>
                <c:pt idx="340">
                  <c:v>0.17647313047183624</c:v>
                </c:pt>
                <c:pt idx="341">
                  <c:v>0.21808422026284072</c:v>
                </c:pt>
                <c:pt idx="342">
                  <c:v>0.20517133879990934</c:v>
                </c:pt>
                <c:pt idx="343">
                  <c:v>0.18863142188029669</c:v>
                </c:pt>
                <c:pt idx="344">
                  <c:v>0.20875210688086165</c:v>
                </c:pt>
                <c:pt idx="345">
                  <c:v>0.20820919580577671</c:v>
                </c:pt>
                <c:pt idx="346">
                  <c:v>0.18789500655485311</c:v>
                </c:pt>
                <c:pt idx="347">
                  <c:v>0.19207959779247485</c:v>
                </c:pt>
                <c:pt idx="348">
                  <c:v>0.19443640267336412</c:v>
                </c:pt>
                <c:pt idx="349">
                  <c:v>0.19763916875963597</c:v>
                </c:pt>
                <c:pt idx="350">
                  <c:v>0.21794456281028346</c:v>
                </c:pt>
                <c:pt idx="351">
                  <c:v>0.19479682137100252</c:v>
                </c:pt>
                <c:pt idx="352">
                  <c:v>0.21240696185024802</c:v>
                </c:pt>
                <c:pt idx="353">
                  <c:v>0.18647355371736893</c:v>
                </c:pt>
                <c:pt idx="354">
                  <c:v>0.21904914131925499</c:v>
                </c:pt>
                <c:pt idx="355">
                  <c:v>0.19015880181455011</c:v>
                </c:pt>
                <c:pt idx="356">
                  <c:v>0.21991153951342529</c:v>
                </c:pt>
                <c:pt idx="357">
                  <c:v>0.21073875872088671</c:v>
                </c:pt>
                <c:pt idx="358">
                  <c:v>0.19550463158443707</c:v>
                </c:pt>
                <c:pt idx="359">
                  <c:v>0.21156195699714017</c:v>
                </c:pt>
                <c:pt idx="360">
                  <c:v>0.19052948174011453</c:v>
                </c:pt>
                <c:pt idx="361">
                  <c:v>0.19468639233394416</c:v>
                </c:pt>
                <c:pt idx="362">
                  <c:v>0.19703201151869049</c:v>
                </c:pt>
                <c:pt idx="363">
                  <c:v>0.21744428110361352</c:v>
                </c:pt>
                <c:pt idx="364">
                  <c:v>0.20393842513444504</c:v>
                </c:pt>
                <c:pt idx="365">
                  <c:v>0.21128755757172235</c:v>
                </c:pt>
                <c:pt idx="366">
                  <c:v>0.22058421010487814</c:v>
                </c:pt>
                <c:pt idx="367">
                  <c:v>0.19199077485707952</c:v>
                </c:pt>
                <c:pt idx="368">
                  <c:v>0.20206773687768356</c:v>
                </c:pt>
                <c:pt idx="369">
                  <c:v>0.21592225238297297</c:v>
                </c:pt>
                <c:pt idx="370">
                  <c:v>0.22101790561778853</c:v>
                </c:pt>
                <c:pt idx="371">
                  <c:v>0.1930731129534704</c:v>
                </c:pt>
                <c:pt idx="372">
                  <c:v>0.1972017204002742</c:v>
                </c:pt>
                <c:pt idx="373">
                  <c:v>0.19953546857069163</c:v>
                </c:pt>
                <c:pt idx="374">
                  <c:v>0.22716957532208004</c:v>
                </c:pt>
                <c:pt idx="375">
                  <c:v>0.22061713803592828</c:v>
                </c:pt>
                <c:pt idx="376">
                  <c:v>0.21919380166150293</c:v>
                </c:pt>
                <c:pt idx="377">
                  <c:v>0.20059889289456462</c:v>
                </c:pt>
                <c:pt idx="378">
                  <c:v>0.20253600193265692</c:v>
                </c:pt>
                <c:pt idx="379">
                  <c:v>0.2133873096966587</c:v>
                </c:pt>
                <c:pt idx="380">
                  <c:v>0.21882392905198755</c:v>
                </c:pt>
                <c:pt idx="381">
                  <c:v>0.21154680610862017</c:v>
                </c:pt>
                <c:pt idx="382">
                  <c:v>0.20358177606028308</c:v>
                </c:pt>
                <c:pt idx="383">
                  <c:v>0.2262019734003145</c:v>
                </c:pt>
                <c:pt idx="384">
                  <c:v>0.23003757923702747</c:v>
                </c:pt>
                <c:pt idx="385">
                  <c:v>0.22491901289893024</c:v>
                </c:pt>
                <c:pt idx="386">
                  <c:v>0.19368026110741218</c:v>
                </c:pt>
                <c:pt idx="387">
                  <c:v>0.2650698449536153</c:v>
                </c:pt>
                <c:pt idx="388">
                  <c:v>0.18710812584961078</c:v>
                </c:pt>
                <c:pt idx="389">
                  <c:v>0.22655478753819519</c:v>
                </c:pt>
                <c:pt idx="390">
                  <c:v>0.22447620766218651</c:v>
                </c:pt>
                <c:pt idx="391">
                  <c:v>0.20371540232926755</c:v>
                </c:pt>
                <c:pt idx="392">
                  <c:v>0.19015880181455008</c:v>
                </c:pt>
                <c:pt idx="393">
                  <c:v>0.19396890531174513</c:v>
                </c:pt>
                <c:pt idx="394">
                  <c:v>0.21255275252724165</c:v>
                </c:pt>
                <c:pt idx="395">
                  <c:v>0.21854651660486124</c:v>
                </c:pt>
                <c:pt idx="396">
                  <c:v>0.20084188056817656</c:v>
                </c:pt>
                <c:pt idx="397">
                  <c:v>0.1932424580601915</c:v>
                </c:pt>
                <c:pt idx="398">
                  <c:v>0.22851354952661432</c:v>
                </c:pt>
                <c:pt idx="399">
                  <c:v>0.22851354952661432</c:v>
                </c:pt>
                <c:pt idx="400">
                  <c:v>0.20226629106866004</c:v>
                </c:pt>
                <c:pt idx="401">
                  <c:v>0.21820242309225141</c:v>
                </c:pt>
                <c:pt idx="402">
                  <c:v>0.23461150873223718</c:v>
                </c:pt>
                <c:pt idx="403">
                  <c:v>0.22302575521459581</c:v>
                </c:pt>
                <c:pt idx="404">
                  <c:v>0.22660590549567219</c:v>
                </c:pt>
                <c:pt idx="405">
                  <c:v>0.22459084823364558</c:v>
                </c:pt>
                <c:pt idx="406">
                  <c:v>0.23322895778109354</c:v>
                </c:pt>
                <c:pt idx="407">
                  <c:v>0.17809995096777376</c:v>
                </c:pt>
                <c:pt idx="408">
                  <c:v>0.23555154805415235</c:v>
                </c:pt>
                <c:pt idx="409">
                  <c:v>0.20354034712742589</c:v>
                </c:pt>
                <c:pt idx="410">
                  <c:v>0.2137443896365098</c:v>
                </c:pt>
                <c:pt idx="411">
                  <c:v>0.23122034602188485</c:v>
                </c:pt>
                <c:pt idx="412">
                  <c:v>0.21448143925594604</c:v>
                </c:pt>
                <c:pt idx="413">
                  <c:v>0.20960686109103815</c:v>
                </c:pt>
                <c:pt idx="414">
                  <c:v>0.22299747040099857</c:v>
                </c:pt>
                <c:pt idx="415">
                  <c:v>0.21470724058444388</c:v>
                </c:pt>
                <c:pt idx="416">
                  <c:v>0.22511728861278052</c:v>
                </c:pt>
                <c:pt idx="417">
                  <c:v>0.22726295826616966</c:v>
                </c:pt>
                <c:pt idx="418">
                  <c:v>0.22185193545030851</c:v>
                </c:pt>
                <c:pt idx="419">
                  <c:v>0.22260653387020746</c:v>
                </c:pt>
                <c:pt idx="420">
                  <c:v>0.2302127007652631</c:v>
                </c:pt>
                <c:pt idx="421">
                  <c:v>0.21890373697256355</c:v>
                </c:pt>
                <c:pt idx="422">
                  <c:v>0.21343624459787544</c:v>
                </c:pt>
                <c:pt idx="423">
                  <c:v>0.22757961020375878</c:v>
                </c:pt>
                <c:pt idx="424">
                  <c:v>0.2229705166374529</c:v>
                </c:pt>
                <c:pt idx="425">
                  <c:v>0.23690617392729371</c:v>
                </c:pt>
                <c:pt idx="426">
                  <c:v>0.22111488583087222</c:v>
                </c:pt>
                <c:pt idx="427">
                  <c:v>0.23126383574213971</c:v>
                </c:pt>
                <c:pt idx="428">
                  <c:v>0.2326739810820308</c:v>
                </c:pt>
                <c:pt idx="429">
                  <c:v>0.22389067504091278</c:v>
                </c:pt>
                <c:pt idx="430">
                  <c:v>0.20111035584575457</c:v>
                </c:pt>
                <c:pt idx="431">
                  <c:v>0.24158539601596934</c:v>
                </c:pt>
                <c:pt idx="432">
                  <c:v>0.23077155988671952</c:v>
                </c:pt>
                <c:pt idx="433">
                  <c:v>0.2153008407881685</c:v>
                </c:pt>
                <c:pt idx="434">
                  <c:v>0.23867668540509371</c:v>
                </c:pt>
                <c:pt idx="435">
                  <c:v>0.22879066884985316</c:v>
                </c:pt>
                <c:pt idx="436">
                  <c:v>0.23945923191461863</c:v>
                </c:pt>
                <c:pt idx="437">
                  <c:v>0.23090711648909656</c:v>
                </c:pt>
                <c:pt idx="438">
                  <c:v>0.24324480065444534</c:v>
                </c:pt>
                <c:pt idx="439">
                  <c:v>0.24712620657755879</c:v>
                </c:pt>
                <c:pt idx="440">
                  <c:v>0.24032339370427805</c:v>
                </c:pt>
                <c:pt idx="441">
                  <c:v>0.21523468776811716</c:v>
                </c:pt>
                <c:pt idx="442">
                  <c:v>0.24873092220468582</c:v>
                </c:pt>
                <c:pt idx="443">
                  <c:v>0.25854924808118657</c:v>
                </c:pt>
                <c:pt idx="444">
                  <c:v>0.22716465727364371</c:v>
                </c:pt>
                <c:pt idx="445">
                  <c:v>0.20428113079214191</c:v>
                </c:pt>
                <c:pt idx="446">
                  <c:v>0.22995948126410712</c:v>
                </c:pt>
                <c:pt idx="447">
                  <c:v>0.2070839307718661</c:v>
                </c:pt>
                <c:pt idx="448">
                  <c:v>0.25273760071318124</c:v>
                </c:pt>
                <c:pt idx="449">
                  <c:v>0.21401384863716391</c:v>
                </c:pt>
                <c:pt idx="450">
                  <c:v>0.20270735218809907</c:v>
                </c:pt>
                <c:pt idx="451">
                  <c:v>0.23156139257571423</c:v>
                </c:pt>
                <c:pt idx="452">
                  <c:v>0.24960803385181116</c:v>
                </c:pt>
                <c:pt idx="453">
                  <c:v>0.24806724351939249</c:v>
                </c:pt>
                <c:pt idx="454">
                  <c:v>0.24658803975138813</c:v>
                </c:pt>
                <c:pt idx="455">
                  <c:v>0.23863065325747465</c:v>
                </c:pt>
                <c:pt idx="456">
                  <c:v>0.25433739742696077</c:v>
                </c:pt>
                <c:pt idx="457">
                  <c:v>0.22861788532760516</c:v>
                </c:pt>
                <c:pt idx="458">
                  <c:v>0.20826916389212632</c:v>
                </c:pt>
                <c:pt idx="459">
                  <c:v>0.24968005278902308</c:v>
                </c:pt>
                <c:pt idx="460">
                  <c:v>0.24595389935295103</c:v>
                </c:pt>
                <c:pt idx="461">
                  <c:v>0.2519895778646799</c:v>
                </c:pt>
                <c:pt idx="462">
                  <c:v>0.2340970098095787</c:v>
                </c:pt>
                <c:pt idx="463">
                  <c:v>0.23678778003727502</c:v>
                </c:pt>
                <c:pt idx="464">
                  <c:v>0.24027817593621445</c:v>
                </c:pt>
                <c:pt idx="465">
                  <c:v>0.26156864722170181</c:v>
                </c:pt>
                <c:pt idx="466">
                  <c:v>0.23289111682905578</c:v>
                </c:pt>
                <c:pt idx="467">
                  <c:v>0.23420688585068883</c:v>
                </c:pt>
                <c:pt idx="468">
                  <c:v>0.25826951136717369</c:v>
                </c:pt>
                <c:pt idx="469">
                  <c:v>0.24108765239686705</c:v>
                </c:pt>
                <c:pt idx="470">
                  <c:v>0.24679386902164491</c:v>
                </c:pt>
                <c:pt idx="471">
                  <c:v>0.22916573552009886</c:v>
                </c:pt>
                <c:pt idx="472">
                  <c:v>0.24901747856667278</c:v>
                </c:pt>
                <c:pt idx="473">
                  <c:v>0.23113224529945317</c:v>
                </c:pt>
                <c:pt idx="474">
                  <c:v>0.24683358196320032</c:v>
                </c:pt>
                <c:pt idx="475">
                  <c:v>0.22151832351730047</c:v>
                </c:pt>
                <c:pt idx="476">
                  <c:v>0.2079569162700991</c:v>
                </c:pt>
                <c:pt idx="477">
                  <c:v>0.21760440207644394</c:v>
                </c:pt>
                <c:pt idx="478">
                  <c:v>0.22696373119801139</c:v>
                </c:pt>
                <c:pt idx="479">
                  <c:v>0.2566183426507464</c:v>
                </c:pt>
                <c:pt idx="480">
                  <c:v>0.24835555012816488</c:v>
                </c:pt>
                <c:pt idx="481">
                  <c:v>0.24129999472679653</c:v>
                </c:pt>
                <c:pt idx="482">
                  <c:v>0.24202029321851828</c:v>
                </c:pt>
                <c:pt idx="483">
                  <c:v>0.21843882875107293</c:v>
                </c:pt>
                <c:pt idx="484">
                  <c:v>0.24412768080572719</c:v>
                </c:pt>
                <c:pt idx="485">
                  <c:v>0.25354506908606678</c:v>
                </c:pt>
                <c:pt idx="486">
                  <c:v>0.246259291238766</c:v>
                </c:pt>
                <c:pt idx="487">
                  <c:v>0.2400887665368063</c:v>
                </c:pt>
                <c:pt idx="488">
                  <c:v>0.22859515537281022</c:v>
                </c:pt>
                <c:pt idx="489">
                  <c:v>0.24771644680822616</c:v>
                </c:pt>
                <c:pt idx="490">
                  <c:v>0.27889957599467347</c:v>
                </c:pt>
                <c:pt idx="491">
                  <c:v>0.20487883544632413</c:v>
                </c:pt>
                <c:pt idx="492">
                  <c:v>0.25503651066892608</c:v>
                </c:pt>
                <c:pt idx="493">
                  <c:v>0.23563155877020342</c:v>
                </c:pt>
                <c:pt idx="494">
                  <c:v>0.26037712184587097</c:v>
                </c:pt>
                <c:pt idx="495">
                  <c:v>0.23196676533406113</c:v>
                </c:pt>
                <c:pt idx="496">
                  <c:v>0.27256094926752183</c:v>
                </c:pt>
                <c:pt idx="497">
                  <c:v>0.23446103162797577</c:v>
                </c:pt>
                <c:pt idx="498">
                  <c:v>0.25576914863945333</c:v>
                </c:pt>
                <c:pt idx="499">
                  <c:v>0.24233865719275996</c:v>
                </c:pt>
                <c:pt idx="500">
                  <c:v>0.24781523701632516</c:v>
                </c:pt>
                <c:pt idx="501">
                  <c:v>0.24853146602504292</c:v>
                </c:pt>
                <c:pt idx="502">
                  <c:v>0.24784742708413274</c:v>
                </c:pt>
                <c:pt idx="503">
                  <c:v>0.26104640249097999</c:v>
                </c:pt>
                <c:pt idx="504">
                  <c:v>0.26179653583147139</c:v>
                </c:pt>
                <c:pt idx="505">
                  <c:v>0.2471710310364171</c:v>
                </c:pt>
                <c:pt idx="506">
                  <c:v>0.24246113163968136</c:v>
                </c:pt>
                <c:pt idx="507">
                  <c:v>0.27810724765377953</c:v>
                </c:pt>
                <c:pt idx="508">
                  <c:v>0.25139638205991366</c:v>
                </c:pt>
                <c:pt idx="509">
                  <c:v>0.24252137043015087</c:v>
                </c:pt>
                <c:pt idx="510">
                  <c:v>0.23002026886158639</c:v>
                </c:pt>
                <c:pt idx="511">
                  <c:v>0.24588299282247689</c:v>
                </c:pt>
                <c:pt idx="512">
                  <c:v>0.25426536757778856</c:v>
                </c:pt>
                <c:pt idx="513">
                  <c:v>0.24794186313941341</c:v>
                </c:pt>
                <c:pt idx="514">
                  <c:v>0.2459248620916768</c:v>
                </c:pt>
                <c:pt idx="515">
                  <c:v>0.25212861618614468</c:v>
                </c:pt>
                <c:pt idx="516">
                  <c:v>0.25861597046778811</c:v>
                </c:pt>
                <c:pt idx="517">
                  <c:v>0.27090083274374405</c:v>
                </c:pt>
                <c:pt idx="518">
                  <c:v>0.22705528574871653</c:v>
                </c:pt>
                <c:pt idx="519">
                  <c:v>0.25008133863407139</c:v>
                </c:pt>
                <c:pt idx="520">
                  <c:v>0.29417729169601342</c:v>
                </c:pt>
                <c:pt idx="521">
                  <c:v>0.25927490115580842</c:v>
                </c:pt>
                <c:pt idx="522">
                  <c:v>0.27229840259834986</c:v>
                </c:pt>
                <c:pt idx="523">
                  <c:v>0.25708620133587218</c:v>
                </c:pt>
                <c:pt idx="524">
                  <c:v>0.26070735917324384</c:v>
                </c:pt>
                <c:pt idx="525">
                  <c:v>0.26593089142647808</c:v>
                </c:pt>
                <c:pt idx="526">
                  <c:v>0.28562947597658755</c:v>
                </c:pt>
                <c:pt idx="527">
                  <c:v>0.24945563248790445</c:v>
                </c:pt>
                <c:pt idx="528">
                  <c:v>0.24616677342483206</c:v>
                </c:pt>
                <c:pt idx="529">
                  <c:v>0.27049721033310037</c:v>
                </c:pt>
                <c:pt idx="530">
                  <c:v>0.25633127863646316</c:v>
                </c:pt>
                <c:pt idx="531">
                  <c:v>0.25081877802062519</c:v>
                </c:pt>
                <c:pt idx="532">
                  <c:v>0.26133556003563868</c:v>
                </c:pt>
                <c:pt idx="533">
                  <c:v>0.23745718399177321</c:v>
                </c:pt>
                <c:pt idx="534">
                  <c:v>0.26957378035012847</c:v>
                </c:pt>
                <c:pt idx="535">
                  <c:v>0.23931549888225695</c:v>
                </c:pt>
                <c:pt idx="536">
                  <c:v>0.26422814783969323</c:v>
                </c:pt>
                <c:pt idx="537">
                  <c:v>0.25491558297301858</c:v>
                </c:pt>
                <c:pt idx="538">
                  <c:v>0.26948218771433385</c:v>
                </c:pt>
                <c:pt idx="539">
                  <c:v>0.25422664185242716</c:v>
                </c:pt>
                <c:pt idx="540">
                  <c:v>0.25152210310931628</c:v>
                </c:pt>
                <c:pt idx="541">
                  <c:v>0.24954172588997101</c:v>
                </c:pt>
                <c:pt idx="542">
                  <c:v>0.22052524613532323</c:v>
                </c:pt>
                <c:pt idx="543">
                  <c:v>0.29345494107183656</c:v>
                </c:pt>
                <c:pt idx="544">
                  <c:v>0.26190369773725586</c:v>
                </c:pt>
                <c:pt idx="545">
                  <c:v>0.23953001501598273</c:v>
                </c:pt>
                <c:pt idx="546">
                  <c:v>0.2515433974880189</c:v>
                </c:pt>
                <c:pt idx="547">
                  <c:v>0.26185802217085591</c:v>
                </c:pt>
                <c:pt idx="548">
                  <c:v>0.25556803506281733</c:v>
                </c:pt>
                <c:pt idx="549">
                  <c:v>0.26181284307800379</c:v>
                </c:pt>
                <c:pt idx="550">
                  <c:v>0.23272252718044781</c:v>
                </c:pt>
                <c:pt idx="551">
                  <c:v>0.26393626044205315</c:v>
                </c:pt>
                <c:pt idx="552">
                  <c:v>0.26176815240777712</c:v>
                </c:pt>
                <c:pt idx="553">
                  <c:v>0.27831671376688943</c:v>
                </c:pt>
                <c:pt idx="554">
                  <c:v>0.25288479546865517</c:v>
                </c:pt>
                <c:pt idx="555">
                  <c:v>0.25756959399219487</c:v>
                </c:pt>
                <c:pt idx="556">
                  <c:v>0.28139105933251352</c:v>
                </c:pt>
                <c:pt idx="557">
                  <c:v>0.24526344622647167</c:v>
                </c:pt>
                <c:pt idx="558">
                  <c:v>0.26670724480364949</c:v>
                </c:pt>
                <c:pt idx="559">
                  <c:v>0.25754841228216258</c:v>
                </c:pt>
                <c:pt idx="560">
                  <c:v>0.2440844321798703</c:v>
                </c:pt>
                <c:pt idx="561">
                  <c:v>0.26096261100081874</c:v>
                </c:pt>
                <c:pt idx="562">
                  <c:v>0.23994021172047295</c:v>
                </c:pt>
                <c:pt idx="563">
                  <c:v>0.27633563709380315</c:v>
                </c:pt>
                <c:pt idx="564">
                  <c:v>0.26092336474730154</c:v>
                </c:pt>
                <c:pt idx="565">
                  <c:v>0.2615941188983229</c:v>
                </c:pt>
                <c:pt idx="566">
                  <c:v>0.2629855769775693</c:v>
                </c:pt>
                <c:pt idx="567">
                  <c:v>0.22530936821057304</c:v>
                </c:pt>
                <c:pt idx="568">
                  <c:v>0.2608845316122424</c:v>
                </c:pt>
                <c:pt idx="569">
                  <c:v>0.27304853593884121</c:v>
                </c:pt>
                <c:pt idx="570">
                  <c:v>0.29381399182326567</c:v>
                </c:pt>
                <c:pt idx="571">
                  <c:v>0.26990281547871625</c:v>
                </c:pt>
                <c:pt idx="572">
                  <c:v>0.25877280246928469</c:v>
                </c:pt>
                <c:pt idx="573">
                  <c:v>0.255475615297382</c:v>
                </c:pt>
                <c:pt idx="574">
                  <c:v>0.29165010837067801</c:v>
                </c:pt>
                <c:pt idx="575">
                  <c:v>0.26278889972982966</c:v>
                </c:pt>
                <c:pt idx="576">
                  <c:v>0.25807265960546089</c:v>
                </c:pt>
                <c:pt idx="577">
                  <c:v>0.27262910654415784</c:v>
                </c:pt>
                <c:pt idx="578">
                  <c:v>0.26549221893828984</c:v>
                </c:pt>
                <c:pt idx="579">
                  <c:v>0.25545621282289649</c:v>
                </c:pt>
                <c:pt idx="580">
                  <c:v>0.25936625689671633</c:v>
                </c:pt>
                <c:pt idx="581">
                  <c:v>0.25869319231624072</c:v>
                </c:pt>
                <c:pt idx="582">
                  <c:v>0.27467382484323899</c:v>
                </c:pt>
                <c:pt idx="583">
                  <c:v>0.2807106122024311</c:v>
                </c:pt>
                <c:pt idx="584">
                  <c:v>0.2886402905132342</c:v>
                </c:pt>
                <c:pt idx="585">
                  <c:v>0.28296190030599722</c:v>
                </c:pt>
                <c:pt idx="586">
                  <c:v>0.2613066528335995</c:v>
                </c:pt>
                <c:pt idx="587">
                  <c:v>0.29507400281568114</c:v>
                </c:pt>
                <c:pt idx="588">
                  <c:v>0.24985266516733773</c:v>
                </c:pt>
                <c:pt idx="589">
                  <c:v>0.24864564746121531</c:v>
                </c:pt>
                <c:pt idx="590">
                  <c:v>0.28594249458039761</c:v>
                </c:pt>
                <c:pt idx="591">
                  <c:v>0.29483669462294054</c:v>
                </c:pt>
                <c:pt idx="592">
                  <c:v>0.28895639158412079</c:v>
                </c:pt>
                <c:pt idx="593">
                  <c:v>0.29057974209863835</c:v>
                </c:pt>
                <c:pt idx="594">
                  <c:v>0.27512337283807248</c:v>
                </c:pt>
                <c:pt idx="595">
                  <c:v>0.29628552358914667</c:v>
                </c:pt>
                <c:pt idx="596">
                  <c:v>0.32204948216211599</c:v>
                </c:pt>
                <c:pt idx="597">
                  <c:v>0.28875966201468722</c:v>
                </c:pt>
                <c:pt idx="598">
                  <c:v>0.25416347169359382</c:v>
                </c:pt>
                <c:pt idx="599">
                  <c:v>0.3297690613745996</c:v>
                </c:pt>
                <c:pt idx="600">
                  <c:v>0.31847734287640095</c:v>
                </c:pt>
                <c:pt idx="601">
                  <c:v>0.24521260202690029</c:v>
                </c:pt>
                <c:pt idx="602">
                  <c:v>0.31731549555316846</c:v>
                </c:pt>
                <c:pt idx="603">
                  <c:v>0.28996590773931397</c:v>
                </c:pt>
                <c:pt idx="604">
                  <c:v>0.29157682944897684</c:v>
                </c:pt>
                <c:pt idx="605">
                  <c:v>0.27401355122582743</c:v>
                </c:pt>
                <c:pt idx="606">
                  <c:v>0.27118866925442714</c:v>
                </c:pt>
                <c:pt idx="607">
                  <c:v>0.30308835844771204</c:v>
                </c:pt>
                <c:pt idx="608">
                  <c:v>0.26770240796904515</c:v>
                </c:pt>
                <c:pt idx="609">
                  <c:v>0.30036447104798253</c:v>
                </c:pt>
                <c:pt idx="610">
                  <c:v>0.2818665927605743</c:v>
                </c:pt>
                <c:pt idx="611">
                  <c:v>0.28037523512692047</c:v>
                </c:pt>
                <c:pt idx="612">
                  <c:v>0.26827117158348984</c:v>
                </c:pt>
                <c:pt idx="613">
                  <c:v>0.29912620510153948</c:v>
                </c:pt>
                <c:pt idx="614">
                  <c:v>0.2773149193128856</c:v>
                </c:pt>
                <c:pt idx="615">
                  <c:v>0.27876682988520435</c:v>
                </c:pt>
                <c:pt idx="616">
                  <c:v>0.27576293596474277</c:v>
                </c:pt>
                <c:pt idx="617">
                  <c:v>0.25781145246011128</c:v>
                </c:pt>
                <c:pt idx="618">
                  <c:v>0.31250903864096607</c:v>
                </c:pt>
                <c:pt idx="619">
                  <c:v>0.30099624123345919</c:v>
                </c:pt>
                <c:pt idx="620">
                  <c:v>0.29034999846952808</c:v>
                </c:pt>
                <c:pt idx="621">
                  <c:v>0.29812442189240829</c:v>
                </c:pt>
                <c:pt idx="622">
                  <c:v>0.26273148463266344</c:v>
                </c:pt>
                <c:pt idx="623">
                  <c:v>0.27048991281211582</c:v>
                </c:pt>
                <c:pt idx="624">
                  <c:v>0.27183563377138009</c:v>
                </c:pt>
                <c:pt idx="625">
                  <c:v>0.28673159645335305</c:v>
                </c:pt>
                <c:pt idx="626">
                  <c:v>0.28441713708359312</c:v>
                </c:pt>
                <c:pt idx="627">
                  <c:v>0.27309705202553963</c:v>
                </c:pt>
                <c:pt idx="628">
                  <c:v>0.28071061220243115</c:v>
                </c:pt>
                <c:pt idx="629">
                  <c:v>0.2887227880953902</c:v>
                </c:pt>
                <c:pt idx="630">
                  <c:v>0.25412927431437571</c:v>
                </c:pt>
                <c:pt idx="631">
                  <c:v>0.28638769461535007</c:v>
                </c:pt>
                <c:pt idx="632">
                  <c:v>0.28638769461535007</c:v>
                </c:pt>
                <c:pt idx="633">
                  <c:v>0.28853957080888337</c:v>
                </c:pt>
                <c:pt idx="634">
                  <c:v>0.25181635270593455</c:v>
                </c:pt>
                <c:pt idx="635">
                  <c:v>0.25125054357397569</c:v>
                </c:pt>
                <c:pt idx="636">
                  <c:v>0.25239259149931198</c:v>
                </c:pt>
                <c:pt idx="637">
                  <c:v>0.30082779818590094</c:v>
                </c:pt>
                <c:pt idx="638">
                  <c:v>0.27280952286466503</c:v>
                </c:pt>
                <c:pt idx="639">
                  <c:v>0.26187753614523335</c:v>
                </c:pt>
                <c:pt idx="640">
                  <c:v>0.25645269602512721</c:v>
                </c:pt>
                <c:pt idx="641">
                  <c:v>0.28817880274988522</c:v>
                </c:pt>
                <c:pt idx="642">
                  <c:v>0.29737599858232833</c:v>
                </c:pt>
                <c:pt idx="643">
                  <c:v>0.27200708867971246</c:v>
                </c:pt>
                <c:pt idx="644">
                  <c:v>0.29714408890245397</c:v>
                </c:pt>
                <c:pt idx="645">
                  <c:v>0.29714408890245397</c:v>
                </c:pt>
                <c:pt idx="646">
                  <c:v>0.28427780473286279</c:v>
                </c:pt>
                <c:pt idx="647">
                  <c:v>0.32798708064912713</c:v>
                </c:pt>
                <c:pt idx="648">
                  <c:v>0.28782539730433604</c:v>
                </c:pt>
                <c:pt idx="649">
                  <c:v>0.28270275203096445</c:v>
                </c:pt>
                <c:pt idx="650">
                  <c:v>0.28911899459559154</c:v>
                </c:pt>
                <c:pt idx="651">
                  <c:v>0.26113973705408267</c:v>
                </c:pt>
                <c:pt idx="652">
                  <c:v>0.25698685735420346</c:v>
                </c:pt>
                <c:pt idx="653">
                  <c:v>0.2831883980588159</c:v>
                </c:pt>
                <c:pt idx="654">
                  <c:v>0.28381910718589565</c:v>
                </c:pt>
                <c:pt idx="655">
                  <c:v>0.32049236260879232</c:v>
                </c:pt>
                <c:pt idx="656">
                  <c:v>0.3141451268071872</c:v>
                </c:pt>
                <c:pt idx="657">
                  <c:v>0.2865059280672555</c:v>
                </c:pt>
                <c:pt idx="658">
                  <c:v>0.27816109521092769</c:v>
                </c:pt>
                <c:pt idx="659">
                  <c:v>0.27477491936839293</c:v>
                </c:pt>
                <c:pt idx="660">
                  <c:v>0.28352084080067569</c:v>
                </c:pt>
                <c:pt idx="661">
                  <c:v>0.3111066523380388</c:v>
                </c:pt>
                <c:pt idx="662">
                  <c:v>0.29429338376061326</c:v>
                </c:pt>
                <c:pt idx="663">
                  <c:v>0.30913516444718309</c:v>
                </c:pt>
                <c:pt idx="664">
                  <c:v>0.29494018240624104</c:v>
                </c:pt>
                <c:pt idx="665">
                  <c:v>0.26214953975640842</c:v>
                </c:pt>
                <c:pt idx="666">
                  <c:v>0.3065346470167527</c:v>
                </c:pt>
                <c:pt idx="667">
                  <c:v>0.30883947245058135</c:v>
                </c:pt>
                <c:pt idx="668">
                  <c:v>0.30149530235882038</c:v>
                </c:pt>
                <c:pt idx="669">
                  <c:v>0.27123425995253658</c:v>
                </c:pt>
                <c:pt idx="670">
                  <c:v>0.28171674342896308</c:v>
                </c:pt>
                <c:pt idx="671">
                  <c:v>0.3264923934320581</c:v>
                </c:pt>
                <c:pt idx="672">
                  <c:v>0.27056545566823331</c:v>
                </c:pt>
                <c:pt idx="673">
                  <c:v>0.29138761671085289</c:v>
                </c:pt>
                <c:pt idx="674">
                  <c:v>0.30412271240116306</c:v>
                </c:pt>
                <c:pt idx="675">
                  <c:v>0.31221108241183226</c:v>
                </c:pt>
                <c:pt idx="676">
                  <c:v>0.32861707278194136</c:v>
                </c:pt>
                <c:pt idx="677">
                  <c:v>0.31355972639633256</c:v>
                </c:pt>
                <c:pt idx="678">
                  <c:v>0.30863470451576192</c:v>
                </c:pt>
                <c:pt idx="679">
                  <c:v>0.3076875057138207</c:v>
                </c:pt>
                <c:pt idx="680">
                  <c:v>0.27536173782137952</c:v>
                </c:pt>
                <c:pt idx="681">
                  <c:v>0.30360396734152101</c:v>
                </c:pt>
                <c:pt idx="682">
                  <c:v>0.31226076929547175</c:v>
                </c:pt>
                <c:pt idx="683">
                  <c:v>0.28252164841018873</c:v>
                </c:pt>
                <c:pt idx="684">
                  <c:v>0.26782125540848045</c:v>
                </c:pt>
                <c:pt idx="685">
                  <c:v>0.29207397664326318</c:v>
                </c:pt>
                <c:pt idx="686">
                  <c:v>0.29854931884884367</c:v>
                </c:pt>
                <c:pt idx="687">
                  <c:v>0.30156496853418552</c:v>
                </c:pt>
                <c:pt idx="688">
                  <c:v>0.30620442958855765</c:v>
                </c:pt>
                <c:pt idx="689">
                  <c:v>0.294761755193654</c:v>
                </c:pt>
                <c:pt idx="690">
                  <c:v>0.2983254171087304</c:v>
                </c:pt>
                <c:pt idx="691">
                  <c:v>0.30132366250680809</c:v>
                </c:pt>
                <c:pt idx="692">
                  <c:v>0.31134809001760533</c:v>
                </c:pt>
                <c:pt idx="693">
                  <c:v>0.30196071041908457</c:v>
                </c:pt>
                <c:pt idx="694">
                  <c:v>0.30323480624363769</c:v>
                </c:pt>
                <c:pt idx="695">
                  <c:v>0.32618230509450763</c:v>
                </c:pt>
                <c:pt idx="696">
                  <c:v>0.28659004254515136</c:v>
                </c:pt>
                <c:pt idx="697">
                  <c:v>0.35994344629182706</c:v>
                </c:pt>
                <c:pt idx="698">
                  <c:v>0.30147896274412922</c:v>
                </c:pt>
                <c:pt idx="699">
                  <c:v>0.33853224308139651</c:v>
                </c:pt>
                <c:pt idx="700">
                  <c:v>0.30362022023056495</c:v>
                </c:pt>
                <c:pt idx="701">
                  <c:v>0.33139994084347324</c:v>
                </c:pt>
                <c:pt idx="702">
                  <c:v>0.29519015289730482</c:v>
                </c:pt>
                <c:pt idx="703">
                  <c:v>0.32058185436798498</c:v>
                </c:pt>
                <c:pt idx="704">
                  <c:v>0.31791661512346203</c:v>
                </c:pt>
                <c:pt idx="705">
                  <c:v>0.31530604745318569</c:v>
                </c:pt>
                <c:pt idx="706">
                  <c:v>0.31434414177507264</c:v>
                </c:pt>
                <c:pt idx="707">
                  <c:v>0.3118092137497841</c:v>
                </c:pt>
                <c:pt idx="708">
                  <c:v>0.30325978851470736</c:v>
                </c:pt>
                <c:pt idx="709">
                  <c:v>0.29181602291037878</c:v>
                </c:pt>
                <c:pt idx="710">
                  <c:v>0.32019866972209471</c:v>
                </c:pt>
                <c:pt idx="711">
                  <c:v>0.28364631016477793</c:v>
                </c:pt>
                <c:pt idx="712">
                  <c:v>0.29925631952225679</c:v>
                </c:pt>
                <c:pt idx="713">
                  <c:v>0.32251458269756172</c:v>
                </c:pt>
                <c:pt idx="714">
                  <c:v>0.29843103825441353</c:v>
                </c:pt>
                <c:pt idx="715">
                  <c:v>0.38265084046118059</c:v>
                </c:pt>
                <c:pt idx="716">
                  <c:v>0.30787615531879542</c:v>
                </c:pt>
                <c:pt idx="717">
                  <c:v>0.31854012486701289</c:v>
                </c:pt>
                <c:pt idx="718">
                  <c:v>0.33446370815608811</c:v>
                </c:pt>
                <c:pt idx="719">
                  <c:v>0.35596581733269828</c:v>
                </c:pt>
                <c:pt idx="720">
                  <c:v>0.29305092868784927</c:v>
                </c:pt>
                <c:pt idx="721">
                  <c:v>0.30646952525451771</c:v>
                </c:pt>
                <c:pt idx="722">
                  <c:v>0.31949239766148319</c:v>
                </c:pt>
                <c:pt idx="723">
                  <c:v>0.34380160183137864</c:v>
                </c:pt>
                <c:pt idx="724">
                  <c:v>0.30920130376349614</c:v>
                </c:pt>
                <c:pt idx="725">
                  <c:v>0.31133843042186143</c:v>
                </c:pt>
                <c:pt idx="726">
                  <c:v>0.30831572721388223</c:v>
                </c:pt>
                <c:pt idx="727">
                  <c:v>0.34966929857474049</c:v>
                </c:pt>
                <c:pt idx="728">
                  <c:v>0.3134966125152846</c:v>
                </c:pt>
                <c:pt idx="729">
                  <c:v>0.31567616274824656</c:v>
                </c:pt>
                <c:pt idx="730">
                  <c:v>0.31320273240043545</c:v>
                </c:pt>
                <c:pt idx="731">
                  <c:v>0.27304853593884121</c:v>
                </c:pt>
                <c:pt idx="732">
                  <c:v>0.31382416639329347</c:v>
                </c:pt>
                <c:pt idx="733">
                  <c:v>0.31850810917528294</c:v>
                </c:pt>
                <c:pt idx="734">
                  <c:v>0.32728011468762708</c:v>
                </c:pt>
                <c:pt idx="735">
                  <c:v>0.34931345115933665</c:v>
                </c:pt>
                <c:pt idx="736">
                  <c:v>0.29541489700853657</c:v>
                </c:pt>
                <c:pt idx="737">
                  <c:v>0.31568846837186748</c:v>
                </c:pt>
                <c:pt idx="738">
                  <c:v>0.32754934051981721</c:v>
                </c:pt>
                <c:pt idx="739">
                  <c:v>0.31476692723123906</c:v>
                </c:pt>
                <c:pt idx="740">
                  <c:v>0.36527679444602845</c:v>
                </c:pt>
                <c:pt idx="741">
                  <c:v>0.33326800318013938</c:v>
                </c:pt>
                <c:pt idx="742">
                  <c:v>0.30995581412196205</c:v>
                </c:pt>
                <c:pt idx="743">
                  <c:v>0.30130588442553524</c:v>
                </c:pt>
                <c:pt idx="744">
                  <c:v>0.30908351279063384</c:v>
                </c:pt>
                <c:pt idx="745">
                  <c:v>0.30532540009660158</c:v>
                </c:pt>
                <c:pt idx="746">
                  <c:v>0.31478783939671096</c:v>
                </c:pt>
                <c:pt idx="747">
                  <c:v>0.36200601530621762</c:v>
                </c:pt>
                <c:pt idx="748">
                  <c:v>0.31478783939671096</c:v>
                </c:pt>
                <c:pt idx="749">
                  <c:v>0.31238208272565643</c:v>
                </c:pt>
                <c:pt idx="750">
                  <c:v>0.29599379105975221</c:v>
                </c:pt>
                <c:pt idx="751">
                  <c:v>0.29656742243777495</c:v>
                </c:pt>
                <c:pt idx="752">
                  <c:v>0.28872863594162235</c:v>
                </c:pt>
                <c:pt idx="753">
                  <c:v>0.32670732782731987</c:v>
                </c:pt>
                <c:pt idx="754">
                  <c:v>0.32348853642015413</c:v>
                </c:pt>
                <c:pt idx="755">
                  <c:v>0.33568849708078746</c:v>
                </c:pt>
                <c:pt idx="756">
                  <c:v>0.31541491848027448</c:v>
                </c:pt>
                <c:pt idx="757">
                  <c:v>0.30519313871471004</c:v>
                </c:pt>
                <c:pt idx="758">
                  <c:v>0.32859945520855927</c:v>
                </c:pt>
                <c:pt idx="759">
                  <c:v>0.3253620221523173</c:v>
                </c:pt>
                <c:pt idx="760">
                  <c:v>0.33253901020835902</c:v>
                </c:pt>
                <c:pt idx="761">
                  <c:v>0.30137288893639308</c:v>
                </c:pt>
                <c:pt idx="762">
                  <c:v>0.34176306992786842</c:v>
                </c:pt>
                <c:pt idx="763">
                  <c:v>0.31632765762166432</c:v>
                </c:pt>
                <c:pt idx="764">
                  <c:v>0.32246994223567726</c:v>
                </c:pt>
                <c:pt idx="765">
                  <c:v>0.30530082860134189</c:v>
                </c:pt>
                <c:pt idx="766">
                  <c:v>0.35591219590958573</c:v>
                </c:pt>
                <c:pt idx="767">
                  <c:v>0.31306269093725625</c:v>
                </c:pt>
                <c:pt idx="768">
                  <c:v>0.30230373621800272</c:v>
                </c:pt>
                <c:pt idx="769">
                  <c:v>0.32493154484816328</c:v>
                </c:pt>
                <c:pt idx="770">
                  <c:v>0.31874237256534105</c:v>
                </c:pt>
                <c:pt idx="771">
                  <c:v>0.3104753276540031</c:v>
                </c:pt>
                <c:pt idx="772">
                  <c:v>0.28659261014215676</c:v>
                </c:pt>
                <c:pt idx="773">
                  <c:v>0.34994501722816518</c:v>
                </c:pt>
                <c:pt idx="774">
                  <c:v>0.30598279928341249</c:v>
                </c:pt>
                <c:pt idx="775">
                  <c:v>0.32208715714043412</c:v>
                </c:pt>
                <c:pt idx="776">
                  <c:v>0.30108476953970437</c:v>
                </c:pt>
                <c:pt idx="777">
                  <c:v>0.36455669392915557</c:v>
                </c:pt>
                <c:pt idx="778">
                  <c:v>0.29506445812854504</c:v>
                </c:pt>
                <c:pt idx="779">
                  <c:v>0.30911659107753353</c:v>
                </c:pt>
                <c:pt idx="780">
                  <c:v>0.37819292427921697</c:v>
                </c:pt>
                <c:pt idx="781">
                  <c:v>0.30551038729965252</c:v>
                </c:pt>
                <c:pt idx="782">
                  <c:v>0.32985475007313553</c:v>
                </c:pt>
                <c:pt idx="783">
                  <c:v>0.33806009211475579</c:v>
                </c:pt>
                <c:pt idx="784">
                  <c:v>0.35272979818450229</c:v>
                </c:pt>
                <c:pt idx="785">
                  <c:v>0.32572656004597578</c:v>
                </c:pt>
                <c:pt idx="786">
                  <c:v>0.30584584566884288</c:v>
                </c:pt>
                <c:pt idx="787">
                  <c:v>0.35896643991658927</c:v>
                </c:pt>
                <c:pt idx="788">
                  <c:v>0.35404350320567363</c:v>
                </c:pt>
                <c:pt idx="789">
                  <c:v>0.32598651739637163</c:v>
                </c:pt>
                <c:pt idx="790">
                  <c:v>0.34927126863896962</c:v>
                </c:pt>
                <c:pt idx="791">
                  <c:v>0.34814183344051303</c:v>
                </c:pt>
                <c:pt idx="792">
                  <c:v>0.33354715399186458</c:v>
                </c:pt>
                <c:pt idx="793">
                  <c:v>0.29363552872788079</c:v>
                </c:pt>
                <c:pt idx="794">
                  <c:v>0.33743865812189777</c:v>
                </c:pt>
                <c:pt idx="795">
                  <c:v>0.33155893649716434</c:v>
                </c:pt>
                <c:pt idx="796">
                  <c:v>0.34719111219071958</c:v>
                </c:pt>
                <c:pt idx="797">
                  <c:v>0.32960858981188684</c:v>
                </c:pt>
                <c:pt idx="798">
                  <c:v>0.3180943871332077</c:v>
                </c:pt>
                <c:pt idx="799">
                  <c:v>0.34562860163971293</c:v>
                </c:pt>
                <c:pt idx="800">
                  <c:v>0.3395030315323187</c:v>
                </c:pt>
                <c:pt idx="801">
                  <c:v>0.33141962601964442</c:v>
                </c:pt>
                <c:pt idx="802">
                  <c:v>0.33361193300798264</c:v>
                </c:pt>
                <c:pt idx="803">
                  <c:v>0.36192573333270162</c:v>
                </c:pt>
                <c:pt idx="804">
                  <c:v>0.3348250673098298</c:v>
                </c:pt>
                <c:pt idx="805">
                  <c:v>0.35586401828577396</c:v>
                </c:pt>
                <c:pt idx="806">
                  <c:v>0.34941285640219161</c:v>
                </c:pt>
                <c:pt idx="807">
                  <c:v>0.30668988706043893</c:v>
                </c:pt>
                <c:pt idx="808">
                  <c:v>0.36081413677632579</c:v>
                </c:pt>
                <c:pt idx="809">
                  <c:v>0.37097646950487662</c:v>
                </c:pt>
                <c:pt idx="810">
                  <c:v>0.31383245217986494</c:v>
                </c:pt>
                <c:pt idx="811">
                  <c:v>0.35306150870234804</c:v>
                </c:pt>
                <c:pt idx="812">
                  <c:v>0.31721557970857678</c:v>
                </c:pt>
                <c:pt idx="813">
                  <c:v>0.32960858981188684</c:v>
                </c:pt>
                <c:pt idx="814">
                  <c:v>0.33329868236666066</c:v>
                </c:pt>
                <c:pt idx="815">
                  <c:v>0.35034183191449136</c:v>
                </c:pt>
                <c:pt idx="816">
                  <c:v>0.37629307872297219</c:v>
                </c:pt>
                <c:pt idx="817">
                  <c:v>0.32384620187811258</c:v>
                </c:pt>
                <c:pt idx="818">
                  <c:v>0.33351839695199914</c:v>
                </c:pt>
                <c:pt idx="819">
                  <c:v>0.34210387312091312</c:v>
                </c:pt>
                <c:pt idx="820">
                  <c:v>0.353958957833024</c:v>
                </c:pt>
                <c:pt idx="821">
                  <c:v>0.34602165225513948</c:v>
                </c:pt>
                <c:pt idx="822">
                  <c:v>0.3291433695016372</c:v>
                </c:pt>
                <c:pt idx="823">
                  <c:v>0.3630304398277775</c:v>
                </c:pt>
                <c:pt idx="824">
                  <c:v>0.35297450794334784</c:v>
                </c:pt>
                <c:pt idx="825">
                  <c:v>0.35016297162614568</c:v>
                </c:pt>
                <c:pt idx="826">
                  <c:v>0.34349320073802858</c:v>
                </c:pt>
                <c:pt idx="827">
                  <c:v>0.35421737592906394</c:v>
                </c:pt>
                <c:pt idx="828">
                  <c:v>0.35658678435503488</c:v>
                </c:pt>
                <c:pt idx="829">
                  <c:v>0.34470055820986706</c:v>
                </c:pt>
                <c:pt idx="830">
                  <c:v>0.36873432636120879</c:v>
                </c:pt>
                <c:pt idx="831">
                  <c:v>0.34103597320731521</c:v>
                </c:pt>
                <c:pt idx="832">
                  <c:v>0.33227139190731136</c:v>
                </c:pt>
                <c:pt idx="833">
                  <c:v>0.3075704951993426</c:v>
                </c:pt>
                <c:pt idx="834">
                  <c:v>0.37255601988156756</c:v>
                </c:pt>
                <c:pt idx="835">
                  <c:v>0.37900389860792894</c:v>
                </c:pt>
                <c:pt idx="836">
                  <c:v>0.30734349761063146</c:v>
                </c:pt>
                <c:pt idx="837">
                  <c:v>0.3382548271908587</c:v>
                </c:pt>
                <c:pt idx="838">
                  <c:v>0.3382548271908587</c:v>
                </c:pt>
                <c:pt idx="839">
                  <c:v>0.34040773164333038</c:v>
                </c:pt>
                <c:pt idx="840">
                  <c:v>0.39319823548106614</c:v>
                </c:pt>
                <c:pt idx="841">
                  <c:v>0.32590638305089564</c:v>
                </c:pt>
                <c:pt idx="842">
                  <c:v>0.34477390235535249</c:v>
                </c:pt>
                <c:pt idx="843">
                  <c:v>0.34862446999334185</c:v>
                </c:pt>
                <c:pt idx="844">
                  <c:v>0.39735692278811002</c:v>
                </c:pt>
                <c:pt idx="845">
                  <c:v>0.36833413021458467</c:v>
                </c:pt>
                <c:pt idx="846">
                  <c:v>0.35484178329030874</c:v>
                </c:pt>
                <c:pt idx="847">
                  <c:v>0.3039423471626006</c:v>
                </c:pt>
                <c:pt idx="848">
                  <c:v>0.33463380739737641</c:v>
                </c:pt>
                <c:pt idx="849">
                  <c:v>0.34135540264569086</c:v>
                </c:pt>
                <c:pt idx="850">
                  <c:v>0.38557242371378553</c:v>
                </c:pt>
                <c:pt idx="851">
                  <c:v>0.35161438826086627</c:v>
                </c:pt>
                <c:pt idx="852">
                  <c:v>0.39299485708340348</c:v>
                </c:pt>
                <c:pt idx="853">
                  <c:v>0.34788742037390563</c:v>
                </c:pt>
                <c:pt idx="854">
                  <c:v>0.37461283957466374</c:v>
                </c:pt>
                <c:pt idx="855">
                  <c:v>0.33597564087413789</c:v>
                </c:pt>
                <c:pt idx="856">
                  <c:v>0.35908775334677401</c:v>
                </c:pt>
                <c:pt idx="857">
                  <c:v>0.37337980323122277</c:v>
                </c:pt>
                <c:pt idx="858">
                  <c:v>0.34073703854552873</c:v>
                </c:pt>
                <c:pt idx="859">
                  <c:v>0.38681875924669168</c:v>
                </c:pt>
                <c:pt idx="860">
                  <c:v>0.35247503763133115</c:v>
                </c:pt>
                <c:pt idx="861">
                  <c:v>0.3759026397395418</c:v>
                </c:pt>
                <c:pt idx="862">
                  <c:v>0.32069153865335143</c:v>
                </c:pt>
                <c:pt idx="863">
                  <c:v>0.37344815594450242</c:v>
                </c:pt>
                <c:pt idx="864">
                  <c:v>0.38941922149372826</c:v>
                </c:pt>
                <c:pt idx="865">
                  <c:v>0.32873051165054984</c:v>
                </c:pt>
                <c:pt idx="866">
                  <c:v>0.33956928895455374</c:v>
                </c:pt>
                <c:pt idx="867">
                  <c:v>0.39273347041424272</c:v>
                </c:pt>
                <c:pt idx="868">
                  <c:v>0.35496309672049353</c:v>
                </c:pt>
                <c:pt idx="869">
                  <c:v>0.30948922400586693</c:v>
                </c:pt>
                <c:pt idx="870">
                  <c:v>0.3578065928223933</c:v>
                </c:pt>
                <c:pt idx="871">
                  <c:v>0.36812793684611628</c:v>
                </c:pt>
                <c:pt idx="872">
                  <c:v>0.33787393567636659</c:v>
                </c:pt>
                <c:pt idx="873">
                  <c:v>0.36757969345970448</c:v>
                </c:pt>
                <c:pt idx="874">
                  <c:v>0.42514325120232749</c:v>
                </c:pt>
                <c:pt idx="875">
                  <c:v>0.39125736549321988</c:v>
                </c:pt>
                <c:pt idx="876">
                  <c:v>0.34563991480791173</c:v>
                </c:pt>
                <c:pt idx="877">
                  <c:v>0.36764035017479685</c:v>
                </c:pt>
                <c:pt idx="878">
                  <c:v>0.36649879654621031</c:v>
                </c:pt>
                <c:pt idx="879">
                  <c:v>0.35311071265411131</c:v>
                </c:pt>
                <c:pt idx="880">
                  <c:v>0.33101717352903171</c:v>
                </c:pt>
                <c:pt idx="881">
                  <c:v>0.41268505925710869</c:v>
                </c:pt>
                <c:pt idx="882">
                  <c:v>0.36313814801345551</c:v>
                </c:pt>
                <c:pt idx="883">
                  <c:v>0.33407011248679191</c:v>
                </c:pt>
                <c:pt idx="884">
                  <c:v>0.36716196325199296</c:v>
                </c:pt>
                <c:pt idx="885">
                  <c:v>0.37303879781801691</c:v>
                </c:pt>
                <c:pt idx="886">
                  <c:v>0.33952991860221121</c:v>
                </c:pt>
                <c:pt idx="887">
                  <c:v>0.36835793055900268</c:v>
                </c:pt>
                <c:pt idx="888">
                  <c:v>0.32727470214665949</c:v>
                </c:pt>
                <c:pt idx="889">
                  <c:v>0.36610012311960111</c:v>
                </c:pt>
                <c:pt idx="890">
                  <c:v>0.42189354237708426</c:v>
                </c:pt>
                <c:pt idx="891">
                  <c:v>0.35032231643811462</c:v>
                </c:pt>
                <c:pt idx="892">
                  <c:v>0.3493287618519143</c:v>
                </c:pt>
                <c:pt idx="893">
                  <c:v>0.38781154655775246</c:v>
                </c:pt>
                <c:pt idx="894">
                  <c:v>0.35303024193373872</c:v>
                </c:pt>
                <c:pt idx="895">
                  <c:v>0.33697656617849053</c:v>
                </c:pt>
                <c:pt idx="896">
                  <c:v>0.38906053704586113</c:v>
                </c:pt>
                <c:pt idx="897">
                  <c:v>0.36287184199473788</c:v>
                </c:pt>
                <c:pt idx="898">
                  <c:v>0.32472472987457329</c:v>
                </c:pt>
                <c:pt idx="899">
                  <c:v>0.35851961126423471</c:v>
                </c:pt>
                <c:pt idx="900">
                  <c:v>0.38901767952911231</c:v>
                </c:pt>
                <c:pt idx="901">
                  <c:v>0.34261370326931878</c:v>
                </c:pt>
                <c:pt idx="902">
                  <c:v>0.34261370326931878</c:v>
                </c:pt>
                <c:pt idx="903">
                  <c:v>0.37202407333189241</c:v>
                </c:pt>
                <c:pt idx="904">
                  <c:v>0.32414603344539844</c:v>
                </c:pt>
                <c:pt idx="905">
                  <c:v>0.35339246354916393</c:v>
                </c:pt>
                <c:pt idx="906">
                  <c:v>0.35552653020735148</c:v>
                </c:pt>
                <c:pt idx="907">
                  <c:v>0.36090199023061764</c:v>
                </c:pt>
                <c:pt idx="908">
                  <c:v>0.41152315059353922</c:v>
                </c:pt>
                <c:pt idx="909">
                  <c:v>0.34945124739253558</c:v>
                </c:pt>
                <c:pt idx="910">
                  <c:v>0.35462801513139303</c:v>
                </c:pt>
                <c:pt idx="911">
                  <c:v>0.36758246317272247</c:v>
                </c:pt>
                <c:pt idx="912">
                  <c:v>0.35518648444656059</c:v>
                </c:pt>
                <c:pt idx="913">
                  <c:v>0.38091558728260511</c:v>
                </c:pt>
                <c:pt idx="914">
                  <c:v>0.38332169212538064</c:v>
                </c:pt>
                <c:pt idx="915">
                  <c:v>0.38575071225237306</c:v>
                </c:pt>
                <c:pt idx="916">
                  <c:v>0.38330752189662459</c:v>
                </c:pt>
                <c:pt idx="917">
                  <c:v>0.38572496292240493</c:v>
                </c:pt>
                <c:pt idx="918">
                  <c:v>0.35496309672049353</c:v>
                </c:pt>
                <c:pt idx="919">
                  <c:v>0.40082492539341441</c:v>
                </c:pt>
                <c:pt idx="920">
                  <c:v>0.35606546658608512</c:v>
                </c:pt>
                <c:pt idx="921">
                  <c:v>0.33563548079835898</c:v>
                </c:pt>
                <c:pt idx="922">
                  <c:v>0.38208652271574722</c:v>
                </c:pt>
                <c:pt idx="923">
                  <c:v>0.42851757770014937</c:v>
                </c:pt>
                <c:pt idx="924">
                  <c:v>0.38505676379893322</c:v>
                </c:pt>
                <c:pt idx="925">
                  <c:v>0.39677365378612867</c:v>
                </c:pt>
                <c:pt idx="926">
                  <c:v>0.43208858632206676</c:v>
                </c:pt>
                <c:pt idx="927">
                  <c:v>0.39548178240219023</c:v>
                </c:pt>
                <c:pt idx="928">
                  <c:v>0.40579639733627848</c:v>
                </c:pt>
                <c:pt idx="929">
                  <c:v>0.37013052496046361</c:v>
                </c:pt>
                <c:pt idx="930">
                  <c:v>0.34454775985762193</c:v>
                </c:pt>
                <c:pt idx="931">
                  <c:v>0.36157731591404313</c:v>
                </c:pt>
                <c:pt idx="932">
                  <c:v>0.37687581536096354</c:v>
                </c:pt>
                <c:pt idx="933">
                  <c:v>0.35648003303126491</c:v>
                </c:pt>
                <c:pt idx="934">
                  <c:v>0.37073923435251549</c:v>
                </c:pt>
                <c:pt idx="935">
                  <c:v>0.38677361233268054</c:v>
                </c:pt>
                <c:pt idx="936">
                  <c:v>0.39653968150901447</c:v>
                </c:pt>
                <c:pt idx="937">
                  <c:v>0.39714049920827055</c:v>
                </c:pt>
                <c:pt idx="938">
                  <c:v>0.36173887011848327</c:v>
                </c:pt>
                <c:pt idx="939">
                  <c:v>0.35864708490379538</c:v>
                </c:pt>
                <c:pt idx="940">
                  <c:v>0.40801063301956875</c:v>
                </c:pt>
                <c:pt idx="941">
                  <c:v>0.39335029409614103</c:v>
                </c:pt>
                <c:pt idx="942">
                  <c:v>0.3618186071721769</c:v>
                </c:pt>
                <c:pt idx="943">
                  <c:v>0.41528933729614392</c:v>
                </c:pt>
                <c:pt idx="944">
                  <c:v>0.37358631860911606</c:v>
                </c:pt>
                <c:pt idx="945">
                  <c:v>0.36447103681122112</c:v>
                </c:pt>
                <c:pt idx="946">
                  <c:v>0.3400965986937603</c:v>
                </c:pt>
                <c:pt idx="947">
                  <c:v>0.40579342396789153</c:v>
                </c:pt>
                <c:pt idx="948">
                  <c:v>0.32872413026856334</c:v>
                </c:pt>
                <c:pt idx="949">
                  <c:v>0.4063999911188152</c:v>
                </c:pt>
                <c:pt idx="950">
                  <c:v>0.37639102070077618</c:v>
                </c:pt>
                <c:pt idx="951">
                  <c:v>0.4050684318017877</c:v>
                </c:pt>
                <c:pt idx="952">
                  <c:v>0.39995841883999267</c:v>
                </c:pt>
                <c:pt idx="953">
                  <c:v>0.3615165921502605</c:v>
                </c:pt>
                <c:pt idx="954">
                  <c:v>0.37475740474563385</c:v>
                </c:pt>
                <c:pt idx="955">
                  <c:v>0.38662754878735073</c:v>
                </c:pt>
                <c:pt idx="956">
                  <c:v>0.3507027082645392</c:v>
                </c:pt>
                <c:pt idx="957">
                  <c:v>0.39131613402324467</c:v>
                </c:pt>
                <c:pt idx="958">
                  <c:v>0.38659912561096227</c:v>
                </c:pt>
                <c:pt idx="959">
                  <c:v>0.37048180353524424</c:v>
                </c:pt>
                <c:pt idx="960">
                  <c:v>0.38371329651864577</c:v>
                </c:pt>
                <c:pt idx="961">
                  <c:v>0.35622034499695332</c:v>
                </c:pt>
                <c:pt idx="962">
                  <c:v>0.40471982858808786</c:v>
                </c:pt>
                <c:pt idx="963">
                  <c:v>0.38888331542254845</c:v>
                </c:pt>
                <c:pt idx="964">
                  <c:v>0.37428081626990811</c:v>
                </c:pt>
                <c:pt idx="965">
                  <c:v>0.42653025168912223</c:v>
                </c:pt>
                <c:pt idx="966">
                  <c:v>0.34684965450973942</c:v>
                </c:pt>
                <c:pt idx="967">
                  <c:v>0.36433787238418008</c:v>
                </c:pt>
                <c:pt idx="968">
                  <c:v>0.40076478661991205</c:v>
                </c:pt>
                <c:pt idx="969">
                  <c:v>0.39173855268703112</c:v>
                </c:pt>
                <c:pt idx="970">
                  <c:v>0.39587605105029072</c:v>
                </c:pt>
                <c:pt idx="971">
                  <c:v>0.44273859779495928</c:v>
                </c:pt>
                <c:pt idx="972">
                  <c:v>0.38993873348281255</c:v>
                </c:pt>
                <c:pt idx="973">
                  <c:v>0.42257511514344465</c:v>
                </c:pt>
                <c:pt idx="974">
                  <c:v>0.38086878856189604</c:v>
                </c:pt>
                <c:pt idx="975">
                  <c:v>0.44242334024866709</c:v>
                </c:pt>
                <c:pt idx="976">
                  <c:v>0.44083715529537243</c:v>
                </c:pt>
                <c:pt idx="977">
                  <c:v>0.40115692437590023</c:v>
                </c:pt>
                <c:pt idx="978">
                  <c:v>0.36658391238693827</c:v>
                </c:pt>
                <c:pt idx="979">
                  <c:v>0.42156416989190532</c:v>
                </c:pt>
                <c:pt idx="980">
                  <c:v>0.41559863918588785</c:v>
                </c:pt>
                <c:pt idx="981">
                  <c:v>0.39802007466889311</c:v>
                </c:pt>
                <c:pt idx="982">
                  <c:v>0.39802007466889311</c:v>
                </c:pt>
                <c:pt idx="983">
                  <c:v>0.37389874112059213</c:v>
                </c:pt>
                <c:pt idx="984">
                  <c:v>0.44981726723644838</c:v>
                </c:pt>
                <c:pt idx="985">
                  <c:v>0.39616417044697938</c:v>
                </c:pt>
                <c:pt idx="986">
                  <c:v>0.40211559599396568</c:v>
                </c:pt>
                <c:pt idx="987">
                  <c:v>0.36324211938452838</c:v>
                </c:pt>
                <c:pt idx="988">
                  <c:v>0.40881234763189211</c:v>
                </c:pt>
                <c:pt idx="989">
                  <c:v>0.4396446518142636</c:v>
                </c:pt>
                <c:pt idx="990">
                  <c:v>0.4374895309720368</c:v>
                </c:pt>
                <c:pt idx="991">
                  <c:v>0.40441012150605682</c:v>
                </c:pt>
                <c:pt idx="992">
                  <c:v>0.39083584885319467</c:v>
                </c:pt>
                <c:pt idx="993">
                  <c:v>0.38913656255383294</c:v>
                </c:pt>
                <c:pt idx="994">
                  <c:v>0.38968774748662877</c:v>
                </c:pt>
                <c:pt idx="995">
                  <c:v>0.39194303256099416</c:v>
                </c:pt>
                <c:pt idx="996">
                  <c:v>0.41611910643986422</c:v>
                </c:pt>
                <c:pt idx="997">
                  <c:v>0.40003777566912763</c:v>
                </c:pt>
                <c:pt idx="998">
                  <c:v>0.40970578209134889</c:v>
                </c:pt>
                <c:pt idx="999">
                  <c:v>0.36104817837855918</c:v>
                </c:pt>
                <c:pt idx="1000">
                  <c:v>0.39299485708340354</c:v>
                </c:pt>
                <c:pt idx="1001">
                  <c:v>0.36743421597228793</c:v>
                </c:pt>
                <c:pt idx="1002">
                  <c:v>0.41712253301256152</c:v>
                </c:pt>
                <c:pt idx="1003">
                  <c:v>0.41014643528628453</c:v>
                </c:pt>
                <c:pt idx="1004">
                  <c:v>0.35877128352890086</c:v>
                </c:pt>
                <c:pt idx="1005">
                  <c:v>0.41504980487376691</c:v>
                </c:pt>
                <c:pt idx="1006">
                  <c:v>0.42733652489153989</c:v>
                </c:pt>
                <c:pt idx="1007">
                  <c:v>0.4143156924383683</c:v>
                </c:pt>
                <c:pt idx="1008">
                  <c:v>0.40931042543042173</c:v>
                </c:pt>
                <c:pt idx="1009">
                  <c:v>0.43464868986182881</c:v>
                </c:pt>
                <c:pt idx="1010">
                  <c:v>0.38296974870322231</c:v>
                </c:pt>
                <c:pt idx="1011">
                  <c:v>0.39623277030333393</c:v>
                </c:pt>
                <c:pt idx="1012">
                  <c:v>0.40024691036948973</c:v>
                </c:pt>
                <c:pt idx="1013">
                  <c:v>0.37310290654128536</c:v>
                </c:pt>
                <c:pt idx="1014">
                  <c:v>0.40255839916296571</c:v>
                </c:pt>
                <c:pt idx="1015">
                  <c:v>0.44187542088316939</c:v>
                </c:pt>
                <c:pt idx="1016">
                  <c:v>0.3883411817647352</c:v>
                </c:pt>
                <c:pt idx="1017">
                  <c:v>0.445234940158383</c:v>
                </c:pt>
                <c:pt idx="1018">
                  <c:v>0.4312635754548052</c:v>
                </c:pt>
                <c:pt idx="1019">
                  <c:v>0.42984733805521558</c:v>
                </c:pt>
                <c:pt idx="1020">
                  <c:v>0.39326458588030361</c:v>
                </c:pt>
                <c:pt idx="1021">
                  <c:v>0.42451353310281831</c:v>
                </c:pt>
                <c:pt idx="1022">
                  <c:v>0.41556377915227538</c:v>
                </c:pt>
                <c:pt idx="1023">
                  <c:v>0.39998920381681241</c:v>
                </c:pt>
                <c:pt idx="1024">
                  <c:v>0.3762116106074635</c:v>
                </c:pt>
                <c:pt idx="1025">
                  <c:v>0.42683963465406666</c:v>
                </c:pt>
                <c:pt idx="1026">
                  <c:v>0.43137876337559977</c:v>
                </c:pt>
                <c:pt idx="1027">
                  <c:v>0.45013436178323457</c:v>
                </c:pt>
                <c:pt idx="1028">
                  <c:v>0.45293488069743976</c:v>
                </c:pt>
                <c:pt idx="1029">
                  <c:v>0.40799719632408571</c:v>
                </c:pt>
                <c:pt idx="1030">
                  <c:v>0.40501355191670413</c:v>
                </c:pt>
                <c:pt idx="1031">
                  <c:v>0.41767022541410109</c:v>
                </c:pt>
                <c:pt idx="1032">
                  <c:v>0.4091043800318851</c:v>
                </c:pt>
                <c:pt idx="1033">
                  <c:v>0.40787685026889009</c:v>
                </c:pt>
                <c:pt idx="1034">
                  <c:v>0.42699294589267162</c:v>
                </c:pt>
                <c:pt idx="1035">
                  <c:v>0.43692301440180353</c:v>
                </c:pt>
                <c:pt idx="1036">
                  <c:v>0.3935783289997104</c:v>
                </c:pt>
                <c:pt idx="1037">
                  <c:v>0.45067939313623834</c:v>
                </c:pt>
                <c:pt idx="1038">
                  <c:v>0.38655231844269206</c:v>
                </c:pt>
                <c:pt idx="1039">
                  <c:v>0.43523289509013774</c:v>
                </c:pt>
                <c:pt idx="1040">
                  <c:v>0.37330252266624464</c:v>
                </c:pt>
                <c:pt idx="1041">
                  <c:v>0.40243536497490601</c:v>
                </c:pt>
                <c:pt idx="1042">
                  <c:v>0.43183703547535579</c:v>
                </c:pt>
                <c:pt idx="1043">
                  <c:v>0.45970428788177653</c:v>
                </c:pt>
                <c:pt idx="1044">
                  <c:v>0.42014437333067267</c:v>
                </c:pt>
                <c:pt idx="1045">
                  <c:v>0.41645889637163164</c:v>
                </c:pt>
                <c:pt idx="1046">
                  <c:v>0.44429626592184601</c:v>
                </c:pt>
                <c:pt idx="1047">
                  <c:v>0.4713176903060301</c:v>
                </c:pt>
                <c:pt idx="1048">
                  <c:v>0.42750199989399601</c:v>
                </c:pt>
                <c:pt idx="1049">
                  <c:v>0.46962042352887251</c:v>
                </c:pt>
                <c:pt idx="1050">
                  <c:v>0.42807048659598274</c:v>
                </c:pt>
                <c:pt idx="1051">
                  <c:v>0.39994347717760331</c:v>
                </c:pt>
                <c:pt idx="1052">
                  <c:v>0.44107494737322683</c:v>
                </c:pt>
                <c:pt idx="1053">
                  <c:v>0.41614462426082705</c:v>
                </c:pt>
                <c:pt idx="1054">
                  <c:v>0.3576120750542286</c:v>
                </c:pt>
                <c:pt idx="1055">
                  <c:v>0.39820252551483937</c:v>
                </c:pt>
                <c:pt idx="1056">
                  <c:v>0.43678900538008786</c:v>
                </c:pt>
                <c:pt idx="1057">
                  <c:v>0.40091814049234314</c:v>
                </c:pt>
                <c:pt idx="1058">
                  <c:v>0.42072980896377898</c:v>
                </c:pt>
                <c:pt idx="1059">
                  <c:v>0.42499514884250406</c:v>
                </c:pt>
                <c:pt idx="1060">
                  <c:v>0.40250279717413107</c:v>
                </c:pt>
                <c:pt idx="1061">
                  <c:v>0.41692863731178664</c:v>
                </c:pt>
                <c:pt idx="1062">
                  <c:v>0.49164576848161173</c:v>
                </c:pt>
                <c:pt idx="1063">
                  <c:v>0.42911942002398473</c:v>
                </c:pt>
                <c:pt idx="1064">
                  <c:v>0.47369639736567598</c:v>
                </c:pt>
                <c:pt idx="1065">
                  <c:v>0.39366208094941951</c:v>
                </c:pt>
                <c:pt idx="1066">
                  <c:v>0.48438460959726198</c:v>
                </c:pt>
                <c:pt idx="1067">
                  <c:v>0.45133369936848466</c:v>
                </c:pt>
                <c:pt idx="1068">
                  <c:v>0.4225751151434447</c:v>
                </c:pt>
                <c:pt idx="1069">
                  <c:v>0.43248506253397678</c:v>
                </c:pt>
                <c:pt idx="1070">
                  <c:v>0.4349706518543191</c:v>
                </c:pt>
                <c:pt idx="1071">
                  <c:v>0.38733268459195586</c:v>
                </c:pt>
                <c:pt idx="1072">
                  <c:v>0.45217484671109615</c:v>
                </c:pt>
                <c:pt idx="1073">
                  <c:v>0.44600882607412667</c:v>
                </c:pt>
                <c:pt idx="1074">
                  <c:v>0.49936795332687256</c:v>
                </c:pt>
                <c:pt idx="1075">
                  <c:v>0.48763494722741069</c:v>
                </c:pt>
                <c:pt idx="1076">
                  <c:v>0.43974222919614714</c:v>
                </c:pt>
                <c:pt idx="1077">
                  <c:v>0.44831378124763638</c:v>
                </c:pt>
                <c:pt idx="1078">
                  <c:v>0.41148251837092925</c:v>
                </c:pt>
                <c:pt idx="1079">
                  <c:v>0.3987200683208309</c:v>
                </c:pt>
                <c:pt idx="1080">
                  <c:v>0.47147309275290045</c:v>
                </c:pt>
                <c:pt idx="1081">
                  <c:v>0.42547691850923663</c:v>
                </c:pt>
                <c:pt idx="1082">
                  <c:v>0.41532591860751111</c:v>
                </c:pt>
                <c:pt idx="1083">
                  <c:v>0.49140046805542148</c:v>
                </c:pt>
                <c:pt idx="1084">
                  <c:v>0.40567211053770691</c:v>
                </c:pt>
                <c:pt idx="1085">
                  <c:v>0.45234745280127836</c:v>
                </c:pt>
                <c:pt idx="1086">
                  <c:v>0.45499183630513357</c:v>
                </c:pt>
                <c:pt idx="1087">
                  <c:v>0.44739903446353041</c:v>
                </c:pt>
                <c:pt idx="1088">
                  <c:v>0.41570826952236373</c:v>
                </c:pt>
                <c:pt idx="1089">
                  <c:v>0.40444031263121588</c:v>
                </c:pt>
                <c:pt idx="1090">
                  <c:v>0.46739967174978203</c:v>
                </c:pt>
                <c:pt idx="1091">
                  <c:v>0.44511245461776172</c:v>
                </c:pt>
                <c:pt idx="1092">
                  <c:v>0.47979461638057136</c:v>
                </c:pt>
                <c:pt idx="1093">
                  <c:v>0.40322830264290144</c:v>
                </c:pt>
                <c:pt idx="1094">
                  <c:v>0.42961803372916879</c:v>
                </c:pt>
                <c:pt idx="1095">
                  <c:v>0.43015979669730142</c:v>
                </c:pt>
                <c:pt idx="1096">
                  <c:v>0.43819202157265896</c:v>
                </c:pt>
                <c:pt idx="1097">
                  <c:v>0.44010552385026885</c:v>
                </c:pt>
                <c:pt idx="1098">
                  <c:v>0.41188137753573301</c:v>
                </c:pt>
                <c:pt idx="1099">
                  <c:v>0.40957280390826178</c:v>
                </c:pt>
                <c:pt idx="1100">
                  <c:v>0.40465793026136265</c:v>
                </c:pt>
                <c:pt idx="1101">
                  <c:v>0.43102661744631354</c:v>
                </c:pt>
                <c:pt idx="1102">
                  <c:v>0.45275905193940497</c:v>
                </c:pt>
                <c:pt idx="1103">
                  <c:v>0.43903908066851394</c:v>
                </c:pt>
                <c:pt idx="1104">
                  <c:v>0.46005236517426601</c:v>
                </c:pt>
                <c:pt idx="1105">
                  <c:v>0.42415977182523257</c:v>
                </c:pt>
                <c:pt idx="1106">
                  <c:v>0.40127999123070413</c:v>
                </c:pt>
                <c:pt idx="1107">
                  <c:v>0.45211797717559699</c:v>
                </c:pt>
                <c:pt idx="1108">
                  <c:v>0.44674862609706528</c:v>
                </c:pt>
                <c:pt idx="1109">
                  <c:v>0.44016729804855809</c:v>
                </c:pt>
                <c:pt idx="1110">
                  <c:v>0.41675829169612599</c:v>
                </c:pt>
                <c:pt idx="1111">
                  <c:v>0.40467781614913406</c:v>
                </c:pt>
                <c:pt idx="1112">
                  <c:v>0.41544734211692869</c:v>
                </c:pt>
                <c:pt idx="1113">
                  <c:v>0.47293680694821139</c:v>
                </c:pt>
                <c:pt idx="1114">
                  <c:v>0.42851212089339391</c:v>
                </c:pt>
                <c:pt idx="1115">
                  <c:v>0.44424563386874955</c:v>
                </c:pt>
                <c:pt idx="1116">
                  <c:v>0.42655840516323945</c:v>
                </c:pt>
                <c:pt idx="1117">
                  <c:v>0.41076297609809637</c:v>
                </c:pt>
                <c:pt idx="1118">
                  <c:v>0.47054310118675458</c:v>
                </c:pt>
                <c:pt idx="1119">
                  <c:v>0.44316669914407869</c:v>
                </c:pt>
                <c:pt idx="1120">
                  <c:v>0.42274550833503477</c:v>
                </c:pt>
                <c:pt idx="1121">
                  <c:v>0.40953471119956492</c:v>
                </c:pt>
                <c:pt idx="1122">
                  <c:v>0.47127547594697172</c:v>
                </c:pt>
                <c:pt idx="1123">
                  <c:v>0.44774980285411792</c:v>
                </c:pt>
                <c:pt idx="1124">
                  <c:v>0.47454043335703039</c:v>
                </c:pt>
                <c:pt idx="1125">
                  <c:v>0.50709013817213366</c:v>
                </c:pt>
                <c:pt idx="1126">
                  <c:v>0.45128855245447363</c:v>
                </c:pt>
                <c:pt idx="1127">
                  <c:v>0.44611094434130738</c:v>
                </c:pt>
                <c:pt idx="1128">
                  <c:v>0.42856302163333154</c:v>
                </c:pt>
                <c:pt idx="1129">
                  <c:v>0.46079060381728665</c:v>
                </c:pt>
                <c:pt idx="1130">
                  <c:v>0.46743881679523769</c:v>
                </c:pt>
                <c:pt idx="1131">
                  <c:v>0.4659446664344824</c:v>
                </c:pt>
                <c:pt idx="1132">
                  <c:v>0.48127672616110873</c:v>
                </c:pt>
                <c:pt idx="1133">
                  <c:v>0.45314437879211933</c:v>
                </c:pt>
                <c:pt idx="1134">
                  <c:v>0.4635465284812656</c:v>
                </c:pt>
                <c:pt idx="1135">
                  <c:v>0.44108460365799229</c:v>
                </c:pt>
                <c:pt idx="1136">
                  <c:v>0.44528852758240484</c:v>
                </c:pt>
                <c:pt idx="1137">
                  <c:v>0.42124416989889835</c:v>
                </c:pt>
                <c:pt idx="1138">
                  <c:v>0.45391013427484417</c:v>
                </c:pt>
                <c:pt idx="1139">
                  <c:v>0.45638112435492029</c:v>
                </c:pt>
                <c:pt idx="1140">
                  <c:v>0.44554496580061947</c:v>
                </c:pt>
                <c:pt idx="1141">
                  <c:v>0.41667871818795482</c:v>
                </c:pt>
                <c:pt idx="1142">
                  <c:v>0.45033423358592206</c:v>
                </c:pt>
                <c:pt idx="1143">
                  <c:v>0.43803518033161953</c:v>
                </c:pt>
                <c:pt idx="1144">
                  <c:v>0.45713316481407384</c:v>
                </c:pt>
                <c:pt idx="1145">
                  <c:v>0.44817510137205174</c:v>
                </c:pt>
                <c:pt idx="1146">
                  <c:v>0.46610763778106684</c:v>
                </c:pt>
                <c:pt idx="1147">
                  <c:v>0.45109893541562718</c:v>
                </c:pt>
                <c:pt idx="1148">
                  <c:v>0.43705853642860304</c:v>
                </c:pt>
                <c:pt idx="1149">
                  <c:v>0.49326040713107555</c:v>
                </c:pt>
                <c:pt idx="1150">
                  <c:v>0.46035619535330352</c:v>
                </c:pt>
                <c:pt idx="1151">
                  <c:v>0.46682761647177107</c:v>
                </c:pt>
                <c:pt idx="1152">
                  <c:v>0.56132787202301904</c:v>
                </c:pt>
                <c:pt idx="1153">
                  <c:v>0.48889856370855928</c:v>
                </c:pt>
                <c:pt idx="1154">
                  <c:v>0.51064450829950836</c:v>
                </c:pt>
                <c:pt idx="1155">
                  <c:v>0.44473454191316197</c:v>
                </c:pt>
                <c:pt idx="1156">
                  <c:v>0.47157197116654243</c:v>
                </c:pt>
                <c:pt idx="1157">
                  <c:v>0.44706722385788111</c:v>
                </c:pt>
                <c:pt idx="1158">
                  <c:v>0.49452709420840962</c:v>
                </c:pt>
                <c:pt idx="1159">
                  <c:v>0.46376281623970445</c:v>
                </c:pt>
                <c:pt idx="1160">
                  <c:v>0.50709013817213366</c:v>
                </c:pt>
                <c:pt idx="1161">
                  <c:v>0.47897970659954792</c:v>
                </c:pt>
                <c:pt idx="1162">
                  <c:v>0.45017185735689413</c:v>
                </c:pt>
                <c:pt idx="1163">
                  <c:v>0.4434493075782413</c:v>
                </c:pt>
                <c:pt idx="1164">
                  <c:v>0.47094647938752404</c:v>
                </c:pt>
                <c:pt idx="1165">
                  <c:v>0.46166331329421328</c:v>
                </c:pt>
                <c:pt idx="1166">
                  <c:v>0.45837176745931502</c:v>
                </c:pt>
                <c:pt idx="1167">
                  <c:v>0.43211182980426954</c:v>
                </c:pt>
                <c:pt idx="1168">
                  <c:v>0.5147199666400013</c:v>
                </c:pt>
                <c:pt idx="1169">
                  <c:v>0.496903059503497</c:v>
                </c:pt>
                <c:pt idx="1170">
                  <c:v>0.43024346665376972</c:v>
                </c:pt>
                <c:pt idx="1171">
                  <c:v>0.44983802579786047</c:v>
                </c:pt>
                <c:pt idx="1172">
                  <c:v>0.42840373742128535</c:v>
                </c:pt>
                <c:pt idx="1173">
                  <c:v>0.45319897976315177</c:v>
                </c:pt>
                <c:pt idx="1174">
                  <c:v>0.46889924910477632</c:v>
                </c:pt>
                <c:pt idx="1175">
                  <c:v>0.47593417629291357</c:v>
                </c:pt>
                <c:pt idx="1176">
                  <c:v>0.49103597440904206</c:v>
                </c:pt>
                <c:pt idx="1177">
                  <c:v>0.48577923796877892</c:v>
                </c:pt>
                <c:pt idx="1178">
                  <c:v>0.46431092898477255</c:v>
                </c:pt>
                <c:pt idx="1179">
                  <c:v>0.50652165147014694</c:v>
                </c:pt>
                <c:pt idx="1180">
                  <c:v>0.46535432433080576</c:v>
                </c:pt>
                <c:pt idx="1181">
                  <c:v>0.48641478919086639</c:v>
                </c:pt>
                <c:pt idx="1182">
                  <c:v>0.49546470924023978</c:v>
                </c:pt>
                <c:pt idx="1183">
                  <c:v>0.50038850639012311</c:v>
                </c:pt>
                <c:pt idx="1184">
                  <c:v>0.49657189294803916</c:v>
                </c:pt>
                <c:pt idx="1185">
                  <c:v>0.46089771667872065</c:v>
                </c:pt>
                <c:pt idx="1186">
                  <c:v>0.47094425022391334</c:v>
                </c:pt>
                <c:pt idx="1187">
                  <c:v>0.48605129201392805</c:v>
                </c:pt>
                <c:pt idx="1188">
                  <c:v>0.48659074960772819</c:v>
                </c:pt>
                <c:pt idx="1189">
                  <c:v>0.49827117924740089</c:v>
                </c:pt>
                <c:pt idx="1190">
                  <c:v>0.47950782940126446</c:v>
                </c:pt>
                <c:pt idx="1191">
                  <c:v>0.51448046529796065</c:v>
                </c:pt>
                <c:pt idx="1192">
                  <c:v>0.46551695882806188</c:v>
                </c:pt>
                <c:pt idx="1193">
                  <c:v>0.49616147140118255</c:v>
                </c:pt>
                <c:pt idx="1194">
                  <c:v>0.48015097458173905</c:v>
                </c:pt>
                <c:pt idx="1195">
                  <c:v>0.43533209975154868</c:v>
                </c:pt>
                <c:pt idx="1196">
                  <c:v>0.45648133979724681</c:v>
                </c:pt>
                <c:pt idx="1197">
                  <c:v>0.41189795031241822</c:v>
                </c:pt>
                <c:pt idx="1198">
                  <c:v>0.49944007143246782</c:v>
                </c:pt>
                <c:pt idx="1199">
                  <c:v>0.51326048277378566</c:v>
                </c:pt>
                <c:pt idx="1200">
                  <c:v>0.52841097352709832</c:v>
                </c:pt>
                <c:pt idx="1201">
                  <c:v>0.44588960425480717</c:v>
                </c:pt>
                <c:pt idx="1202">
                  <c:v>0.54187888020952424</c:v>
                </c:pt>
                <c:pt idx="1203">
                  <c:v>0.42878945507202471</c:v>
                </c:pt>
                <c:pt idx="1204">
                  <c:v>0.42768316598583794</c:v>
                </c:pt>
                <c:pt idx="1205">
                  <c:v>0.47955348107876988</c:v>
                </c:pt>
                <c:pt idx="1206">
                  <c:v>0.43545658705488055</c:v>
                </c:pt>
                <c:pt idx="1207">
                  <c:v>0.50545083815649106</c:v>
                </c:pt>
                <c:pt idx="1208">
                  <c:v>0.49170769674222581</c:v>
                </c:pt>
                <c:pt idx="1209">
                  <c:v>0.51598645638567986</c:v>
                </c:pt>
                <c:pt idx="1210">
                  <c:v>0.47874668532714654</c:v>
                </c:pt>
                <c:pt idx="1211">
                  <c:v>0.47539700453637523</c:v>
                </c:pt>
                <c:pt idx="1212">
                  <c:v>0.46650288402989765</c:v>
                </c:pt>
                <c:pt idx="1213">
                  <c:v>0.47834818702067666</c:v>
                </c:pt>
                <c:pt idx="1214">
                  <c:v>0.54817382992219066</c:v>
                </c:pt>
                <c:pt idx="1215">
                  <c:v>0.50872240256539158</c:v>
                </c:pt>
                <c:pt idx="1216">
                  <c:v>0.53450041591116793</c:v>
                </c:pt>
                <c:pt idx="1217">
                  <c:v>0.53749260120734066</c:v>
                </c:pt>
                <c:pt idx="1218">
                  <c:v>0.54298007945828919</c:v>
                </c:pt>
                <c:pt idx="1219">
                  <c:v>0.51982275081182694</c:v>
                </c:pt>
                <c:pt idx="1220">
                  <c:v>0.52321471493418603</c:v>
                </c:pt>
                <c:pt idx="1221">
                  <c:v>0.50816905335973395</c:v>
                </c:pt>
                <c:pt idx="1222">
                  <c:v>0.52896681448708194</c:v>
                </c:pt>
                <c:pt idx="1223">
                  <c:v>0.5054854225450065</c:v>
                </c:pt>
                <c:pt idx="1224">
                  <c:v>0.54021089044013337</c:v>
                </c:pt>
                <c:pt idx="1225">
                  <c:v>0.49456939401973526</c:v>
                </c:pt>
                <c:pt idx="1226">
                  <c:v>0.49306202984155212</c:v>
                </c:pt>
                <c:pt idx="1227">
                  <c:v>0.50815994859021818</c:v>
                </c:pt>
                <c:pt idx="1228">
                  <c:v>0.50182986702926924</c:v>
                </c:pt>
                <c:pt idx="1229">
                  <c:v>0.48919885305517319</c:v>
                </c:pt>
                <c:pt idx="1230">
                  <c:v>0.44209040227916013</c:v>
                </c:pt>
                <c:pt idx="1231">
                  <c:v>0.46905837780922366</c:v>
                </c:pt>
                <c:pt idx="1232">
                  <c:v>0.52959089105639501</c:v>
                </c:pt>
                <c:pt idx="1233">
                  <c:v>0.55277393440385736</c:v>
                </c:pt>
                <c:pt idx="1234">
                  <c:v>0.48223277845781337</c:v>
                </c:pt>
                <c:pt idx="1235">
                  <c:v>0.50295062684011627</c:v>
                </c:pt>
                <c:pt idx="1236">
                  <c:v>0.53453008071391572</c:v>
                </c:pt>
                <c:pt idx="1237">
                  <c:v>0.53507887956475142</c:v>
                </c:pt>
                <c:pt idx="1238">
                  <c:v>0.53672527611725829</c:v>
                </c:pt>
                <c:pt idx="1239">
                  <c:v>0.47600415269031704</c:v>
                </c:pt>
                <c:pt idx="1240">
                  <c:v>0.49061969077087331</c:v>
                </c:pt>
                <c:pt idx="1241">
                  <c:v>0.48076045792088823</c:v>
                </c:pt>
                <c:pt idx="1242">
                  <c:v>0.48785228273564218</c:v>
                </c:pt>
                <c:pt idx="1243">
                  <c:v>0.51913876748820698</c:v>
                </c:pt>
                <c:pt idx="1244">
                  <c:v>0.50556275823788022</c:v>
                </c:pt>
                <c:pt idx="1245">
                  <c:v>0.54370117185482003</c:v>
                </c:pt>
                <c:pt idx="1246">
                  <c:v>0.49957397999764547</c:v>
                </c:pt>
                <c:pt idx="1247">
                  <c:v>0.49665004709211913</c:v>
                </c:pt>
                <c:pt idx="1248">
                  <c:v>0.50912664475113811</c:v>
                </c:pt>
                <c:pt idx="1249">
                  <c:v>0.50912664475113811</c:v>
                </c:pt>
                <c:pt idx="1250">
                  <c:v>0.53265770816400593</c:v>
                </c:pt>
                <c:pt idx="1251">
                  <c:v>0.5312873854293102</c:v>
                </c:pt>
                <c:pt idx="1252">
                  <c:v>0.56158008723010411</c:v>
                </c:pt>
                <c:pt idx="1253">
                  <c:v>0.49436393779329629</c:v>
                </c:pt>
                <c:pt idx="1254">
                  <c:v>0.46560094504895905</c:v>
                </c:pt>
                <c:pt idx="1255">
                  <c:v>0.53213162647693035</c:v>
                </c:pt>
                <c:pt idx="1256">
                  <c:v>0.46850719287642784</c:v>
                </c:pt>
                <c:pt idx="1257">
                  <c:v>0.50119374121664373</c:v>
                </c:pt>
                <c:pt idx="1258">
                  <c:v>0.50908655603895303</c:v>
                </c:pt>
                <c:pt idx="1259">
                  <c:v>0.52351411025868044</c:v>
                </c:pt>
                <c:pt idx="1260">
                  <c:v>0.53514635483329687</c:v>
                </c:pt>
                <c:pt idx="1261">
                  <c:v>0.49648559155636657</c:v>
                </c:pt>
                <c:pt idx="1262">
                  <c:v>0.53956905198067939</c:v>
                </c:pt>
                <c:pt idx="1263">
                  <c:v>0.5425655799372624</c:v>
                </c:pt>
                <c:pt idx="1264">
                  <c:v>0.49379564016762073</c:v>
                </c:pt>
                <c:pt idx="1265">
                  <c:v>0.49195311912221923</c:v>
                </c:pt>
                <c:pt idx="1266">
                  <c:v>0.57623879337742445</c:v>
                </c:pt>
                <c:pt idx="1267">
                  <c:v>0.5523284700007679</c:v>
                </c:pt>
                <c:pt idx="1268">
                  <c:v>0.56643047349014908</c:v>
                </c:pt>
                <c:pt idx="1269">
                  <c:v>0.53114184433049572</c:v>
                </c:pt>
                <c:pt idx="1270">
                  <c:v>0.57182504942815071</c:v>
                </c:pt>
                <c:pt idx="1271">
                  <c:v>0.50901093415005838</c:v>
                </c:pt>
                <c:pt idx="1272">
                  <c:v>0.55528465543642735</c:v>
                </c:pt>
                <c:pt idx="1273">
                  <c:v>0.56940206193057374</c:v>
                </c:pt>
                <c:pt idx="1274">
                  <c:v>0.56994374773548617</c:v>
                </c:pt>
                <c:pt idx="1275">
                  <c:v>0.55592873754526939</c:v>
                </c:pt>
                <c:pt idx="1276">
                  <c:v>0.55140899171156799</c:v>
                </c:pt>
                <c:pt idx="1277">
                  <c:v>0.52171773831171431</c:v>
                </c:pt>
                <c:pt idx="1278">
                  <c:v>0.59494128053090223</c:v>
                </c:pt>
                <c:pt idx="1279">
                  <c:v>0.55656234677429306</c:v>
                </c:pt>
                <c:pt idx="1280">
                  <c:v>0.59014800563136249</c:v>
                </c:pt>
                <c:pt idx="1281">
                  <c:v>0.62804741883704629</c:v>
                </c:pt>
                <c:pt idx="1282">
                  <c:v>0.56112433322326272</c:v>
                </c:pt>
                <c:pt idx="1283">
                  <c:v>0.57286333601036021</c:v>
                </c:pt>
                <c:pt idx="1284">
                  <c:v>0.56576172440692596</c:v>
                </c:pt>
                <c:pt idx="1285">
                  <c:v>0.62804741883704629</c:v>
                </c:pt>
                <c:pt idx="1286">
                  <c:v>0.53977368223400934</c:v>
                </c:pt>
                <c:pt idx="1287">
                  <c:v>0.53977368223400934</c:v>
                </c:pt>
                <c:pt idx="1288">
                  <c:v>0.54402386870829278</c:v>
                </c:pt>
                <c:pt idx="1289">
                  <c:v>0.53352147742048794</c:v>
                </c:pt>
                <c:pt idx="1290">
                  <c:v>0.53558939012366824</c:v>
                </c:pt>
                <c:pt idx="1291">
                  <c:v>0.59305606288371848</c:v>
                </c:pt>
                <c:pt idx="1292">
                  <c:v>0.5511849327957975</c:v>
                </c:pt>
                <c:pt idx="1293">
                  <c:v>0.59593926494588367</c:v>
                </c:pt>
                <c:pt idx="1294">
                  <c:v>0.58592347898040653</c:v>
                </c:pt>
                <c:pt idx="1295">
                  <c:v>0.55779915198934704</c:v>
                </c:pt>
                <c:pt idx="1296">
                  <c:v>0.56229753224732559</c:v>
                </c:pt>
                <c:pt idx="1297">
                  <c:v>0.5126830441078557</c:v>
                </c:pt>
                <c:pt idx="1298">
                  <c:v>0.53302088387411772</c:v>
                </c:pt>
                <c:pt idx="1299">
                  <c:v>0.53708974558308042</c:v>
                </c:pt>
                <c:pt idx="1300">
                  <c:v>0.63962506064894131</c:v>
                </c:pt>
                <c:pt idx="1301">
                  <c:v>0.57671112025724214</c:v>
                </c:pt>
                <c:pt idx="1302">
                  <c:v>0.58915036800081921</c:v>
                </c:pt>
                <c:pt idx="1303">
                  <c:v>0.54400474593179093</c:v>
                </c:pt>
                <c:pt idx="1304">
                  <c:v>0.58430139377859025</c:v>
                </c:pt>
                <c:pt idx="1305">
                  <c:v>0.57483902302913936</c:v>
                </c:pt>
                <c:pt idx="1306">
                  <c:v>0.60190321022532656</c:v>
                </c:pt>
                <c:pt idx="1307">
                  <c:v>0.63952216086440949</c:v>
                </c:pt>
                <c:pt idx="1308">
                  <c:v>0.57531310856878604</c:v>
                </c:pt>
                <c:pt idx="1309">
                  <c:v>0.56621724914477367</c:v>
                </c:pt>
                <c:pt idx="1310">
                  <c:v>0.48396271632982346</c:v>
                </c:pt>
                <c:pt idx="1311">
                  <c:v>0.642314175018036</c:v>
                </c:pt>
                <c:pt idx="1312">
                  <c:v>0.53328667667549112</c:v>
                </c:pt>
                <c:pt idx="1313">
                  <c:v>0.5537191163948586</c:v>
                </c:pt>
                <c:pt idx="1314">
                  <c:v>0.56674780148650228</c:v>
                </c:pt>
                <c:pt idx="1315">
                  <c:v>0.63663063198466552</c:v>
                </c:pt>
                <c:pt idx="1316">
                  <c:v>0.55857630162639238</c:v>
                </c:pt>
                <c:pt idx="1317">
                  <c:v>0.56948599501753283</c:v>
                </c:pt>
                <c:pt idx="1318">
                  <c:v>0.56948599501753283</c:v>
                </c:pt>
                <c:pt idx="1319">
                  <c:v>0.63386267271516705</c:v>
                </c:pt>
                <c:pt idx="1320">
                  <c:v>0.55914882155862633</c:v>
                </c:pt>
                <c:pt idx="1321">
                  <c:v>0.57896118137763275</c:v>
                </c:pt>
                <c:pt idx="1322">
                  <c:v>0.65650062531213726</c:v>
                </c:pt>
                <c:pt idx="1323">
                  <c:v>0.58588103613513443</c:v>
                </c:pt>
                <c:pt idx="1324">
                  <c:v>0.6078846943252012</c:v>
                </c:pt>
                <c:pt idx="1325">
                  <c:v>0.54331086232728598</c:v>
                </c:pt>
                <c:pt idx="1326">
                  <c:v>0.61801610589728784</c:v>
                </c:pt>
                <c:pt idx="1327">
                  <c:v>0.61801610589728784</c:v>
                </c:pt>
                <c:pt idx="1328">
                  <c:v>0.55344725901249658</c:v>
                </c:pt>
                <c:pt idx="1329">
                  <c:v>0.64202399468145677</c:v>
                </c:pt>
                <c:pt idx="1330">
                  <c:v>0.56663481348780076</c:v>
                </c:pt>
                <c:pt idx="1331">
                  <c:v>0.61308029000319442</c:v>
                </c:pt>
                <c:pt idx="1332">
                  <c:v>0.54004184390173071</c:v>
                </c:pt>
                <c:pt idx="1333">
                  <c:v>0.60563397069141456</c:v>
                </c:pt>
                <c:pt idx="1334">
                  <c:v>0.57579891643591508</c:v>
                </c:pt>
                <c:pt idx="1335">
                  <c:v>0.5736095669437633</c:v>
                </c:pt>
                <c:pt idx="1336">
                  <c:v>0.6474648759923165</c:v>
                </c:pt>
                <c:pt idx="1337">
                  <c:v>0.60343726442483903</c:v>
                </c:pt>
                <c:pt idx="1338">
                  <c:v>0.64734911256017047</c:v>
                </c:pt>
                <c:pt idx="1339">
                  <c:v>0.66118433964254497</c:v>
                </c:pt>
                <c:pt idx="1340">
                  <c:v>0.59686679687576039</c:v>
                </c:pt>
                <c:pt idx="1341">
                  <c:v>0.6581382644361734</c:v>
                </c:pt>
                <c:pt idx="1342">
                  <c:v>0.61864996857000298</c:v>
                </c:pt>
                <c:pt idx="1343">
                  <c:v>0.60890744937992414</c:v>
                </c:pt>
                <c:pt idx="1344">
                  <c:v>0.57538825641302982</c:v>
                </c:pt>
                <c:pt idx="1345">
                  <c:v>0.60673236376626882</c:v>
                </c:pt>
                <c:pt idx="1346">
                  <c:v>0.58841591504879653</c:v>
                </c:pt>
                <c:pt idx="1347">
                  <c:v>0.64162425646269972</c:v>
                </c:pt>
                <c:pt idx="1348">
                  <c:v>0.62133574242435352</c:v>
                </c:pt>
                <c:pt idx="1349">
                  <c:v>0.63901602777789202</c:v>
                </c:pt>
                <c:pt idx="1350">
                  <c:v>0.66049555812336735</c:v>
                </c:pt>
                <c:pt idx="1351">
                  <c:v>0.61183655667487158</c:v>
                </c:pt>
                <c:pt idx="1352">
                  <c:v>0.65481681065616426</c:v>
                </c:pt>
                <c:pt idx="1353">
                  <c:v>0.60714815394173094</c:v>
                </c:pt>
                <c:pt idx="1354">
                  <c:v>0.56797730530032886</c:v>
                </c:pt>
                <c:pt idx="1355">
                  <c:v>0.71629324450323806</c:v>
                </c:pt>
                <c:pt idx="1356">
                  <c:v>0.64408626421057291</c:v>
                </c:pt>
                <c:pt idx="1357">
                  <c:v>0.6167312491282706</c:v>
                </c:pt>
                <c:pt idx="1358">
                  <c:v>0.6313572866570043</c:v>
                </c:pt>
                <c:pt idx="1359">
                  <c:v>0.63386267271516694</c:v>
                </c:pt>
                <c:pt idx="1360">
                  <c:v>0.66805443514378604</c:v>
                </c:pt>
                <c:pt idx="1361">
                  <c:v>0.6363680587733298</c:v>
                </c:pt>
                <c:pt idx="1362">
                  <c:v>0.65984065110513301</c:v>
                </c:pt>
                <c:pt idx="1363">
                  <c:v>0.67894913897524167</c:v>
                </c:pt>
                <c:pt idx="1364">
                  <c:v>0.65695888346187348</c:v>
                </c:pt>
                <c:pt idx="1365">
                  <c:v>0.66503624678312612</c:v>
                </c:pt>
                <c:pt idx="1366">
                  <c:v>0.61699180309917401</c:v>
                </c:pt>
                <c:pt idx="1367">
                  <c:v>0.62894900858559222</c:v>
                </c:pt>
                <c:pt idx="1368">
                  <c:v>0.59684879401647128</c:v>
                </c:pt>
                <c:pt idx="1369">
                  <c:v>0.69887422889108164</c:v>
                </c:pt>
                <c:pt idx="1370">
                  <c:v>0.62418538000195845</c:v>
                </c:pt>
                <c:pt idx="1371">
                  <c:v>0.60345597623805569</c:v>
                </c:pt>
                <c:pt idx="1372">
                  <c:v>0.60589814303655676</c:v>
                </c:pt>
                <c:pt idx="1373">
                  <c:v>0.56247199626601863</c:v>
                </c:pt>
                <c:pt idx="1374">
                  <c:v>0.63877633684474211</c:v>
                </c:pt>
                <c:pt idx="1375">
                  <c:v>0.65659081635834038</c:v>
                </c:pt>
                <c:pt idx="1376">
                  <c:v>0.65140037512230609</c:v>
                </c:pt>
                <c:pt idx="1377">
                  <c:v>0.63145254848431087</c:v>
                </c:pt>
                <c:pt idx="1378">
                  <c:v>0.65641114723863148</c:v>
                </c:pt>
                <c:pt idx="1379">
                  <c:v>0.72205226196249461</c:v>
                </c:pt>
                <c:pt idx="1380">
                  <c:v>0.6590159533784673</c:v>
                </c:pt>
                <c:pt idx="1381">
                  <c:v>0.59953797924683672</c:v>
                </c:pt>
                <c:pt idx="1382">
                  <c:v>0.61072899852848217</c:v>
                </c:pt>
                <c:pt idx="1383">
                  <c:v>0.68581862949509886</c:v>
                </c:pt>
                <c:pt idx="1384">
                  <c:v>0.65623429645805531</c:v>
                </c:pt>
                <c:pt idx="1385">
                  <c:v>0.59551510888542392</c:v>
                </c:pt>
                <c:pt idx="1386">
                  <c:v>0.68301936978287392</c:v>
                </c:pt>
                <c:pt idx="1387">
                  <c:v>0.64114845056246783</c:v>
                </c:pt>
                <c:pt idx="1388">
                  <c:v>0.62216778945473961</c:v>
                </c:pt>
                <c:pt idx="1389">
                  <c:v>0.68539622334241646</c:v>
                </c:pt>
                <c:pt idx="1390">
                  <c:v>0.5978988331284909</c:v>
                </c:pt>
                <c:pt idx="1391">
                  <c:v>0.74936653752104199</c:v>
                </c:pt>
                <c:pt idx="1392">
                  <c:v>0.65862293336810329</c:v>
                </c:pt>
                <c:pt idx="1393">
                  <c:v>0.66907726564378744</c:v>
                </c:pt>
                <c:pt idx="1394">
                  <c:v>0.67950078515065904</c:v>
                </c:pt>
                <c:pt idx="1395">
                  <c:v>0.64103847655722557</c:v>
                </c:pt>
                <c:pt idx="1396">
                  <c:v>0.58577653892298198</c:v>
                </c:pt>
                <c:pt idx="1397">
                  <c:v>0.66617724034378334</c:v>
                </c:pt>
                <c:pt idx="1398">
                  <c:v>0.57197035787092521</c:v>
                </c:pt>
                <c:pt idx="1399">
                  <c:v>0.70487633314383724</c:v>
                </c:pt>
                <c:pt idx="1400">
                  <c:v>0.68498063019219668</c:v>
                </c:pt>
                <c:pt idx="1401">
                  <c:v>0.65824200628113505</c:v>
                </c:pt>
                <c:pt idx="1402">
                  <c:v>0.6482686425496027</c:v>
                </c:pt>
                <c:pt idx="1403">
                  <c:v>0.72518187132667422</c:v>
                </c:pt>
                <c:pt idx="1404">
                  <c:v>0.6873209704140365</c:v>
                </c:pt>
                <c:pt idx="1405">
                  <c:v>0.69288632240119474</c:v>
                </c:pt>
                <c:pt idx="1406">
                  <c:v>0.66592576510931956</c:v>
                </c:pt>
                <c:pt idx="1407">
                  <c:v>0.72138346016119426</c:v>
                </c:pt>
                <c:pt idx="1408">
                  <c:v>0.68146500782025865</c:v>
                </c:pt>
                <c:pt idx="1409">
                  <c:v>0.68146500782025865</c:v>
                </c:pt>
                <c:pt idx="1410">
                  <c:v>0.69194570646994336</c:v>
                </c:pt>
                <c:pt idx="1411">
                  <c:v>0.68647577993658415</c:v>
                </c:pt>
                <c:pt idx="1412">
                  <c:v>0.62930250960210821</c:v>
                </c:pt>
                <c:pt idx="1413">
                  <c:v>0.63386267271516694</c:v>
                </c:pt>
                <c:pt idx="1414">
                  <c:v>0.65035724040663978</c:v>
                </c:pt>
                <c:pt idx="1415">
                  <c:v>0.72515976549307182</c:v>
                </c:pt>
                <c:pt idx="1416">
                  <c:v>0.65023550927976548</c:v>
                </c:pt>
                <c:pt idx="1417">
                  <c:v>0.71924009393802635</c:v>
                </c:pt>
                <c:pt idx="1418">
                  <c:v>0.74260062075417055</c:v>
                </c:pt>
                <c:pt idx="1419">
                  <c:v>0.70709780223205887</c:v>
                </c:pt>
                <c:pt idx="1420">
                  <c:v>0.78185704123456723</c:v>
                </c:pt>
                <c:pt idx="1421">
                  <c:v>0.73339482793490396</c:v>
                </c:pt>
                <c:pt idx="1422">
                  <c:v>0.70932251470506791</c:v>
                </c:pt>
                <c:pt idx="1423">
                  <c:v>0.66449544128504512</c:v>
                </c:pt>
                <c:pt idx="1424">
                  <c:v>0.70651886840188594</c:v>
                </c:pt>
                <c:pt idx="1425">
                  <c:v>0.6745255611534986</c:v>
                </c:pt>
                <c:pt idx="1426">
                  <c:v>0.73257899059703746</c:v>
                </c:pt>
                <c:pt idx="1427">
                  <c:v>0.61230271786090962</c:v>
                </c:pt>
                <c:pt idx="1428">
                  <c:v>0.64291785375395516</c:v>
                </c:pt>
                <c:pt idx="1429">
                  <c:v>0.72295983554661614</c:v>
                </c:pt>
                <c:pt idx="1430">
                  <c:v>0.61649657209283371</c:v>
                </c:pt>
                <c:pt idx="1431">
                  <c:v>0.72295983554661614</c:v>
                </c:pt>
                <c:pt idx="1432">
                  <c:v>0.7522187734296174</c:v>
                </c:pt>
                <c:pt idx="1433">
                  <c:v>0.6866845621080977</c:v>
                </c:pt>
                <c:pt idx="1434">
                  <c:v>0.72513889758615113</c:v>
                </c:pt>
                <c:pt idx="1435">
                  <c:v>0.70814345467397577</c:v>
                </c:pt>
                <c:pt idx="1436">
                  <c:v>0.6405349113753267</c:v>
                </c:pt>
                <c:pt idx="1437">
                  <c:v>0.71589195977242392</c:v>
                </c:pt>
              </c:numCache>
            </c:numRef>
          </c:xVal>
          <c:yVal>
            <c:numRef>
              <c:f>'curves processed'!$AM$2:$AM$1439</c:f>
              <c:numCache>
                <c:formatCode>General</c:formatCode>
                <c:ptCount val="1438"/>
                <c:pt idx="0">
                  <c:v>2.838075189135854</c:v>
                </c:pt>
                <c:pt idx="1">
                  <c:v>4.8322657529210176</c:v>
                </c:pt>
                <c:pt idx="2">
                  <c:v>4.8311032216779326</c:v>
                </c:pt>
                <c:pt idx="3">
                  <c:v>4.2373769838433875</c:v>
                </c:pt>
                <c:pt idx="4">
                  <c:v>5.2263574941305855</c:v>
                </c:pt>
                <c:pt idx="5">
                  <c:v>4.8803302916036859</c:v>
                </c:pt>
                <c:pt idx="6">
                  <c:v>6.30144709944482</c:v>
                </c:pt>
                <c:pt idx="7">
                  <c:v>5.1793505772498465</c:v>
                </c:pt>
                <c:pt idx="8">
                  <c:v>7.444404583271103</c:v>
                </c:pt>
                <c:pt idx="9">
                  <c:v>6.3257823127839945</c:v>
                </c:pt>
                <c:pt idx="10">
                  <c:v>8.9707079178309943</c:v>
                </c:pt>
                <c:pt idx="11">
                  <c:v>4.7015945056725119</c:v>
                </c:pt>
                <c:pt idx="12">
                  <c:v>7.0935478612205731</c:v>
                </c:pt>
                <c:pt idx="13">
                  <c:v>7.5756619560534713</c:v>
                </c:pt>
                <c:pt idx="14">
                  <c:v>6.5729815864205507</c:v>
                </c:pt>
                <c:pt idx="15">
                  <c:v>6.3396280134680199</c:v>
                </c:pt>
                <c:pt idx="16">
                  <c:v>9.9506042518926812</c:v>
                </c:pt>
                <c:pt idx="17">
                  <c:v>10.383143481565757</c:v>
                </c:pt>
                <c:pt idx="18">
                  <c:v>9.8098213791046955</c:v>
                </c:pt>
                <c:pt idx="19">
                  <c:v>8.6900602289278606</c:v>
                </c:pt>
                <c:pt idx="20">
                  <c:v>7.590612330762295</c:v>
                </c:pt>
                <c:pt idx="21">
                  <c:v>8.5229592971370405</c:v>
                </c:pt>
                <c:pt idx="22">
                  <c:v>7.5741485206779018</c:v>
                </c:pt>
                <c:pt idx="23">
                  <c:v>6.4223912548264934</c:v>
                </c:pt>
                <c:pt idx="24">
                  <c:v>9.0421702242931712</c:v>
                </c:pt>
                <c:pt idx="25">
                  <c:v>5.2808380991075703</c:v>
                </c:pt>
                <c:pt idx="26">
                  <c:v>7.3961947027057091</c:v>
                </c:pt>
                <c:pt idx="27">
                  <c:v>9.325546907396733</c:v>
                </c:pt>
                <c:pt idx="28">
                  <c:v>13.305958475331582</c:v>
                </c:pt>
                <c:pt idx="29">
                  <c:v>9.5012579513704001</c:v>
                </c:pt>
                <c:pt idx="30">
                  <c:v>9.6361353778172756</c:v>
                </c:pt>
                <c:pt idx="31">
                  <c:v>5.9555805385529936</c:v>
                </c:pt>
                <c:pt idx="32">
                  <c:v>7.6459406761753232</c:v>
                </c:pt>
                <c:pt idx="33">
                  <c:v>11.536581472975362</c:v>
                </c:pt>
                <c:pt idx="34">
                  <c:v>10.387093819426067</c:v>
                </c:pt>
                <c:pt idx="35">
                  <c:v>12.980461595224291</c:v>
                </c:pt>
                <c:pt idx="36">
                  <c:v>9.2561121651688971</c:v>
                </c:pt>
                <c:pt idx="37">
                  <c:v>9.950319866591995</c:v>
                </c:pt>
                <c:pt idx="38">
                  <c:v>10.063199799883989</c:v>
                </c:pt>
                <c:pt idx="39">
                  <c:v>9.2487387444987288</c:v>
                </c:pt>
                <c:pt idx="40">
                  <c:v>12.449249424334223</c:v>
                </c:pt>
                <c:pt idx="41">
                  <c:v>9.6825562320501408</c:v>
                </c:pt>
                <c:pt idx="42">
                  <c:v>10.666121033872315</c:v>
                </c:pt>
                <c:pt idx="43">
                  <c:v>9.0491427621673317</c:v>
                </c:pt>
                <c:pt idx="44">
                  <c:v>8.5952551682865472</c:v>
                </c:pt>
                <c:pt idx="45">
                  <c:v>15.031654439314613</c:v>
                </c:pt>
                <c:pt idx="46">
                  <c:v>6.5465187511017415</c:v>
                </c:pt>
                <c:pt idx="47">
                  <c:v>12.195972375597222</c:v>
                </c:pt>
                <c:pt idx="48">
                  <c:v>8.3892932858456035</c:v>
                </c:pt>
                <c:pt idx="49">
                  <c:v>11.856800993202999</c:v>
                </c:pt>
                <c:pt idx="50">
                  <c:v>14.375719864270467</c:v>
                </c:pt>
                <c:pt idx="51">
                  <c:v>11.436878961933822</c:v>
                </c:pt>
                <c:pt idx="52">
                  <c:v>12.906950753192472</c:v>
                </c:pt>
                <c:pt idx="53">
                  <c:v>14.724129506274904</c:v>
                </c:pt>
                <c:pt idx="54">
                  <c:v>12.750207225194998</c:v>
                </c:pt>
                <c:pt idx="55">
                  <c:v>11.041746345144123</c:v>
                </c:pt>
                <c:pt idx="56">
                  <c:v>14.630667920557071</c:v>
                </c:pt>
                <c:pt idx="57">
                  <c:v>14.818751269779229</c:v>
                </c:pt>
                <c:pt idx="58">
                  <c:v>13.028490231342991</c:v>
                </c:pt>
                <c:pt idx="59">
                  <c:v>11.115631848860899</c:v>
                </c:pt>
                <c:pt idx="60">
                  <c:v>12.23740791317921</c:v>
                </c:pt>
                <c:pt idx="61">
                  <c:v>12.40700285571261</c:v>
                </c:pt>
                <c:pt idx="62">
                  <c:v>11.051840164341133</c:v>
                </c:pt>
                <c:pt idx="63">
                  <c:v>9.6855219130574</c:v>
                </c:pt>
                <c:pt idx="64">
                  <c:v>11.396676697117918</c:v>
                </c:pt>
                <c:pt idx="65">
                  <c:v>7.8274856583948234</c:v>
                </c:pt>
                <c:pt idx="66">
                  <c:v>11.828024531285553</c:v>
                </c:pt>
                <c:pt idx="67">
                  <c:v>13.633478314960975</c:v>
                </c:pt>
                <c:pt idx="68">
                  <c:v>10.242814501146826</c:v>
                </c:pt>
                <c:pt idx="69">
                  <c:v>12.156580159878759</c:v>
                </c:pt>
                <c:pt idx="70">
                  <c:v>17.286222009028634</c:v>
                </c:pt>
                <c:pt idx="71">
                  <c:v>13.234432978980845</c:v>
                </c:pt>
                <c:pt idx="72">
                  <c:v>9.4835312859074143</c:v>
                </c:pt>
                <c:pt idx="73">
                  <c:v>16.170753644645494</c:v>
                </c:pt>
                <c:pt idx="74">
                  <c:v>13.948744777829345</c:v>
                </c:pt>
                <c:pt idx="75">
                  <c:v>13.497930804853956</c:v>
                </c:pt>
                <c:pt idx="76">
                  <c:v>18.388246923731096</c:v>
                </c:pt>
                <c:pt idx="77">
                  <c:v>16.687246856647526</c:v>
                </c:pt>
                <c:pt idx="78">
                  <c:v>12.586685434362465</c:v>
                </c:pt>
                <c:pt idx="79">
                  <c:v>13.391869825254577</c:v>
                </c:pt>
                <c:pt idx="80">
                  <c:v>17.014914545936115</c:v>
                </c:pt>
                <c:pt idx="81">
                  <c:v>16.360952472991418</c:v>
                </c:pt>
                <c:pt idx="82">
                  <c:v>12.107628849052693</c:v>
                </c:pt>
                <c:pt idx="83">
                  <c:v>13.976650195832754</c:v>
                </c:pt>
                <c:pt idx="84">
                  <c:v>14.826346546253166</c:v>
                </c:pt>
                <c:pt idx="85">
                  <c:v>12.802073849149107</c:v>
                </c:pt>
                <c:pt idx="86">
                  <c:v>11.123277588459159</c:v>
                </c:pt>
                <c:pt idx="87">
                  <c:v>14.479082416295505</c:v>
                </c:pt>
                <c:pt idx="88">
                  <c:v>20.069858126599055</c:v>
                </c:pt>
                <c:pt idx="89">
                  <c:v>10.707409627049522</c:v>
                </c:pt>
                <c:pt idx="90">
                  <c:v>12.54014993886183</c:v>
                </c:pt>
                <c:pt idx="91">
                  <c:v>14.890592768950448</c:v>
                </c:pt>
                <c:pt idx="92">
                  <c:v>10.504540600283978</c:v>
                </c:pt>
                <c:pt idx="93">
                  <c:v>16.484513939318628</c:v>
                </c:pt>
                <c:pt idx="94">
                  <c:v>15.705776628949677</c:v>
                </c:pt>
                <c:pt idx="95">
                  <c:v>18.021639889758895</c:v>
                </c:pt>
                <c:pt idx="96">
                  <c:v>10.968781293896695</c:v>
                </c:pt>
                <c:pt idx="97">
                  <c:v>12.787862378599714</c:v>
                </c:pt>
                <c:pt idx="98">
                  <c:v>13.398232076037662</c:v>
                </c:pt>
                <c:pt idx="99">
                  <c:v>15.413673835584738</c:v>
                </c:pt>
                <c:pt idx="100">
                  <c:v>11.612669078072964</c:v>
                </c:pt>
                <c:pt idx="101">
                  <c:v>13.550463293809777</c:v>
                </c:pt>
                <c:pt idx="102">
                  <c:v>13.948952126139034</c:v>
                </c:pt>
                <c:pt idx="103">
                  <c:v>14.087943376878902</c:v>
                </c:pt>
                <c:pt idx="104">
                  <c:v>17.332462336729289</c:v>
                </c:pt>
                <c:pt idx="105">
                  <c:v>19.47804354409012</c:v>
                </c:pt>
                <c:pt idx="106">
                  <c:v>14.222195662220861</c:v>
                </c:pt>
                <c:pt idx="107">
                  <c:v>11.230181679887757</c:v>
                </c:pt>
                <c:pt idx="108">
                  <c:v>16.901130932025954</c:v>
                </c:pt>
                <c:pt idx="109">
                  <c:v>7.7507320593988291</c:v>
                </c:pt>
                <c:pt idx="110">
                  <c:v>13.476345245923349</c:v>
                </c:pt>
                <c:pt idx="111">
                  <c:v>12.670267232279155</c:v>
                </c:pt>
                <c:pt idx="112">
                  <c:v>17.211175386117514</c:v>
                </c:pt>
                <c:pt idx="113">
                  <c:v>12.900197764492999</c:v>
                </c:pt>
                <c:pt idx="114">
                  <c:v>15.295423239337421</c:v>
                </c:pt>
                <c:pt idx="115">
                  <c:v>14.596700336377983</c:v>
                </c:pt>
                <c:pt idx="116">
                  <c:v>13.01857300815572</c:v>
                </c:pt>
                <c:pt idx="117">
                  <c:v>14.862139164650456</c:v>
                </c:pt>
                <c:pt idx="118">
                  <c:v>16.447587963289791</c:v>
                </c:pt>
                <c:pt idx="119">
                  <c:v>15.389060743899456</c:v>
                </c:pt>
                <c:pt idx="120">
                  <c:v>17.375832227473744</c:v>
                </c:pt>
                <c:pt idx="121">
                  <c:v>16.545203790902644</c:v>
                </c:pt>
                <c:pt idx="122">
                  <c:v>18.970376518946516</c:v>
                </c:pt>
                <c:pt idx="123">
                  <c:v>12.695941204709404</c:v>
                </c:pt>
                <c:pt idx="124">
                  <c:v>19.957343196388067</c:v>
                </c:pt>
                <c:pt idx="125">
                  <c:v>17.420438470055714</c:v>
                </c:pt>
                <c:pt idx="126">
                  <c:v>13.006757167463089</c:v>
                </c:pt>
                <c:pt idx="127">
                  <c:v>14.752011121627225</c:v>
                </c:pt>
                <c:pt idx="128">
                  <c:v>21.386384944561218</c:v>
                </c:pt>
                <c:pt idx="129">
                  <c:v>14.235762601992706</c:v>
                </c:pt>
                <c:pt idx="130">
                  <c:v>16.508346943661387</c:v>
                </c:pt>
                <c:pt idx="131">
                  <c:v>18.609766786839785</c:v>
                </c:pt>
                <c:pt idx="132">
                  <c:v>16.761609678893837</c:v>
                </c:pt>
                <c:pt idx="133">
                  <c:v>16.582927564127498</c:v>
                </c:pt>
                <c:pt idx="134">
                  <c:v>21.133905534966523</c:v>
                </c:pt>
                <c:pt idx="135">
                  <c:v>18.113610761981619</c:v>
                </c:pt>
                <c:pt idx="136">
                  <c:v>17.268135149358741</c:v>
                </c:pt>
                <c:pt idx="137">
                  <c:v>15.639655819726533</c:v>
                </c:pt>
                <c:pt idx="138">
                  <c:v>13.786384512122561</c:v>
                </c:pt>
                <c:pt idx="139">
                  <c:v>12.633827680861115</c:v>
                </c:pt>
                <c:pt idx="140">
                  <c:v>15.720013009021365</c:v>
                </c:pt>
                <c:pt idx="141">
                  <c:v>17.906162424655875</c:v>
                </c:pt>
                <c:pt idx="142">
                  <c:v>17.085702775576436</c:v>
                </c:pt>
                <c:pt idx="143">
                  <c:v>16.610216419231378</c:v>
                </c:pt>
                <c:pt idx="144">
                  <c:v>18.964536324802069</c:v>
                </c:pt>
                <c:pt idx="145">
                  <c:v>14.726255769116356</c:v>
                </c:pt>
                <c:pt idx="146">
                  <c:v>21.561492029903658</c:v>
                </c:pt>
                <c:pt idx="147">
                  <c:v>15.424392902268776</c:v>
                </c:pt>
                <c:pt idx="148">
                  <c:v>15.529046925092103</c:v>
                </c:pt>
                <c:pt idx="149">
                  <c:v>15.131369008102761</c:v>
                </c:pt>
                <c:pt idx="150">
                  <c:v>16.83287713686801</c:v>
                </c:pt>
                <c:pt idx="151">
                  <c:v>15.089517882742989</c:v>
                </c:pt>
                <c:pt idx="152">
                  <c:v>19.6598041123112</c:v>
                </c:pt>
                <c:pt idx="153">
                  <c:v>16.876796008754543</c:v>
                </c:pt>
                <c:pt idx="154">
                  <c:v>16.702545524613701</c:v>
                </c:pt>
                <c:pt idx="155">
                  <c:v>18.980106255370519</c:v>
                </c:pt>
                <c:pt idx="156">
                  <c:v>21.328600797497415</c:v>
                </c:pt>
                <c:pt idx="157">
                  <c:v>15.435545478965587</c:v>
                </c:pt>
                <c:pt idx="158">
                  <c:v>13.320799448411922</c:v>
                </c:pt>
                <c:pt idx="159">
                  <c:v>19.130264182810464</c:v>
                </c:pt>
                <c:pt idx="160">
                  <c:v>16.512840416104964</c:v>
                </c:pt>
                <c:pt idx="161">
                  <c:v>14.635433280865058</c:v>
                </c:pt>
                <c:pt idx="162">
                  <c:v>12.518035410430851</c:v>
                </c:pt>
                <c:pt idx="163">
                  <c:v>20.323293689061938</c:v>
                </c:pt>
                <c:pt idx="164">
                  <c:v>13.424530195335144</c:v>
                </c:pt>
                <c:pt idx="165">
                  <c:v>10.420185947562139</c:v>
                </c:pt>
                <c:pt idx="166">
                  <c:v>17.420869645359936</c:v>
                </c:pt>
                <c:pt idx="167">
                  <c:v>19.74159171135074</c:v>
                </c:pt>
                <c:pt idx="168">
                  <c:v>14.810864283959697</c:v>
                </c:pt>
                <c:pt idx="169">
                  <c:v>16.614191285239688</c:v>
                </c:pt>
                <c:pt idx="170">
                  <c:v>20.090759636416553</c:v>
                </c:pt>
                <c:pt idx="171">
                  <c:v>20.941540503295563</c:v>
                </c:pt>
                <c:pt idx="172">
                  <c:v>16.123290486522347</c:v>
                </c:pt>
                <c:pt idx="173">
                  <c:v>13.557433521657927</c:v>
                </c:pt>
                <c:pt idx="174">
                  <c:v>18.256089250584559</c:v>
                </c:pt>
                <c:pt idx="175">
                  <c:v>23.479748647564406</c:v>
                </c:pt>
                <c:pt idx="176">
                  <c:v>12.511077875612994</c:v>
                </c:pt>
                <c:pt idx="177">
                  <c:v>16.598086770788036</c:v>
                </c:pt>
                <c:pt idx="178">
                  <c:v>16.693405721795923</c:v>
                </c:pt>
                <c:pt idx="179">
                  <c:v>15.313993462004179</c:v>
                </c:pt>
                <c:pt idx="180">
                  <c:v>20.908151693905737</c:v>
                </c:pt>
                <c:pt idx="181">
                  <c:v>20.665280309543444</c:v>
                </c:pt>
                <c:pt idx="182">
                  <c:v>18.184459637966498</c:v>
                </c:pt>
                <c:pt idx="183">
                  <c:v>21.630272760570353</c:v>
                </c:pt>
                <c:pt idx="184">
                  <c:v>15.743940556629669</c:v>
                </c:pt>
                <c:pt idx="185">
                  <c:v>14.298068624724888</c:v>
                </c:pt>
                <c:pt idx="186">
                  <c:v>13.588763064962727</c:v>
                </c:pt>
                <c:pt idx="187">
                  <c:v>15.303744631519935</c:v>
                </c:pt>
                <c:pt idx="188">
                  <c:v>11.868308465954458</c:v>
                </c:pt>
                <c:pt idx="189">
                  <c:v>16.167323573474622</c:v>
                </c:pt>
                <c:pt idx="190">
                  <c:v>19.934578770481764</c:v>
                </c:pt>
                <c:pt idx="191">
                  <c:v>17.36584649480772</c:v>
                </c:pt>
                <c:pt idx="192">
                  <c:v>18.002692445074032</c:v>
                </c:pt>
                <c:pt idx="193">
                  <c:v>16.026677134403958</c:v>
                </c:pt>
                <c:pt idx="194">
                  <c:v>22.922647548151602</c:v>
                </c:pt>
                <c:pt idx="195">
                  <c:v>16.941076162880286</c:v>
                </c:pt>
                <c:pt idx="196">
                  <c:v>15.147326769429707</c:v>
                </c:pt>
                <c:pt idx="197">
                  <c:v>15.662611187871985</c:v>
                </c:pt>
                <c:pt idx="198">
                  <c:v>17.190944542863768</c:v>
                </c:pt>
                <c:pt idx="199">
                  <c:v>18.379820126682802</c:v>
                </c:pt>
                <c:pt idx="200">
                  <c:v>22.451011321935209</c:v>
                </c:pt>
                <c:pt idx="201">
                  <c:v>10.941227368332402</c:v>
                </c:pt>
                <c:pt idx="202">
                  <c:v>20.846446419084675</c:v>
                </c:pt>
                <c:pt idx="203">
                  <c:v>20.275222148770741</c:v>
                </c:pt>
                <c:pt idx="204">
                  <c:v>16.934749298082913</c:v>
                </c:pt>
                <c:pt idx="205">
                  <c:v>19.840834701861468</c:v>
                </c:pt>
                <c:pt idx="206">
                  <c:v>16.861122008876091</c:v>
                </c:pt>
                <c:pt idx="207">
                  <c:v>20.348141199516029</c:v>
                </c:pt>
                <c:pt idx="208">
                  <c:v>16.772369959056949</c:v>
                </c:pt>
                <c:pt idx="209">
                  <c:v>24.285896575402017</c:v>
                </c:pt>
                <c:pt idx="210">
                  <c:v>13.96529992501447</c:v>
                </c:pt>
                <c:pt idx="211">
                  <c:v>14.59968455138854</c:v>
                </c:pt>
                <c:pt idx="212">
                  <c:v>18.406970658783401</c:v>
                </c:pt>
                <c:pt idx="213">
                  <c:v>13.984744016943512</c:v>
                </c:pt>
                <c:pt idx="214">
                  <c:v>19.440681567982534</c:v>
                </c:pt>
                <c:pt idx="215">
                  <c:v>12.281212344152136</c:v>
                </c:pt>
                <c:pt idx="216">
                  <c:v>21.930649379744764</c:v>
                </c:pt>
                <c:pt idx="217">
                  <c:v>21.328774510336078</c:v>
                </c:pt>
                <c:pt idx="218">
                  <c:v>24.061338008719645</c:v>
                </c:pt>
                <c:pt idx="219">
                  <c:v>15.572371590136282</c:v>
                </c:pt>
                <c:pt idx="220">
                  <c:v>22.70738275659081</c:v>
                </c:pt>
                <c:pt idx="221">
                  <c:v>20.718383313411877</c:v>
                </c:pt>
                <c:pt idx="222">
                  <c:v>16.441131339929726</c:v>
                </c:pt>
                <c:pt idx="223">
                  <c:v>19.667772507701674</c:v>
                </c:pt>
                <c:pt idx="224">
                  <c:v>18.884201669796244</c:v>
                </c:pt>
                <c:pt idx="225">
                  <c:v>18.687169263077379</c:v>
                </c:pt>
                <c:pt idx="226">
                  <c:v>19.045881478612994</c:v>
                </c:pt>
                <c:pt idx="227">
                  <c:v>20.31259817059405</c:v>
                </c:pt>
                <c:pt idx="228">
                  <c:v>16.43612619229572</c:v>
                </c:pt>
                <c:pt idx="229">
                  <c:v>19.304569172719791</c:v>
                </c:pt>
                <c:pt idx="230">
                  <c:v>18.823543099294628</c:v>
                </c:pt>
                <c:pt idx="231">
                  <c:v>17.109007893928602</c:v>
                </c:pt>
                <c:pt idx="232">
                  <c:v>18.175800762568677</c:v>
                </c:pt>
                <c:pt idx="233">
                  <c:v>20.547157005036571</c:v>
                </c:pt>
                <c:pt idx="234">
                  <c:v>17.828157652926002</c:v>
                </c:pt>
                <c:pt idx="235">
                  <c:v>22.379582005793448</c:v>
                </c:pt>
                <c:pt idx="236">
                  <c:v>21.445774285756521</c:v>
                </c:pt>
                <c:pt idx="237">
                  <c:v>17.795828289262445</c:v>
                </c:pt>
                <c:pt idx="238">
                  <c:v>15.621122704794686</c:v>
                </c:pt>
                <c:pt idx="239">
                  <c:v>21.724743707359856</c:v>
                </c:pt>
                <c:pt idx="240">
                  <c:v>16.383176707209959</c:v>
                </c:pt>
                <c:pt idx="241">
                  <c:v>16.018645393441258</c:v>
                </c:pt>
                <c:pt idx="242">
                  <c:v>17.208697851796835</c:v>
                </c:pt>
                <c:pt idx="243">
                  <c:v>19.322812439176051</c:v>
                </c:pt>
                <c:pt idx="244">
                  <c:v>16.222704570427769</c:v>
                </c:pt>
                <c:pt idx="245">
                  <c:v>19.758594499737754</c:v>
                </c:pt>
                <c:pt idx="246">
                  <c:v>20.126590703332539</c:v>
                </c:pt>
                <c:pt idx="247">
                  <c:v>15.797042648085723</c:v>
                </c:pt>
                <c:pt idx="248">
                  <c:v>17.161265568132166</c:v>
                </c:pt>
                <c:pt idx="249">
                  <c:v>14.231306721724913</c:v>
                </c:pt>
                <c:pt idx="250">
                  <c:v>16.851828114791278</c:v>
                </c:pt>
                <c:pt idx="251">
                  <c:v>18.094944647363413</c:v>
                </c:pt>
                <c:pt idx="252">
                  <c:v>21.888470086553291</c:v>
                </c:pt>
                <c:pt idx="253">
                  <c:v>15.181970883550145</c:v>
                </c:pt>
                <c:pt idx="254">
                  <c:v>24.188217612792265</c:v>
                </c:pt>
                <c:pt idx="255">
                  <c:v>24.27956284546897</c:v>
                </c:pt>
                <c:pt idx="256">
                  <c:v>22.905330481464468</c:v>
                </c:pt>
                <c:pt idx="257">
                  <c:v>23.363689059279459</c:v>
                </c:pt>
                <c:pt idx="258">
                  <c:v>17.614206771540683</c:v>
                </c:pt>
                <c:pt idx="259">
                  <c:v>20.888099118751736</c:v>
                </c:pt>
                <c:pt idx="260">
                  <c:v>15.40319690117475</c:v>
                </c:pt>
                <c:pt idx="261">
                  <c:v>18.295269089353237</c:v>
                </c:pt>
                <c:pt idx="262">
                  <c:v>17.889224126337975</c:v>
                </c:pt>
                <c:pt idx="263">
                  <c:v>20.908899648074481</c:v>
                </c:pt>
                <c:pt idx="264">
                  <c:v>14.0295556179339</c:v>
                </c:pt>
                <c:pt idx="265">
                  <c:v>24.471012923964963</c:v>
                </c:pt>
                <c:pt idx="266">
                  <c:v>22.096422649521166</c:v>
                </c:pt>
                <c:pt idx="267">
                  <c:v>19.508620241778171</c:v>
                </c:pt>
                <c:pt idx="268">
                  <c:v>22.255733555429753</c:v>
                </c:pt>
                <c:pt idx="269">
                  <c:v>23.709558947375534</c:v>
                </c:pt>
                <c:pt idx="270">
                  <c:v>20.575447520753944</c:v>
                </c:pt>
                <c:pt idx="271">
                  <c:v>19.008246487688329</c:v>
                </c:pt>
                <c:pt idx="272">
                  <c:v>23.620890854438787</c:v>
                </c:pt>
                <c:pt idx="273">
                  <c:v>18.886682833296266</c:v>
                </c:pt>
                <c:pt idx="274">
                  <c:v>19.223484947563072</c:v>
                </c:pt>
                <c:pt idx="275">
                  <c:v>12.480639223454162</c:v>
                </c:pt>
                <c:pt idx="276">
                  <c:v>22.591391592898226</c:v>
                </c:pt>
                <c:pt idx="277">
                  <c:v>19.425271003695642</c:v>
                </c:pt>
                <c:pt idx="278">
                  <c:v>18.725689369886936</c:v>
                </c:pt>
                <c:pt idx="279">
                  <c:v>15.179908963316137</c:v>
                </c:pt>
                <c:pt idx="280">
                  <c:v>13.878843551087202</c:v>
                </c:pt>
                <c:pt idx="281">
                  <c:v>15.665518455069256</c:v>
                </c:pt>
                <c:pt idx="282">
                  <c:v>20.320526074579234</c:v>
                </c:pt>
                <c:pt idx="283">
                  <c:v>17.410096181043649</c:v>
                </c:pt>
                <c:pt idx="284">
                  <c:v>24.287087788004911</c:v>
                </c:pt>
                <c:pt idx="285">
                  <c:v>21.715280551022982</c:v>
                </c:pt>
                <c:pt idx="286">
                  <c:v>18.286793935012277</c:v>
                </c:pt>
                <c:pt idx="287">
                  <c:v>18.83094243865661</c:v>
                </c:pt>
                <c:pt idx="288">
                  <c:v>22.89150865919752</c:v>
                </c:pt>
                <c:pt idx="289">
                  <c:v>24.348979207802351</c:v>
                </c:pt>
                <c:pt idx="290">
                  <c:v>22.095224894445995</c:v>
                </c:pt>
                <c:pt idx="291">
                  <c:v>20.685891157825516</c:v>
                </c:pt>
                <c:pt idx="292">
                  <c:v>23.549397673140845</c:v>
                </c:pt>
                <c:pt idx="293">
                  <c:v>22.00342493741195</c:v>
                </c:pt>
                <c:pt idx="294">
                  <c:v>19.538666196458603</c:v>
                </c:pt>
                <c:pt idx="295">
                  <c:v>20.972248253616112</c:v>
                </c:pt>
                <c:pt idx="296">
                  <c:v>19.678956880636829</c:v>
                </c:pt>
                <c:pt idx="297">
                  <c:v>21.10860877542116</c:v>
                </c:pt>
                <c:pt idx="298">
                  <c:v>20.069700201127958</c:v>
                </c:pt>
                <c:pt idx="299">
                  <c:v>23.106342889961756</c:v>
                </c:pt>
                <c:pt idx="300">
                  <c:v>24.553812683316764</c:v>
                </c:pt>
                <c:pt idx="301">
                  <c:v>22.608627195022493</c:v>
                </c:pt>
                <c:pt idx="302">
                  <c:v>17.456325972707198</c:v>
                </c:pt>
                <c:pt idx="303">
                  <c:v>20.957183551493184</c:v>
                </c:pt>
                <c:pt idx="304">
                  <c:v>23.161991704825994</c:v>
                </c:pt>
                <c:pt idx="305">
                  <c:v>16.403897202267213</c:v>
                </c:pt>
                <c:pt idx="306">
                  <c:v>21.456583968763539</c:v>
                </c:pt>
                <c:pt idx="307">
                  <c:v>12.526791436646809</c:v>
                </c:pt>
                <c:pt idx="308">
                  <c:v>22.493775494291636</c:v>
                </c:pt>
                <c:pt idx="309">
                  <c:v>24.219367269229231</c:v>
                </c:pt>
                <c:pt idx="310">
                  <c:v>22.338755194911592</c:v>
                </c:pt>
                <c:pt idx="311">
                  <c:v>22.407872630539408</c:v>
                </c:pt>
                <c:pt idx="312">
                  <c:v>21.294200900018705</c:v>
                </c:pt>
                <c:pt idx="313">
                  <c:v>22.872175455877858</c:v>
                </c:pt>
                <c:pt idx="314">
                  <c:v>22.322217419486066</c:v>
                </c:pt>
                <c:pt idx="315">
                  <c:v>23.333048971620237</c:v>
                </c:pt>
                <c:pt idx="316">
                  <c:v>20.463291058077242</c:v>
                </c:pt>
                <c:pt idx="317">
                  <c:v>21.634698577386775</c:v>
                </c:pt>
                <c:pt idx="318">
                  <c:v>22.919341654185288</c:v>
                </c:pt>
                <c:pt idx="319">
                  <c:v>20.135683512428344</c:v>
                </c:pt>
                <c:pt idx="320">
                  <c:v>22.438609441942059</c:v>
                </c:pt>
                <c:pt idx="321">
                  <c:v>25.151459616027619</c:v>
                </c:pt>
                <c:pt idx="322">
                  <c:v>23.858824131151263</c:v>
                </c:pt>
                <c:pt idx="323">
                  <c:v>21.762636921248859</c:v>
                </c:pt>
                <c:pt idx="324">
                  <c:v>19.199999679766901</c:v>
                </c:pt>
                <c:pt idx="325">
                  <c:v>21.891868731945113</c:v>
                </c:pt>
                <c:pt idx="326">
                  <c:v>22.855633957949376</c:v>
                </c:pt>
                <c:pt idx="327">
                  <c:v>19.143338474483091</c:v>
                </c:pt>
                <c:pt idx="328">
                  <c:v>24.299338454001585</c:v>
                </c:pt>
                <c:pt idx="329">
                  <c:v>27.728087212072396</c:v>
                </c:pt>
                <c:pt idx="330">
                  <c:v>21.370285743711509</c:v>
                </c:pt>
                <c:pt idx="331">
                  <c:v>25.948248235064963</c:v>
                </c:pt>
                <c:pt idx="332">
                  <c:v>20.959030763688194</c:v>
                </c:pt>
                <c:pt idx="333">
                  <c:v>20.233862581502258</c:v>
                </c:pt>
                <c:pt idx="334">
                  <c:v>25.44165776536407</c:v>
                </c:pt>
                <c:pt idx="335">
                  <c:v>22.563874147565624</c:v>
                </c:pt>
                <c:pt idx="336">
                  <c:v>22.944305028802439</c:v>
                </c:pt>
                <c:pt idx="337">
                  <c:v>21.003698746638705</c:v>
                </c:pt>
                <c:pt idx="338">
                  <c:v>19.303743220692301</c:v>
                </c:pt>
                <c:pt idx="339">
                  <c:v>23.140745996514791</c:v>
                </c:pt>
                <c:pt idx="340">
                  <c:v>16.856278802280002</c:v>
                </c:pt>
                <c:pt idx="341">
                  <c:v>25.620228905513063</c:v>
                </c:pt>
                <c:pt idx="342">
                  <c:v>22.739844535434521</c:v>
                </c:pt>
                <c:pt idx="343">
                  <c:v>19.119417745845617</c:v>
                </c:pt>
                <c:pt idx="344">
                  <c:v>23.481243673882862</c:v>
                </c:pt>
                <c:pt idx="345">
                  <c:v>23.235879563186135</c:v>
                </c:pt>
                <c:pt idx="346">
                  <c:v>18.833944821060737</c:v>
                </c:pt>
                <c:pt idx="347">
                  <c:v>19.579157608354848</c:v>
                </c:pt>
                <c:pt idx="348">
                  <c:v>20.118027518736252</c:v>
                </c:pt>
                <c:pt idx="349">
                  <c:v>20.677797168440499</c:v>
                </c:pt>
                <c:pt idx="350">
                  <c:v>25.22786400415449</c:v>
                </c:pt>
                <c:pt idx="351">
                  <c:v>20.048723095270663</c:v>
                </c:pt>
                <c:pt idx="352">
                  <c:v>23.714037262762268</c:v>
                </c:pt>
                <c:pt idx="353">
                  <c:v>18.326699259264636</c:v>
                </c:pt>
                <c:pt idx="354">
                  <c:v>25.158516273031037</c:v>
                </c:pt>
                <c:pt idx="355">
                  <c:v>18.862411259576827</c:v>
                </c:pt>
                <c:pt idx="356">
                  <c:v>25.30851284701658</c:v>
                </c:pt>
                <c:pt idx="357">
                  <c:v>23.122152191306469</c:v>
                </c:pt>
                <c:pt idx="358">
                  <c:v>19.953486305228143</c:v>
                </c:pt>
                <c:pt idx="359">
                  <c:v>23.246398038653627</c:v>
                </c:pt>
                <c:pt idx="360">
                  <c:v>18.914522232280714</c:v>
                </c:pt>
                <c:pt idx="361">
                  <c:v>19.648272812215247</c:v>
                </c:pt>
                <c:pt idx="362">
                  <c:v>20.178043225061902</c:v>
                </c:pt>
                <c:pt idx="363">
                  <c:v>24.450658583730903</c:v>
                </c:pt>
                <c:pt idx="364">
                  <c:v>21.564475661644654</c:v>
                </c:pt>
                <c:pt idx="365">
                  <c:v>23.041614987463102</c:v>
                </c:pt>
                <c:pt idx="366">
                  <c:v>24.987291093010874</c:v>
                </c:pt>
                <c:pt idx="367">
                  <c:v>18.834152723130995</c:v>
                </c:pt>
                <c:pt idx="368">
                  <c:v>20.758885734010281</c:v>
                </c:pt>
                <c:pt idx="369">
                  <c:v>23.597445694811277</c:v>
                </c:pt>
                <c:pt idx="370">
                  <c:v>24.601884525436454</c:v>
                </c:pt>
                <c:pt idx="371">
                  <c:v>18.822672986310156</c:v>
                </c:pt>
                <c:pt idx="372">
                  <c:v>19.539296008733245</c:v>
                </c:pt>
                <c:pt idx="373">
                  <c:v>20.056085635979535</c:v>
                </c:pt>
                <c:pt idx="374">
                  <c:v>25.881258977461503</c:v>
                </c:pt>
                <c:pt idx="375">
                  <c:v>24.290063156369772</c:v>
                </c:pt>
                <c:pt idx="376">
                  <c:v>24.038977942739141</c:v>
                </c:pt>
                <c:pt idx="377">
                  <c:v>20.034939527064036</c:v>
                </c:pt>
                <c:pt idx="378">
                  <c:v>20.334642380923693</c:v>
                </c:pt>
                <c:pt idx="379">
                  <c:v>22.462521827838604</c:v>
                </c:pt>
                <c:pt idx="380">
                  <c:v>23.681461136648419</c:v>
                </c:pt>
                <c:pt idx="381">
                  <c:v>22.025580293390405</c:v>
                </c:pt>
                <c:pt idx="382">
                  <c:v>20.300032874495926</c:v>
                </c:pt>
                <c:pt idx="383">
                  <c:v>25.124706622699591</c:v>
                </c:pt>
                <c:pt idx="384">
                  <c:v>25.872208501389679</c:v>
                </c:pt>
                <c:pt idx="385">
                  <c:v>24.615422821978296</c:v>
                </c:pt>
                <c:pt idx="386">
                  <c:v>18.298112362835536</c:v>
                </c:pt>
                <c:pt idx="387">
                  <c:v>34.109971752394053</c:v>
                </c:pt>
                <c:pt idx="388">
                  <c:v>17.046530256030348</c:v>
                </c:pt>
                <c:pt idx="389">
                  <c:v>24.872983299936216</c:v>
                </c:pt>
                <c:pt idx="390">
                  <c:v>24.303084548614962</c:v>
                </c:pt>
                <c:pt idx="391">
                  <c:v>20.064821353758994</c:v>
                </c:pt>
                <c:pt idx="392">
                  <c:v>17.40066324299039</c:v>
                </c:pt>
                <c:pt idx="393">
                  <c:v>18.028645652719</c:v>
                </c:pt>
                <c:pt idx="394">
                  <c:v>21.701553355148956</c:v>
                </c:pt>
                <c:pt idx="395">
                  <c:v>22.835181180307575</c:v>
                </c:pt>
                <c:pt idx="396">
                  <c:v>19.195216388001345</c:v>
                </c:pt>
                <c:pt idx="397">
                  <c:v>17.813134939233816</c:v>
                </c:pt>
                <c:pt idx="398">
                  <c:v>24.80516499674178</c:v>
                </c:pt>
                <c:pt idx="399">
                  <c:v>24.86493647866164</c:v>
                </c:pt>
                <c:pt idx="400">
                  <c:v>19.390516554739733</c:v>
                </c:pt>
                <c:pt idx="401">
                  <c:v>22.620475069906927</c:v>
                </c:pt>
                <c:pt idx="402">
                  <c:v>26.029505019230008</c:v>
                </c:pt>
                <c:pt idx="403">
                  <c:v>23.589533216943678</c:v>
                </c:pt>
                <c:pt idx="404">
                  <c:v>24.240508476691893</c:v>
                </c:pt>
                <c:pt idx="405">
                  <c:v>23.701810861955309</c:v>
                </c:pt>
                <c:pt idx="406">
                  <c:v>25.620629171556452</c:v>
                </c:pt>
                <c:pt idx="407">
                  <c:v>14.87856276569682</c:v>
                </c:pt>
                <c:pt idx="408">
                  <c:v>26.087196981737833</c:v>
                </c:pt>
                <c:pt idx="409">
                  <c:v>19.389451072348592</c:v>
                </c:pt>
                <c:pt idx="410">
                  <c:v>21.284867563613332</c:v>
                </c:pt>
                <c:pt idx="411">
                  <c:v>24.965975604595531</c:v>
                </c:pt>
                <c:pt idx="412">
                  <c:v>21.394429352663284</c:v>
                </c:pt>
                <c:pt idx="413">
                  <c:v>20.480568996223955</c:v>
                </c:pt>
                <c:pt idx="414">
                  <c:v>23.075896809583245</c:v>
                </c:pt>
                <c:pt idx="415">
                  <c:v>21.295489984387</c:v>
                </c:pt>
                <c:pt idx="416">
                  <c:v>23.464684187348428</c:v>
                </c:pt>
                <c:pt idx="417">
                  <c:v>23.806489227335053</c:v>
                </c:pt>
                <c:pt idx="418">
                  <c:v>22.748983240072807</c:v>
                </c:pt>
                <c:pt idx="419">
                  <c:v>22.801183752326303</c:v>
                </c:pt>
                <c:pt idx="420">
                  <c:v>24.276936184406644</c:v>
                </c:pt>
                <c:pt idx="421">
                  <c:v>21.852596834144901</c:v>
                </c:pt>
                <c:pt idx="422">
                  <c:v>20.6918571754845</c:v>
                </c:pt>
                <c:pt idx="423">
                  <c:v>23.578476582544514</c:v>
                </c:pt>
                <c:pt idx="424">
                  <c:v>22.532934531710698</c:v>
                </c:pt>
                <c:pt idx="425">
                  <c:v>25.495121688448499</c:v>
                </c:pt>
                <c:pt idx="426">
                  <c:v>22.11156106280842</c:v>
                </c:pt>
                <c:pt idx="427">
                  <c:v>24.09242942852288</c:v>
                </c:pt>
                <c:pt idx="428">
                  <c:v>24.441913238004833</c:v>
                </c:pt>
                <c:pt idx="429">
                  <c:v>22.542240934263162</c:v>
                </c:pt>
                <c:pt idx="430">
                  <c:v>18.10890530458682</c:v>
                </c:pt>
                <c:pt idx="431">
                  <c:v>26.189797938154133</c:v>
                </c:pt>
                <c:pt idx="432">
                  <c:v>23.793523931740726</c:v>
                </c:pt>
                <c:pt idx="433">
                  <c:v>20.756246565031049</c:v>
                </c:pt>
                <c:pt idx="434">
                  <c:v>25.397203301630938</c:v>
                </c:pt>
                <c:pt idx="435">
                  <c:v>23.388449658830044</c:v>
                </c:pt>
                <c:pt idx="436">
                  <c:v>25.52070871114373</c:v>
                </c:pt>
                <c:pt idx="437">
                  <c:v>23.782553382691997</c:v>
                </c:pt>
                <c:pt idx="438">
                  <c:v>26.277816169177392</c:v>
                </c:pt>
                <c:pt idx="439">
                  <c:v>27.006305126934151</c:v>
                </c:pt>
                <c:pt idx="440">
                  <c:v>25.441430610794352</c:v>
                </c:pt>
                <c:pt idx="441">
                  <c:v>20.451234064606865</c:v>
                </c:pt>
                <c:pt idx="442">
                  <c:v>27.195160407542083</c:v>
                </c:pt>
                <c:pt idx="443">
                  <c:v>29.448289978866132</c:v>
                </c:pt>
                <c:pt idx="444">
                  <c:v>22.782137690185632</c:v>
                </c:pt>
                <c:pt idx="445">
                  <c:v>18.3525616161233</c:v>
                </c:pt>
                <c:pt idx="446">
                  <c:v>23.157378140103415</c:v>
                </c:pt>
                <c:pt idx="447">
                  <c:v>18.81969195347337</c:v>
                </c:pt>
                <c:pt idx="448">
                  <c:v>27.913282056574484</c:v>
                </c:pt>
                <c:pt idx="449">
                  <c:v>19.930275080077099</c:v>
                </c:pt>
                <c:pt idx="450">
                  <c:v>17.812253997262449</c:v>
                </c:pt>
                <c:pt idx="451">
                  <c:v>23.146415604851519</c:v>
                </c:pt>
                <c:pt idx="452">
                  <c:v>26.782237563961417</c:v>
                </c:pt>
                <c:pt idx="453">
                  <c:v>26.508751987246082</c:v>
                </c:pt>
                <c:pt idx="454">
                  <c:v>25.920917400770705</c:v>
                </c:pt>
                <c:pt idx="455">
                  <c:v>24.174474106192786</c:v>
                </c:pt>
                <c:pt idx="456">
                  <c:v>27.359776186655569</c:v>
                </c:pt>
                <c:pt idx="457">
                  <c:v>22.152618912896905</c:v>
                </c:pt>
                <c:pt idx="458">
                  <c:v>18.308956812111305</c:v>
                </c:pt>
                <c:pt idx="459">
                  <c:v>26.216718233323878</c:v>
                </c:pt>
                <c:pt idx="460">
                  <c:v>25.336088094278093</c:v>
                </c:pt>
                <c:pt idx="461">
                  <c:v>26.650286729615878</c:v>
                </c:pt>
                <c:pt idx="462">
                  <c:v>22.906275031540773</c:v>
                </c:pt>
                <c:pt idx="463">
                  <c:v>23.484544941037438</c:v>
                </c:pt>
                <c:pt idx="464">
                  <c:v>24.093633428348454</c:v>
                </c:pt>
                <c:pt idx="465">
                  <c:v>28.611575012101568</c:v>
                </c:pt>
                <c:pt idx="466">
                  <c:v>22.58971928607329</c:v>
                </c:pt>
                <c:pt idx="467">
                  <c:v>22.892718347786033</c:v>
                </c:pt>
                <c:pt idx="468">
                  <c:v>27.725754422114548</c:v>
                </c:pt>
                <c:pt idx="469">
                  <c:v>24.071878415083781</c:v>
                </c:pt>
                <c:pt idx="470">
                  <c:v>25.276445374562687</c:v>
                </c:pt>
                <c:pt idx="471">
                  <c:v>21.847860314342956</c:v>
                </c:pt>
                <c:pt idx="472">
                  <c:v>25.693092131169884</c:v>
                </c:pt>
                <c:pt idx="473">
                  <c:v>22.179882774273718</c:v>
                </c:pt>
                <c:pt idx="474">
                  <c:v>25.194063904007752</c:v>
                </c:pt>
                <c:pt idx="475">
                  <c:v>20.210020888744225</c:v>
                </c:pt>
                <c:pt idx="476">
                  <c:v>17.740179604977293</c:v>
                </c:pt>
                <c:pt idx="477">
                  <c:v>19.463502194689976</c:v>
                </c:pt>
                <c:pt idx="478">
                  <c:v>21.21637402755216</c:v>
                </c:pt>
                <c:pt idx="479">
                  <c:v>27.025514951941432</c:v>
                </c:pt>
                <c:pt idx="480">
                  <c:v>25.21264497877802</c:v>
                </c:pt>
                <c:pt idx="481">
                  <c:v>23.848019727604946</c:v>
                </c:pt>
                <c:pt idx="482">
                  <c:v>23.905095163730046</c:v>
                </c:pt>
                <c:pt idx="483">
                  <c:v>19.51236121103339</c:v>
                </c:pt>
                <c:pt idx="484">
                  <c:v>24.275292810037136</c:v>
                </c:pt>
                <c:pt idx="485">
                  <c:v>26.081164859956928</c:v>
                </c:pt>
                <c:pt idx="486">
                  <c:v>24.652446057044273</c:v>
                </c:pt>
                <c:pt idx="487">
                  <c:v>23.349627837223675</c:v>
                </c:pt>
                <c:pt idx="488">
                  <c:v>21.209221729015571</c:v>
                </c:pt>
                <c:pt idx="489">
                  <c:v>24.808166205845183</c:v>
                </c:pt>
                <c:pt idx="490">
                  <c:v>31.32426003354886</c:v>
                </c:pt>
                <c:pt idx="491">
                  <c:v>16.936696268364464</c:v>
                </c:pt>
                <c:pt idx="492">
                  <c:v>26.152478313953814</c:v>
                </c:pt>
                <c:pt idx="493">
                  <c:v>22.367672806329985</c:v>
                </c:pt>
                <c:pt idx="494">
                  <c:v>27.206183003655582</c:v>
                </c:pt>
                <c:pt idx="495">
                  <c:v>21.509352225180887</c:v>
                </c:pt>
                <c:pt idx="496">
                  <c:v>29.765410693601726</c:v>
                </c:pt>
                <c:pt idx="497">
                  <c:v>22.068095184820411</c:v>
                </c:pt>
                <c:pt idx="498">
                  <c:v>26.159882639851215</c:v>
                </c:pt>
                <c:pt idx="499">
                  <c:v>23.394109933449286</c:v>
                </c:pt>
                <c:pt idx="500">
                  <c:v>24.51044536332391</c:v>
                </c:pt>
                <c:pt idx="501">
                  <c:v>24.557472311450017</c:v>
                </c:pt>
                <c:pt idx="502">
                  <c:v>24.338120778778837</c:v>
                </c:pt>
                <c:pt idx="503">
                  <c:v>27.050955009021781</c:v>
                </c:pt>
                <c:pt idx="504">
                  <c:v>27.102539591418854</c:v>
                </c:pt>
                <c:pt idx="505">
                  <c:v>24.204891873797838</c:v>
                </c:pt>
                <c:pt idx="506">
                  <c:v>23.211111386955938</c:v>
                </c:pt>
                <c:pt idx="507">
                  <c:v>30.421492831859769</c:v>
                </c:pt>
                <c:pt idx="508">
                  <c:v>24.905471727583162</c:v>
                </c:pt>
                <c:pt idx="509">
                  <c:v>23.090052900853482</c:v>
                </c:pt>
                <c:pt idx="510">
                  <c:v>20.817961518777413</c:v>
                </c:pt>
                <c:pt idx="511">
                  <c:v>23.698167702528355</c:v>
                </c:pt>
                <c:pt idx="512">
                  <c:v>25.389056502982687</c:v>
                </c:pt>
                <c:pt idx="513">
                  <c:v>24.050692026929408</c:v>
                </c:pt>
                <c:pt idx="514">
                  <c:v>23.571860275077697</c:v>
                </c:pt>
                <c:pt idx="515">
                  <c:v>24.692300410770208</c:v>
                </c:pt>
                <c:pt idx="516">
                  <c:v>25.882099745937335</c:v>
                </c:pt>
                <c:pt idx="517">
                  <c:v>28.136076104633421</c:v>
                </c:pt>
                <c:pt idx="518">
                  <c:v>19.692233341625609</c:v>
                </c:pt>
                <c:pt idx="519">
                  <c:v>23.800627862667103</c:v>
                </c:pt>
                <c:pt idx="520">
                  <c:v>32.812809572267476</c:v>
                </c:pt>
                <c:pt idx="521">
                  <c:v>25.545038222098135</c:v>
                </c:pt>
                <c:pt idx="522">
                  <c:v>28.072329740483703</c:v>
                </c:pt>
                <c:pt idx="523">
                  <c:v>25.069352297862043</c:v>
                </c:pt>
                <c:pt idx="524">
                  <c:v>25.686119066476444</c:v>
                </c:pt>
                <c:pt idx="525">
                  <c:v>26.637877954255888</c:v>
                </c:pt>
                <c:pt idx="526">
                  <c:v>30.786530262189228</c:v>
                </c:pt>
                <c:pt idx="527">
                  <c:v>23.396780190158886</c:v>
                </c:pt>
                <c:pt idx="528">
                  <c:v>22.701164993045531</c:v>
                </c:pt>
                <c:pt idx="529">
                  <c:v>27.46016840097424</c:v>
                </c:pt>
                <c:pt idx="530">
                  <c:v>24.578842853635827</c:v>
                </c:pt>
                <c:pt idx="531">
                  <c:v>23.575641633185217</c:v>
                </c:pt>
                <c:pt idx="532">
                  <c:v>25.501582509894153</c:v>
                </c:pt>
                <c:pt idx="533">
                  <c:v>21.092259848420746</c:v>
                </c:pt>
                <c:pt idx="534">
                  <c:v>27.085573382058513</c:v>
                </c:pt>
                <c:pt idx="535">
                  <c:v>21.392409111427916</c:v>
                </c:pt>
                <c:pt idx="536">
                  <c:v>25.984222184145235</c:v>
                </c:pt>
                <c:pt idx="537">
                  <c:v>24.09809796757634</c:v>
                </c:pt>
                <c:pt idx="538">
                  <c:v>26.978961965653639</c:v>
                </c:pt>
                <c:pt idx="539">
                  <c:v>23.933364519237884</c:v>
                </c:pt>
                <c:pt idx="540">
                  <c:v>23.468537408482245</c:v>
                </c:pt>
                <c:pt idx="541">
                  <c:v>23.017875164078639</c:v>
                </c:pt>
                <c:pt idx="542">
                  <c:v>18.007974054755689</c:v>
                </c:pt>
                <c:pt idx="543">
                  <c:v>31.774573538291573</c:v>
                </c:pt>
                <c:pt idx="544">
                  <c:v>25.228229581220123</c:v>
                </c:pt>
                <c:pt idx="545">
                  <c:v>21.139193048311359</c:v>
                </c:pt>
                <c:pt idx="546">
                  <c:v>23.230096708144615</c:v>
                </c:pt>
                <c:pt idx="547">
                  <c:v>25.085245854515307</c:v>
                </c:pt>
                <c:pt idx="548">
                  <c:v>23.810352695781631</c:v>
                </c:pt>
                <c:pt idx="549">
                  <c:v>24.900354824478633</c:v>
                </c:pt>
                <c:pt idx="550">
                  <c:v>19.715614871921389</c:v>
                </c:pt>
                <c:pt idx="551">
                  <c:v>25.270019675260595</c:v>
                </c:pt>
                <c:pt idx="552">
                  <c:v>24.769641962385538</c:v>
                </c:pt>
                <c:pt idx="553">
                  <c:v>28.05882431206421</c:v>
                </c:pt>
                <c:pt idx="554">
                  <c:v>23.08437153130151</c:v>
                </c:pt>
                <c:pt idx="555">
                  <c:v>23.864269740145613</c:v>
                </c:pt>
                <c:pt idx="556">
                  <c:v>28.531821532479672</c:v>
                </c:pt>
                <c:pt idx="557">
                  <c:v>21.600520034934135</c:v>
                </c:pt>
                <c:pt idx="558">
                  <c:v>25.595573549907058</c:v>
                </c:pt>
                <c:pt idx="559">
                  <c:v>23.785137669547929</c:v>
                </c:pt>
                <c:pt idx="560">
                  <c:v>21.28949226822413</c:v>
                </c:pt>
                <c:pt idx="561">
                  <c:v>24.377265855205003</c:v>
                </c:pt>
                <c:pt idx="562">
                  <c:v>20.54391560013746</c:v>
                </c:pt>
                <c:pt idx="563">
                  <c:v>27.295523303674397</c:v>
                </c:pt>
                <c:pt idx="564">
                  <c:v>24.251971322512304</c:v>
                </c:pt>
                <c:pt idx="565">
                  <c:v>24.293216171700251</c:v>
                </c:pt>
                <c:pt idx="566">
                  <c:v>24.594026769102175</c:v>
                </c:pt>
                <c:pt idx="567">
                  <c:v>17.996265513152036</c:v>
                </c:pt>
                <c:pt idx="568">
                  <c:v>24.16876892228257</c:v>
                </c:pt>
                <c:pt idx="569">
                  <c:v>26.384671698835998</c:v>
                </c:pt>
                <c:pt idx="570">
                  <c:v>30.292012893082571</c:v>
                </c:pt>
                <c:pt idx="571">
                  <c:v>25.347221640303182</c:v>
                </c:pt>
                <c:pt idx="572">
                  <c:v>23.338978295402583</c:v>
                </c:pt>
                <c:pt idx="573">
                  <c:v>22.679114531041318</c:v>
                </c:pt>
                <c:pt idx="574">
                  <c:v>29.45728434271193</c:v>
                </c:pt>
                <c:pt idx="575">
                  <c:v>23.955630706132489</c:v>
                </c:pt>
                <c:pt idx="576">
                  <c:v>23.02617861330463</c:v>
                </c:pt>
                <c:pt idx="577">
                  <c:v>25.611255199056341</c:v>
                </c:pt>
                <c:pt idx="578">
                  <c:v>24.336365603354192</c:v>
                </c:pt>
                <c:pt idx="579">
                  <c:v>22.456207187540894</c:v>
                </c:pt>
                <c:pt idx="580">
                  <c:v>23.187254479686839</c:v>
                </c:pt>
                <c:pt idx="581">
                  <c:v>22.998003988792821</c:v>
                </c:pt>
                <c:pt idx="582">
                  <c:v>25.841219911518767</c:v>
                </c:pt>
                <c:pt idx="583">
                  <c:v>27.034058426420298</c:v>
                </c:pt>
                <c:pt idx="584">
                  <c:v>28.63000601917037</c:v>
                </c:pt>
                <c:pt idx="585">
                  <c:v>27.423545246861543</c:v>
                </c:pt>
                <c:pt idx="586">
                  <c:v>23.432703418935922</c:v>
                </c:pt>
                <c:pt idx="587">
                  <c:v>29.781478458174288</c:v>
                </c:pt>
                <c:pt idx="588">
                  <c:v>21.282339265188227</c:v>
                </c:pt>
                <c:pt idx="589">
                  <c:v>21.111593183396813</c:v>
                </c:pt>
                <c:pt idx="590">
                  <c:v>27.965554431272007</c:v>
                </c:pt>
                <c:pt idx="591">
                  <c:v>29.644144727595886</c:v>
                </c:pt>
                <c:pt idx="592">
                  <c:v>28.380051794278163</c:v>
                </c:pt>
                <c:pt idx="593">
                  <c:v>28.746324542302403</c:v>
                </c:pt>
                <c:pt idx="594">
                  <c:v>25.811222670217063</c:v>
                </c:pt>
                <c:pt idx="595">
                  <c:v>29.836576695967164</c:v>
                </c:pt>
                <c:pt idx="596">
                  <c:v>35.319359979298859</c:v>
                </c:pt>
                <c:pt idx="597">
                  <c:v>28.302050533371862</c:v>
                </c:pt>
                <c:pt idx="598">
                  <c:v>21.855080179395376</c:v>
                </c:pt>
                <c:pt idx="599">
                  <c:v>36.850386628622559</c:v>
                </c:pt>
                <c:pt idx="600">
                  <c:v>34.258118644213859</c:v>
                </c:pt>
                <c:pt idx="601">
                  <c:v>20.348130392210258</c:v>
                </c:pt>
                <c:pt idx="602">
                  <c:v>33.96318218630045</c:v>
                </c:pt>
                <c:pt idx="603">
                  <c:v>28.269007120657864</c:v>
                </c:pt>
                <c:pt idx="604">
                  <c:v>28.62945214622578</c:v>
                </c:pt>
                <c:pt idx="605">
                  <c:v>25.202570442587835</c:v>
                </c:pt>
                <c:pt idx="606">
                  <c:v>24.732583842729543</c:v>
                </c:pt>
                <c:pt idx="607">
                  <c:v>30.793659425380213</c:v>
                </c:pt>
                <c:pt idx="608">
                  <c:v>24.060968847964492</c:v>
                </c:pt>
                <c:pt idx="609">
                  <c:v>30.202418282866255</c:v>
                </c:pt>
                <c:pt idx="610">
                  <c:v>26.511527161269463</c:v>
                </c:pt>
                <c:pt idx="611">
                  <c:v>26.272968932721668</c:v>
                </c:pt>
                <c:pt idx="612">
                  <c:v>23.976380739301938</c:v>
                </c:pt>
                <c:pt idx="613">
                  <c:v>29.713525368054409</c:v>
                </c:pt>
                <c:pt idx="614">
                  <c:v>25.578251004212202</c:v>
                </c:pt>
                <c:pt idx="615">
                  <c:v>25.89524995829855</c:v>
                </c:pt>
                <c:pt idx="616">
                  <c:v>25.139704564420562</c:v>
                </c:pt>
                <c:pt idx="617">
                  <c:v>21.903458493074496</c:v>
                </c:pt>
                <c:pt idx="618">
                  <c:v>32.08168386635402</c:v>
                </c:pt>
                <c:pt idx="619">
                  <c:v>29.667546042884432</c:v>
                </c:pt>
                <c:pt idx="620">
                  <c:v>27.527627802909908</c:v>
                </c:pt>
                <c:pt idx="621">
                  <c:v>28.795408728635245</c:v>
                </c:pt>
                <c:pt idx="622">
                  <c:v>22.294392540903079</c:v>
                </c:pt>
                <c:pt idx="623">
                  <c:v>23.447841712650689</c:v>
                </c:pt>
                <c:pt idx="624">
                  <c:v>23.718201047024625</c:v>
                </c:pt>
                <c:pt idx="625">
                  <c:v>26.315260250822419</c:v>
                </c:pt>
                <c:pt idx="626">
                  <c:v>25.812245066125143</c:v>
                </c:pt>
                <c:pt idx="627">
                  <c:v>23.834895763123143</c:v>
                </c:pt>
                <c:pt idx="628">
                  <c:v>25.104824317570305</c:v>
                </c:pt>
                <c:pt idx="629">
                  <c:v>26.476802671023904</c:v>
                </c:pt>
                <c:pt idx="630">
                  <c:v>20.549771856506499</c:v>
                </c:pt>
                <c:pt idx="631">
                  <c:v>26.017920325616178</c:v>
                </c:pt>
                <c:pt idx="632">
                  <c:v>26.057473260133683</c:v>
                </c:pt>
                <c:pt idx="633">
                  <c:v>26.377571348093831</c:v>
                </c:pt>
                <c:pt idx="634">
                  <c:v>20.120993748635822</c:v>
                </c:pt>
                <c:pt idx="635">
                  <c:v>19.969480655429162</c:v>
                </c:pt>
                <c:pt idx="636">
                  <c:v>20.181874213835926</c:v>
                </c:pt>
                <c:pt idx="637">
                  <c:v>28.583667471366006</c:v>
                </c:pt>
                <c:pt idx="638">
                  <c:v>23.549692135642836</c:v>
                </c:pt>
                <c:pt idx="639">
                  <c:v>21.634095862257382</c:v>
                </c:pt>
                <c:pt idx="640">
                  <c:v>20.684088090914017</c:v>
                </c:pt>
                <c:pt idx="641">
                  <c:v>26.157506368648118</c:v>
                </c:pt>
                <c:pt idx="642">
                  <c:v>27.895462226920632</c:v>
                </c:pt>
                <c:pt idx="643">
                  <c:v>23.275171685778449</c:v>
                </c:pt>
                <c:pt idx="644">
                  <c:v>27.691791744787011</c:v>
                </c:pt>
                <c:pt idx="645">
                  <c:v>27.733036593974955</c:v>
                </c:pt>
                <c:pt idx="646">
                  <c:v>25.306731645526529</c:v>
                </c:pt>
                <c:pt idx="647">
                  <c:v>33.585668425130628</c:v>
                </c:pt>
                <c:pt idx="648">
                  <c:v>25.910203649481353</c:v>
                </c:pt>
                <c:pt idx="649">
                  <c:v>24.920992266407957</c:v>
                </c:pt>
                <c:pt idx="650">
                  <c:v>25.986906442996698</c:v>
                </c:pt>
                <c:pt idx="651">
                  <c:v>21.231844064898461</c:v>
                </c:pt>
                <c:pt idx="652">
                  <c:v>20.500391319380157</c:v>
                </c:pt>
                <c:pt idx="653">
                  <c:v>24.826800849960581</c:v>
                </c:pt>
                <c:pt idx="654">
                  <c:v>24.86326794874137</c:v>
                </c:pt>
                <c:pt idx="655">
                  <c:v>31.750227106897572</c:v>
                </c:pt>
                <c:pt idx="656">
                  <c:v>30.414427693297462</c:v>
                </c:pt>
                <c:pt idx="657">
                  <c:v>25.23038679055491</c:v>
                </c:pt>
                <c:pt idx="658">
                  <c:v>23.816777709492861</c:v>
                </c:pt>
                <c:pt idx="659">
                  <c:v>23.171678444584181</c:v>
                </c:pt>
                <c:pt idx="660">
                  <c:v>24.597427586103137</c:v>
                </c:pt>
                <c:pt idx="661">
                  <c:v>29.668469309134714</c:v>
                </c:pt>
                <c:pt idx="662">
                  <c:v>26.470134042143325</c:v>
                </c:pt>
                <c:pt idx="663">
                  <c:v>29.121506952467069</c:v>
                </c:pt>
                <c:pt idx="664">
                  <c:v>26.546836835658667</c:v>
                </c:pt>
                <c:pt idx="665">
                  <c:v>20.910640468796828</c:v>
                </c:pt>
                <c:pt idx="666">
                  <c:v>28.640423276109768</c:v>
                </c:pt>
                <c:pt idx="667">
                  <c:v>28.987603754633312</c:v>
                </c:pt>
                <c:pt idx="668">
                  <c:v>27.544663597991953</c:v>
                </c:pt>
                <c:pt idx="669">
                  <c:v>22.227895762454189</c:v>
                </c:pt>
                <c:pt idx="670">
                  <c:v>24.013577653557547</c:v>
                </c:pt>
                <c:pt idx="671">
                  <c:v>32.168963440176604</c:v>
                </c:pt>
                <c:pt idx="672">
                  <c:v>22.123608214260571</c:v>
                </c:pt>
                <c:pt idx="673">
                  <c:v>25.585316504600975</c:v>
                </c:pt>
                <c:pt idx="674">
                  <c:v>27.7898917920005</c:v>
                </c:pt>
                <c:pt idx="675">
                  <c:v>29.329419041932695</c:v>
                </c:pt>
                <c:pt idx="676">
                  <c:v>32.408069514917777</c:v>
                </c:pt>
                <c:pt idx="677">
                  <c:v>29.421125582427653</c:v>
                </c:pt>
                <c:pt idx="678">
                  <c:v>28.544545649602963</c:v>
                </c:pt>
                <c:pt idx="679">
                  <c:v>28.287946969970932</c:v>
                </c:pt>
                <c:pt idx="680">
                  <c:v>22.59124249559439</c:v>
                </c:pt>
                <c:pt idx="681">
                  <c:v>27.509484630329045</c:v>
                </c:pt>
                <c:pt idx="682">
                  <c:v>29.017214967482111</c:v>
                </c:pt>
                <c:pt idx="683">
                  <c:v>23.78672942367227</c:v>
                </c:pt>
                <c:pt idx="684">
                  <c:v>21.314586373707286</c:v>
                </c:pt>
                <c:pt idx="685">
                  <c:v>25.284410888869687</c:v>
                </c:pt>
                <c:pt idx="686">
                  <c:v>26.342733770226086</c:v>
                </c:pt>
                <c:pt idx="687">
                  <c:v>26.915178503899764</c:v>
                </c:pt>
                <c:pt idx="688">
                  <c:v>27.78845405193238</c:v>
                </c:pt>
                <c:pt idx="689">
                  <c:v>25.677140250493128</c:v>
                </c:pt>
                <c:pt idx="690">
                  <c:v>26.234430862899004</c:v>
                </c:pt>
                <c:pt idx="691">
                  <c:v>26.801609771213489</c:v>
                </c:pt>
                <c:pt idx="692">
                  <c:v>28.533486960929633</c:v>
                </c:pt>
                <c:pt idx="693">
                  <c:v>26.87601734970103</c:v>
                </c:pt>
                <c:pt idx="694">
                  <c:v>26.913221138944802</c:v>
                </c:pt>
                <c:pt idx="695">
                  <c:v>31.192357605047899</c:v>
                </c:pt>
                <c:pt idx="696">
                  <c:v>24.011853873242</c:v>
                </c:pt>
                <c:pt idx="697">
                  <c:v>37.928892203388941</c:v>
                </c:pt>
                <c:pt idx="698">
                  <c:v>26.533461072901471</c:v>
                </c:pt>
                <c:pt idx="699">
                  <c:v>33.502439626233098</c:v>
                </c:pt>
                <c:pt idx="700">
                  <c:v>26.880490919338648</c:v>
                </c:pt>
                <c:pt idx="701">
                  <c:v>31.802130908299524</c:v>
                </c:pt>
                <c:pt idx="702">
                  <c:v>25.161993308810725</c:v>
                </c:pt>
                <c:pt idx="703">
                  <c:v>29.594571380912633</c:v>
                </c:pt>
                <c:pt idx="704">
                  <c:v>29.023943348946716</c:v>
                </c:pt>
                <c:pt idx="705">
                  <c:v>28.478128455340627</c:v>
                </c:pt>
                <c:pt idx="706">
                  <c:v>28.226628013644579</c:v>
                </c:pt>
                <c:pt idx="707">
                  <c:v>27.696853612641895</c:v>
                </c:pt>
                <c:pt idx="708">
                  <c:v>26.126988569008443</c:v>
                </c:pt>
                <c:pt idx="709">
                  <c:v>24.231682204460363</c:v>
                </c:pt>
                <c:pt idx="710">
                  <c:v>28.976034441893646</c:v>
                </c:pt>
                <c:pt idx="711">
                  <c:v>22.768819238818036</c:v>
                </c:pt>
                <c:pt idx="712">
                  <c:v>25.274793055907786</c:v>
                </c:pt>
                <c:pt idx="713">
                  <c:v>29.395740933411282</c:v>
                </c:pt>
                <c:pt idx="714">
                  <c:v>25.107710966737212</c:v>
                </c:pt>
                <c:pt idx="715">
                  <c:v>41.334006925209479</c:v>
                </c:pt>
                <c:pt idx="716">
                  <c:v>26.685348764923521</c:v>
                </c:pt>
                <c:pt idx="717">
                  <c:v>28.373569133746699</c:v>
                </c:pt>
                <c:pt idx="718">
                  <c:v>31.196897684739099</c:v>
                </c:pt>
                <c:pt idx="719">
                  <c:v>35.251400315325405</c:v>
                </c:pt>
                <c:pt idx="720">
                  <c:v>23.923513850441804</c:v>
                </c:pt>
                <c:pt idx="721">
                  <c:v>26.094300475881688</c:v>
                </c:pt>
                <c:pt idx="722">
                  <c:v>28.28310994419849</c:v>
                </c:pt>
                <c:pt idx="723">
                  <c:v>32.803018991073039</c:v>
                </c:pt>
                <c:pt idx="724">
                  <c:v>26.46168514502347</c:v>
                </c:pt>
                <c:pt idx="725">
                  <c:v>26.757151707935741</c:v>
                </c:pt>
                <c:pt idx="726">
                  <c:v>26.274835817119822</c:v>
                </c:pt>
                <c:pt idx="727">
                  <c:v>33.70583987420418</c:v>
                </c:pt>
                <c:pt idx="728">
                  <c:v>27.135824909669012</c:v>
                </c:pt>
                <c:pt idx="729">
                  <c:v>27.441268404087658</c:v>
                </c:pt>
                <c:pt idx="730">
                  <c:v>26.941244310318996</c:v>
                </c:pt>
                <c:pt idx="731">
                  <c:v>20.502960962745242</c:v>
                </c:pt>
                <c:pt idx="732">
                  <c:v>27.012049157389487</c:v>
                </c:pt>
                <c:pt idx="733">
                  <c:v>27.868156888278314</c:v>
                </c:pt>
                <c:pt idx="734">
                  <c:v>29.346488798968526</c:v>
                </c:pt>
                <c:pt idx="735">
                  <c:v>33.342628218307453</c:v>
                </c:pt>
                <c:pt idx="736">
                  <c:v>23.784221198065399</c:v>
                </c:pt>
                <c:pt idx="737">
                  <c:v>27.20322224447979</c:v>
                </c:pt>
                <c:pt idx="738">
                  <c:v>29.208755808810157</c:v>
                </c:pt>
                <c:pt idx="739">
                  <c:v>27.008588017655111</c:v>
                </c:pt>
                <c:pt idx="740">
                  <c:v>36.276587784474415</c:v>
                </c:pt>
                <c:pt idx="741">
                  <c:v>30.236542830206236</c:v>
                </c:pt>
                <c:pt idx="742">
                  <c:v>26.085845864689091</c:v>
                </c:pt>
                <c:pt idx="743">
                  <c:v>24.688454341263288</c:v>
                </c:pt>
                <c:pt idx="744">
                  <c:v>25.911499074438503</c:v>
                </c:pt>
                <c:pt idx="745">
                  <c:v>25.21921171814633</c:v>
                </c:pt>
                <c:pt idx="746">
                  <c:v>26.736766872002214</c:v>
                </c:pt>
                <c:pt idx="747">
                  <c:v>35.413941123698606</c:v>
                </c:pt>
                <c:pt idx="748">
                  <c:v>26.812411016959011</c:v>
                </c:pt>
                <c:pt idx="749">
                  <c:v>26.335438907614741</c:v>
                </c:pt>
                <c:pt idx="750">
                  <c:v>23.583293015731904</c:v>
                </c:pt>
                <c:pt idx="751">
                  <c:v>23.613458394365484</c:v>
                </c:pt>
                <c:pt idx="752">
                  <c:v>22.415977219597039</c:v>
                </c:pt>
                <c:pt idx="753">
                  <c:v>28.626672542918708</c:v>
                </c:pt>
                <c:pt idx="754">
                  <c:v>28.101130934123649</c:v>
                </c:pt>
                <c:pt idx="755">
                  <c:v>30.182549248285714</c:v>
                </c:pt>
                <c:pt idx="756">
                  <c:v>26.585031950540394</c:v>
                </c:pt>
                <c:pt idx="757">
                  <c:v>24.921426780894151</c:v>
                </c:pt>
                <c:pt idx="758">
                  <c:v>28.81630145657881</c:v>
                </c:pt>
                <c:pt idx="759">
                  <c:v>28.287041724018607</c:v>
                </c:pt>
                <c:pt idx="760">
                  <c:v>29.472841838916327</c:v>
                </c:pt>
                <c:pt idx="761">
                  <c:v>24.15128054488299</c:v>
                </c:pt>
                <c:pt idx="762">
                  <c:v>31.097759741475699</c:v>
                </c:pt>
                <c:pt idx="763">
                  <c:v>26.572983965714783</c:v>
                </c:pt>
                <c:pt idx="764">
                  <c:v>27.656625544288651</c:v>
                </c:pt>
                <c:pt idx="765">
                  <c:v>24.720461396425119</c:v>
                </c:pt>
                <c:pt idx="766">
                  <c:v>33.646463327893805</c:v>
                </c:pt>
                <c:pt idx="767">
                  <c:v>25.966110854789857</c:v>
                </c:pt>
                <c:pt idx="768">
                  <c:v>24.150402134043187</c:v>
                </c:pt>
                <c:pt idx="769">
                  <c:v>27.83021721855609</c:v>
                </c:pt>
                <c:pt idx="770">
                  <c:v>26.820205591747328</c:v>
                </c:pt>
                <c:pt idx="771">
                  <c:v>25.382466860723159</c:v>
                </c:pt>
                <c:pt idx="772">
                  <c:v>21.654570843592346</c:v>
                </c:pt>
                <c:pt idx="773">
                  <c:v>32.204616654990922</c:v>
                </c:pt>
                <c:pt idx="774">
                  <c:v>24.559179661723721</c:v>
                </c:pt>
                <c:pt idx="775">
                  <c:v>27.252861984314432</c:v>
                </c:pt>
                <c:pt idx="776">
                  <c:v>23.754495607355739</c:v>
                </c:pt>
                <c:pt idx="777">
                  <c:v>34.86863049970853</c:v>
                </c:pt>
                <c:pt idx="778">
                  <c:v>22.784694916389213</c:v>
                </c:pt>
                <c:pt idx="779">
                  <c:v>24.943714546573453</c:v>
                </c:pt>
                <c:pt idx="780">
                  <c:v>37.392511534522043</c:v>
                </c:pt>
                <c:pt idx="781">
                  <c:v>24.339882504168965</c:v>
                </c:pt>
                <c:pt idx="782">
                  <c:v>28.302386572563531</c:v>
                </c:pt>
                <c:pt idx="783">
                  <c:v>29.764446024879298</c:v>
                </c:pt>
                <c:pt idx="784">
                  <c:v>32.330568674610312</c:v>
                </c:pt>
                <c:pt idx="785">
                  <c:v>27.603641395993726</c:v>
                </c:pt>
                <c:pt idx="786">
                  <c:v>24.27613599863751</c:v>
                </c:pt>
                <c:pt idx="787">
                  <c:v>33.482029759947018</c:v>
                </c:pt>
                <c:pt idx="788">
                  <c:v>32.488780412680342</c:v>
                </c:pt>
                <c:pt idx="789">
                  <c:v>27.481690483023609</c:v>
                </c:pt>
                <c:pt idx="790">
                  <c:v>31.586210369616406</c:v>
                </c:pt>
                <c:pt idx="791">
                  <c:v>31.304315102605745</c:v>
                </c:pt>
                <c:pt idx="792">
                  <c:v>28.663457255039802</c:v>
                </c:pt>
                <c:pt idx="793">
                  <c:v>22.241138493182699</c:v>
                </c:pt>
                <c:pt idx="794">
                  <c:v>29.299045717766106</c:v>
                </c:pt>
                <c:pt idx="795">
                  <c:v>28.223859451275089</c:v>
                </c:pt>
                <c:pt idx="796">
                  <c:v>30.871704314482166</c:v>
                </c:pt>
                <c:pt idx="797">
                  <c:v>27.755638771329945</c:v>
                </c:pt>
                <c:pt idx="798">
                  <c:v>25.786907185285195</c:v>
                </c:pt>
                <c:pt idx="799">
                  <c:v>30.369799864640381</c:v>
                </c:pt>
                <c:pt idx="800">
                  <c:v>29.238268959922596</c:v>
                </c:pt>
                <c:pt idx="801">
                  <c:v>27.895953748267338</c:v>
                </c:pt>
                <c:pt idx="802">
                  <c:v>28.197268092681764</c:v>
                </c:pt>
                <c:pt idx="803">
                  <c:v>33.113716778056954</c:v>
                </c:pt>
                <c:pt idx="804">
                  <c:v>28.271471429767772</c:v>
                </c:pt>
                <c:pt idx="805">
                  <c:v>31.858575350602393</c:v>
                </c:pt>
                <c:pt idx="806">
                  <c:v>30.639656395618214</c:v>
                </c:pt>
                <c:pt idx="807">
                  <c:v>23.633150879983486</c:v>
                </c:pt>
                <c:pt idx="808">
                  <c:v>32.639422327590403</c:v>
                </c:pt>
                <c:pt idx="809">
                  <c:v>34.420701974084977</c:v>
                </c:pt>
                <c:pt idx="810">
                  <c:v>24.574037501675271</c:v>
                </c:pt>
                <c:pt idx="811">
                  <c:v>31.138348894503824</c:v>
                </c:pt>
                <c:pt idx="812">
                  <c:v>25.081982836766556</c:v>
                </c:pt>
                <c:pt idx="813">
                  <c:v>27.015148334178622</c:v>
                </c:pt>
                <c:pt idx="814">
                  <c:v>27.557330754595636</c:v>
                </c:pt>
                <c:pt idx="815">
                  <c:v>30.374962902838991</c:v>
                </c:pt>
                <c:pt idx="816">
                  <c:v>35.082868719266948</c:v>
                </c:pt>
                <c:pt idx="817">
                  <c:v>25.922902082206146</c:v>
                </c:pt>
                <c:pt idx="818">
                  <c:v>27.435505928207451</c:v>
                </c:pt>
                <c:pt idx="819">
                  <c:v>28.797640547286711</c:v>
                </c:pt>
                <c:pt idx="820">
                  <c:v>30.864205568176487</c:v>
                </c:pt>
                <c:pt idx="821">
                  <c:v>29.4255723881938</c:v>
                </c:pt>
                <c:pt idx="822">
                  <c:v>26.561940462073039</c:v>
                </c:pt>
                <c:pt idx="823">
                  <c:v>32.244098235612952</c:v>
                </c:pt>
                <c:pt idx="824">
                  <c:v>30.410681816772698</c:v>
                </c:pt>
                <c:pt idx="825">
                  <c:v>29.857767973999799</c:v>
                </c:pt>
                <c:pt idx="826">
                  <c:v>28.764570272165482</c:v>
                </c:pt>
                <c:pt idx="827">
                  <c:v>30.52396957208547</c:v>
                </c:pt>
                <c:pt idx="828">
                  <c:v>30.861191122564286</c:v>
                </c:pt>
                <c:pt idx="829">
                  <c:v>28.871476921260641</c:v>
                </c:pt>
                <c:pt idx="830">
                  <c:v>32.845614148404664</c:v>
                </c:pt>
                <c:pt idx="831">
                  <c:v>28.12887096350547</c:v>
                </c:pt>
                <c:pt idx="832">
                  <c:v>26.645539406031791</c:v>
                </c:pt>
                <c:pt idx="833">
                  <c:v>22.77804523332324</c:v>
                </c:pt>
                <c:pt idx="834">
                  <c:v>33.34270434111766</c:v>
                </c:pt>
                <c:pt idx="835">
                  <c:v>34.426874204038192</c:v>
                </c:pt>
                <c:pt idx="836">
                  <c:v>22.670267035089854</c:v>
                </c:pt>
                <c:pt idx="837">
                  <c:v>27.301660965267313</c:v>
                </c:pt>
                <c:pt idx="838">
                  <c:v>27.332948681248595</c:v>
                </c:pt>
                <c:pt idx="839">
                  <c:v>27.618195467017262</c:v>
                </c:pt>
                <c:pt idx="840">
                  <c:v>36.890612684577782</c:v>
                </c:pt>
                <c:pt idx="841">
                  <c:v>25.291639981134214</c:v>
                </c:pt>
                <c:pt idx="842">
                  <c:v>28.239783189236046</c:v>
                </c:pt>
                <c:pt idx="843">
                  <c:v>28.807903573159855</c:v>
                </c:pt>
                <c:pt idx="844">
                  <c:v>37.46721370823041</c:v>
                </c:pt>
                <c:pt idx="845">
                  <c:v>32.120220606118217</c:v>
                </c:pt>
                <c:pt idx="846">
                  <c:v>29.748792413570957</c:v>
                </c:pt>
                <c:pt idx="847">
                  <c:v>21.851154069387189</c:v>
                </c:pt>
                <c:pt idx="848">
                  <c:v>26.426499795732457</c:v>
                </c:pt>
                <c:pt idx="849">
                  <c:v>27.436177998289725</c:v>
                </c:pt>
                <c:pt idx="850">
                  <c:v>35.043899982511299</c:v>
                </c:pt>
                <c:pt idx="851">
                  <c:v>29.083263598210543</c:v>
                </c:pt>
                <c:pt idx="852">
                  <c:v>36.249072199884125</c:v>
                </c:pt>
                <c:pt idx="853">
                  <c:v>28.341045184935854</c:v>
                </c:pt>
                <c:pt idx="854">
                  <c:v>32.788453023287559</c:v>
                </c:pt>
                <c:pt idx="855">
                  <c:v>26.409259981920279</c:v>
                </c:pt>
                <c:pt idx="856">
                  <c:v>30.099571825250248</c:v>
                </c:pt>
                <c:pt idx="857">
                  <c:v>32.579706050756144</c:v>
                </c:pt>
                <c:pt idx="858">
                  <c:v>26.979914649872882</c:v>
                </c:pt>
                <c:pt idx="859">
                  <c:v>34.692947236614962</c:v>
                </c:pt>
                <c:pt idx="860">
                  <c:v>28.844599689529549</c:v>
                </c:pt>
                <c:pt idx="861">
                  <c:v>32.732867865635455</c:v>
                </c:pt>
                <c:pt idx="862">
                  <c:v>23.770358767189393</c:v>
                </c:pt>
                <c:pt idx="863">
                  <c:v>32.162566651829046</c:v>
                </c:pt>
                <c:pt idx="864">
                  <c:v>34.894425152217373</c:v>
                </c:pt>
                <c:pt idx="865">
                  <c:v>24.898867808370845</c:v>
                </c:pt>
                <c:pt idx="866">
                  <c:v>26.508725135130732</c:v>
                </c:pt>
                <c:pt idx="867">
                  <c:v>35.380356563879324</c:v>
                </c:pt>
                <c:pt idx="868">
                  <c:v>28.83825650396982</c:v>
                </c:pt>
                <c:pt idx="869">
                  <c:v>21.874177812353054</c:v>
                </c:pt>
                <c:pt idx="870">
                  <c:v>29.179179030117446</c:v>
                </c:pt>
                <c:pt idx="871">
                  <c:v>30.920927101541732</c:v>
                </c:pt>
                <c:pt idx="872">
                  <c:v>25.98995317935422</c:v>
                </c:pt>
                <c:pt idx="873">
                  <c:v>30.693198521938285</c:v>
                </c:pt>
                <c:pt idx="874">
                  <c:v>40.977918053362153</c:v>
                </c:pt>
                <c:pt idx="875">
                  <c:v>34.629876590585688</c:v>
                </c:pt>
                <c:pt idx="876">
                  <c:v>27.055122521303115</c:v>
                </c:pt>
                <c:pt idx="877">
                  <c:v>30.548574978940902</c:v>
                </c:pt>
                <c:pt idx="878">
                  <c:v>30.292793599180985</c:v>
                </c:pt>
                <c:pt idx="879">
                  <c:v>28.150763559704327</c:v>
                </c:pt>
                <c:pt idx="880">
                  <c:v>24.684273474045259</c:v>
                </c:pt>
                <c:pt idx="881">
                  <c:v>38.283312177531251</c:v>
                </c:pt>
                <c:pt idx="882">
                  <c:v>29.578100551587628</c:v>
                </c:pt>
                <c:pt idx="883">
                  <c:v>24.97802501645544</c:v>
                </c:pt>
                <c:pt idx="884">
                  <c:v>30.21092846270383</c:v>
                </c:pt>
                <c:pt idx="885">
                  <c:v>31.118181270703584</c:v>
                </c:pt>
                <c:pt idx="886">
                  <c:v>25.722997794772134</c:v>
                </c:pt>
                <c:pt idx="887">
                  <c:v>30.309271328793358</c:v>
                </c:pt>
                <c:pt idx="888">
                  <c:v>23.873762676758659</c:v>
                </c:pt>
                <c:pt idx="889">
                  <c:v>29.816166620852091</c:v>
                </c:pt>
                <c:pt idx="890">
                  <c:v>39.511344485674215</c:v>
                </c:pt>
                <c:pt idx="891">
                  <c:v>27.272157626838087</c:v>
                </c:pt>
                <c:pt idx="892">
                  <c:v>27.065199995923734</c:v>
                </c:pt>
                <c:pt idx="893">
                  <c:v>33.285181806194807</c:v>
                </c:pt>
                <c:pt idx="894">
                  <c:v>27.612104894715841</c:v>
                </c:pt>
                <c:pt idx="895">
                  <c:v>25.104019131550274</c:v>
                </c:pt>
                <c:pt idx="896">
                  <c:v>33.392438031134198</c:v>
                </c:pt>
                <c:pt idx="897">
                  <c:v>28.992444818079722</c:v>
                </c:pt>
                <c:pt idx="898">
                  <c:v>23.167667542197378</c:v>
                </c:pt>
                <c:pt idx="899">
                  <c:v>28.270992855390052</c:v>
                </c:pt>
                <c:pt idx="900">
                  <c:v>33.214553760763849</c:v>
                </c:pt>
                <c:pt idx="901">
                  <c:v>25.708423316100461</c:v>
                </c:pt>
                <c:pt idx="902">
                  <c:v>25.74127053498815</c:v>
                </c:pt>
                <c:pt idx="903">
                  <c:v>30.285864541292792</c:v>
                </c:pt>
                <c:pt idx="904">
                  <c:v>22.943432477210777</c:v>
                </c:pt>
                <c:pt idx="905">
                  <c:v>27.212743109263251</c:v>
                </c:pt>
                <c:pt idx="906">
                  <c:v>27.490094533494151</c:v>
                </c:pt>
                <c:pt idx="907">
                  <c:v>28.267984396883044</c:v>
                </c:pt>
                <c:pt idx="908">
                  <c:v>36.676729790238689</c:v>
                </c:pt>
                <c:pt idx="909">
                  <c:v>26.391416966572187</c:v>
                </c:pt>
                <c:pt idx="910">
                  <c:v>27.122188763405298</c:v>
                </c:pt>
                <c:pt idx="911">
                  <c:v>29.170629720968172</c:v>
                </c:pt>
                <c:pt idx="912">
                  <c:v>27.185090740297024</c:v>
                </c:pt>
                <c:pt idx="913">
                  <c:v>31.200913314671773</c:v>
                </c:pt>
                <c:pt idx="914">
                  <c:v>31.530449793860221</c:v>
                </c:pt>
                <c:pt idx="915">
                  <c:v>31.871544761493464</c:v>
                </c:pt>
                <c:pt idx="916">
                  <c:v>31.299256180761297</c:v>
                </c:pt>
                <c:pt idx="917">
                  <c:v>31.636345511052028</c:v>
                </c:pt>
                <c:pt idx="918">
                  <c:v>26.653214475527211</c:v>
                </c:pt>
                <c:pt idx="919">
                  <c:v>33.915521746761634</c:v>
                </c:pt>
                <c:pt idx="920">
                  <c:v>26.708916073177217</c:v>
                </c:pt>
                <c:pt idx="921">
                  <c:v>23.761583394592957</c:v>
                </c:pt>
                <c:pt idx="922">
                  <c:v>30.635866657400292</c:v>
                </c:pt>
                <c:pt idx="923">
                  <c:v>38.455301744145281</c:v>
                </c:pt>
                <c:pt idx="924">
                  <c:v>30.987194312909732</c:v>
                </c:pt>
                <c:pt idx="925">
                  <c:v>32.834755408927897</c:v>
                </c:pt>
                <c:pt idx="926">
                  <c:v>38.988263115629174</c:v>
                </c:pt>
                <c:pt idx="927">
                  <c:v>32.595502254506769</c:v>
                </c:pt>
                <c:pt idx="928">
                  <c:v>34.248304527992907</c:v>
                </c:pt>
                <c:pt idx="929">
                  <c:v>28.434924037284667</c:v>
                </c:pt>
                <c:pt idx="930">
                  <c:v>24.595284468315061</c:v>
                </c:pt>
                <c:pt idx="931">
                  <c:v>27.031985339547241</c:v>
                </c:pt>
                <c:pt idx="932">
                  <c:v>29.308681880385162</c:v>
                </c:pt>
                <c:pt idx="933">
                  <c:v>26.169527339063023</c:v>
                </c:pt>
                <c:pt idx="934">
                  <c:v>28.339883608634981</c:v>
                </c:pt>
                <c:pt idx="935">
                  <c:v>30.782319850501292</c:v>
                </c:pt>
                <c:pt idx="936">
                  <c:v>32.291575261176327</c:v>
                </c:pt>
                <c:pt idx="937">
                  <c:v>32.324667672798768</c:v>
                </c:pt>
                <c:pt idx="938">
                  <c:v>26.765008856987894</c:v>
                </c:pt>
                <c:pt idx="939">
                  <c:v>26.336349331148348</c:v>
                </c:pt>
                <c:pt idx="940">
                  <c:v>34.023968156418377</c:v>
                </c:pt>
                <c:pt idx="941">
                  <c:v>31.559839722762092</c:v>
                </c:pt>
                <c:pt idx="942">
                  <c:v>26.649739858930076</c:v>
                </c:pt>
                <c:pt idx="943">
                  <c:v>35.144289705144452</c:v>
                </c:pt>
                <c:pt idx="944">
                  <c:v>28.389635115684641</c:v>
                </c:pt>
                <c:pt idx="945">
                  <c:v>26.967566706795328</c:v>
                </c:pt>
                <c:pt idx="946">
                  <c:v>23.434712628576865</c:v>
                </c:pt>
                <c:pt idx="947">
                  <c:v>33.297061077865358</c:v>
                </c:pt>
                <c:pt idx="948">
                  <c:v>21.872517159426714</c:v>
                </c:pt>
                <c:pt idx="949">
                  <c:v>33.371264414951362</c:v>
                </c:pt>
                <c:pt idx="950">
                  <c:v>28.568476548032994</c:v>
                </c:pt>
                <c:pt idx="951">
                  <c:v>33.121016222793102</c:v>
                </c:pt>
                <c:pt idx="952">
                  <c:v>32.227074052393007</c:v>
                </c:pt>
                <c:pt idx="953">
                  <c:v>26.278070776013738</c:v>
                </c:pt>
                <c:pt idx="954">
                  <c:v>28.188507976498002</c:v>
                </c:pt>
                <c:pt idx="955">
                  <c:v>30.032650967591053</c:v>
                </c:pt>
                <c:pt idx="956">
                  <c:v>24.662355770726244</c:v>
                </c:pt>
                <c:pt idx="957">
                  <c:v>30.645135014361674</c:v>
                </c:pt>
                <c:pt idx="958">
                  <c:v>29.858357461513094</c:v>
                </c:pt>
                <c:pt idx="959">
                  <c:v>27.367207869928919</c:v>
                </c:pt>
                <c:pt idx="960">
                  <c:v>29.386278373104602</c:v>
                </c:pt>
                <c:pt idx="961">
                  <c:v>25.202500015482876</c:v>
                </c:pt>
                <c:pt idx="962">
                  <c:v>32.564802357657911</c:v>
                </c:pt>
                <c:pt idx="963">
                  <c:v>30.013807460311522</c:v>
                </c:pt>
                <c:pt idx="964">
                  <c:v>27.748239240865715</c:v>
                </c:pt>
                <c:pt idx="965">
                  <c:v>35.966587429679876</c:v>
                </c:pt>
                <c:pt idx="966">
                  <c:v>23.737926538360338</c:v>
                </c:pt>
                <c:pt idx="967">
                  <c:v>26.218023372384778</c:v>
                </c:pt>
                <c:pt idx="968">
                  <c:v>31.575562968310532</c:v>
                </c:pt>
                <c:pt idx="969">
                  <c:v>30.199151689648104</c:v>
                </c:pt>
                <c:pt idx="970">
                  <c:v>30.781163205174796</c:v>
                </c:pt>
                <c:pt idx="971">
                  <c:v>38.42617965905594</c:v>
                </c:pt>
                <c:pt idx="972">
                  <c:v>29.756249503701245</c:v>
                </c:pt>
                <c:pt idx="973">
                  <c:v>34.878827565533754</c:v>
                </c:pt>
                <c:pt idx="974">
                  <c:v>28.279701126907348</c:v>
                </c:pt>
                <c:pt idx="975">
                  <c:v>38.19685483295688</c:v>
                </c:pt>
                <c:pt idx="976">
                  <c:v>37.851135176613823</c:v>
                </c:pt>
                <c:pt idx="977">
                  <c:v>31.290231080221332</c:v>
                </c:pt>
                <c:pt idx="978">
                  <c:v>26.079584723894751</c:v>
                </c:pt>
                <c:pt idx="979">
                  <c:v>34.423602649989249</c:v>
                </c:pt>
                <c:pt idx="980">
                  <c:v>33.489023999021519</c:v>
                </c:pt>
                <c:pt idx="981">
                  <c:v>30.56984014832128</c:v>
                </c:pt>
                <c:pt idx="982">
                  <c:v>30.605713224967065</c:v>
                </c:pt>
                <c:pt idx="983">
                  <c:v>26.880401606528856</c:v>
                </c:pt>
                <c:pt idx="984">
                  <c:v>38.942476876367898</c:v>
                </c:pt>
                <c:pt idx="985">
                  <c:v>30.149710864811954</c:v>
                </c:pt>
                <c:pt idx="986">
                  <c:v>31.010009235319007</c:v>
                </c:pt>
                <c:pt idx="987">
                  <c:v>25.256695848730676</c:v>
                </c:pt>
                <c:pt idx="988">
                  <c:v>31.93137100365923</c:v>
                </c:pt>
                <c:pt idx="989">
                  <c:v>36.860389304174909</c:v>
                </c:pt>
                <c:pt idx="990">
                  <c:v>36.535301088369522</c:v>
                </c:pt>
                <c:pt idx="991">
                  <c:v>31.166869204213615</c:v>
                </c:pt>
                <c:pt idx="992">
                  <c:v>29.055402567854159</c:v>
                </c:pt>
                <c:pt idx="993">
                  <c:v>28.831146943642391</c:v>
                </c:pt>
                <c:pt idx="994">
                  <c:v>28.858997742467398</c:v>
                </c:pt>
                <c:pt idx="995">
                  <c:v>29.139686272846973</c:v>
                </c:pt>
                <c:pt idx="996">
                  <c:v>32.790686225646844</c:v>
                </c:pt>
                <c:pt idx="997">
                  <c:v>30.248998791143148</c:v>
                </c:pt>
                <c:pt idx="998">
                  <c:v>31.670017997096373</c:v>
                </c:pt>
                <c:pt idx="999">
                  <c:v>24.548834853076915</c:v>
                </c:pt>
                <c:pt idx="1000">
                  <c:v>29.037242854947412</c:v>
                </c:pt>
                <c:pt idx="1001">
                  <c:v>25.407222127777128</c:v>
                </c:pt>
                <c:pt idx="1002">
                  <c:v>32.683148114047938</c:v>
                </c:pt>
                <c:pt idx="1003">
                  <c:v>31.540919899269994</c:v>
                </c:pt>
                <c:pt idx="1004">
                  <c:v>24.089790124171422</c:v>
                </c:pt>
                <c:pt idx="1005">
                  <c:v>32.187221800369045</c:v>
                </c:pt>
                <c:pt idx="1006">
                  <c:v>34.058600630944973</c:v>
                </c:pt>
                <c:pt idx="1007">
                  <c:v>31.956156183536887</c:v>
                </c:pt>
                <c:pt idx="1008">
                  <c:v>31.131759467132412</c:v>
                </c:pt>
                <c:pt idx="1009">
                  <c:v>35.138879224464176</c:v>
                </c:pt>
                <c:pt idx="1010">
                  <c:v>27.159758101368702</c:v>
                </c:pt>
                <c:pt idx="1011">
                  <c:v>29.101138467534788</c:v>
                </c:pt>
                <c:pt idx="1012">
                  <c:v>29.639769589137632</c:v>
                </c:pt>
                <c:pt idx="1013">
                  <c:v>25.70910939721411</c:v>
                </c:pt>
                <c:pt idx="1014">
                  <c:v>29.962689154186293</c:v>
                </c:pt>
                <c:pt idx="1015">
                  <c:v>36.035820549395872</c:v>
                </c:pt>
                <c:pt idx="1016">
                  <c:v>27.782710169433415</c:v>
                </c:pt>
                <c:pt idx="1017">
                  <c:v>36.453601128725253</c:v>
                </c:pt>
                <c:pt idx="1018">
                  <c:v>34.139961176141824</c:v>
                </c:pt>
                <c:pt idx="1019">
                  <c:v>33.854991222940697</c:v>
                </c:pt>
                <c:pt idx="1020">
                  <c:v>28.369668410861834</c:v>
                </c:pt>
                <c:pt idx="1021">
                  <c:v>32.997816792519309</c:v>
                </c:pt>
                <c:pt idx="1022">
                  <c:v>31.564309608186967</c:v>
                </c:pt>
                <c:pt idx="1023">
                  <c:v>29.190228518195838</c:v>
                </c:pt>
                <c:pt idx="1024">
                  <c:v>25.781488443881781</c:v>
                </c:pt>
                <c:pt idx="1025">
                  <c:v>33.128022383019662</c:v>
                </c:pt>
                <c:pt idx="1026">
                  <c:v>33.775922560623904</c:v>
                </c:pt>
                <c:pt idx="1027">
                  <c:v>36.811191632157374</c:v>
                </c:pt>
                <c:pt idx="1028">
                  <c:v>37.204167628997894</c:v>
                </c:pt>
                <c:pt idx="1029">
                  <c:v>30.139852905428295</c:v>
                </c:pt>
                <c:pt idx="1030">
                  <c:v>29.647820195862295</c:v>
                </c:pt>
                <c:pt idx="1031">
                  <c:v>31.559124695656305</c:v>
                </c:pt>
                <c:pt idx="1032">
                  <c:v>30.224136610421102</c:v>
                </c:pt>
                <c:pt idx="1033">
                  <c:v>29.989740174762488</c:v>
                </c:pt>
                <c:pt idx="1034">
                  <c:v>32.814570742858422</c:v>
                </c:pt>
                <c:pt idx="1035">
                  <c:v>34.390449566515727</c:v>
                </c:pt>
                <c:pt idx="1036">
                  <c:v>27.856162155249947</c:v>
                </c:pt>
                <c:pt idx="1037">
                  <c:v>36.460821540895921</c:v>
                </c:pt>
                <c:pt idx="1038">
                  <c:v>26.775706345500499</c:v>
                </c:pt>
                <c:pt idx="1039">
                  <c:v>33.890853950925454</c:v>
                </c:pt>
                <c:pt idx="1040">
                  <c:v>24.955236434766537</c:v>
                </c:pt>
                <c:pt idx="1041">
                  <c:v>28.951254616764402</c:v>
                </c:pt>
                <c:pt idx="1042">
                  <c:v>33.366826035083847</c:v>
                </c:pt>
                <c:pt idx="1043">
                  <c:v>37.752717319683008</c:v>
                </c:pt>
                <c:pt idx="1044">
                  <c:v>31.395324994829473</c:v>
                </c:pt>
                <c:pt idx="1045">
                  <c:v>30.875287140153752</c:v>
                </c:pt>
                <c:pt idx="1046">
                  <c:v>35.07935701702322</c:v>
                </c:pt>
                <c:pt idx="1047">
                  <c:v>39.414327091976432</c:v>
                </c:pt>
                <c:pt idx="1048">
                  <c:v>32.370156446316017</c:v>
                </c:pt>
                <c:pt idx="1049">
                  <c:v>39.098469197910454</c:v>
                </c:pt>
                <c:pt idx="1050">
                  <c:v>32.429409890296093</c:v>
                </c:pt>
                <c:pt idx="1051">
                  <c:v>28.258528941936895</c:v>
                </c:pt>
                <c:pt idx="1052">
                  <c:v>34.316366888270899</c:v>
                </c:pt>
                <c:pt idx="1053">
                  <c:v>30.574606950087539</c:v>
                </c:pt>
                <c:pt idx="1054">
                  <c:v>22.539402078935641</c:v>
                </c:pt>
                <c:pt idx="1055">
                  <c:v>27.897992840607362</c:v>
                </c:pt>
                <c:pt idx="1056">
                  <c:v>33.508608046139649</c:v>
                </c:pt>
                <c:pt idx="1057">
                  <c:v>28.187232606641835</c:v>
                </c:pt>
                <c:pt idx="1058">
                  <c:v>30.988308869022568</c:v>
                </c:pt>
                <c:pt idx="1059">
                  <c:v>31.565355676575425</c:v>
                </c:pt>
                <c:pt idx="1060">
                  <c:v>28.263967359654472</c:v>
                </c:pt>
                <c:pt idx="1061">
                  <c:v>30.279661277970959</c:v>
                </c:pt>
                <c:pt idx="1062">
                  <c:v>42.032667574102689</c:v>
                </c:pt>
                <c:pt idx="1063">
                  <c:v>31.966463762651621</c:v>
                </c:pt>
                <c:pt idx="1064">
                  <c:v>38.886196559168035</c:v>
                </c:pt>
                <c:pt idx="1065">
                  <c:v>26.810236484074142</c:v>
                </c:pt>
                <c:pt idx="1066">
                  <c:v>40.529533584967965</c:v>
                </c:pt>
                <c:pt idx="1067">
                  <c:v>35.127464712451413</c:v>
                </c:pt>
                <c:pt idx="1068">
                  <c:v>30.741183652517297</c:v>
                </c:pt>
                <c:pt idx="1069">
                  <c:v>32.145305194999963</c:v>
                </c:pt>
                <c:pt idx="1070">
                  <c:v>32.466599048873675</c:v>
                </c:pt>
                <c:pt idx="1071">
                  <c:v>25.700993361981475</c:v>
                </c:pt>
                <c:pt idx="1072">
                  <c:v>34.967151380681585</c:v>
                </c:pt>
                <c:pt idx="1073">
                  <c:v>34.050444186420613</c:v>
                </c:pt>
                <c:pt idx="1074">
                  <c:v>42.503409154593001</c:v>
                </c:pt>
                <c:pt idx="1075">
                  <c:v>40.461428123185037</c:v>
                </c:pt>
                <c:pt idx="1076">
                  <c:v>32.93917573835806</c:v>
                </c:pt>
                <c:pt idx="1077">
                  <c:v>34.17829316334084</c:v>
                </c:pt>
                <c:pt idx="1078">
                  <c:v>28.744838478533662</c:v>
                </c:pt>
                <c:pt idx="1079">
                  <c:v>26.944198810181152</c:v>
                </c:pt>
                <c:pt idx="1080">
                  <c:v>37.617777150358116</c:v>
                </c:pt>
                <c:pt idx="1081">
                  <c:v>30.584782913456412</c:v>
                </c:pt>
                <c:pt idx="1082">
                  <c:v>29.094213806594389</c:v>
                </c:pt>
                <c:pt idx="1083">
                  <c:v>40.76472635291443</c:v>
                </c:pt>
                <c:pt idx="1084">
                  <c:v>27.735730135146415</c:v>
                </c:pt>
                <c:pt idx="1085">
                  <c:v>34.4339911171813</c:v>
                </c:pt>
                <c:pt idx="1086">
                  <c:v>34.779893607919291</c:v>
                </c:pt>
                <c:pt idx="1087">
                  <c:v>33.573001359111579</c:v>
                </c:pt>
                <c:pt idx="1088">
                  <c:v>29.010852288977468</c:v>
                </c:pt>
                <c:pt idx="1089">
                  <c:v>27.413961859773885</c:v>
                </c:pt>
                <c:pt idx="1090">
                  <c:v>36.55922717731584</c:v>
                </c:pt>
                <c:pt idx="1091">
                  <c:v>33.101030618670599</c:v>
                </c:pt>
                <c:pt idx="1092">
                  <c:v>38.396854063048949</c:v>
                </c:pt>
                <c:pt idx="1093">
                  <c:v>27.075148619955868</c:v>
                </c:pt>
                <c:pt idx="1094">
                  <c:v>30.689865189117086</c:v>
                </c:pt>
                <c:pt idx="1095">
                  <c:v>30.716771962034077</c:v>
                </c:pt>
                <c:pt idx="1096">
                  <c:v>31.822322737447642</c:v>
                </c:pt>
                <c:pt idx="1097">
                  <c:v>32.128948343258571</c:v>
                </c:pt>
                <c:pt idx="1098">
                  <c:v>28.094085586450078</c:v>
                </c:pt>
                <c:pt idx="1099">
                  <c:v>27.66511161606498</c:v>
                </c:pt>
                <c:pt idx="1100">
                  <c:v>27.033420212702715</c:v>
                </c:pt>
                <c:pt idx="1101">
                  <c:v>30.621314088759835</c:v>
                </c:pt>
                <c:pt idx="1102">
                  <c:v>33.731971018208</c:v>
                </c:pt>
                <c:pt idx="1103">
                  <c:v>31.74619450661433</c:v>
                </c:pt>
                <c:pt idx="1104">
                  <c:v>34.720350807249197</c:v>
                </c:pt>
                <c:pt idx="1105">
                  <c:v>29.466145156852445</c:v>
                </c:pt>
                <c:pt idx="1106">
                  <c:v>26.330263319061064</c:v>
                </c:pt>
                <c:pt idx="1107">
                  <c:v>33.28758273064426</c:v>
                </c:pt>
                <c:pt idx="1108">
                  <c:v>32.454845335897431</c:v>
                </c:pt>
                <c:pt idx="1109">
                  <c:v>31.377219169954131</c:v>
                </c:pt>
                <c:pt idx="1110">
                  <c:v>27.945240190389658</c:v>
                </c:pt>
                <c:pt idx="1111">
                  <c:v>26.24197564065091</c:v>
                </c:pt>
                <c:pt idx="1112">
                  <c:v>27.545648832940884</c:v>
                </c:pt>
                <c:pt idx="1113">
                  <c:v>35.640021695732166</c:v>
                </c:pt>
                <c:pt idx="1114">
                  <c:v>29.21256040924208</c:v>
                </c:pt>
                <c:pt idx="1115">
                  <c:v>31.276432838707439</c:v>
                </c:pt>
                <c:pt idx="1116">
                  <c:v>28.790070944875492</c:v>
                </c:pt>
                <c:pt idx="1117">
                  <c:v>26.590597232189683</c:v>
                </c:pt>
                <c:pt idx="1118">
                  <c:v>34.844715115277999</c:v>
                </c:pt>
                <c:pt idx="1119">
                  <c:v>30.859671197199141</c:v>
                </c:pt>
                <c:pt idx="1120">
                  <c:v>27.969458153242812</c:v>
                </c:pt>
                <c:pt idx="1121">
                  <c:v>26.271161827314579</c:v>
                </c:pt>
                <c:pt idx="1122">
                  <c:v>34.651414039548975</c:v>
                </c:pt>
                <c:pt idx="1123">
                  <c:v>31.234914214253369</c:v>
                </c:pt>
                <c:pt idx="1124">
                  <c:v>35.030059344614585</c:v>
                </c:pt>
                <c:pt idx="1125">
                  <c:v>39.938395710008962</c:v>
                </c:pt>
                <c:pt idx="1126">
                  <c:v>31.588551404544507</c:v>
                </c:pt>
                <c:pt idx="1127">
                  <c:v>30.820132599210972</c:v>
                </c:pt>
                <c:pt idx="1128">
                  <c:v>28.399241672915863</c:v>
                </c:pt>
                <c:pt idx="1129">
                  <c:v>32.780390217027723</c:v>
                </c:pt>
                <c:pt idx="1130">
                  <c:v>33.681149444751675</c:v>
                </c:pt>
                <c:pt idx="1131">
                  <c:v>33.420358542013318</c:v>
                </c:pt>
                <c:pt idx="1132">
                  <c:v>35.601179863349699</c:v>
                </c:pt>
                <c:pt idx="1133">
                  <c:v>31.512368184041751</c:v>
                </c:pt>
                <c:pt idx="1134">
                  <c:v>32.925214370917736</c:v>
                </c:pt>
                <c:pt idx="1135">
                  <c:v>29.766019183788515</c:v>
                </c:pt>
                <c:pt idx="1136">
                  <c:v>30.29488048938892</c:v>
                </c:pt>
                <c:pt idx="1137">
                  <c:v>27.070159703742402</c:v>
                </c:pt>
                <c:pt idx="1138">
                  <c:v>31.383433831953592</c:v>
                </c:pt>
                <c:pt idx="1139">
                  <c:v>31.677773435261745</c:v>
                </c:pt>
                <c:pt idx="1140">
                  <c:v>30.145457984886153</c:v>
                </c:pt>
                <c:pt idx="1141">
                  <c:v>26.330243283600502</c:v>
                </c:pt>
                <c:pt idx="1142">
                  <c:v>30.708839501889436</c:v>
                </c:pt>
                <c:pt idx="1143">
                  <c:v>29.010392762992741</c:v>
                </c:pt>
                <c:pt idx="1144">
                  <c:v>31.547440313543373</c:v>
                </c:pt>
                <c:pt idx="1145">
                  <c:v>30.277363388387844</c:v>
                </c:pt>
                <c:pt idx="1146">
                  <c:v>32.704880939178906</c:v>
                </c:pt>
                <c:pt idx="1147">
                  <c:v>30.586472550836945</c:v>
                </c:pt>
                <c:pt idx="1148">
                  <c:v>28.668934153649364</c:v>
                </c:pt>
                <c:pt idx="1149">
                  <c:v>36.46131060834491</c:v>
                </c:pt>
                <c:pt idx="1150">
                  <c:v>31.711446795133146</c:v>
                </c:pt>
                <c:pt idx="1151">
                  <c:v>32.565873554700708</c:v>
                </c:pt>
                <c:pt idx="1152">
                  <c:v>47.01461411066505</c:v>
                </c:pt>
                <c:pt idx="1153">
                  <c:v>35.611319832026226</c:v>
                </c:pt>
                <c:pt idx="1154">
                  <c:v>38.701821800696017</c:v>
                </c:pt>
                <c:pt idx="1155">
                  <c:v>29.312280032429726</c:v>
                </c:pt>
                <c:pt idx="1156">
                  <c:v>32.989556836205573</c:v>
                </c:pt>
                <c:pt idx="1157">
                  <c:v>29.60605105222443</c:v>
                </c:pt>
                <c:pt idx="1158">
                  <c:v>36.088315105665409</c:v>
                </c:pt>
                <c:pt idx="1159">
                  <c:v>31.696211262031095</c:v>
                </c:pt>
                <c:pt idx="1160">
                  <c:v>37.83936370776334</c:v>
                </c:pt>
                <c:pt idx="1161">
                  <c:v>33.710606897782796</c:v>
                </c:pt>
                <c:pt idx="1162">
                  <c:v>29.733684500633952</c:v>
                </c:pt>
                <c:pt idx="1163">
                  <c:v>28.809821122375368</c:v>
                </c:pt>
                <c:pt idx="1164">
                  <c:v>32.371408359732698</c:v>
                </c:pt>
                <c:pt idx="1165">
                  <c:v>31.067343669716127</c:v>
                </c:pt>
                <c:pt idx="1166">
                  <c:v>30.581113015393274</c:v>
                </c:pt>
                <c:pt idx="1167">
                  <c:v>27.137816013737293</c:v>
                </c:pt>
                <c:pt idx="1168">
                  <c:v>38.449479534233042</c:v>
                </c:pt>
                <c:pt idx="1169">
                  <c:v>35.787366188189338</c:v>
                </c:pt>
                <c:pt idx="1170">
                  <c:v>26.790599321960475</c:v>
                </c:pt>
                <c:pt idx="1171">
                  <c:v>29.243845934805432</c:v>
                </c:pt>
                <c:pt idx="1172">
                  <c:v>26.424844139576866</c:v>
                </c:pt>
                <c:pt idx="1173">
                  <c:v>29.52941557622578</c:v>
                </c:pt>
                <c:pt idx="1174">
                  <c:v>31.570317109283273</c:v>
                </c:pt>
                <c:pt idx="1175">
                  <c:v>32.404506443141564</c:v>
                </c:pt>
                <c:pt idx="1176">
                  <c:v>34.443940773727711</c:v>
                </c:pt>
                <c:pt idx="1177">
                  <c:v>33.586281312665314</c:v>
                </c:pt>
                <c:pt idx="1178">
                  <c:v>30.644311911841164</c:v>
                </c:pt>
                <c:pt idx="1179">
                  <c:v>36.417166670155268</c:v>
                </c:pt>
                <c:pt idx="1180">
                  <c:v>30.694213087401895</c:v>
                </c:pt>
                <c:pt idx="1181">
                  <c:v>33.412586267122926</c:v>
                </c:pt>
                <c:pt idx="1182">
                  <c:v>34.618127097379514</c:v>
                </c:pt>
                <c:pt idx="1183">
                  <c:v>35.26513559011606</c:v>
                </c:pt>
                <c:pt idx="1184">
                  <c:v>34.679935147707575</c:v>
                </c:pt>
                <c:pt idx="1185">
                  <c:v>29.833693165578449</c:v>
                </c:pt>
                <c:pt idx="1186">
                  <c:v>31.104383129509909</c:v>
                </c:pt>
                <c:pt idx="1187">
                  <c:v>33.011686751552034</c:v>
                </c:pt>
                <c:pt idx="1188">
                  <c:v>33.043700671143</c:v>
                </c:pt>
                <c:pt idx="1189">
                  <c:v>34.523850223472863</c:v>
                </c:pt>
                <c:pt idx="1190">
                  <c:v>31.998476638706563</c:v>
                </c:pt>
                <c:pt idx="1191">
                  <c:v>36.784538022831747</c:v>
                </c:pt>
                <c:pt idx="1192">
                  <c:v>30.012395876785575</c:v>
                </c:pt>
                <c:pt idx="1193">
                  <c:v>34.046142377093012</c:v>
                </c:pt>
                <c:pt idx="1194">
                  <c:v>31.839806850043335</c:v>
                </c:pt>
                <c:pt idx="1195">
                  <c:v>26.136649082525299</c:v>
                </c:pt>
                <c:pt idx="1196">
                  <c:v>28.69783138430817</c:v>
                </c:pt>
                <c:pt idx="1197">
                  <c:v>23.286020412451627</c:v>
                </c:pt>
                <c:pt idx="1198">
                  <c:v>34.188480325606335</c:v>
                </c:pt>
                <c:pt idx="1199">
                  <c:v>36.056740392812237</c:v>
                </c:pt>
                <c:pt idx="1200">
                  <c:v>38.080730982667788</c:v>
                </c:pt>
                <c:pt idx="1201">
                  <c:v>27.078003652602913</c:v>
                </c:pt>
                <c:pt idx="1202">
                  <c:v>39.942642629061645</c:v>
                </c:pt>
                <c:pt idx="1203">
                  <c:v>24.975967273818892</c:v>
                </c:pt>
                <c:pt idx="1204">
                  <c:v>24.813096513358015</c:v>
                </c:pt>
                <c:pt idx="1205">
                  <c:v>31.08654557413838</c:v>
                </c:pt>
                <c:pt idx="1206">
                  <c:v>25.601312115798748</c:v>
                </c:pt>
                <c:pt idx="1207">
                  <c:v>34.4457835402266</c:v>
                </c:pt>
                <c:pt idx="1208">
                  <c:v>32.483380202149803</c:v>
                </c:pt>
                <c:pt idx="1209">
                  <c:v>35.721692593583434</c:v>
                </c:pt>
                <c:pt idx="1210">
                  <c:v>30.709725940952541</c:v>
                </c:pt>
                <c:pt idx="1211">
                  <c:v>30.245150620318924</c:v>
                </c:pt>
                <c:pt idx="1212">
                  <c:v>29.084520161382585</c:v>
                </c:pt>
                <c:pt idx="1213">
                  <c:v>30.53884440439575</c:v>
                </c:pt>
                <c:pt idx="1214">
                  <c:v>39.965227741890068</c:v>
                </c:pt>
                <c:pt idx="1215">
                  <c:v>34.378707182579042</c:v>
                </c:pt>
                <c:pt idx="1216">
                  <c:v>37.899905476277837</c:v>
                </c:pt>
                <c:pt idx="1217">
                  <c:v>38.273832410284783</c:v>
                </c:pt>
                <c:pt idx="1218">
                  <c:v>39.00680878231401</c:v>
                </c:pt>
                <c:pt idx="1219">
                  <c:v>35.702577434953653</c:v>
                </c:pt>
                <c:pt idx="1220">
                  <c:v>36.050454600950594</c:v>
                </c:pt>
                <c:pt idx="1221">
                  <c:v>33.961433032750719</c:v>
                </c:pt>
                <c:pt idx="1222">
                  <c:v>36.749029808354237</c:v>
                </c:pt>
                <c:pt idx="1223">
                  <c:v>33.443122607654459</c:v>
                </c:pt>
                <c:pt idx="1224">
                  <c:v>38.145038166690739</c:v>
                </c:pt>
                <c:pt idx="1225">
                  <c:v>31.866890713078927</c:v>
                </c:pt>
                <c:pt idx="1226">
                  <c:v>31.630968438834323</c:v>
                </c:pt>
                <c:pt idx="1227">
                  <c:v>33.553288188009084</c:v>
                </c:pt>
                <c:pt idx="1228">
                  <c:v>32.474095685165977</c:v>
                </c:pt>
                <c:pt idx="1229">
                  <c:v>30.69070725071488</c:v>
                </c:pt>
                <c:pt idx="1230">
                  <c:v>24.979498393465256</c:v>
                </c:pt>
                <c:pt idx="1231">
                  <c:v>27.966684515734514</c:v>
                </c:pt>
                <c:pt idx="1232">
                  <c:v>35.46252585170938</c:v>
                </c:pt>
                <c:pt idx="1233">
                  <c:v>38.426043933749426</c:v>
                </c:pt>
                <c:pt idx="1234">
                  <c:v>29.146673686870429</c:v>
                </c:pt>
                <c:pt idx="1235">
                  <c:v>31.604005417711971</c:v>
                </c:pt>
                <c:pt idx="1236">
                  <c:v>35.578488642566732</c:v>
                </c:pt>
                <c:pt idx="1237">
                  <c:v>35.606098830866088</c:v>
                </c:pt>
                <c:pt idx="1238">
                  <c:v>35.633709019165465</c:v>
                </c:pt>
                <c:pt idx="1239">
                  <c:v>27.934464471007924</c:v>
                </c:pt>
                <c:pt idx="1240">
                  <c:v>29.522779201112009</c:v>
                </c:pt>
                <c:pt idx="1241">
                  <c:v>28.197706067999778</c:v>
                </c:pt>
                <c:pt idx="1242">
                  <c:v>28.882166837569493</c:v>
                </c:pt>
                <c:pt idx="1243">
                  <c:v>32.5987218207853</c:v>
                </c:pt>
                <c:pt idx="1244">
                  <c:v>30.820140214220437</c:v>
                </c:pt>
                <c:pt idx="1245">
                  <c:v>35.529741763520441</c:v>
                </c:pt>
                <c:pt idx="1246">
                  <c:v>29.899328655932234</c:v>
                </c:pt>
                <c:pt idx="1247">
                  <c:v>29.454816381321169</c:v>
                </c:pt>
                <c:pt idx="1248">
                  <c:v>30.915190762298213</c:v>
                </c:pt>
                <c:pt idx="1249">
                  <c:v>30.943705926721549</c:v>
                </c:pt>
                <c:pt idx="1250">
                  <c:v>33.896158788583179</c:v>
                </c:pt>
                <c:pt idx="1251">
                  <c:v>33.082889855173782</c:v>
                </c:pt>
                <c:pt idx="1252">
                  <c:v>36.997062449749137</c:v>
                </c:pt>
                <c:pt idx="1253">
                  <c:v>28.692604487792398</c:v>
                </c:pt>
                <c:pt idx="1254">
                  <c:v>25.470438464838935</c:v>
                </c:pt>
                <c:pt idx="1255">
                  <c:v>32.645349051826237</c:v>
                </c:pt>
                <c:pt idx="1256">
                  <c:v>25.324886098234742</c:v>
                </c:pt>
                <c:pt idx="1257">
                  <c:v>29.00842034926599</c:v>
                </c:pt>
                <c:pt idx="1258">
                  <c:v>29.952101794692535</c:v>
                </c:pt>
                <c:pt idx="1259">
                  <c:v>31.697997125739253</c:v>
                </c:pt>
                <c:pt idx="1260">
                  <c:v>32.506994321117801</c:v>
                </c:pt>
                <c:pt idx="1261">
                  <c:v>28.001123641514418</c:v>
                </c:pt>
                <c:pt idx="1262">
                  <c:v>33.096834717877094</c:v>
                </c:pt>
                <c:pt idx="1263">
                  <c:v>32.854933989181276</c:v>
                </c:pt>
                <c:pt idx="1264">
                  <c:v>27.234556584957119</c:v>
                </c:pt>
                <c:pt idx="1265">
                  <c:v>27.052205553058172</c:v>
                </c:pt>
                <c:pt idx="1266">
                  <c:v>36.439926517507033</c:v>
                </c:pt>
                <c:pt idx="1267">
                  <c:v>33.509045774179242</c:v>
                </c:pt>
                <c:pt idx="1268">
                  <c:v>35.268668082715202</c:v>
                </c:pt>
                <c:pt idx="1269">
                  <c:v>30.451741194609973</c:v>
                </c:pt>
                <c:pt idx="1270">
                  <c:v>35.327360268631978</c:v>
                </c:pt>
                <c:pt idx="1271">
                  <c:v>28.013469612216532</c:v>
                </c:pt>
                <c:pt idx="1272">
                  <c:v>33.363501218340367</c:v>
                </c:pt>
                <c:pt idx="1273">
                  <c:v>35.1079681235408</c:v>
                </c:pt>
                <c:pt idx="1274">
                  <c:v>34.551609372892798</c:v>
                </c:pt>
                <c:pt idx="1275">
                  <c:v>32.89798892394488</c:v>
                </c:pt>
                <c:pt idx="1276">
                  <c:v>32.38958252088414</c:v>
                </c:pt>
                <c:pt idx="1277">
                  <c:v>29.017178743959583</c:v>
                </c:pt>
                <c:pt idx="1278">
                  <c:v>37.762284363448565</c:v>
                </c:pt>
                <c:pt idx="1279">
                  <c:v>32.46748891299692</c:v>
                </c:pt>
                <c:pt idx="1280">
                  <c:v>36.531581939595057</c:v>
                </c:pt>
                <c:pt idx="1281">
                  <c:v>41.405377779113856</c:v>
                </c:pt>
                <c:pt idx="1282">
                  <c:v>33.076163679663551</c:v>
                </c:pt>
                <c:pt idx="1283">
                  <c:v>34.500372684131783</c:v>
                </c:pt>
                <c:pt idx="1284">
                  <c:v>33.680482152853337</c:v>
                </c:pt>
                <c:pt idx="1285">
                  <c:v>41.535583369614208</c:v>
                </c:pt>
                <c:pt idx="1286">
                  <c:v>30.142370167776306</c:v>
                </c:pt>
                <c:pt idx="1287">
                  <c:v>30.164851052447975</c:v>
                </c:pt>
                <c:pt idx="1288">
                  <c:v>30.664594609570859</c:v>
                </c:pt>
                <c:pt idx="1289">
                  <c:v>29.518417354250598</c:v>
                </c:pt>
                <c:pt idx="1290">
                  <c:v>29.76981944892626</c:v>
                </c:pt>
                <c:pt idx="1291">
                  <c:v>36.528054837189295</c:v>
                </c:pt>
                <c:pt idx="1292">
                  <c:v>31.008757171110016</c:v>
                </c:pt>
                <c:pt idx="1293">
                  <c:v>36.275711246683905</c:v>
                </c:pt>
                <c:pt idx="1294">
                  <c:v>35.092616204386459</c:v>
                </c:pt>
                <c:pt idx="1295">
                  <c:v>31.828151352625746</c:v>
                </c:pt>
                <c:pt idx="1296">
                  <c:v>32.367533279086743</c:v>
                </c:pt>
                <c:pt idx="1297">
                  <c:v>26.927525871199094</c:v>
                </c:pt>
                <c:pt idx="1298">
                  <c:v>28.609590833967584</c:v>
                </c:pt>
                <c:pt idx="1299">
                  <c:v>29.069508624527245</c:v>
                </c:pt>
                <c:pt idx="1300">
                  <c:v>41.258691266113445</c:v>
                </c:pt>
                <c:pt idx="1301">
                  <c:v>33.56614425788991</c:v>
                </c:pt>
                <c:pt idx="1302">
                  <c:v>34.437456883441129</c:v>
                </c:pt>
                <c:pt idx="1303">
                  <c:v>29.383526966794186</c:v>
                </c:pt>
                <c:pt idx="1304">
                  <c:v>33.9228191461808</c:v>
                </c:pt>
                <c:pt idx="1305">
                  <c:v>32.857149847082752</c:v>
                </c:pt>
                <c:pt idx="1306">
                  <c:v>35.4151395077769</c:v>
                </c:pt>
                <c:pt idx="1307">
                  <c:v>40.009735123093854</c:v>
                </c:pt>
                <c:pt idx="1308">
                  <c:v>32.407484367119373</c:v>
                </c:pt>
                <c:pt idx="1309">
                  <c:v>31.413859699473683</c:v>
                </c:pt>
                <c:pt idx="1310">
                  <c:v>22.966616288822291</c:v>
                </c:pt>
                <c:pt idx="1311">
                  <c:v>39.782933757449186</c:v>
                </c:pt>
                <c:pt idx="1312">
                  <c:v>27.443585037359345</c:v>
                </c:pt>
                <c:pt idx="1313">
                  <c:v>29.608456070617724</c:v>
                </c:pt>
                <c:pt idx="1314">
                  <c:v>31.040844955700003</c:v>
                </c:pt>
                <c:pt idx="1315">
                  <c:v>38.517653181713449</c:v>
                </c:pt>
                <c:pt idx="1316">
                  <c:v>29.673339465951432</c:v>
                </c:pt>
                <c:pt idx="1317">
                  <c:v>30.870750831138437</c:v>
                </c:pt>
                <c:pt idx="1318">
                  <c:v>30.89323171581011</c:v>
                </c:pt>
                <c:pt idx="1319">
                  <c:v>37.642912845295307</c:v>
                </c:pt>
                <c:pt idx="1320">
                  <c:v>29.31321037232021</c:v>
                </c:pt>
                <c:pt idx="1321">
                  <c:v>31.454730872224385</c:v>
                </c:pt>
                <c:pt idx="1322">
                  <c:v>40.47366717574679</c:v>
                </c:pt>
                <c:pt idx="1323">
                  <c:v>32.257901167729301</c:v>
                </c:pt>
                <c:pt idx="1324">
                  <c:v>34.160060110285478</c:v>
                </c:pt>
                <c:pt idx="1325">
                  <c:v>27.307848568796022</c:v>
                </c:pt>
                <c:pt idx="1326">
                  <c:v>35.364489838423772</c:v>
                </c:pt>
                <c:pt idx="1327">
                  <c:v>35.390068089427992</c:v>
                </c:pt>
                <c:pt idx="1328">
                  <c:v>28.406046595294931</c:v>
                </c:pt>
                <c:pt idx="1329">
                  <c:v>37.608156310086869</c:v>
                </c:pt>
                <c:pt idx="1330">
                  <c:v>29.315635117885513</c:v>
                </c:pt>
                <c:pt idx="1331">
                  <c:v>34.343184164774108</c:v>
                </c:pt>
                <c:pt idx="1332">
                  <c:v>26.666959294293349</c:v>
                </c:pt>
                <c:pt idx="1333">
                  <c:v>33.562301085900053</c:v>
                </c:pt>
                <c:pt idx="1334">
                  <c:v>29.855055003483013</c:v>
                </c:pt>
                <c:pt idx="1335">
                  <c:v>29.649752098728186</c:v>
                </c:pt>
                <c:pt idx="1336">
                  <c:v>37.803551551415076</c:v>
                </c:pt>
                <c:pt idx="1337">
                  <c:v>32.860645078921856</c:v>
                </c:pt>
                <c:pt idx="1338">
                  <c:v>37.216181524499021</c:v>
                </c:pt>
                <c:pt idx="1339">
                  <c:v>38.212264639348639</c:v>
                </c:pt>
                <c:pt idx="1340">
                  <c:v>31.16186829787193</c:v>
                </c:pt>
                <c:pt idx="1341">
                  <c:v>37.296216323476436</c:v>
                </c:pt>
                <c:pt idx="1342">
                  <c:v>32.983224242774355</c:v>
                </c:pt>
                <c:pt idx="1343">
                  <c:v>31.975398698481619</c:v>
                </c:pt>
                <c:pt idx="1344">
                  <c:v>28.109613563119819</c:v>
                </c:pt>
                <c:pt idx="1345">
                  <c:v>31.282322191077739</c:v>
                </c:pt>
                <c:pt idx="1346">
                  <c:v>29.443067364276775</c:v>
                </c:pt>
                <c:pt idx="1347">
                  <c:v>34.470849028141259</c:v>
                </c:pt>
                <c:pt idx="1348">
                  <c:v>32.35296101522583</c:v>
                </c:pt>
                <c:pt idx="1349">
                  <c:v>34.24472848306948</c:v>
                </c:pt>
                <c:pt idx="1350">
                  <c:v>36.611596923580173</c:v>
                </c:pt>
                <c:pt idx="1351">
                  <c:v>30.937234140771871</c:v>
                </c:pt>
                <c:pt idx="1352">
                  <c:v>35.466644561616846</c:v>
                </c:pt>
                <c:pt idx="1353">
                  <c:v>30.512498045600793</c:v>
                </c:pt>
                <c:pt idx="1354">
                  <c:v>26.721331774029299</c:v>
                </c:pt>
                <c:pt idx="1355">
                  <c:v>41.856632827526333</c:v>
                </c:pt>
                <c:pt idx="1356">
                  <c:v>33.871885773111799</c:v>
                </c:pt>
                <c:pt idx="1357">
                  <c:v>31.077798032934968</c:v>
                </c:pt>
                <c:pt idx="1358">
                  <c:v>32.592339781986183</c:v>
                </c:pt>
                <c:pt idx="1359">
                  <c:v>32.359048675723791</c:v>
                </c:pt>
                <c:pt idx="1360">
                  <c:v>35.96958887796076</c:v>
                </c:pt>
                <c:pt idx="1361">
                  <c:v>32.665994787143212</c:v>
                </c:pt>
                <c:pt idx="1362">
                  <c:v>35.144970565508146</c:v>
                </c:pt>
                <c:pt idx="1363">
                  <c:v>36.656645976890026</c:v>
                </c:pt>
                <c:pt idx="1364">
                  <c:v>34.344729172806929</c:v>
                </c:pt>
                <c:pt idx="1365">
                  <c:v>35.224159345827552</c:v>
                </c:pt>
                <c:pt idx="1366">
                  <c:v>30.339875638957206</c:v>
                </c:pt>
                <c:pt idx="1367">
                  <c:v>31.549368507434565</c:v>
                </c:pt>
                <c:pt idx="1368">
                  <c:v>27.991974433730043</c:v>
                </c:pt>
                <c:pt idx="1369">
                  <c:v>38.406727661709397</c:v>
                </c:pt>
                <c:pt idx="1370">
                  <c:v>30.662064398257247</c:v>
                </c:pt>
                <c:pt idx="1371">
                  <c:v>28.679348808047457</c:v>
                </c:pt>
                <c:pt idx="1372">
                  <c:v>28.488772749103259</c:v>
                </c:pt>
                <c:pt idx="1373">
                  <c:v>24.568564227043975</c:v>
                </c:pt>
                <c:pt idx="1374">
                  <c:v>31.713157848640556</c:v>
                </c:pt>
                <c:pt idx="1375">
                  <c:v>33.530070098804025</c:v>
                </c:pt>
                <c:pt idx="1376">
                  <c:v>33.025062937283735</c:v>
                </c:pt>
                <c:pt idx="1377">
                  <c:v>30.582696884593346</c:v>
                </c:pt>
                <c:pt idx="1378">
                  <c:v>33.075700753329194</c:v>
                </c:pt>
                <c:pt idx="1379">
                  <c:v>40.049448710353325</c:v>
                </c:pt>
                <c:pt idx="1380">
                  <c:v>33.38512761456812</c:v>
                </c:pt>
                <c:pt idx="1381">
                  <c:v>27.650073000995409</c:v>
                </c:pt>
                <c:pt idx="1382">
                  <c:v>28.278487912931151</c:v>
                </c:pt>
                <c:pt idx="1383">
                  <c:v>35.689393430204085</c:v>
                </c:pt>
                <c:pt idx="1384">
                  <c:v>32.699377693479008</c:v>
                </c:pt>
                <c:pt idx="1385">
                  <c:v>26.946851506139932</c:v>
                </c:pt>
                <c:pt idx="1386">
                  <c:v>35.477189679062498</c:v>
                </c:pt>
                <c:pt idx="1387">
                  <c:v>31.282447670227516</c:v>
                </c:pt>
                <c:pt idx="1388">
                  <c:v>29.036436391135904</c:v>
                </c:pt>
                <c:pt idx="1389">
                  <c:v>35.262380730042537</c:v>
                </c:pt>
                <c:pt idx="1390">
                  <c:v>26.852416119876981</c:v>
                </c:pt>
                <c:pt idx="1391">
                  <c:v>42.21589152052362</c:v>
                </c:pt>
                <c:pt idx="1392">
                  <c:v>32.633252189397439</c:v>
                </c:pt>
                <c:pt idx="1393">
                  <c:v>33.700650710855903</c:v>
                </c:pt>
                <c:pt idx="1394">
                  <c:v>34.265590880000573</c:v>
                </c:pt>
                <c:pt idx="1395">
                  <c:v>30.517233709617358</c:v>
                </c:pt>
                <c:pt idx="1396">
                  <c:v>25.503456670241253</c:v>
                </c:pt>
                <c:pt idx="1397">
                  <c:v>33.007520387929759</c:v>
                </c:pt>
                <c:pt idx="1398">
                  <c:v>24.348845588125645</c:v>
                </c:pt>
                <c:pt idx="1399">
                  <c:v>37.004538966974017</c:v>
                </c:pt>
                <c:pt idx="1400">
                  <c:v>34.969009088817963</c:v>
                </c:pt>
                <c:pt idx="1401">
                  <c:v>31.841744137693365</c:v>
                </c:pt>
                <c:pt idx="1402">
                  <c:v>30.905291709221675</c:v>
                </c:pt>
                <c:pt idx="1403">
                  <c:v>38.700239123523353</c:v>
                </c:pt>
                <c:pt idx="1404">
                  <c:v>34.793253123871665</c:v>
                </c:pt>
                <c:pt idx="1405">
                  <c:v>35.383136819010481</c:v>
                </c:pt>
                <c:pt idx="1406">
                  <c:v>32.705462633027793</c:v>
                </c:pt>
                <c:pt idx="1407">
                  <c:v>37.843112142761782</c:v>
                </c:pt>
                <c:pt idx="1408">
                  <c:v>33.793837053610247</c:v>
                </c:pt>
                <c:pt idx="1409">
                  <c:v>33.816854242721817</c:v>
                </c:pt>
                <c:pt idx="1410">
                  <c:v>34.381300780626084</c:v>
                </c:pt>
                <c:pt idx="1411">
                  <c:v>33.862888620944965</c:v>
                </c:pt>
                <c:pt idx="1412">
                  <c:v>28.065355636301284</c:v>
                </c:pt>
                <c:pt idx="1413">
                  <c:v>28.49678263108223</c:v>
                </c:pt>
                <c:pt idx="1414">
                  <c:v>30.019543966544994</c:v>
                </c:pt>
                <c:pt idx="1415">
                  <c:v>36.812097211146764</c:v>
                </c:pt>
                <c:pt idx="1416">
                  <c:v>29.622220516202351</c:v>
                </c:pt>
                <c:pt idx="1417">
                  <c:v>36.26753526344455</c:v>
                </c:pt>
                <c:pt idx="1418">
                  <c:v>38.137149409956081</c:v>
                </c:pt>
                <c:pt idx="1419">
                  <c:v>34.605801180227502</c:v>
                </c:pt>
                <c:pt idx="1420">
                  <c:v>42.338748809667472</c:v>
                </c:pt>
                <c:pt idx="1421">
                  <c:v>37.277964187405196</c:v>
                </c:pt>
                <c:pt idx="1422">
                  <c:v>34.401297586436137</c:v>
                </c:pt>
                <c:pt idx="1423">
                  <c:v>30.215004914780774</c:v>
                </c:pt>
                <c:pt idx="1424">
                  <c:v>34.180525830684658</c:v>
                </c:pt>
                <c:pt idx="1425">
                  <c:v>31.175999788595764</c:v>
                </c:pt>
                <c:pt idx="1426">
                  <c:v>36.798036354675823</c:v>
                </c:pt>
                <c:pt idx="1427">
                  <c:v>25.36646606878373</c:v>
                </c:pt>
                <c:pt idx="1428">
                  <c:v>27.98532102524532</c:v>
                </c:pt>
                <c:pt idx="1429">
                  <c:v>35.411081686377251</c:v>
                </c:pt>
                <c:pt idx="1430">
                  <c:v>25.766980002051493</c:v>
                </c:pt>
                <c:pt idx="1431">
                  <c:v>35.458606960416134</c:v>
                </c:pt>
                <c:pt idx="1432">
                  <c:v>37.882217228735257</c:v>
                </c:pt>
                <c:pt idx="1433">
                  <c:v>31.590196942722894</c:v>
                </c:pt>
                <c:pt idx="1434">
                  <c:v>35.250938774045729</c:v>
                </c:pt>
                <c:pt idx="1435">
                  <c:v>33.640395822688291</c:v>
                </c:pt>
                <c:pt idx="1436">
                  <c:v>27.1607299217426</c:v>
                </c:pt>
                <c:pt idx="1437">
                  <c:v>33.954606022344542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63-9743-831C-4F3F2368CE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900495"/>
        <c:axId val="273448495"/>
      </c:scatterChart>
      <c:valAx>
        <c:axId val="167900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273448495"/>
        <c:crosses val="autoZero"/>
        <c:crossBetween val="midCat"/>
      </c:valAx>
      <c:valAx>
        <c:axId val="2734484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679004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SS curve</a:t>
            </a:r>
            <a:r>
              <a:rPr lang="en-US" baseline="0"/>
              <a:t> C - elastic 1-3 mN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'curves processed'!$AO$2:$AO$1439</c:f>
              <c:numCache>
                <c:formatCode>General</c:formatCode>
                <c:ptCount val="1438"/>
                <c:pt idx="0">
                  <c:v>2.0220932284572436E-2</c:v>
                </c:pt>
                <c:pt idx="1">
                  <c:v>2.987253603174319E-2</c:v>
                </c:pt>
                <c:pt idx="2">
                  <c:v>3.1472415452112393E-2</c:v>
                </c:pt>
                <c:pt idx="3">
                  <c:v>3.1722798502821101E-2</c:v>
                </c:pt>
                <c:pt idx="4">
                  <c:v>3.5427106478464004E-2</c:v>
                </c:pt>
                <c:pt idx="5">
                  <c:v>3.5405305182169569E-2</c:v>
                </c:pt>
                <c:pt idx="6">
                  <c:v>4.1929072716668542E-2</c:v>
                </c:pt>
                <c:pt idx="7">
                  <c:v>3.7629896098585969E-2</c:v>
                </c:pt>
                <c:pt idx="8">
                  <c:v>4.7845007002931837E-2</c:v>
                </c:pt>
                <c:pt idx="9">
                  <c:v>4.3500107862708332E-2</c:v>
                </c:pt>
                <c:pt idx="10">
                  <c:v>5.2228322861896104E-2</c:v>
                </c:pt>
                <c:pt idx="11">
                  <c:v>3.8630877941432329E-2</c:v>
                </c:pt>
                <c:pt idx="12">
                  <c:v>4.8690989445026915E-2</c:v>
                </c:pt>
                <c:pt idx="13">
                  <c:v>5.0283223734075407E-2</c:v>
                </c:pt>
                <c:pt idx="14">
                  <c:v>4.7886756572742432E-2</c:v>
                </c:pt>
                <c:pt idx="15">
                  <c:v>4.7522494538508119E-2</c:v>
                </c:pt>
                <c:pt idx="16">
                  <c:v>5.8907277698388827E-2</c:v>
                </c:pt>
                <c:pt idx="17">
                  <c:v>6.0201109409067484E-2</c:v>
                </c:pt>
                <c:pt idx="18">
                  <c:v>6.0485253674139559E-2</c:v>
                </c:pt>
                <c:pt idx="19">
                  <c:v>5.7119396291431208E-2</c:v>
                </c:pt>
                <c:pt idx="20">
                  <c:v>5.4078184015892421E-2</c:v>
                </c:pt>
                <c:pt idx="21">
                  <c:v>5.88032362491318E-2</c:v>
                </c:pt>
                <c:pt idx="22">
                  <c:v>5.4705588096915135E-2</c:v>
                </c:pt>
                <c:pt idx="23">
                  <c:v>5.1294748073897951E-2</c:v>
                </c:pt>
                <c:pt idx="24">
                  <c:v>6.0948099687615845E-2</c:v>
                </c:pt>
                <c:pt idx="25">
                  <c:v>4.7139872081434955E-2</c:v>
                </c:pt>
                <c:pt idx="26">
                  <c:v>5.5912168047643887E-2</c:v>
                </c:pt>
                <c:pt idx="27">
                  <c:v>6.3128971009115797E-2</c:v>
                </c:pt>
                <c:pt idx="28">
                  <c:v>7.5335164805143642E-2</c:v>
                </c:pt>
                <c:pt idx="29">
                  <c:v>6.4054436382757263E-2</c:v>
                </c:pt>
                <c:pt idx="30">
                  <c:v>6.4868307904986558E-2</c:v>
                </c:pt>
                <c:pt idx="31">
                  <c:v>5.0720289546683457E-2</c:v>
                </c:pt>
                <c:pt idx="32">
                  <c:v>5.849380220246219E-2</c:v>
                </c:pt>
                <c:pt idx="33">
                  <c:v>7.2092250370933517E-2</c:v>
                </c:pt>
                <c:pt idx="34">
                  <c:v>6.8388517052078032E-2</c:v>
                </c:pt>
                <c:pt idx="35">
                  <c:v>7.7164401822275075E-2</c:v>
                </c:pt>
                <c:pt idx="36">
                  <c:v>6.5432092371409303E-2</c:v>
                </c:pt>
                <c:pt idx="37">
                  <c:v>6.7907000680087121E-2</c:v>
                </c:pt>
                <c:pt idx="38">
                  <c:v>6.8865774515374817E-2</c:v>
                </c:pt>
                <c:pt idx="39">
                  <c:v>6.6443851340096408E-2</c:v>
                </c:pt>
                <c:pt idx="40">
                  <c:v>7.7523300820539959E-2</c:v>
                </c:pt>
                <c:pt idx="41">
                  <c:v>6.8159443061797498E-2</c:v>
                </c:pt>
                <c:pt idx="42">
                  <c:v>7.1512735402839755E-2</c:v>
                </c:pt>
                <c:pt idx="43">
                  <c:v>6.6403433695881933E-2</c:v>
                </c:pt>
                <c:pt idx="44">
                  <c:v>6.5575939699621527E-2</c:v>
                </c:pt>
                <c:pt idx="45">
                  <c:v>8.7468858672764077E-2</c:v>
                </c:pt>
                <c:pt idx="46">
                  <c:v>5.7752472395365885E-2</c:v>
                </c:pt>
                <c:pt idx="47">
                  <c:v>7.8824427121713322E-2</c:v>
                </c:pt>
                <c:pt idx="48">
                  <c:v>6.565025747683742E-2</c:v>
                </c:pt>
                <c:pt idx="49">
                  <c:v>7.8057941161621361E-2</c:v>
                </c:pt>
                <c:pt idx="50">
                  <c:v>8.6662389565502013E-2</c:v>
                </c:pt>
                <c:pt idx="51">
                  <c:v>7.7578912321179E-2</c:v>
                </c:pt>
                <c:pt idx="52">
                  <c:v>8.2263188660695319E-2</c:v>
                </c:pt>
                <c:pt idx="53">
                  <c:v>8.8547254223839966E-2</c:v>
                </c:pt>
                <c:pt idx="54">
                  <c:v>8.2418085173575836E-2</c:v>
                </c:pt>
                <c:pt idx="55">
                  <c:v>7.7024602702434206E-2</c:v>
                </c:pt>
                <c:pt idx="56">
                  <c:v>8.8859468677544226E-2</c:v>
                </c:pt>
                <c:pt idx="57">
                  <c:v>8.97793824515353E-2</c:v>
                </c:pt>
                <c:pt idx="58">
                  <c:v>8.4553177430211499E-2</c:v>
                </c:pt>
                <c:pt idx="59">
                  <c:v>7.827703526670142E-2</c:v>
                </c:pt>
                <c:pt idx="60">
                  <c:v>8.2744459115669494E-2</c:v>
                </c:pt>
                <c:pt idx="61">
                  <c:v>8.3571635795350985E-2</c:v>
                </c:pt>
                <c:pt idx="62">
                  <c:v>7.8672406563486133E-2</c:v>
                </c:pt>
                <c:pt idx="63">
                  <c:v>7.4098245845540603E-2</c:v>
                </c:pt>
                <c:pt idx="64">
                  <c:v>8.0850189444136258E-2</c:v>
                </c:pt>
                <c:pt idx="65">
                  <c:v>6.6916474396135905E-2</c:v>
                </c:pt>
                <c:pt idx="66">
                  <c:v>8.2887304248599677E-2</c:v>
                </c:pt>
                <c:pt idx="67">
                  <c:v>8.934266555092929E-2</c:v>
                </c:pt>
                <c:pt idx="68">
                  <c:v>7.7621248984954497E-2</c:v>
                </c:pt>
                <c:pt idx="69">
                  <c:v>8.4885004394387883E-2</c:v>
                </c:pt>
                <c:pt idx="70">
                  <c:v>0.10112596220328172</c:v>
                </c:pt>
                <c:pt idx="71">
                  <c:v>8.8290447944837577E-2</c:v>
                </c:pt>
                <c:pt idx="72">
                  <c:v>7.5283105926372454E-2</c:v>
                </c:pt>
                <c:pt idx="73">
                  <c:v>9.8668531848783325E-2</c:v>
                </c:pt>
                <c:pt idx="74">
                  <c:v>9.1159838924190731E-2</c:v>
                </c:pt>
                <c:pt idx="75">
                  <c:v>8.9772264221951295E-2</c:v>
                </c:pt>
                <c:pt idx="76">
                  <c:v>0.10566379840170699</c:v>
                </c:pt>
                <c:pt idx="77">
                  <c:v>0.10091773448599403</c:v>
                </c:pt>
                <c:pt idx="78">
                  <c:v>8.8228237811246599E-2</c:v>
                </c:pt>
                <c:pt idx="79">
                  <c:v>9.111659421881875E-2</c:v>
                </c:pt>
                <c:pt idx="80">
                  <c:v>0.1024968708845161</c:v>
                </c:pt>
                <c:pt idx="81">
                  <c:v>0.10179605274362319</c:v>
                </c:pt>
                <c:pt idx="82">
                  <c:v>8.7769454023025398E-2</c:v>
                </c:pt>
                <c:pt idx="83">
                  <c:v>9.427291432200724E-2</c:v>
                </c:pt>
                <c:pt idx="84">
                  <c:v>9.7173494930391902E-2</c:v>
                </c:pt>
                <c:pt idx="85">
                  <c:v>9.0766783087245173E-2</c:v>
                </c:pt>
                <c:pt idx="86">
                  <c:v>8.4917049126304461E-2</c:v>
                </c:pt>
                <c:pt idx="87">
                  <c:v>9.7500115727618727E-2</c:v>
                </c:pt>
                <c:pt idx="88">
                  <c:v>0.11458825063308752</c:v>
                </c:pt>
                <c:pt idx="89">
                  <c:v>8.4261045518880168E-2</c:v>
                </c:pt>
                <c:pt idx="90">
                  <c:v>9.1523918157989381E-2</c:v>
                </c:pt>
                <c:pt idx="91">
                  <c:v>9.982698829559089E-2</c:v>
                </c:pt>
                <c:pt idx="92">
                  <c:v>8.4262010178008245E-2</c:v>
                </c:pt>
                <c:pt idx="93">
                  <c:v>0.10566720665846217</c:v>
                </c:pt>
                <c:pt idx="94">
                  <c:v>0.10324130030403238</c:v>
                </c:pt>
                <c:pt idx="95">
                  <c:v>0.11071182731567313</c:v>
                </c:pt>
                <c:pt idx="96">
                  <c:v>8.655114628892438E-2</c:v>
                </c:pt>
                <c:pt idx="97">
                  <c:v>9.3664828524258129E-2</c:v>
                </c:pt>
                <c:pt idx="98">
                  <c:v>9.7937181787605188E-2</c:v>
                </c:pt>
                <c:pt idx="99">
                  <c:v>0.10849273491299263</c:v>
                </c:pt>
                <c:pt idx="100">
                  <c:v>9.4450798607092087E-2</c:v>
                </c:pt>
                <c:pt idx="101">
                  <c:v>0.10269429306844245</c:v>
                </c:pt>
                <c:pt idx="102">
                  <c:v>0.10449813793659213</c:v>
                </c:pt>
                <c:pt idx="103">
                  <c:v>0.10485600827199142</c:v>
                </c:pt>
                <c:pt idx="104">
                  <c:v>0.11749081928011627</c:v>
                </c:pt>
                <c:pt idx="105">
                  <c:v>0.12422426543508476</c:v>
                </c:pt>
                <c:pt idx="106">
                  <c:v>0.10683042685140619</c:v>
                </c:pt>
                <c:pt idx="107">
                  <c:v>9.5201396165751115E-2</c:v>
                </c:pt>
                <c:pt idx="108">
                  <c:v>0.1164950397553727</c:v>
                </c:pt>
                <c:pt idx="109">
                  <c:v>7.8965185027287832E-2</c:v>
                </c:pt>
                <c:pt idx="110">
                  <c:v>0.10443210233898868</c:v>
                </c:pt>
                <c:pt idx="111">
                  <c:v>0.10148503425061536</c:v>
                </c:pt>
                <c:pt idx="112">
                  <c:v>0.11835487732325256</c:v>
                </c:pt>
                <c:pt idx="113">
                  <c:v>0.10290211850975392</c:v>
                </c:pt>
                <c:pt idx="114">
                  <c:v>0.11191196264190448</c:v>
                </c:pt>
                <c:pt idx="115">
                  <c:v>0.10977943652263616</c:v>
                </c:pt>
                <c:pt idx="116">
                  <c:v>0.10418410926621326</c:v>
                </c:pt>
                <c:pt idx="117">
                  <c:v>0.11150372086592364</c:v>
                </c:pt>
                <c:pt idx="118">
                  <c:v>0.11729512669194953</c:v>
                </c:pt>
                <c:pt idx="119">
                  <c:v>0.11438280114554127</c:v>
                </c:pt>
                <c:pt idx="120">
                  <c:v>0.12129140610257813</c:v>
                </c:pt>
                <c:pt idx="121">
                  <c:v>0.11857437112896413</c:v>
                </c:pt>
                <c:pt idx="122">
                  <c:v>0.12721078320699036</c:v>
                </c:pt>
                <c:pt idx="123">
                  <c:v>0.10468196204329996</c:v>
                </c:pt>
                <c:pt idx="124">
                  <c:v>0.13201276241341189</c:v>
                </c:pt>
                <c:pt idx="125">
                  <c:v>0.12283473226466993</c:v>
                </c:pt>
                <c:pt idx="126">
                  <c:v>0.10675487218277124</c:v>
                </c:pt>
                <c:pt idx="127">
                  <c:v>0.11325299483737469</c:v>
                </c:pt>
                <c:pt idx="128">
                  <c:v>0.1371276530219587</c:v>
                </c:pt>
                <c:pt idx="129">
                  <c:v>0.11251685968909821</c:v>
                </c:pt>
                <c:pt idx="130">
                  <c:v>0.12069990403012353</c:v>
                </c:pt>
                <c:pt idx="131">
                  <c:v>0.12887920155597438</c:v>
                </c:pt>
                <c:pt idx="132">
                  <c:v>0.12299894982117351</c:v>
                </c:pt>
                <c:pt idx="133">
                  <c:v>0.12189085117413591</c:v>
                </c:pt>
                <c:pt idx="134">
                  <c:v>0.13836202633066699</c:v>
                </c:pt>
                <c:pt idx="135">
                  <c:v>0.12881102352658488</c:v>
                </c:pt>
                <c:pt idx="136">
                  <c:v>0.12529799561222349</c:v>
                </c:pt>
                <c:pt idx="137">
                  <c:v>0.11990712961941664</c:v>
                </c:pt>
                <c:pt idx="138">
                  <c:v>0.11217118577300268</c:v>
                </c:pt>
                <c:pt idx="139">
                  <c:v>0.10796672734123137</c:v>
                </c:pt>
                <c:pt idx="140">
                  <c:v>0.12104377840057971</c:v>
                </c:pt>
                <c:pt idx="141">
                  <c:v>0.12874656429879844</c:v>
                </c:pt>
                <c:pt idx="142">
                  <c:v>0.12644751850774846</c:v>
                </c:pt>
                <c:pt idx="143">
                  <c:v>0.12534797486855065</c:v>
                </c:pt>
                <c:pt idx="144">
                  <c:v>0.13347238064706782</c:v>
                </c:pt>
                <c:pt idx="145">
                  <c:v>0.11719526105596199</c:v>
                </c:pt>
                <c:pt idx="146">
                  <c:v>0.14256337870971639</c:v>
                </c:pt>
                <c:pt idx="147">
                  <c:v>0.1201773936230667</c:v>
                </c:pt>
                <c:pt idx="148">
                  <c:v>0.12122241443718035</c:v>
                </c:pt>
                <c:pt idx="149">
                  <c:v>0.12027934687322414</c:v>
                </c:pt>
                <c:pt idx="150">
                  <c:v>0.12644751850774846</c:v>
                </c:pt>
                <c:pt idx="151">
                  <c:v>0.12032909019285741</c:v>
                </c:pt>
                <c:pt idx="152">
                  <c:v>0.13688813930196622</c:v>
                </c:pt>
                <c:pt idx="153">
                  <c:v>0.12859069678754081</c:v>
                </c:pt>
                <c:pt idx="154">
                  <c:v>0.1296352710751707</c:v>
                </c:pt>
                <c:pt idx="155">
                  <c:v>0.13773747551736887</c:v>
                </c:pt>
                <c:pt idx="156">
                  <c:v>0.14672683751370813</c:v>
                </c:pt>
                <c:pt idx="157">
                  <c:v>0.12442435821162448</c:v>
                </c:pt>
                <c:pt idx="158">
                  <c:v>0.11614438737008008</c:v>
                </c:pt>
                <c:pt idx="159">
                  <c:v>0.13987557357051819</c:v>
                </c:pt>
                <c:pt idx="160">
                  <c:v>0.1295568837169554</c:v>
                </c:pt>
                <c:pt idx="161">
                  <c:v>0.12158415241129659</c:v>
                </c:pt>
                <c:pt idx="162">
                  <c:v>0.11299565483671141</c:v>
                </c:pt>
                <c:pt idx="163">
                  <c:v>0.14353502100879553</c:v>
                </c:pt>
                <c:pt idx="164">
                  <c:v>0.11721777263127048</c:v>
                </c:pt>
                <c:pt idx="165">
                  <c:v>0.10375181005763977</c:v>
                </c:pt>
                <c:pt idx="166">
                  <c:v>0.13376266420654381</c:v>
                </c:pt>
                <c:pt idx="167">
                  <c:v>0.14308534989034696</c:v>
                </c:pt>
                <c:pt idx="168">
                  <c:v>0.123573711268936</c:v>
                </c:pt>
                <c:pt idx="169">
                  <c:v>0.13150541924805839</c:v>
                </c:pt>
                <c:pt idx="170">
                  <c:v>0.14530372740802674</c:v>
                </c:pt>
                <c:pt idx="171">
                  <c:v>0.14789843682602724</c:v>
                </c:pt>
                <c:pt idx="172">
                  <c:v>0.1313868746994574</c:v>
                </c:pt>
                <c:pt idx="173">
                  <c:v>0.12102833914313067</c:v>
                </c:pt>
                <c:pt idx="174">
                  <c:v>0.14107780990533919</c:v>
                </c:pt>
                <c:pt idx="175">
                  <c:v>0.15953658877145835</c:v>
                </c:pt>
                <c:pt idx="176">
                  <c:v>0.11698545929968568</c:v>
                </c:pt>
                <c:pt idx="177">
                  <c:v>0.13533835965282451</c:v>
                </c:pt>
                <c:pt idx="178">
                  <c:v>0.13533835965282451</c:v>
                </c:pt>
                <c:pt idx="179">
                  <c:v>0.13022207129902452</c:v>
                </c:pt>
                <c:pt idx="180">
                  <c:v>0.15283656584849595</c:v>
                </c:pt>
                <c:pt idx="181">
                  <c:v>0.15151900924635375</c:v>
                </c:pt>
                <c:pt idx="182">
                  <c:v>0.1417435892949761</c:v>
                </c:pt>
                <c:pt idx="183">
                  <c:v>0.15528642623758585</c:v>
                </c:pt>
                <c:pt idx="184">
                  <c:v>0.1330529858924816</c:v>
                </c:pt>
                <c:pt idx="185">
                  <c:v>0.12644751850774849</c:v>
                </c:pt>
                <c:pt idx="186">
                  <c:v>0.12295931110063818</c:v>
                </c:pt>
                <c:pt idx="187">
                  <c:v>0.13198536603363525</c:v>
                </c:pt>
                <c:pt idx="188">
                  <c:v>0.11672078631484473</c:v>
                </c:pt>
                <c:pt idx="189">
                  <c:v>0.13682753868375766</c:v>
                </c:pt>
                <c:pt idx="190">
                  <c:v>0.15152801804647542</c:v>
                </c:pt>
                <c:pt idx="191">
                  <c:v>0.14201029001639445</c:v>
                </c:pt>
                <c:pt idx="192">
                  <c:v>0.14422920079790061</c:v>
                </c:pt>
                <c:pt idx="193">
                  <c:v>0.13667489132822813</c:v>
                </c:pt>
                <c:pt idx="194">
                  <c:v>0.16415993630830503</c:v>
                </c:pt>
                <c:pt idx="195">
                  <c:v>0.14070851683569002</c:v>
                </c:pt>
                <c:pt idx="196">
                  <c:v>0.13272505488756578</c:v>
                </c:pt>
                <c:pt idx="197">
                  <c:v>0.13554446228528433</c:v>
                </c:pt>
                <c:pt idx="198">
                  <c:v>0.14260998327941557</c:v>
                </c:pt>
                <c:pt idx="199">
                  <c:v>0.1470319982648238</c:v>
                </c:pt>
                <c:pt idx="200">
                  <c:v>0.16319295123649585</c:v>
                </c:pt>
                <c:pt idx="201">
                  <c:v>0.11440489769748673</c:v>
                </c:pt>
                <c:pt idx="202">
                  <c:v>0.15857762566955341</c:v>
                </c:pt>
                <c:pt idx="203">
                  <c:v>0.15703966008220374</c:v>
                </c:pt>
                <c:pt idx="204">
                  <c:v>0.14411298065221331</c:v>
                </c:pt>
                <c:pt idx="205">
                  <c:v>0.15555051879921439</c:v>
                </c:pt>
                <c:pt idx="206">
                  <c:v>0.14398403567305665</c:v>
                </c:pt>
                <c:pt idx="207">
                  <c:v>0.15780650309767008</c:v>
                </c:pt>
                <c:pt idx="208">
                  <c:v>0.14385695946171384</c:v>
                </c:pt>
                <c:pt idx="209">
                  <c:v>0.17262835135405658</c:v>
                </c:pt>
                <c:pt idx="210">
                  <c:v>0.13143886792252801</c:v>
                </c:pt>
                <c:pt idx="211">
                  <c:v>0.13408528808204198</c:v>
                </c:pt>
                <c:pt idx="212">
                  <c:v>0.15116658227618052</c:v>
                </c:pt>
                <c:pt idx="213">
                  <c:v>0.13223269909307031</c:v>
                </c:pt>
                <c:pt idx="214">
                  <c:v>0.15562771508645964</c:v>
                </c:pt>
                <c:pt idx="215">
                  <c:v>0.12413445414480186</c:v>
                </c:pt>
                <c:pt idx="216">
                  <c:v>0.16551260552640246</c:v>
                </c:pt>
                <c:pt idx="217">
                  <c:v>0.163875983986042</c:v>
                </c:pt>
                <c:pt idx="218">
                  <c:v>0.17359744066318011</c:v>
                </c:pt>
                <c:pt idx="219">
                  <c:v>0.14021051371947618</c:v>
                </c:pt>
                <c:pt idx="220">
                  <c:v>0.16997863143664549</c:v>
                </c:pt>
                <c:pt idx="221">
                  <c:v>0.16299875432639449</c:v>
                </c:pt>
                <c:pt idx="222">
                  <c:v>0.14488778162346178</c:v>
                </c:pt>
                <c:pt idx="223">
                  <c:v>0.1590173338809564</c:v>
                </c:pt>
                <c:pt idx="224">
                  <c:v>0.1554836153502685</c:v>
                </c:pt>
                <c:pt idx="225">
                  <c:v>0.15434035347269298</c:v>
                </c:pt>
                <c:pt idx="226">
                  <c:v>0.15642026363551109</c:v>
                </c:pt>
                <c:pt idx="227">
                  <c:v>0.16216170312444078</c:v>
                </c:pt>
                <c:pt idx="228">
                  <c:v>0.14550125417329959</c:v>
                </c:pt>
                <c:pt idx="229">
                  <c:v>0.15829356020599622</c:v>
                </c:pt>
                <c:pt idx="230">
                  <c:v>0.15598270531247804</c:v>
                </c:pt>
                <c:pt idx="231">
                  <c:v>0.14927832046053638</c:v>
                </c:pt>
                <c:pt idx="232">
                  <c:v>0.1535434153308374</c:v>
                </c:pt>
                <c:pt idx="233">
                  <c:v>0.16380701261231051</c:v>
                </c:pt>
                <c:pt idx="234">
                  <c:v>0.15316178298121647</c:v>
                </c:pt>
                <c:pt idx="235">
                  <c:v>0.17125175734907669</c:v>
                </c:pt>
                <c:pt idx="236">
                  <c:v>0.16827246693723447</c:v>
                </c:pt>
                <c:pt idx="237">
                  <c:v>0.15385921832411351</c:v>
                </c:pt>
                <c:pt idx="238">
                  <c:v>0.14380306026371395</c:v>
                </c:pt>
                <c:pt idx="239">
                  <c:v>0.17021781337581521</c:v>
                </c:pt>
                <c:pt idx="240">
                  <c:v>0.14752210492570653</c:v>
                </c:pt>
                <c:pt idx="241">
                  <c:v>0.14641291616686664</c:v>
                </c:pt>
                <c:pt idx="242">
                  <c:v>0.15139294732900496</c:v>
                </c:pt>
                <c:pt idx="243">
                  <c:v>0.16101590486238476</c:v>
                </c:pt>
                <c:pt idx="244">
                  <c:v>0.14724480773599657</c:v>
                </c:pt>
                <c:pt idx="245">
                  <c:v>0.16309897314767557</c:v>
                </c:pt>
                <c:pt idx="246">
                  <c:v>0.16521245118895603</c:v>
                </c:pt>
                <c:pt idx="247">
                  <c:v>0.14602648911539981</c:v>
                </c:pt>
                <c:pt idx="248">
                  <c:v>0.15275539148587061</c:v>
                </c:pt>
                <c:pt idx="249">
                  <c:v>0.13878386177679711</c:v>
                </c:pt>
                <c:pt idx="250">
                  <c:v>0.15156954205233422</c:v>
                </c:pt>
                <c:pt idx="251">
                  <c:v>0.15676027979385254</c:v>
                </c:pt>
                <c:pt idx="252">
                  <c:v>0.17303344637902421</c:v>
                </c:pt>
                <c:pt idx="253">
                  <c:v>0.14462434929323734</c:v>
                </c:pt>
                <c:pt idx="254">
                  <c:v>0.18220390462140137</c:v>
                </c:pt>
                <c:pt idx="255">
                  <c:v>0.18319955437343086</c:v>
                </c:pt>
                <c:pt idx="256">
                  <c:v>0.17857092308346159</c:v>
                </c:pt>
                <c:pt idx="257">
                  <c:v>0.17994454556871894</c:v>
                </c:pt>
                <c:pt idx="258">
                  <c:v>0.15679492294960809</c:v>
                </c:pt>
                <c:pt idx="259">
                  <c:v>0.17134555044165914</c:v>
                </c:pt>
                <c:pt idx="260">
                  <c:v>0.14922377960541747</c:v>
                </c:pt>
                <c:pt idx="261">
                  <c:v>0.1631856488849997</c:v>
                </c:pt>
                <c:pt idx="262">
                  <c:v>0.16100984023319972</c:v>
                </c:pt>
                <c:pt idx="263">
                  <c:v>0.17466132052868855</c:v>
                </c:pt>
                <c:pt idx="264">
                  <c:v>0.14355512395291442</c:v>
                </c:pt>
                <c:pt idx="265">
                  <c:v>0.19016138442250544</c:v>
                </c:pt>
                <c:pt idx="266">
                  <c:v>0.18037366610664116</c:v>
                </c:pt>
                <c:pt idx="267">
                  <c:v>0.17005011109662727</c:v>
                </c:pt>
                <c:pt idx="268">
                  <c:v>0.1822331884376375</c:v>
                </c:pt>
                <c:pt idx="269">
                  <c:v>0.18871334201535186</c:v>
                </c:pt>
                <c:pt idx="270">
                  <c:v>0.17542367004243978</c:v>
                </c:pt>
                <c:pt idx="271">
                  <c:v>0.16831189963531384</c:v>
                </c:pt>
                <c:pt idx="272">
                  <c:v>0.18824517792882856</c:v>
                </c:pt>
                <c:pt idx="273">
                  <c:v>0.16887957169826806</c:v>
                </c:pt>
                <c:pt idx="274">
                  <c:v>0.17087502501047089</c:v>
                </c:pt>
                <c:pt idx="275">
                  <c:v>0.1374429548997266</c:v>
                </c:pt>
                <c:pt idx="276">
                  <c:v>0.18459491752955981</c:v>
                </c:pt>
                <c:pt idx="277">
                  <c:v>0.17172940013552326</c:v>
                </c:pt>
                <c:pt idx="278">
                  <c:v>0.16915495853354431</c:v>
                </c:pt>
                <c:pt idx="279">
                  <c:v>0.15279075153019608</c:v>
                </c:pt>
                <c:pt idx="280">
                  <c:v>0.14656416917943571</c:v>
                </c:pt>
                <c:pt idx="281">
                  <c:v>0.15539333599747399</c:v>
                </c:pt>
                <c:pt idx="282">
                  <c:v>0.17754617324718105</c:v>
                </c:pt>
                <c:pt idx="283">
                  <c:v>0.16486195451010238</c:v>
                </c:pt>
                <c:pt idx="284">
                  <c:v>0.19438946875071778</c:v>
                </c:pt>
                <c:pt idx="285">
                  <c:v>0.18432842486692907</c:v>
                </c:pt>
                <c:pt idx="286">
                  <c:v>0.16968441193297859</c:v>
                </c:pt>
                <c:pt idx="287">
                  <c:v>0.17190250882099142</c:v>
                </c:pt>
                <c:pt idx="288">
                  <c:v>0.19012612495049952</c:v>
                </c:pt>
                <c:pt idx="289">
                  <c:v>0.19669613990094206</c:v>
                </c:pt>
                <c:pt idx="290">
                  <c:v>0.18789032679672482</c:v>
                </c:pt>
                <c:pt idx="291">
                  <c:v>0.18149949935465937</c:v>
                </c:pt>
                <c:pt idx="292">
                  <c:v>0.19425270959161356</c:v>
                </c:pt>
                <c:pt idx="293">
                  <c:v>0.1883449051898631</c:v>
                </c:pt>
                <c:pt idx="294">
                  <c:v>0.17802479579380379</c:v>
                </c:pt>
                <c:pt idx="295">
                  <c:v>0.1849402481575913</c:v>
                </c:pt>
                <c:pt idx="296">
                  <c:v>0.17885668736293367</c:v>
                </c:pt>
                <c:pt idx="297">
                  <c:v>0.1858004353583243</c:v>
                </c:pt>
                <c:pt idx="298">
                  <c:v>0.18087856952101766</c:v>
                </c:pt>
                <c:pt idx="299">
                  <c:v>0.19460362777433629</c:v>
                </c:pt>
                <c:pt idx="300">
                  <c:v>0.2002854855195724</c:v>
                </c:pt>
                <c:pt idx="301">
                  <c:v>0.19276614709572845</c:v>
                </c:pt>
                <c:pt idx="302">
                  <c:v>0.16911385910852247</c:v>
                </c:pt>
                <c:pt idx="303">
                  <c:v>0.18585239297447592</c:v>
                </c:pt>
                <c:pt idx="304">
                  <c:v>0.19501413065631629</c:v>
                </c:pt>
                <c:pt idx="305">
                  <c:v>0.16460623711067845</c:v>
                </c:pt>
                <c:pt idx="306">
                  <c:v>0.18881690263657033</c:v>
                </c:pt>
                <c:pt idx="307">
                  <c:v>0.14404588448563097</c:v>
                </c:pt>
                <c:pt idx="308">
                  <c:v>0.19272345924284423</c:v>
                </c:pt>
                <c:pt idx="309">
                  <c:v>0.20141283305162791</c:v>
                </c:pt>
                <c:pt idx="310">
                  <c:v>0.19313559333717745</c:v>
                </c:pt>
                <c:pt idx="311">
                  <c:v>0.19400167223106615</c:v>
                </c:pt>
                <c:pt idx="312">
                  <c:v>0.18882829430490439</c:v>
                </c:pt>
                <c:pt idx="313">
                  <c:v>0.19621166664995451</c:v>
                </c:pt>
                <c:pt idx="314">
                  <c:v>0.19526249456638711</c:v>
                </c:pt>
                <c:pt idx="315">
                  <c:v>0.20108667873801667</c:v>
                </c:pt>
                <c:pt idx="316">
                  <c:v>0.1888501899791048</c:v>
                </c:pt>
                <c:pt idx="317">
                  <c:v>0.19472917850193261</c:v>
                </c:pt>
                <c:pt idx="318">
                  <c:v>0.20093030338217566</c:v>
                </c:pt>
                <c:pt idx="319">
                  <c:v>0.18886071674554741</c:v>
                </c:pt>
                <c:pt idx="320">
                  <c:v>0.19906940413719862</c:v>
                </c:pt>
                <c:pt idx="321">
                  <c:v>0.21134799522009387</c:v>
                </c:pt>
                <c:pt idx="322">
                  <c:v>0.20635532534250617</c:v>
                </c:pt>
                <c:pt idx="323">
                  <c:v>0.19678918443258864</c:v>
                </c:pt>
                <c:pt idx="324">
                  <c:v>0.18535164203620272</c:v>
                </c:pt>
                <c:pt idx="325">
                  <c:v>0.19762658521740817</c:v>
                </c:pt>
                <c:pt idx="326">
                  <c:v>0.20248690463740801</c:v>
                </c:pt>
                <c:pt idx="327">
                  <c:v>0.18498803633540975</c:v>
                </c:pt>
                <c:pt idx="328">
                  <c:v>0.20898964864475092</c:v>
                </c:pt>
                <c:pt idx="329">
                  <c:v>0.22292229188773433</c:v>
                </c:pt>
                <c:pt idx="330">
                  <c:v>0.19623998002176546</c:v>
                </c:pt>
                <c:pt idx="331">
                  <c:v>0.21586397802394203</c:v>
                </c:pt>
                <c:pt idx="332">
                  <c:v>0.19453464385807456</c:v>
                </c:pt>
                <c:pt idx="333">
                  <c:v>0.19165944629161871</c:v>
                </c:pt>
                <c:pt idx="334">
                  <c:v>0.2146045912701928</c:v>
                </c:pt>
                <c:pt idx="335">
                  <c:v>0.20265098992632535</c:v>
                </c:pt>
                <c:pt idx="336">
                  <c:v>0.20484497998255252</c:v>
                </c:pt>
                <c:pt idx="337">
                  <c:v>0.19651716252159637</c:v>
                </c:pt>
                <c:pt idx="338">
                  <c:v>0.18812923485299166</c:v>
                </c:pt>
                <c:pt idx="339">
                  <c:v>0.20653094689598916</c:v>
                </c:pt>
                <c:pt idx="340">
                  <c:v>0.1760206933772635</c:v>
                </c:pt>
                <c:pt idx="341">
                  <c:v>0.21752510176857429</c:v>
                </c:pt>
                <c:pt idx="342">
                  <c:v>0.20464532600596133</c:v>
                </c:pt>
                <c:pt idx="343">
                  <c:v>0.18814781368321604</c:v>
                </c:pt>
                <c:pt idx="344">
                  <c:v>0.20821691380942578</c:v>
                </c:pt>
                <c:pt idx="345">
                  <c:v>0.20767539463524248</c:v>
                </c:pt>
                <c:pt idx="346">
                  <c:v>0.18741328635969864</c:v>
                </c:pt>
                <c:pt idx="347">
                  <c:v>0.19158714925416437</c:v>
                </c:pt>
                <c:pt idx="348">
                  <c:v>0.19393791182170009</c:v>
                </c:pt>
                <c:pt idx="349">
                  <c:v>0.19713246674189358</c:v>
                </c:pt>
                <c:pt idx="350">
                  <c:v>0.21738580236606073</c:v>
                </c:pt>
                <c:pt idx="351">
                  <c:v>0.19429740648751595</c:v>
                </c:pt>
                <c:pt idx="352">
                  <c:v>0.21186239855934014</c:v>
                </c:pt>
                <c:pt idx="353">
                  <c:v>0.18599547780500211</c:v>
                </c:pt>
                <c:pt idx="354">
                  <c:v>0.21848754898617764</c:v>
                </c:pt>
                <c:pt idx="355">
                  <c:v>0.18967127776162268</c:v>
                </c:pt>
                <c:pt idx="356">
                  <c:v>0.21934773618691061</c:v>
                </c:pt>
                <c:pt idx="357">
                  <c:v>0.21019847232456884</c:v>
                </c:pt>
                <c:pt idx="358">
                  <c:v>0.1950034020360458</c:v>
                </c:pt>
                <c:pt idx="359">
                  <c:v>0.2110195601070867</c:v>
                </c:pt>
                <c:pt idx="360">
                  <c:v>0.19004100734790266</c:v>
                </c:pt>
                <c:pt idx="361">
                  <c:v>0.19418726056547087</c:v>
                </c:pt>
                <c:pt idx="362">
                  <c:v>0.19652686611445241</c:v>
                </c:pt>
                <c:pt idx="363">
                  <c:v>0.21688680326825724</c:v>
                </c:pt>
                <c:pt idx="364">
                  <c:v>0.20341557325159534</c:v>
                </c:pt>
                <c:pt idx="365">
                  <c:v>0.2107458641795808</c:v>
                </c:pt>
                <c:pt idx="366">
                  <c:v>0.22001868220348234</c:v>
                </c:pt>
                <c:pt idx="367">
                  <c:v>0.19149855404063637</c:v>
                </c:pt>
                <c:pt idx="368">
                  <c:v>0.20154968101538093</c:v>
                </c:pt>
                <c:pt idx="369">
                  <c:v>0.21536867668416507</c:v>
                </c:pt>
                <c:pt idx="370">
                  <c:v>0.22045126581942989</c:v>
                </c:pt>
                <c:pt idx="371">
                  <c:v>0.19257811726754795</c:v>
                </c:pt>
                <c:pt idx="372">
                  <c:v>0.19669613990094206</c:v>
                </c:pt>
                <c:pt idx="373">
                  <c:v>0.19902390487018395</c:v>
                </c:pt>
                <c:pt idx="374">
                  <c:v>0.22658716403737475</c:v>
                </c:pt>
                <c:pt idx="375">
                  <c:v>0.22005152571478301</c:v>
                </c:pt>
                <c:pt idx="376">
                  <c:v>0.21863183845210701</c:v>
                </c:pt>
                <c:pt idx="377">
                  <c:v>0.20008460281520193</c:v>
                </c:pt>
                <c:pt idx="378">
                  <c:v>0.20201674554492355</c:v>
                </c:pt>
                <c:pt idx="379">
                  <c:v>0.21284023301614804</c:v>
                </c:pt>
                <c:pt idx="380">
                  <c:v>0.21826291411210086</c:v>
                </c:pt>
                <c:pt idx="381">
                  <c:v>0.21100444806200971</c:v>
                </c:pt>
                <c:pt idx="382">
                  <c:v>0.20305983854479606</c:v>
                </c:pt>
                <c:pt idx="383">
                  <c:v>0.22562204282755122</c:v>
                </c:pt>
                <c:pt idx="384">
                  <c:v>0.22944781504055015</c:v>
                </c:pt>
                <c:pt idx="385">
                  <c:v>0.22434237154600534</c:v>
                </c:pt>
                <c:pt idx="386">
                  <c:v>0.19318370883128241</c:v>
                </c:pt>
                <c:pt idx="387">
                  <c:v>0.26439026597074677</c:v>
                </c:pt>
                <c:pt idx="388">
                  <c:v>0.18662842303817417</c:v>
                </c:pt>
                <c:pt idx="389">
                  <c:v>0.22597395242997628</c:v>
                </c:pt>
                <c:pt idx="390">
                  <c:v>0.22390070156149092</c:v>
                </c:pt>
                <c:pt idx="391">
                  <c:v>0.20319312222632407</c:v>
                </c:pt>
                <c:pt idx="392">
                  <c:v>0.18967127776162265</c:v>
                </c:pt>
                <c:pt idx="393">
                  <c:v>0.19347161301732008</c:v>
                </c:pt>
                <c:pt idx="394">
                  <c:v>0.21200781546209324</c:v>
                </c:pt>
                <c:pt idx="395">
                  <c:v>0.21798621288759087</c:v>
                </c:pt>
                <c:pt idx="396">
                  <c:v>0.20032696752351162</c:v>
                </c:pt>
                <c:pt idx="397">
                  <c:v>0.19274702821181117</c:v>
                </c:pt>
                <c:pt idx="398">
                  <c:v>0.22792769259676954</c:v>
                </c:pt>
                <c:pt idx="399">
                  <c:v>0.22792769259676954</c:v>
                </c:pt>
                <c:pt idx="400">
                  <c:v>0.20174772615843009</c:v>
                </c:pt>
                <c:pt idx="401">
                  <c:v>0.2176430015527307</c:v>
                </c:pt>
                <c:pt idx="402">
                  <c:v>0.23401001801758642</c:v>
                </c:pt>
                <c:pt idx="403">
                  <c:v>0.22245396774511303</c:v>
                </c:pt>
                <c:pt idx="404">
                  <c:v>0.22602493933260037</c:v>
                </c:pt>
                <c:pt idx="405">
                  <c:v>0.22401504822051735</c:v>
                </c:pt>
                <c:pt idx="406">
                  <c:v>0.23263101161361419</c:v>
                </c:pt>
                <c:pt idx="407">
                  <c:v>0.17764334307430024</c:v>
                </c:pt>
                <c:pt idx="408">
                  <c:v>0.23494764729181647</c:v>
                </c:pt>
                <c:pt idx="409">
                  <c:v>0.20301851582632952</c:v>
                </c:pt>
                <c:pt idx="410">
                  <c:v>0.21319639748399449</c:v>
                </c:pt>
                <c:pt idx="411">
                  <c:v>0.2306275494795412</c:v>
                </c:pt>
                <c:pt idx="412">
                  <c:v>0.21393155747531861</c:v>
                </c:pt>
                <c:pt idx="413">
                  <c:v>0.20906947662360684</c:v>
                </c:pt>
                <c:pt idx="414">
                  <c:v>0.22242575544736476</c:v>
                </c:pt>
                <c:pt idx="415">
                  <c:v>0.2141567799004063</c:v>
                </c:pt>
                <c:pt idx="416">
                  <c:v>0.22454013892588062</c:v>
                </c:pt>
                <c:pt idx="417">
                  <c:v>0.22668030756876864</c:v>
                </c:pt>
                <c:pt idx="418">
                  <c:v>0.22128315738855986</c:v>
                </c:pt>
                <c:pt idx="419">
                  <c:v>0.22203582118920118</c:v>
                </c:pt>
                <c:pt idx="420">
                  <c:v>0.22962248759689288</c:v>
                </c:pt>
                <c:pt idx="421">
                  <c:v>0.21834251742326338</c:v>
                </c:pt>
                <c:pt idx="422">
                  <c:v>0.21288904245937307</c:v>
                </c:pt>
                <c:pt idx="423">
                  <c:v>0.22699614768258455</c:v>
                </c:pt>
                <c:pt idx="424">
                  <c:v>0.22239887078715759</c:v>
                </c:pt>
                <c:pt idx="425">
                  <c:v>0.23629880021135499</c:v>
                </c:pt>
                <c:pt idx="426">
                  <c:v>0.22054799739723571</c:v>
                </c:pt>
                <c:pt idx="427">
                  <c:v>0.23067092770201389</c:v>
                </c:pt>
                <c:pt idx="428">
                  <c:v>0.23207745774897737</c:v>
                </c:pt>
                <c:pt idx="429">
                  <c:v>0.22331667011309961</c:v>
                </c:pt>
                <c:pt idx="430">
                  <c:v>0.20059475449134967</c:v>
                </c:pt>
                <c:pt idx="431">
                  <c:v>0.24096602583552063</c:v>
                </c:pt>
                <c:pt idx="432">
                  <c:v>0.23017991393027268</c:v>
                </c:pt>
                <c:pt idx="433">
                  <c:v>0.2147488582477963</c:v>
                </c:pt>
                <c:pt idx="434">
                  <c:v>0.23806477249915603</c:v>
                </c:pt>
                <c:pt idx="435">
                  <c:v>0.22820410144889511</c:v>
                </c:pt>
                <c:pt idx="436">
                  <c:v>0.23884531273685816</c:v>
                </c:pt>
                <c:pt idx="437">
                  <c:v>0.23031512299625614</c:v>
                </c:pt>
                <c:pt idx="438">
                  <c:v>0.24262117613674236</c:v>
                </c:pt>
                <c:pt idx="439">
                  <c:v>0.24649263101510457</c:v>
                </c:pt>
                <c:pt idx="440">
                  <c:v>0.23970725901162132</c:v>
                </c:pt>
                <c:pt idx="441">
                  <c:v>0.2146828748290894</c:v>
                </c:pt>
                <c:pt idx="442">
                  <c:v>0.24809323251520266</c:v>
                </c:pt>
                <c:pt idx="443">
                  <c:v>0.25788638643027645</c:v>
                </c:pt>
                <c:pt idx="444">
                  <c:v>0.22658225859769951</c:v>
                </c:pt>
                <c:pt idx="445">
                  <c:v>0.20375740028968792</c:v>
                </c:pt>
                <c:pt idx="446">
                  <c:v>0.22936991729312514</c:v>
                </c:pt>
                <c:pt idx="447">
                  <c:v>0.20655301452574618</c:v>
                </c:pt>
                <c:pt idx="448">
                  <c:v>0.25208963880844126</c:v>
                </c:pt>
                <c:pt idx="449">
                  <c:v>0.21346516565286566</c:v>
                </c:pt>
                <c:pt idx="450">
                  <c:v>0.20218765649716122</c:v>
                </c:pt>
                <c:pt idx="451">
                  <c:v>0.23096772166733243</c:v>
                </c:pt>
                <c:pt idx="452">
                  <c:v>0.24896809544693335</c:v>
                </c:pt>
                <c:pt idx="453">
                  <c:v>0.24743125535158184</c:v>
                </c:pt>
                <c:pt idx="454">
                  <c:v>0.24595584392665709</c:v>
                </c:pt>
                <c:pt idx="455">
                  <c:v>0.23801885836752651</c:v>
                </c:pt>
                <c:pt idx="456">
                  <c:v>0.25368533400617033</c:v>
                </c:pt>
                <c:pt idx="457">
                  <c:v>0.22803176090442273</c:v>
                </c:pt>
                <c:pt idx="458">
                  <c:v>0.20773520897701533</c:v>
                </c:pt>
                <c:pt idx="459">
                  <c:v>0.24903992974391925</c:v>
                </c:pt>
                <c:pt idx="460">
                  <c:v>0.24532332932042217</c:v>
                </c:pt>
                <c:pt idx="461">
                  <c:v>0.25134353372092333</c:v>
                </c:pt>
                <c:pt idx="462">
                  <c:v>0.23349683815351283</c:v>
                </c:pt>
                <c:pt idx="463">
                  <c:v>0.23618070985642672</c:v>
                </c:pt>
                <c:pt idx="464">
                  <c:v>0.23966215717166278</c:v>
                </c:pt>
                <c:pt idx="465">
                  <c:v>0.26089804451598725</c:v>
                </c:pt>
                <c:pt idx="466">
                  <c:v>0.23229403680917834</c:v>
                </c:pt>
                <c:pt idx="467">
                  <c:v>0.23360643249736579</c:v>
                </c:pt>
                <c:pt idx="468">
                  <c:v>0.2576073668977733</c:v>
                </c:pt>
                <c:pt idx="469">
                  <c:v>0.24046955831820369</c:v>
                </c:pt>
                <c:pt idx="470">
                  <c:v>0.24616114549733278</c:v>
                </c:pt>
                <c:pt idx="471">
                  <c:v>0.2285782065332376</c:v>
                </c:pt>
                <c:pt idx="472">
                  <c:v>0.2483790542116488</c:v>
                </c:pt>
                <c:pt idx="473">
                  <c:v>0.23053967462738667</c:v>
                </c:pt>
                <c:pt idx="474">
                  <c:v>0.24620075662391019</c:v>
                </c:pt>
                <c:pt idx="475">
                  <c:v>0.22095040076090783</c:v>
                </c:pt>
                <c:pt idx="476">
                  <c:v>0.20742376188709474</c:v>
                </c:pt>
                <c:pt idx="477">
                  <c:v>0.2170465137272177</c:v>
                </c:pt>
                <c:pt idx="478">
                  <c:v>0.22638184765096897</c:v>
                </c:pt>
                <c:pt idx="479">
                  <c:v>0.25596043140356362</c:v>
                </c:pt>
                <c:pt idx="480">
                  <c:v>0.2477188228075774</c:v>
                </c:pt>
                <c:pt idx="481">
                  <c:v>0.24068135625054399</c:v>
                </c:pt>
                <c:pt idx="482">
                  <c:v>0.24139980806024705</c:v>
                </c:pt>
                <c:pt idx="483">
                  <c:v>0.21787880112104349</c:v>
                </c:pt>
                <c:pt idx="484">
                  <c:v>0.24350179278349277</c:v>
                </c:pt>
                <c:pt idx="485">
                  <c:v>0.25289503701549687</c:v>
                </c:pt>
                <c:pt idx="486">
                  <c:v>0.24562793825068374</c:v>
                </c:pt>
                <c:pt idx="487">
                  <c:v>0.23947323337500967</c:v>
                </c:pt>
                <c:pt idx="488">
                  <c:v>0.22800908922407834</c:v>
                </c:pt>
                <c:pt idx="489">
                  <c:v>0.24708135800364639</c:v>
                </c:pt>
                <c:pt idx="490">
                  <c:v>0.27818454071704657</c:v>
                </c:pt>
                <c:pt idx="491">
                  <c:v>0.20435357256465506</c:v>
                </c:pt>
                <c:pt idx="492">
                  <c:v>0.25438265488029393</c:v>
                </c:pt>
                <c:pt idx="493">
                  <c:v>0.23502745287853252</c:v>
                </c:pt>
                <c:pt idx="494">
                  <c:v>0.2597095739410642</c:v>
                </c:pt>
                <c:pt idx="495">
                  <c:v>0.23137205514183762</c:v>
                </c:pt>
                <c:pt idx="496">
                  <c:v>0.27186216479165926</c:v>
                </c:pt>
                <c:pt idx="497">
                  <c:v>0.23385992670250255</c:v>
                </c:pt>
                <c:pt idx="498">
                  <c:v>0.25511341453317671</c:v>
                </c:pt>
                <c:pt idx="499">
                  <c:v>0.24171735582144177</c:v>
                </c:pt>
                <c:pt idx="500">
                  <c:v>0.24717989493605061</c:v>
                </c:pt>
                <c:pt idx="501">
                  <c:v>0.24789428769598143</c:v>
                </c:pt>
                <c:pt idx="502">
                  <c:v>0.24721200247582281</c:v>
                </c:pt>
                <c:pt idx="503">
                  <c:v>0.26037713870234586</c:v>
                </c:pt>
                <c:pt idx="504">
                  <c:v>0.26112534887103084</c:v>
                </c:pt>
                <c:pt idx="505">
                  <c:v>0.2465373405542135</c:v>
                </c:pt>
                <c:pt idx="506">
                  <c:v>0.24183951627165004</c:v>
                </c:pt>
                <c:pt idx="507">
                  <c:v>0.27739424372637317</c:v>
                </c:pt>
                <c:pt idx="508">
                  <c:v>0.25075185873570455</c:v>
                </c:pt>
                <c:pt idx="509">
                  <c:v>0.24189960062351881</c:v>
                </c:pt>
                <c:pt idx="510">
                  <c:v>0.22943054904498689</c:v>
                </c:pt>
                <c:pt idx="511">
                  <c:v>0.24525260457821541</c:v>
                </c:pt>
                <c:pt idx="512">
                  <c:v>0.25361348882520007</c:v>
                </c:pt>
                <c:pt idx="513">
                  <c:v>0.24730619641846935</c:v>
                </c:pt>
                <c:pt idx="514">
                  <c:v>0.24529436650410219</c:v>
                </c:pt>
                <c:pt idx="515">
                  <c:v>0.25148221557965617</c:v>
                </c:pt>
                <c:pt idx="516">
                  <c:v>0.25795293775580685</c:v>
                </c:pt>
                <c:pt idx="517">
                  <c:v>0.27020630443024823</c:v>
                </c:pt>
                <c:pt idx="518">
                  <c:v>0.22647316747656437</c:v>
                </c:pt>
                <c:pt idx="519">
                  <c:v>0.2494401867830448</c:v>
                </c:pt>
                <c:pt idx="520">
                  <c:v>0.29342308781926246</c:v>
                </c:pt>
                <c:pt idx="521">
                  <c:v>0.25861017909494316</c:v>
                </c:pt>
                <c:pt idx="522">
                  <c:v>0.27160029123261942</c:v>
                </c:pt>
                <c:pt idx="523">
                  <c:v>0.25642709060509883</c:v>
                </c:pt>
                <c:pt idx="524">
                  <c:v>0.26003896461480469</c:v>
                </c:pt>
                <c:pt idx="525">
                  <c:v>0.26524910491567921</c:v>
                </c:pt>
                <c:pt idx="526">
                  <c:v>0.28489718676128506</c:v>
                </c:pt>
                <c:pt idx="527">
                  <c:v>0.24881608480556958</c:v>
                </c:pt>
                <c:pt idx="528">
                  <c:v>0.24553565763144805</c:v>
                </c:pt>
                <c:pt idx="529">
                  <c:v>0.26980371681595167</c:v>
                </c:pt>
                <c:pt idx="530">
                  <c:v>0.25567410335632657</c:v>
                </c:pt>
                <c:pt idx="531">
                  <c:v>0.25017573554221201</c:v>
                </c:pt>
                <c:pt idx="532">
                  <c:v>0.26066555491262111</c:v>
                </c:pt>
                <c:pt idx="533">
                  <c:v>0.2368483976109603</c:v>
                </c:pt>
                <c:pt idx="534">
                  <c:v>0.26888265429808578</c:v>
                </c:pt>
                <c:pt idx="535">
                  <c:v>0.23870194820340271</c:v>
                </c:pt>
                <c:pt idx="536">
                  <c:v>0.26355072677738584</c:v>
                </c:pt>
                <c:pt idx="537">
                  <c:v>0.25426203721558066</c:v>
                </c:pt>
                <c:pt idx="538">
                  <c:v>0.26879129648504246</c:v>
                </c:pt>
                <c:pt idx="539">
                  <c:v>0.25357486238381816</c:v>
                </c:pt>
                <c:pt idx="540">
                  <c:v>0.25087725746484135</c:v>
                </c:pt>
                <c:pt idx="541">
                  <c:v>0.24890195748367328</c:v>
                </c:pt>
                <c:pt idx="542">
                  <c:v>0.21995986940417639</c:v>
                </c:pt>
                <c:pt idx="543">
                  <c:v>0.2927025891383066</c:v>
                </c:pt>
                <c:pt idx="544">
                  <c:v>0.26123223603798584</c:v>
                </c:pt>
                <c:pt idx="545">
                  <c:v>0.23891591436639911</c:v>
                </c:pt>
                <c:pt idx="546">
                  <c:v>0.25089849724958507</c:v>
                </c:pt>
                <c:pt idx="547">
                  <c:v>0.2611866775733821</c:v>
                </c:pt>
                <c:pt idx="548">
                  <c:v>0.2549128165661525</c:v>
                </c:pt>
                <c:pt idx="549">
                  <c:v>0.26114161430948057</c:v>
                </c:pt>
                <c:pt idx="550">
                  <c:v>0.23212587938620488</c:v>
                </c:pt>
                <c:pt idx="551">
                  <c:v>0.26325958771285335</c:v>
                </c:pt>
                <c:pt idx="552">
                  <c:v>0.2610970382159995</c:v>
                </c:pt>
                <c:pt idx="553">
                  <c:v>0.27760317281586155</c:v>
                </c:pt>
                <c:pt idx="554">
                  <c:v>0.25223645618993568</c:v>
                </c:pt>
                <c:pt idx="555">
                  <c:v>0.25690924395225084</c:v>
                </c:pt>
                <c:pt idx="556">
                  <c:v>0.28066963645650522</c:v>
                </c:pt>
                <c:pt idx="557">
                  <c:v>0.24463464635921187</c:v>
                </c:pt>
                <c:pt idx="558">
                  <c:v>0.26602346789881509</c:v>
                </c:pt>
                <c:pt idx="559">
                  <c:v>0.25688811654732058</c:v>
                </c:pt>
                <c:pt idx="560">
                  <c:v>0.24345865503730674</c:v>
                </c:pt>
                <c:pt idx="561">
                  <c:v>0.26029356203456733</c:v>
                </c:pt>
                <c:pt idx="562">
                  <c:v>0.23932505941954338</c:v>
                </c:pt>
                <c:pt idx="563">
                  <c:v>0.27562717517419322</c:v>
                </c:pt>
                <c:pt idx="564">
                  <c:v>0.26025441639954577</c:v>
                </c:pt>
                <c:pt idx="565">
                  <c:v>0.26092345088900476</c:v>
                </c:pt>
                <c:pt idx="566">
                  <c:v>0.26231134158522285</c:v>
                </c:pt>
                <c:pt idx="567">
                  <c:v>0.22473172607513478</c:v>
                </c:pt>
                <c:pt idx="568">
                  <c:v>0.26021568282384028</c:v>
                </c:pt>
                <c:pt idx="569">
                  <c:v>0.2723485014013044</c:v>
                </c:pt>
                <c:pt idx="570">
                  <c:v>0.29306071936501699</c:v>
                </c:pt>
                <c:pt idx="571">
                  <c:v>0.26921084585520638</c:v>
                </c:pt>
                <c:pt idx="572">
                  <c:v>0.25810936767561027</c:v>
                </c:pt>
                <c:pt idx="573">
                  <c:v>0.25482063374404129</c:v>
                </c:pt>
                <c:pt idx="574">
                  <c:v>0.29090238361898196</c:v>
                </c:pt>
                <c:pt idx="575">
                  <c:v>0.26211516857335354</c:v>
                </c:pt>
                <c:pt idx="576">
                  <c:v>0.25741101981934511</c:v>
                </c:pt>
                <c:pt idx="577">
                  <c:v>0.2719301473284913</c:v>
                </c:pt>
                <c:pt idx="578">
                  <c:v>0.26481155708428994</c:v>
                </c:pt>
                <c:pt idx="579">
                  <c:v>0.25480128101310118</c:v>
                </c:pt>
                <c:pt idx="580">
                  <c:v>0.25870130062044455</c:v>
                </c:pt>
                <c:pt idx="581">
                  <c:v>0.25802996162494862</c:v>
                </c:pt>
                <c:pt idx="582">
                  <c:v>0.27396962343345499</c:v>
                </c:pt>
                <c:pt idx="583">
                  <c:v>0.27999093383858586</c:v>
                </c:pt>
                <c:pt idx="584">
                  <c:v>0.28790028225210518</c:v>
                </c:pt>
                <c:pt idx="585">
                  <c:v>0.28223645014989157</c:v>
                </c:pt>
                <c:pt idx="586">
                  <c:v>0.2606367218220938</c:v>
                </c:pt>
                <c:pt idx="587">
                  <c:v>0.29431749997493173</c:v>
                </c:pt>
                <c:pt idx="588">
                  <c:v>0.24921209958323243</c:v>
                </c:pt>
                <c:pt idx="589">
                  <c:v>0.24800817639683997</c:v>
                </c:pt>
                <c:pt idx="590">
                  <c:v>0.28520940285636603</c:v>
                </c:pt>
                <c:pt idx="591">
                  <c:v>0.29408080018659211</c:v>
                </c:pt>
                <c:pt idx="592">
                  <c:v>0.288215572911516</c:v>
                </c:pt>
                <c:pt idx="593">
                  <c:v>0.28983476152337845</c:v>
                </c:pt>
                <c:pt idx="594">
                  <c:v>0.27441801888915623</c:v>
                </c:pt>
                <c:pt idx="595">
                  <c:v>0.29552591468382355</c:v>
                </c:pt>
                <c:pt idx="596">
                  <c:v>0.32122382030850394</c:v>
                </c:pt>
                <c:pt idx="597">
                  <c:v>0.28801934771209375</c:v>
                </c:pt>
                <c:pt idx="598">
                  <c:v>0.25351185417894934</c:v>
                </c:pt>
                <c:pt idx="599">
                  <c:v>0.32892360827015577</c:v>
                </c:pt>
                <c:pt idx="600">
                  <c:v>0.31766083917800225</c:v>
                </c:pt>
                <c:pt idx="601">
                  <c:v>0.24458393251264018</c:v>
                </c:pt>
                <c:pt idx="602">
                  <c:v>0.31650197056787949</c:v>
                </c:pt>
                <c:pt idx="603">
                  <c:v>0.28922250089617596</c:v>
                </c:pt>
                <c:pt idx="604">
                  <c:v>0.29082929256782147</c:v>
                </c:pt>
                <c:pt idx="605">
                  <c:v>0.27331104260789379</c:v>
                </c:pt>
                <c:pt idx="606">
                  <c:v>0.27049340299337943</c:v>
                </c:pt>
                <c:pt idx="607">
                  <c:v>0.30231130861622624</c:v>
                </c:pt>
                <c:pt idx="608">
                  <c:v>0.26701607969148916</c:v>
                </c:pt>
                <c:pt idx="609">
                  <c:v>0.29959440464619952</c:v>
                </c:pt>
                <c:pt idx="610">
                  <c:v>0.2811439507246748</c:v>
                </c:pt>
                <c:pt idx="611">
                  <c:v>0.27965641659385637</c:v>
                </c:pt>
                <c:pt idx="612">
                  <c:v>0.26758338512498286</c:v>
                </c:pt>
                <c:pt idx="613">
                  <c:v>0.29835931333288962</c:v>
                </c:pt>
                <c:pt idx="614">
                  <c:v>0.27660394673569977</c:v>
                </c:pt>
                <c:pt idx="615">
                  <c:v>0.27805213493850445</c:v>
                </c:pt>
                <c:pt idx="616">
                  <c:v>0.27505594232097857</c:v>
                </c:pt>
                <c:pt idx="617">
                  <c:v>0.25715048234989235</c:v>
                </c:pt>
                <c:pt idx="618">
                  <c:v>0.31170783632142646</c:v>
                </c:pt>
                <c:pt idx="619">
                  <c:v>0.30022455511616253</c:v>
                </c:pt>
                <c:pt idx="620">
                  <c:v>0.28960560690484322</c:v>
                </c:pt>
                <c:pt idx="621">
                  <c:v>0.29736009846877115</c:v>
                </c:pt>
                <c:pt idx="622">
                  <c:v>0.26205790067547868</c:v>
                </c:pt>
                <c:pt idx="623">
                  <c:v>0.26979643800415637</c:v>
                </c:pt>
                <c:pt idx="624">
                  <c:v>0.27113870883999791</c:v>
                </c:pt>
                <c:pt idx="625">
                  <c:v>0.2859964816510332</c:v>
                </c:pt>
                <c:pt idx="626">
                  <c:v>0.28368795603033725</c:v>
                </c:pt>
                <c:pt idx="627">
                  <c:v>0.27239689310375664</c:v>
                </c:pt>
                <c:pt idx="628">
                  <c:v>0.27999093383858586</c:v>
                </c:pt>
                <c:pt idx="629">
                  <c:v>0.28798256832916536</c:v>
                </c:pt>
                <c:pt idx="630">
                  <c:v>0.25347774447405796</c:v>
                </c:pt>
                <c:pt idx="631">
                  <c:v>0.28565346149936954</c:v>
                </c:pt>
                <c:pt idx="632">
                  <c:v>0.28565346149936954</c:v>
                </c:pt>
                <c:pt idx="633">
                  <c:v>0.28779982077023997</c:v>
                </c:pt>
                <c:pt idx="634">
                  <c:v>0.25117075267220945</c:v>
                </c:pt>
                <c:pt idx="635">
                  <c:v>0.25060639414657837</c:v>
                </c:pt>
                <c:pt idx="636">
                  <c:v>0.25174551411997192</c:v>
                </c:pt>
                <c:pt idx="637">
                  <c:v>0.30005654391838688</c:v>
                </c:pt>
                <c:pt idx="638">
                  <c:v>0.2721101011024587</c:v>
                </c:pt>
                <c:pt idx="639">
                  <c:v>0.26120614151835364</c:v>
                </c:pt>
                <c:pt idx="640">
                  <c:v>0.25579520945833517</c:v>
                </c:pt>
                <c:pt idx="641">
                  <c:v>0.28743997763874779</c:v>
                </c:pt>
                <c:pt idx="642">
                  <c:v>0.29661359394636738</c:v>
                </c:pt>
                <c:pt idx="643">
                  <c:v>0.27130972417681953</c:v>
                </c:pt>
                <c:pt idx="644">
                  <c:v>0.29638227883033103</c:v>
                </c:pt>
                <c:pt idx="645">
                  <c:v>0.29638227883033103</c:v>
                </c:pt>
                <c:pt idx="646">
                  <c:v>0.28354898089616321</c:v>
                </c:pt>
                <c:pt idx="647">
                  <c:v>0.3271461961392329</c:v>
                </c:pt>
                <c:pt idx="648">
                  <c:v>0.28708747824463293</c:v>
                </c:pt>
                <c:pt idx="649">
                  <c:v>0.28197796627227906</c:v>
                </c:pt>
                <c:pt idx="650">
                  <c:v>0.28837775904573248</c:v>
                </c:pt>
                <c:pt idx="651">
                  <c:v>0.26047023397679059</c:v>
                </c:pt>
                <c:pt idx="652">
                  <c:v>0.25632800131887473</c:v>
                </c:pt>
                <c:pt idx="653">
                  <c:v>0.28246236721382617</c:v>
                </c:pt>
                <c:pt idx="654">
                  <c:v>0.28309145934570545</c:v>
                </c:pt>
                <c:pt idx="655">
                  <c:v>0.31967069285666738</c:v>
                </c:pt>
                <c:pt idx="656">
                  <c:v>0.31333972992854153</c:v>
                </c:pt>
                <c:pt idx="657">
                  <c:v>0.28577139182751155</c:v>
                </c:pt>
                <c:pt idx="658">
                  <c:v>0.27744795323059374</c:v>
                </c:pt>
                <c:pt idx="659">
                  <c:v>0.27407045877516772</c:v>
                </c:pt>
                <c:pt idx="660">
                  <c:v>0.28279395764787096</c:v>
                </c:pt>
                <c:pt idx="661">
                  <c:v>0.31030904541901511</c:v>
                </c:pt>
                <c:pt idx="662">
                  <c:v>0.29353888225013031</c:v>
                </c:pt>
                <c:pt idx="663">
                  <c:v>0.3083426119761139</c:v>
                </c:pt>
                <c:pt idx="664">
                  <c:v>0.29418402265068011</c:v>
                </c:pt>
                <c:pt idx="665">
                  <c:v>0.26147744777394133</c:v>
                </c:pt>
                <c:pt idx="666">
                  <c:v>0.30574876168275678</c:v>
                </c:pt>
                <c:pt idx="667">
                  <c:v>0.30804767806674893</c:v>
                </c:pt>
                <c:pt idx="668">
                  <c:v>0.30072233676195098</c:v>
                </c:pt>
                <c:pt idx="669">
                  <c:v>0.27053887680727573</c:v>
                </c:pt>
                <c:pt idx="670">
                  <c:v>0.28099448557277434</c:v>
                </c:pt>
                <c:pt idx="671">
                  <c:v>0.32565534096129634</c:v>
                </c:pt>
                <c:pt idx="672">
                  <c:v>0.26987178718551874</c:v>
                </c:pt>
                <c:pt idx="673">
                  <c:v>0.29064056492825763</c:v>
                </c:pt>
                <c:pt idx="674">
                  <c:v>0.30334301072066078</c:v>
                </c:pt>
                <c:pt idx="675">
                  <c:v>0.31141064398450818</c:v>
                </c:pt>
                <c:pt idx="676">
                  <c:v>0.32777457311505748</c:v>
                </c:pt>
                <c:pt idx="677">
                  <c:v>0.31275583035161186</c:v>
                </c:pt>
                <c:pt idx="678">
                  <c:v>0.30784343511048706</c:v>
                </c:pt>
                <c:pt idx="679">
                  <c:v>0.3068986647115145</c:v>
                </c:pt>
                <c:pt idx="680">
                  <c:v>0.2746557727586908</c:v>
                </c:pt>
                <c:pt idx="681">
                  <c:v>0.30282559560573608</c:v>
                </c:pt>
                <c:pt idx="682">
                  <c:v>0.31146020348224357</c:v>
                </c:pt>
                <c:pt idx="683">
                  <c:v>0.28179732696012516</c:v>
                </c:pt>
                <c:pt idx="684">
                  <c:v>0.2671346224330361</c:v>
                </c:pt>
                <c:pt idx="685">
                  <c:v>0.29132516518942048</c:v>
                </c:pt>
                <c:pt idx="686">
                  <c:v>0.29778390608574762</c:v>
                </c:pt>
                <c:pt idx="687">
                  <c:v>0.300791824329038</c:v>
                </c:pt>
                <c:pt idx="688">
                  <c:v>0.30541939085717706</c:v>
                </c:pt>
                <c:pt idx="689">
                  <c:v>0.29400605288501119</c:v>
                </c:pt>
                <c:pt idx="690">
                  <c:v>0.29756057837893046</c:v>
                </c:pt>
                <c:pt idx="691">
                  <c:v>0.30055113695560315</c:v>
                </c:pt>
                <c:pt idx="692">
                  <c:v>0.31054986410711277</c:v>
                </c:pt>
                <c:pt idx="693">
                  <c:v>0.30118655162147123</c:v>
                </c:pt>
                <c:pt idx="694">
                  <c:v>0.3024573809532074</c:v>
                </c:pt>
                <c:pt idx="695">
                  <c:v>0.32534604761993652</c:v>
                </c:pt>
                <c:pt idx="696">
                  <c:v>0.28585529065495741</c:v>
                </c:pt>
                <c:pt idx="697">
                  <c:v>0.35902063290592873</c:v>
                </c:pt>
                <c:pt idx="698">
                  <c:v>0.30070603903832721</c:v>
                </c:pt>
                <c:pt idx="699">
                  <c:v>0.33766432316594286</c:v>
                </c:pt>
                <c:pt idx="700">
                  <c:v>0.30284180682605755</c:v>
                </c:pt>
                <c:pt idx="701">
                  <c:v>0.33055030653384249</c:v>
                </c:pt>
                <c:pt idx="702">
                  <c:v>0.29443335227408091</c:v>
                </c:pt>
                <c:pt idx="703">
                  <c:v>0.31975995517928013</c:v>
                </c:pt>
                <c:pt idx="704">
                  <c:v>0.31710154900388732</c:v>
                </c:pt>
                <c:pt idx="705">
                  <c:v>0.31449767423722058</c:v>
                </c:pt>
                <c:pt idx="706">
                  <c:v>0.31353823466717218</c:v>
                </c:pt>
                <c:pt idx="707">
                  <c:v>0.31100980562259339</c:v>
                </c:pt>
                <c:pt idx="708">
                  <c:v>0.30248229917539832</c:v>
                </c:pt>
                <c:pt idx="709">
                  <c:v>0.29106787279142099</c:v>
                </c:pt>
                <c:pt idx="710">
                  <c:v>0.31937775293194198</c:v>
                </c:pt>
                <c:pt idx="711">
                  <c:v>0.2829191053369714</c:v>
                </c:pt>
                <c:pt idx="712">
                  <c:v>0.29848909416973318</c:v>
                </c:pt>
                <c:pt idx="713">
                  <c:v>0.32168772843162952</c:v>
                </c:pt>
                <c:pt idx="714">
                  <c:v>0.29766592873594372</c:v>
                </c:pt>
                <c:pt idx="715">
                  <c:v>0.38166981046510579</c:v>
                </c:pt>
                <c:pt idx="716">
                  <c:v>0.30708683066167486</c:v>
                </c:pt>
                <c:pt idx="717">
                  <c:v>0.31772346020982484</c:v>
                </c:pt>
                <c:pt idx="718">
                  <c:v>0.33360621904171933</c:v>
                </c:pt>
                <c:pt idx="719">
                  <c:v>0.35505320168559867</c:v>
                </c:pt>
                <c:pt idx="720">
                  <c:v>0.29229961255046966</c:v>
                </c:pt>
                <c:pt idx="721">
                  <c:v>0.30568380687795504</c:v>
                </c:pt>
                <c:pt idx="722">
                  <c:v>0.31867329159276003</c:v>
                </c:pt>
                <c:pt idx="723">
                  <c:v>0.34292017247481787</c:v>
                </c:pt>
                <c:pt idx="724">
                  <c:v>0.30840858172621571</c:v>
                </c:pt>
                <c:pt idx="725">
                  <c:v>0.31054022927638225</c:v>
                </c:pt>
                <c:pt idx="726">
                  <c:v>0.30752527559408727</c:v>
                </c:pt>
                <c:pt idx="727">
                  <c:v>0.34877282577411939</c:v>
                </c:pt>
                <c:pt idx="728">
                  <c:v>0.312692878280245</c:v>
                </c:pt>
                <c:pt idx="729">
                  <c:v>0.31486684064058157</c:v>
                </c:pt>
                <c:pt idx="730">
                  <c:v>0.31239975160737854</c:v>
                </c:pt>
                <c:pt idx="731">
                  <c:v>0.27234850140130434</c:v>
                </c:pt>
                <c:pt idx="732">
                  <c:v>0.31301959238437732</c:v>
                </c:pt>
                <c:pt idx="733">
                  <c:v>0.31769152659906952</c:v>
                </c:pt>
                <c:pt idx="734">
                  <c:v>0.32644104267816693</c:v>
                </c:pt>
                <c:pt idx="735">
                  <c:v>0.34841789067080692</c:v>
                </c:pt>
                <c:pt idx="736">
                  <c:v>0.29465752019236796</c:v>
                </c:pt>
                <c:pt idx="737">
                  <c:v>0.31487911471537361</c:v>
                </c:pt>
                <c:pt idx="738">
                  <c:v>0.32670957827636526</c:v>
                </c:pt>
                <c:pt idx="739">
                  <c:v>0.31395993619728763</c:v>
                </c:pt>
                <c:pt idx="740">
                  <c:v>0.36434030756469893</c:v>
                </c:pt>
                <c:pt idx="741">
                  <c:v>0.33241357958222534</c:v>
                </c:pt>
                <c:pt idx="742">
                  <c:v>0.30916115769119357</c:v>
                </c:pt>
                <c:pt idx="743">
                  <c:v>0.30053340445329985</c:v>
                </c:pt>
                <c:pt idx="744">
                  <c:v>0.308291092742701</c:v>
                </c:pt>
                <c:pt idx="745">
                  <c:v>0.30454261499753504</c:v>
                </c:pt>
                <c:pt idx="746">
                  <c:v>0.31398079474870871</c:v>
                </c:pt>
                <c:pt idx="747">
                  <c:v>0.36107791396101507</c:v>
                </c:pt>
                <c:pt idx="748">
                  <c:v>0.31398079474870871</c:v>
                </c:pt>
                <c:pt idx="749">
                  <c:v>0.31158120589229882</c:v>
                </c:pt>
                <c:pt idx="750">
                  <c:v>0.29523493009048962</c:v>
                </c:pt>
                <c:pt idx="751">
                  <c:v>0.29580709080771928</c:v>
                </c:pt>
                <c:pt idx="752">
                  <c:v>0.28798840118284563</c:v>
                </c:pt>
                <c:pt idx="753">
                  <c:v>0.32586972431350092</c:v>
                </c:pt>
                <c:pt idx="754">
                  <c:v>0.32265918515770292</c:v>
                </c:pt>
                <c:pt idx="755">
                  <c:v>0.33482786788531355</c:v>
                </c:pt>
                <c:pt idx="756">
                  <c:v>0.31460626614368037</c:v>
                </c:pt>
                <c:pt idx="757">
                  <c:v>0.30441069270383891</c:v>
                </c:pt>
                <c:pt idx="758">
                  <c:v>0.32775700070913905</c:v>
                </c:pt>
                <c:pt idx="759">
                  <c:v>0.32452786769722636</c:v>
                </c:pt>
                <c:pt idx="760">
                  <c:v>0.33168645558313919</c:v>
                </c:pt>
                <c:pt idx="761">
                  <c:v>0.30060023717978385</c:v>
                </c:pt>
                <c:pt idx="762">
                  <c:v>0.34088686690490949</c:v>
                </c:pt>
                <c:pt idx="763">
                  <c:v>0.31551666522885807</c:v>
                </c:pt>
                <c:pt idx="764">
                  <c:v>0.32164320241776795</c:v>
                </c:pt>
                <c:pt idx="765">
                  <c:v>0.30451810649801803</c:v>
                </c:pt>
                <c:pt idx="766">
                  <c:v>0.35499971773565742</c:v>
                </c:pt>
                <c:pt idx="767">
                  <c:v>0.31226006917875909</c:v>
                </c:pt>
                <c:pt idx="768">
                  <c:v>0.30152869798001558</c:v>
                </c:pt>
                <c:pt idx="769">
                  <c:v>0.32409849403927754</c:v>
                </c:pt>
                <c:pt idx="770">
                  <c:v>0.31792518939091036</c:v>
                </c:pt>
                <c:pt idx="771">
                  <c:v>0.30967933930832842</c:v>
                </c:pt>
                <c:pt idx="772">
                  <c:v>0.28585785166922623</c:v>
                </c:pt>
                <c:pt idx="773">
                  <c:v>0.34904783754743063</c:v>
                </c:pt>
                <c:pt idx="774">
                  <c:v>0.3051983287618838</c:v>
                </c:pt>
                <c:pt idx="775">
                  <c:v>0.32126139869671977</c:v>
                </c:pt>
                <c:pt idx="776">
                  <c:v>0.30031285645590261</c:v>
                </c:pt>
                <c:pt idx="777">
                  <c:v>0.36362205322228203</c:v>
                </c:pt>
                <c:pt idx="778">
                  <c:v>0.29430797975820933</c:v>
                </c:pt>
                <c:pt idx="779">
                  <c:v>0.30832408622437296</c:v>
                </c:pt>
                <c:pt idx="780">
                  <c:v>0.37722332336948428</c:v>
                </c:pt>
                <c:pt idx="781">
                  <c:v>0.30472712793533968</c:v>
                </c:pt>
                <c:pt idx="782">
                  <c:v>0.329009077282297</c:v>
                </c:pt>
                <c:pt idx="783">
                  <c:v>0.33719338268732924</c:v>
                </c:pt>
                <c:pt idx="784">
                  <c:v>0.35182547895679234</c:v>
                </c:pt>
                <c:pt idx="785">
                  <c:v>0.32489147099837762</c:v>
                </c:pt>
                <c:pt idx="786">
                  <c:v>0.30506172626533029</c:v>
                </c:pt>
                <c:pt idx="787">
                  <c:v>0.35804613135351926</c:v>
                </c:pt>
                <c:pt idx="788">
                  <c:v>0.35313581593614723</c:v>
                </c:pt>
                <c:pt idx="789">
                  <c:v>0.32515076187706748</c:v>
                </c:pt>
                <c:pt idx="790">
                  <c:v>0.34837581629685804</c:v>
                </c:pt>
                <c:pt idx="791">
                  <c:v>0.34724927671417216</c:v>
                </c:pt>
                <c:pt idx="792">
                  <c:v>0.33269201471456145</c:v>
                </c:pt>
                <c:pt idx="793">
                  <c:v>0.29288271380854553</c:v>
                </c:pt>
                <c:pt idx="794">
                  <c:v>0.33657354191033051</c:v>
                </c:pt>
                <c:pt idx="795">
                  <c:v>0.33070889455872676</c:v>
                </c:pt>
                <c:pt idx="796">
                  <c:v>0.34630099289810506</c:v>
                </c:pt>
                <c:pt idx="797">
                  <c:v>0.32876354812014602</c:v>
                </c:pt>
                <c:pt idx="798">
                  <c:v>0.3172788652465065</c:v>
                </c:pt>
                <c:pt idx="799">
                  <c:v>0.3447424882698813</c:v>
                </c:pt>
                <c:pt idx="800">
                  <c:v>0.33863262273538486</c:v>
                </c:pt>
                <c:pt idx="801">
                  <c:v>0.33056994124168521</c:v>
                </c:pt>
                <c:pt idx="802">
                  <c:v>0.33275662765196962</c:v>
                </c:pt>
                <c:pt idx="803">
                  <c:v>0.36099783781227668</c:v>
                </c:pt>
                <c:pt idx="804">
                  <c:v>0.33396665175252221</c:v>
                </c:pt>
                <c:pt idx="805">
                  <c:v>0.35495166362834973</c:v>
                </c:pt>
                <c:pt idx="806">
                  <c:v>0.34851704106115744</c:v>
                </c:pt>
                <c:pt idx="807">
                  <c:v>0.30590360372616882</c:v>
                </c:pt>
                <c:pt idx="808">
                  <c:v>0.35988909113743789</c:v>
                </c:pt>
                <c:pt idx="809">
                  <c:v>0.37002536994899016</c:v>
                </c:pt>
                <c:pt idx="810">
                  <c:v>0.31302785692807067</c:v>
                </c:pt>
                <c:pt idx="811">
                  <c:v>0.3521563390440795</c:v>
                </c:pt>
                <c:pt idx="812">
                  <c:v>0.31640231088485932</c:v>
                </c:pt>
                <c:pt idx="813">
                  <c:v>0.32876354812014597</c:v>
                </c:pt>
                <c:pt idx="814">
                  <c:v>0.3324441801142683</c:v>
                </c:pt>
                <c:pt idx="815">
                  <c:v>0.34944363489087144</c:v>
                </c:pt>
                <c:pt idx="816">
                  <c:v>0.37532834858649144</c:v>
                </c:pt>
                <c:pt idx="817">
                  <c:v>0.32301593364252107</c:v>
                </c:pt>
                <c:pt idx="818">
                  <c:v>0.33266333140122611</c:v>
                </c:pt>
                <c:pt idx="819">
                  <c:v>0.34122679635583797</c:v>
                </c:pt>
                <c:pt idx="820">
                  <c:v>0.35305148731866404</c:v>
                </c:pt>
                <c:pt idx="821">
                  <c:v>0.3451345311926467</c:v>
                </c:pt>
                <c:pt idx="822">
                  <c:v>0.32829952052929184</c:v>
                </c:pt>
                <c:pt idx="823">
                  <c:v>0.36209971209037062</c:v>
                </c:pt>
                <c:pt idx="824">
                  <c:v>0.3520695613352996</c:v>
                </c:pt>
                <c:pt idx="825">
                  <c:v>0.34926523315975178</c:v>
                </c:pt>
                <c:pt idx="826">
                  <c:v>0.34261256205194701</c:v>
                </c:pt>
                <c:pt idx="827">
                  <c:v>0.35330924288929721</c:v>
                </c:pt>
                <c:pt idx="828">
                  <c:v>0.3556725766892827</c:v>
                </c:pt>
                <c:pt idx="829">
                  <c:v>0.34381682413297326</c:v>
                </c:pt>
                <c:pt idx="830">
                  <c:v>0.36778897515197895</c:v>
                </c:pt>
                <c:pt idx="831">
                  <c:v>0.34016163429549229</c:v>
                </c:pt>
                <c:pt idx="832">
                  <c:v>0.33141952339473801</c:v>
                </c:pt>
                <c:pt idx="833">
                  <c:v>0.30678195418546567</c:v>
                </c:pt>
                <c:pt idx="834">
                  <c:v>0.37160087071664849</c:v>
                </c:pt>
                <c:pt idx="835">
                  <c:v>0.37803221854389046</c:v>
                </c:pt>
                <c:pt idx="836">
                  <c:v>0.30655553856710449</c:v>
                </c:pt>
                <c:pt idx="837">
                  <c:v>0.33738761850684956</c:v>
                </c:pt>
                <c:pt idx="838">
                  <c:v>0.33738761850684956</c:v>
                </c:pt>
                <c:pt idx="839">
                  <c:v>0.33953500340043569</c:v>
                </c:pt>
                <c:pt idx="840">
                  <c:v>0.39219016435558346</c:v>
                </c:pt>
                <c:pt idx="841">
                  <c:v>0.32507083297788431</c:v>
                </c:pt>
                <c:pt idx="842">
                  <c:v>0.34388998024069906</c:v>
                </c:pt>
                <c:pt idx="843">
                  <c:v>0.34773067589630824</c:v>
                </c:pt>
                <c:pt idx="844">
                  <c:v>0.39633818973127605</c:v>
                </c:pt>
                <c:pt idx="845">
                  <c:v>0.36738980501753782</c:v>
                </c:pt>
                <c:pt idx="846">
                  <c:v>0.35393204941164036</c:v>
                </c:pt>
                <c:pt idx="847">
                  <c:v>0.30316310789767559</c:v>
                </c:pt>
                <c:pt idx="848">
                  <c:v>0.33377588218711979</c:v>
                </c:pt>
                <c:pt idx="849">
                  <c:v>0.34048024478921257</c:v>
                </c:pt>
                <c:pt idx="850">
                  <c:v>0.38458390344066495</c:v>
                </c:pt>
                <c:pt idx="851">
                  <c:v>0.35071292869130238</c:v>
                </c:pt>
                <c:pt idx="852">
                  <c:v>0.39198730737402021</c:v>
                </c:pt>
                <c:pt idx="853">
                  <c:v>0.34699551590498412</c:v>
                </c:pt>
                <c:pt idx="854">
                  <c:v>0.37365241719039677</c:v>
                </c:pt>
                <c:pt idx="855">
                  <c:v>0.33511427550708228</c:v>
                </c:pt>
                <c:pt idx="856">
                  <c:v>0.35816713376357456</c:v>
                </c:pt>
                <c:pt idx="857">
                  <c:v>0.37242254207257253</c:v>
                </c:pt>
                <c:pt idx="858">
                  <c:v>0.33986346603440087</c:v>
                </c:pt>
                <c:pt idx="859">
                  <c:v>0.38582704365184789</c:v>
                </c:pt>
                <c:pt idx="860">
                  <c:v>0.35157137155191742</c:v>
                </c:pt>
                <c:pt idx="861">
                  <c:v>0.37493891060008994</c:v>
                </c:pt>
                <c:pt idx="862">
                  <c:v>0.31986935825900775</c:v>
                </c:pt>
                <c:pt idx="863">
                  <c:v>0.37249071954499308</c:v>
                </c:pt>
                <c:pt idx="864">
                  <c:v>0.38842083890328888</c:v>
                </c:pt>
                <c:pt idx="865">
                  <c:v>0.32788772115212694</c:v>
                </c:pt>
                <c:pt idx="866">
                  <c:v>0.33869871028861193</c:v>
                </c:pt>
                <c:pt idx="867">
                  <c:v>0.39172659084101463</c:v>
                </c:pt>
                <c:pt idx="868">
                  <c:v>0.35405305182169566</c:v>
                </c:pt>
                <c:pt idx="869">
                  <c:v>0.30869576380636565</c:v>
                </c:pt>
                <c:pt idx="870">
                  <c:v>0.35688925784429937</c:v>
                </c:pt>
                <c:pt idx="871">
                  <c:v>0.36718414028211571</c:v>
                </c:pt>
                <c:pt idx="872">
                  <c:v>0.33700770351184062</c:v>
                </c:pt>
                <c:pt idx="873">
                  <c:v>0.36663730246744286</c:v>
                </c:pt>
                <c:pt idx="874">
                  <c:v>0.42405328029946576</c:v>
                </c:pt>
                <c:pt idx="875">
                  <c:v>0.39025427031833032</c:v>
                </c:pt>
                <c:pt idx="876">
                  <c:v>0.34475377243368194</c:v>
                </c:pt>
                <c:pt idx="877">
                  <c:v>0.36669780367247051</c:v>
                </c:pt>
                <c:pt idx="878">
                  <c:v>0.36555917672856186</c:v>
                </c:pt>
                <c:pt idx="879">
                  <c:v>0.35220541684806644</c:v>
                </c:pt>
                <c:pt idx="880">
                  <c:v>0.33016852054800983</c:v>
                </c:pt>
                <c:pt idx="881">
                  <c:v>0.41162702833373432</c:v>
                </c:pt>
                <c:pt idx="882">
                  <c:v>0.36220714413668131</c:v>
                </c:pt>
                <c:pt idx="883">
                  <c:v>0.33321363246247881</c:v>
                </c:pt>
                <c:pt idx="884">
                  <c:v>0.36622064322527148</c:v>
                </c:pt>
                <c:pt idx="885">
                  <c:v>0.37208241091992966</c:v>
                </c:pt>
                <c:pt idx="886">
                  <c:v>0.33865944087292627</c:v>
                </c:pt>
                <c:pt idx="887">
                  <c:v>0.36741354434326912</c:v>
                </c:pt>
                <c:pt idx="888">
                  <c:v>0.32643564401372721</c:v>
                </c:pt>
                <c:pt idx="889">
                  <c:v>0.36516152541022684</c:v>
                </c:pt>
                <c:pt idx="890">
                  <c:v>0.42081190299084031</c:v>
                </c:pt>
                <c:pt idx="891">
                  <c:v>0.34942416944775134</c:v>
                </c:pt>
                <c:pt idx="892">
                  <c:v>0.34843316211024017</c:v>
                </c:pt>
                <c:pt idx="893">
                  <c:v>0.38681728568133888</c:v>
                </c:pt>
                <c:pt idx="894">
                  <c:v>0.35212515243637577</c:v>
                </c:pt>
                <c:pt idx="895">
                  <c:v>0.33611263466589547</c:v>
                </c:pt>
                <c:pt idx="896">
                  <c:v>0.38806307404102114</c:v>
                </c:pt>
                <c:pt idx="897">
                  <c:v>0.36194152086621578</c:v>
                </c:pt>
                <c:pt idx="898">
                  <c:v>0.32389220929238849</c:v>
                </c:pt>
                <c:pt idx="899">
                  <c:v>0.35760044826851939</c:v>
                </c:pt>
                <c:pt idx="900">
                  <c:v>0.38802032640122813</c:v>
                </c:pt>
                <c:pt idx="901">
                  <c:v>0.34173531941533747</c:v>
                </c:pt>
                <c:pt idx="902">
                  <c:v>0.34173531941533747</c:v>
                </c:pt>
                <c:pt idx="903">
                  <c:v>0.37107028795731795</c:v>
                </c:pt>
                <c:pt idx="904">
                  <c:v>0.32331499650964951</c:v>
                </c:pt>
                <c:pt idx="905">
                  <c:v>0.35248644539770585</c:v>
                </c:pt>
                <c:pt idx="906">
                  <c:v>0.35461504079284123</c:v>
                </c:pt>
                <c:pt idx="907">
                  <c:v>0.35997671935539199</c:v>
                </c:pt>
                <c:pt idx="908">
                  <c:v>0.41046809854053734</c:v>
                </c:pt>
                <c:pt idx="909">
                  <c:v>0.34855533362570662</c:v>
                </c:pt>
                <c:pt idx="910">
                  <c:v>0.35371882930581616</c:v>
                </c:pt>
                <c:pt idx="911">
                  <c:v>0.36664006507954461</c:v>
                </c:pt>
                <c:pt idx="912">
                  <c:v>0.35427586683228202</c:v>
                </c:pt>
                <c:pt idx="913">
                  <c:v>0.37993900608224423</c:v>
                </c:pt>
                <c:pt idx="914">
                  <c:v>0.38233894221774178</c:v>
                </c:pt>
                <c:pt idx="915">
                  <c:v>0.38476173488786319</c:v>
                </c:pt>
                <c:pt idx="916">
                  <c:v>0.38232480831823945</c:v>
                </c:pt>
                <c:pt idx="917">
                  <c:v>0.38473605157333884</c:v>
                </c:pt>
                <c:pt idx="918">
                  <c:v>0.35405305182169566</c:v>
                </c:pt>
                <c:pt idx="919">
                  <c:v>0.3997973011642047</c:v>
                </c:pt>
                <c:pt idx="920">
                  <c:v>0.35515259546089351</c:v>
                </c:pt>
                <c:pt idx="921">
                  <c:v>0.33477498752461277</c:v>
                </c:pt>
                <c:pt idx="922">
                  <c:v>0.38110693950242325</c:v>
                </c:pt>
                <c:pt idx="923">
                  <c:v>0.42741895578921218</c:v>
                </c:pt>
                <c:pt idx="924">
                  <c:v>0.38406956556091826</c:v>
                </c:pt>
                <c:pt idx="925">
                  <c:v>0.39575641609877044</c:v>
                </c:pt>
                <c:pt idx="926">
                  <c:v>0.43098080915468195</c:v>
                </c:pt>
                <c:pt idx="927">
                  <c:v>0.394467856780153</c:v>
                </c:pt>
                <c:pt idx="928">
                  <c:v>0.40475602738019484</c:v>
                </c:pt>
                <c:pt idx="929">
                  <c:v>0.36918159421458707</c:v>
                </c:pt>
                <c:pt idx="930">
                  <c:v>0.34366441752105908</c:v>
                </c:pt>
                <c:pt idx="931">
                  <c:v>0.36065031365688255</c:v>
                </c:pt>
                <c:pt idx="932">
                  <c:v>0.37590959121986761</c:v>
                </c:pt>
                <c:pt idx="933">
                  <c:v>0.35556609905170294</c:v>
                </c:pt>
                <c:pt idx="934">
                  <c:v>0.36978874301377107</c:v>
                </c:pt>
                <c:pt idx="935">
                  <c:v>0.38578201248428812</c:v>
                </c:pt>
                <c:pt idx="936">
                  <c:v>0.39552304367352598</c:v>
                </c:pt>
                <c:pt idx="937">
                  <c:v>0.39612232101242528</c:v>
                </c:pt>
                <c:pt idx="938">
                  <c:v>0.36081145367297185</c:v>
                </c:pt>
                <c:pt idx="939">
                  <c:v>0.35772759509457036</c:v>
                </c:pt>
                <c:pt idx="940">
                  <c:v>0.4069645862652293</c:v>
                </c:pt>
                <c:pt idx="941">
                  <c:v>0.39234183312684573</c:v>
                </c:pt>
                <c:pt idx="942">
                  <c:v>0.36089098629893879</c:v>
                </c:pt>
                <c:pt idx="943">
                  <c:v>0.41422462959434847</c:v>
                </c:pt>
                <c:pt idx="944">
                  <c:v>0.37262852799186041</c:v>
                </c:pt>
                <c:pt idx="945">
                  <c:v>0.36353661570977686</c:v>
                </c:pt>
                <c:pt idx="946">
                  <c:v>0.33922466812520469</c:v>
                </c:pt>
                <c:pt idx="947">
                  <c:v>0.40475306163485025</c:v>
                </c:pt>
                <c:pt idx="948">
                  <c:v>0.32788135613055702</c:v>
                </c:pt>
                <c:pt idx="949">
                  <c:v>0.40535807368512666</c:v>
                </c:pt>
                <c:pt idx="950">
                  <c:v>0.37542603946327086</c:v>
                </c:pt>
                <c:pt idx="951">
                  <c:v>0.40402992818428202</c:v>
                </c:pt>
                <c:pt idx="952">
                  <c:v>0.39893301613712184</c:v>
                </c:pt>
                <c:pt idx="953">
                  <c:v>0.36058974557506235</c:v>
                </c:pt>
                <c:pt idx="954">
                  <c:v>0.37379661172904594</c:v>
                </c:pt>
                <c:pt idx="955">
                  <c:v>0.38563632341277132</c:v>
                </c:pt>
                <c:pt idx="956">
                  <c:v>0.3498035860357796</c:v>
                </c:pt>
                <c:pt idx="957">
                  <c:v>0.3903128881791687</c:v>
                </c:pt>
                <c:pt idx="958">
                  <c:v>0.38560797310696265</c:v>
                </c:pt>
                <c:pt idx="959">
                  <c:v>0.36953197219074768</c:v>
                </c:pt>
                <c:pt idx="960">
                  <c:v>0.38272954262613157</c:v>
                </c:pt>
                <c:pt idx="961">
                  <c:v>0.35530707679863199</c:v>
                </c:pt>
                <c:pt idx="962">
                  <c:v>0.40368221871018284</c:v>
                </c:pt>
                <c:pt idx="963">
                  <c:v>0.3878863067737689</c:v>
                </c:pt>
                <c:pt idx="964">
                  <c:v>0.37332124511811449</c:v>
                </c:pt>
                <c:pt idx="965">
                  <c:v>0.42543672483148864</c:v>
                </c:pt>
                <c:pt idx="966">
                  <c:v>0.34596041063719979</c:v>
                </c:pt>
                <c:pt idx="967">
                  <c:v>0.36340379268613426</c:v>
                </c:pt>
                <c:pt idx="968">
                  <c:v>0.3997373165728822</c:v>
                </c:pt>
                <c:pt idx="969">
                  <c:v>0.39073422385727669</c:v>
                </c:pt>
                <c:pt idx="970">
                  <c:v>0.39486111461283274</c:v>
                </c:pt>
                <c:pt idx="971">
                  <c:v>0.4416035164128474</c:v>
                </c:pt>
                <c:pt idx="972">
                  <c:v>0.38893901898142269</c:v>
                </c:pt>
                <c:pt idx="973">
                  <c:v>0.42149172835916149</c:v>
                </c:pt>
                <c:pt idx="974">
                  <c:v>0.37989232734284428</c:v>
                </c:pt>
                <c:pt idx="975">
                  <c:v>0.4412890671154252</c:v>
                </c:pt>
                <c:pt idx="976">
                  <c:v>0.43970694878071326</c:v>
                </c:pt>
                <c:pt idx="977">
                  <c:v>0.40012844897657385</c:v>
                </c:pt>
                <c:pt idx="978">
                  <c:v>0.3656440743515727</c:v>
                </c:pt>
                <c:pt idx="979">
                  <c:v>0.42048337494203436</c:v>
                </c:pt>
                <c:pt idx="980">
                  <c:v>0.41453313850417545</c:v>
                </c:pt>
                <c:pt idx="981">
                  <c:v>0.39699964144099398</c:v>
                </c:pt>
                <c:pt idx="982">
                  <c:v>0.39699964144099398</c:v>
                </c:pt>
                <c:pt idx="983">
                  <c:v>0.37294014952285309</c:v>
                </c:pt>
                <c:pt idx="984">
                  <c:v>0.44866403775084346</c:v>
                </c:pt>
                <c:pt idx="985">
                  <c:v>0.39514849533671392</c:v>
                </c:pt>
                <c:pt idx="986">
                  <c:v>0.40108466277797139</c:v>
                </c:pt>
                <c:pt idx="987">
                  <c:v>0.36231084894873228</c:v>
                </c:pt>
                <c:pt idx="988">
                  <c:v>0.40776424546306039</c:v>
                </c:pt>
                <c:pt idx="989">
                  <c:v>0.43851750260815231</c:v>
                </c:pt>
                <c:pt idx="990">
                  <c:v>0.43636790700713191</c:v>
                </c:pt>
                <c:pt idx="991">
                  <c:v>0.40337330564688989</c:v>
                </c:pt>
                <c:pt idx="992">
                  <c:v>0.38983383435139918</c:v>
                </c:pt>
                <c:pt idx="993">
                  <c:v>0.38813890463682782</c:v>
                </c:pt>
                <c:pt idx="994">
                  <c:v>0.38868867645642674</c:v>
                </c:pt>
                <c:pt idx="995">
                  <c:v>0.39093817949120491</c:v>
                </c:pt>
                <c:pt idx="996">
                  <c:v>0.41505227139811879</c:v>
                </c:pt>
                <c:pt idx="997">
                  <c:v>0.39901216951333957</c:v>
                </c:pt>
                <c:pt idx="998">
                  <c:v>0.40865538935913254</c:v>
                </c:pt>
                <c:pt idx="999">
                  <c:v>0.36012253271006767</c:v>
                </c:pt>
                <c:pt idx="1000">
                  <c:v>0.39198730737402016</c:v>
                </c:pt>
                <c:pt idx="1001">
                  <c:v>0.36649219795131971</c:v>
                </c:pt>
                <c:pt idx="1002">
                  <c:v>0.41605312541259165</c:v>
                </c:pt>
                <c:pt idx="1003">
                  <c:v>0.40909491281918625</c:v>
                </c:pt>
                <c:pt idx="1004">
                  <c:v>0.35785147530256084</c:v>
                </c:pt>
                <c:pt idx="1005">
                  <c:v>0.41398571127879286</c:v>
                </c:pt>
                <c:pt idx="1006">
                  <c:v>0.42624093093222254</c:v>
                </c:pt>
                <c:pt idx="1007">
                  <c:v>0.41325348094123249</c:v>
                </c:pt>
                <c:pt idx="1008">
                  <c:v>0.40826104630304433</c:v>
                </c:pt>
                <c:pt idx="1009">
                  <c:v>0.43353434916942329</c:v>
                </c:pt>
                <c:pt idx="1010">
                  <c:v>0.38198790109872133</c:v>
                </c:pt>
                <c:pt idx="1011">
                  <c:v>0.39521691931859049</c:v>
                </c:pt>
                <c:pt idx="1012">
                  <c:v>0.39922076803974738</c:v>
                </c:pt>
                <c:pt idx="1013">
                  <c:v>0.37214635528296697</c:v>
                </c:pt>
                <c:pt idx="1014">
                  <c:v>0.40152633070004334</c:v>
                </c:pt>
                <c:pt idx="1015">
                  <c:v>0.44074255249095023</c:v>
                </c:pt>
                <c:pt idx="1016">
                  <c:v>0.38734556302373585</c:v>
                </c:pt>
                <c:pt idx="1017">
                  <c:v>0.44409345872044986</c:v>
                </c:pt>
                <c:pt idx="1018">
                  <c:v>0.4301579134282284</c:v>
                </c:pt>
                <c:pt idx="1019">
                  <c:v>0.42874530694022617</c:v>
                </c:pt>
                <c:pt idx="1020">
                  <c:v>0.39225634464744097</c:v>
                </c:pt>
                <c:pt idx="1021">
                  <c:v>0.42342517665438706</c:v>
                </c:pt>
                <c:pt idx="1022">
                  <c:v>0.4144983678437853</c:v>
                </c:pt>
                <c:pt idx="1023">
                  <c:v>0.39896372218824089</c:v>
                </c:pt>
                <c:pt idx="1024">
                  <c:v>0.3752470893367596</c:v>
                </c:pt>
                <c:pt idx="1025">
                  <c:v>0.42574531460865767</c:v>
                </c:pt>
                <c:pt idx="1026">
                  <c:v>0.43027280603331075</c:v>
                </c:pt>
                <c:pt idx="1027">
                  <c:v>0.44898031933910681</c:v>
                </c:pt>
                <c:pt idx="1028">
                  <c:v>0.45177365835778088</c:v>
                </c:pt>
                <c:pt idx="1029">
                  <c:v>0.40695118401838698</c:v>
                </c:pt>
                <c:pt idx="1030">
                  <c:v>0.40397518899878077</c:v>
                </c:pt>
                <c:pt idx="1031">
                  <c:v>0.4165994136549927</c:v>
                </c:pt>
                <c:pt idx="1032">
                  <c:v>0.40805552915819265</c:v>
                </c:pt>
                <c:pt idx="1033">
                  <c:v>0.40683114650319069</c:v>
                </c:pt>
                <c:pt idx="1034">
                  <c:v>0.42589823279200734</c:v>
                </c:pt>
                <c:pt idx="1035">
                  <c:v>0.43580284285693771</c:v>
                </c:pt>
                <c:pt idx="1036">
                  <c:v>0.39256928340062491</c:v>
                </c:pt>
                <c:pt idx="1037">
                  <c:v>0.44952395335529716</c:v>
                </c:pt>
                <c:pt idx="1038">
                  <c:v>0.38556128594165928</c:v>
                </c:pt>
                <c:pt idx="1039">
                  <c:v>0.43411705662798433</c:v>
                </c:pt>
                <c:pt idx="1040">
                  <c:v>0.37234545963744109</c:v>
                </c:pt>
                <c:pt idx="1041">
                  <c:v>0.40140361194374619</c:v>
                </c:pt>
                <c:pt idx="1042">
                  <c:v>0.43072990322730753</c:v>
                </c:pt>
                <c:pt idx="1043">
                  <c:v>0.45852571031693251</c:v>
                </c:pt>
                <c:pt idx="1044">
                  <c:v>0.41906721841727251</c:v>
                </c:pt>
                <c:pt idx="1045">
                  <c:v>0.4153911901855421</c:v>
                </c:pt>
                <c:pt idx="1046">
                  <c:v>0.44315719103182871</c:v>
                </c:pt>
                <c:pt idx="1047">
                  <c:v>0.47010933861049059</c:v>
                </c:pt>
                <c:pt idx="1048">
                  <c:v>0.42640598169429078</c:v>
                </c:pt>
                <c:pt idx="1049">
                  <c:v>0.46841642324052635</c:v>
                </c:pt>
                <c:pt idx="1050">
                  <c:v>0.42697301092526724</c:v>
                </c:pt>
                <c:pt idx="1051">
                  <c:v>0.39891811278176709</c:v>
                </c:pt>
                <c:pt idx="1052">
                  <c:v>0.43994413121359488</c:v>
                </c:pt>
                <c:pt idx="1053">
                  <c:v>0.41507772379717428</c:v>
                </c:pt>
                <c:pt idx="1054">
                  <c:v>0.35669523877558895</c:v>
                </c:pt>
                <c:pt idx="1055">
                  <c:v>0.39718162452433847</c:v>
                </c:pt>
                <c:pt idx="1056">
                  <c:v>0.43566917740396971</c:v>
                </c:pt>
                <c:pt idx="1057">
                  <c:v>0.39989027728075455</c:v>
                </c:pt>
                <c:pt idx="1058">
                  <c:v>0.41965115312615214</c:v>
                </c:pt>
                <c:pt idx="1059">
                  <c:v>0.42390555764051358</c:v>
                </c:pt>
                <c:pt idx="1060">
                  <c:v>0.4014708712621014</c:v>
                </c:pt>
                <c:pt idx="1061">
                  <c:v>0.41585972681643141</c:v>
                </c:pt>
                <c:pt idx="1062">
                  <c:v>0.49038530020263865</c:v>
                </c:pt>
                <c:pt idx="1063">
                  <c:v>0.4280192551257857</c:v>
                </c:pt>
                <c:pt idx="1064">
                  <c:v>0.47248194720456244</c:v>
                </c:pt>
                <c:pt idx="1065">
                  <c:v>0.39265282062932416</c:v>
                </c:pt>
                <c:pt idx="1066">
                  <c:v>0.48314275728333739</c:v>
                </c:pt>
                <c:pt idx="1067">
                  <c:v>0.45017658209471562</c:v>
                </c:pt>
                <c:pt idx="1068">
                  <c:v>0.42149172835916154</c:v>
                </c:pt>
                <c:pt idx="1069">
                  <c:v>0.43137626889147812</c:v>
                </c:pt>
                <c:pt idx="1070">
                  <c:v>0.43385548572436361</c:v>
                </c:pt>
                <c:pt idx="1071">
                  <c:v>0.38633965140904963</c:v>
                </c:pt>
                <c:pt idx="1072">
                  <c:v>0.45101557292625488</c:v>
                </c:pt>
                <c:pt idx="1073">
                  <c:v>0.44486536056816961</c:v>
                </c:pt>
                <c:pt idx="1074">
                  <c:v>0.49808768711681617</c:v>
                </c:pt>
                <c:pt idx="1075">
                  <c:v>0.4863847617847552</c:v>
                </c:pt>
                <c:pt idx="1076">
                  <c:v>0.43861482982375249</c:v>
                </c:pt>
                <c:pt idx="1077">
                  <c:v>0.44716440635921956</c:v>
                </c:pt>
                <c:pt idx="1078">
                  <c:v>0.41042757048973361</c:v>
                </c:pt>
                <c:pt idx="1079">
                  <c:v>0.39769784046791856</c:v>
                </c:pt>
                <c:pt idx="1080">
                  <c:v>0.4702643426407217</c:v>
                </c:pt>
                <c:pt idx="1081">
                  <c:v>0.42438609215905282</c:v>
                </c:pt>
                <c:pt idx="1082">
                  <c:v>0.41426111711952734</c:v>
                </c:pt>
                <c:pt idx="1083">
                  <c:v>0.49014062867112396</c:v>
                </c:pt>
                <c:pt idx="1084">
                  <c:v>0.40463205922479506</c:v>
                </c:pt>
                <c:pt idx="1085">
                  <c:v>0.45118773649355703</c:v>
                </c:pt>
                <c:pt idx="1086">
                  <c:v>0.45382534039767247</c:v>
                </c:pt>
                <c:pt idx="1087">
                  <c:v>0.44625200477846655</c:v>
                </c:pt>
                <c:pt idx="1088">
                  <c:v>0.41464248777332519</c:v>
                </c:pt>
                <c:pt idx="1089">
                  <c:v>0.40340341936884938</c:v>
                </c:pt>
                <c:pt idx="1090">
                  <c:v>0.46620136496548387</c:v>
                </c:pt>
                <c:pt idx="1091">
                  <c:v>0.44397128720498341</c:v>
                </c:pt>
                <c:pt idx="1092">
                  <c:v>0.47856453176855995</c:v>
                </c:pt>
                <c:pt idx="1093">
                  <c:v>0.40219451669934447</c:v>
                </c:pt>
                <c:pt idx="1094">
                  <c:v>0.42851659049848084</c:v>
                </c:pt>
                <c:pt idx="1095">
                  <c:v>0.42905696450919778</c:v>
                </c:pt>
                <c:pt idx="1096">
                  <c:v>0.43706859658113056</c:v>
                </c:pt>
                <c:pt idx="1097">
                  <c:v>0.43897719307275129</c:v>
                </c:pt>
                <c:pt idx="1098">
                  <c:v>0.41082540707007248</c:v>
                </c:pt>
                <c:pt idx="1099">
                  <c:v>0.4085227521019566</c:v>
                </c:pt>
                <c:pt idx="1100">
                  <c:v>0.4036204790767331</c:v>
                </c:pt>
                <c:pt idx="1101">
                  <c:v>0.42992156292634481</c:v>
                </c:pt>
                <c:pt idx="1102">
                  <c:v>0.45159828038481592</c:v>
                </c:pt>
                <c:pt idx="1103">
                  <c:v>0.43791348400951846</c:v>
                </c:pt>
                <c:pt idx="1104">
                  <c:v>0.4588728952181641</c:v>
                </c:pt>
                <c:pt idx="1105">
                  <c:v>0.4230723223405084</c:v>
                </c:pt>
                <c:pt idx="1106">
                  <c:v>0.40025120031586525</c:v>
                </c:pt>
                <c:pt idx="1107">
                  <c:v>0.45095884919135065</c:v>
                </c:pt>
                <c:pt idx="1108">
                  <c:v>0.44560326391158522</c:v>
                </c:pt>
                <c:pt idx="1109">
                  <c:v>0.43903880889600222</c:v>
                </c:pt>
                <c:pt idx="1110">
                  <c:v>0.41568981792830673</c:v>
                </c:pt>
                <c:pt idx="1111">
                  <c:v>0.40364031398159705</c:v>
                </c:pt>
                <c:pt idx="1112">
                  <c:v>0.4143822293265973</c:v>
                </c:pt>
                <c:pt idx="1113">
                  <c:v>0.4717243042047054</c:v>
                </c:pt>
                <c:pt idx="1114">
                  <c:v>0.4274135129724721</c:v>
                </c:pt>
                <c:pt idx="1115">
                  <c:v>0.44310668878783643</c:v>
                </c:pt>
                <c:pt idx="1116">
                  <c:v>0.42546480612648152</c:v>
                </c:pt>
                <c:pt idx="1117">
                  <c:v>0.4097098729601456</c:v>
                </c:pt>
                <c:pt idx="1118">
                  <c:v>0.4693367353620933</c:v>
                </c:pt>
                <c:pt idx="1119">
                  <c:v>0.4420305202071716</c:v>
                </c:pt>
                <c:pt idx="1120">
                  <c:v>0.42166168470124188</c:v>
                </c:pt>
                <c:pt idx="1121">
                  <c:v>0.40848475705432802</c:v>
                </c:pt>
                <c:pt idx="1122">
                  <c:v>0.47006723247947751</c:v>
                </c:pt>
                <c:pt idx="1123">
                  <c:v>0.4466018738784307</c:v>
                </c:pt>
                <c:pt idx="1124">
                  <c:v>0.4733238192790043</c:v>
                </c:pt>
                <c:pt idx="1125">
                  <c:v>0.50579007403099385</c:v>
                </c:pt>
                <c:pt idx="1126">
                  <c:v>0.45013155092715579</c:v>
                </c:pt>
                <c:pt idx="1127">
                  <c:v>0.44496721702726677</c:v>
                </c:pt>
                <c:pt idx="1128">
                  <c:v>0.42746428321445334</c:v>
                </c:pt>
                <c:pt idx="1129">
                  <c:v>0.45960924118468571</c:v>
                </c:pt>
                <c:pt idx="1130">
                  <c:v>0.46624040965191832</c:v>
                </c:pt>
                <c:pt idx="1131">
                  <c:v>0.46475008995391759</c:v>
                </c:pt>
                <c:pt idx="1132">
                  <c:v>0.48004284175566048</c:v>
                </c:pt>
                <c:pt idx="1133">
                  <c:v>0.45198261934684553</c:v>
                </c:pt>
                <c:pt idx="1134">
                  <c:v>0.46235810028268021</c:v>
                </c:pt>
                <c:pt idx="1135">
                  <c:v>0.43995376274183556</c:v>
                </c:pt>
                <c:pt idx="1136">
                  <c:v>0.44414690875846646</c:v>
                </c:pt>
                <c:pt idx="1137">
                  <c:v>0.42016419535645555</c:v>
                </c:pt>
                <c:pt idx="1138">
                  <c:v>0.45274641160613327</c:v>
                </c:pt>
                <c:pt idx="1139">
                  <c:v>0.45521106662789451</c:v>
                </c:pt>
                <c:pt idx="1140">
                  <c:v>0.44440268952723205</c:v>
                </c:pt>
                <c:pt idx="1141">
                  <c:v>0.41561044842856859</c:v>
                </c:pt>
                <c:pt idx="1142">
                  <c:v>0.44917967871580944</c:v>
                </c:pt>
                <c:pt idx="1143">
                  <c:v>0.43691215744547229</c:v>
                </c:pt>
                <c:pt idx="1144">
                  <c:v>0.45596117902582178</c:v>
                </c:pt>
                <c:pt idx="1145">
                  <c:v>0.44702608202739286</c:v>
                </c:pt>
                <c:pt idx="1146">
                  <c:v>0.46491264347891997</c:v>
                </c:pt>
                <c:pt idx="1147">
                  <c:v>0.44994242002340495</c:v>
                </c:pt>
                <c:pt idx="1148">
                  <c:v>0.43593801743598765</c:v>
                </c:pt>
                <c:pt idx="1149">
                  <c:v>0.49199579928469406</c:v>
                </c:pt>
                <c:pt idx="1150">
                  <c:v>0.4591759464455103</c:v>
                </c:pt>
                <c:pt idx="1151">
                  <c:v>0.46563077630750294</c:v>
                </c:pt>
                <c:pt idx="1152">
                  <c:v>0.55988875462966969</c:v>
                </c:pt>
                <c:pt idx="1153">
                  <c:v>0.4876451386397474</c:v>
                </c:pt>
                <c:pt idx="1154">
                  <c:v>0.50933533155924848</c:v>
                </c:pt>
                <c:pt idx="1155">
                  <c:v>0.44359434338287362</c:v>
                </c:pt>
                <c:pt idx="1156">
                  <c:v>0.47036296755252988</c:v>
                </c:pt>
                <c:pt idx="1157">
                  <c:v>0.44592104485997819</c:v>
                </c:pt>
                <c:pt idx="1158">
                  <c:v>0.49325923886355932</c:v>
                </c:pt>
                <c:pt idx="1159">
                  <c:v>0.46257383352834569</c:v>
                </c:pt>
                <c:pt idx="1160">
                  <c:v>0.50579007403099385</c:v>
                </c:pt>
                <c:pt idx="1161">
                  <c:v>0.47775171123144961</c:v>
                </c:pt>
                <c:pt idx="1162">
                  <c:v>0.44901771878261693</c:v>
                </c:pt>
                <c:pt idx="1163">
                  <c:v>0.44231240409738515</c:v>
                </c:pt>
                <c:pt idx="1164">
                  <c:v>0.4697390793926145</c:v>
                </c:pt>
                <c:pt idx="1165">
                  <c:v>0.46047971323238401</c:v>
                </c:pt>
                <c:pt idx="1166">
                  <c:v>0.45719660617471031</c:v>
                </c:pt>
                <c:pt idx="1167">
                  <c:v>0.43100399304586634</c:v>
                </c:pt>
                <c:pt idx="1168">
                  <c:v>0.51340034134858981</c:v>
                </c:pt>
                <c:pt idx="1169">
                  <c:v>0.49562911272233551</c:v>
                </c:pt>
                <c:pt idx="1170">
                  <c:v>0.42914041995486835</c:v>
                </c:pt>
                <c:pt idx="1171">
                  <c:v>0.44868474309201073</c:v>
                </c:pt>
                <c:pt idx="1172">
                  <c:v>0.42730540737101202</c:v>
                </c:pt>
                <c:pt idx="1173">
                  <c:v>0.45203708033336798</c:v>
                </c:pt>
                <c:pt idx="1174">
                  <c:v>0.46769709774414076</c:v>
                </c:pt>
                <c:pt idx="1175">
                  <c:v>0.47471398897400485</c:v>
                </c:pt>
                <c:pt idx="1176">
                  <c:v>0.48977706950381178</c:v>
                </c:pt>
                <c:pt idx="1177">
                  <c:v>0.48453381014391544</c:v>
                </c:pt>
                <c:pt idx="1178">
                  <c:v>0.46312054103660955</c:v>
                </c:pt>
                <c:pt idx="1179">
                  <c:v>0.50522304480001734</c:v>
                </c:pt>
                <c:pt idx="1180">
                  <c:v>0.4641612613535458</c:v>
                </c:pt>
                <c:pt idx="1181">
                  <c:v>0.48516773195676882</c:v>
                </c:pt>
                <c:pt idx="1182">
                  <c:v>0.49419445006303442</c:v>
                </c:pt>
                <c:pt idx="1183">
                  <c:v>0.49910562371340361</c:v>
                </c:pt>
                <c:pt idx="1184">
                  <c:v>0.49529879520284009</c:v>
                </c:pt>
                <c:pt idx="1185">
                  <c:v>0.45971607943302883</c:v>
                </c:pt>
                <c:pt idx="1186">
                  <c:v>0.46973685594407383</c:v>
                </c:pt>
                <c:pt idx="1187">
                  <c:v>0.484805166704176</c:v>
                </c:pt>
                <c:pt idx="1188">
                  <c:v>0.48534324125101752</c:v>
                </c:pt>
                <c:pt idx="1189">
                  <c:v>0.49699372491741134</c:v>
                </c:pt>
                <c:pt idx="1190">
                  <c:v>0.4782784800460444</c:v>
                </c:pt>
                <c:pt idx="1191">
                  <c:v>0.51316145403368774</c:v>
                </c:pt>
                <c:pt idx="1192">
                  <c:v>0.46432347889282527</c:v>
                </c:pt>
                <c:pt idx="1193">
                  <c:v>0.49488942588377421</c:v>
                </c:pt>
                <c:pt idx="1194">
                  <c:v>0.47891997634809735</c:v>
                </c:pt>
                <c:pt idx="1195">
                  <c:v>0.43421600695113616</c:v>
                </c:pt>
                <c:pt idx="1196">
                  <c:v>0.45531102514054878</c:v>
                </c:pt>
                <c:pt idx="1197">
                  <c:v>0.4108419373579158</c:v>
                </c:pt>
                <c:pt idx="1198">
                  <c:v>0.49815962032794003</c:v>
                </c:pt>
                <c:pt idx="1199">
                  <c:v>0.51194459926809666</c:v>
                </c:pt>
                <c:pt idx="1200">
                  <c:v>0.52705624759820602</c:v>
                </c:pt>
                <c:pt idx="1201">
                  <c:v>0.44474644440656352</c:v>
                </c:pt>
                <c:pt idx="1202">
                  <c:v>0.54048962562149228</c:v>
                </c:pt>
                <c:pt idx="1203">
                  <c:v>0.42769013612914919</c:v>
                </c:pt>
                <c:pt idx="1204">
                  <c:v>0.42658668331734917</c:v>
                </c:pt>
                <c:pt idx="1205">
                  <c:v>0.47832401468299934</c:v>
                </c:pt>
                <c:pt idx="1206">
                  <c:v>0.43434017509724743</c:v>
                </c:pt>
                <c:pt idx="1207">
                  <c:v>0.50415497680891097</c:v>
                </c:pt>
                <c:pt idx="1208">
                  <c:v>0.49044706969323354</c:v>
                </c:pt>
                <c:pt idx="1209">
                  <c:v>0.51466358410171309</c:v>
                </c:pt>
                <c:pt idx="1210">
                  <c:v>0.4775192873727574</c:v>
                </c:pt>
                <c:pt idx="1211">
                  <c:v>0.47417819440405673</c:v>
                </c:pt>
                <c:pt idx="1212">
                  <c:v>0.46530687640598339</c:v>
                </c:pt>
                <c:pt idx="1213">
                  <c:v>0.4771218107255934</c:v>
                </c:pt>
                <c:pt idx="1214">
                  <c:v>0.54676843651035678</c:v>
                </c:pt>
                <c:pt idx="1215">
                  <c:v>0.50741815366843279</c:v>
                </c:pt>
                <c:pt idx="1216">
                  <c:v>0.53313007803266921</c:v>
                </c:pt>
                <c:pt idx="1217">
                  <c:v>0.53611459204416423</c:v>
                </c:pt>
                <c:pt idx="1218">
                  <c:v>0.5415880016450596</c:v>
                </c:pt>
                <c:pt idx="1219">
                  <c:v>0.51849004313875902</c:v>
                </c:pt>
                <c:pt idx="1220">
                  <c:v>0.52187331103417234</c:v>
                </c:pt>
                <c:pt idx="1221">
                  <c:v>0.50686622312467688</c:v>
                </c:pt>
                <c:pt idx="1222">
                  <c:v>0.52761066350799468</c:v>
                </c:pt>
                <c:pt idx="1223">
                  <c:v>0.50418947253089574</c:v>
                </c:pt>
                <c:pt idx="1224">
                  <c:v>0.5388259121996849</c:v>
                </c:pt>
                <c:pt idx="1225">
                  <c:v>0.49330143022775941</c:v>
                </c:pt>
                <c:pt idx="1226">
                  <c:v>0.49179793058956273</c:v>
                </c:pt>
                <c:pt idx="1227">
                  <c:v>0.50685714169772589</c:v>
                </c:pt>
                <c:pt idx="1228">
                  <c:v>0.50054328903067236</c:v>
                </c:pt>
                <c:pt idx="1229">
                  <c:v>0.48794465811256155</c:v>
                </c:pt>
                <c:pt idx="1230">
                  <c:v>0.44095698272338468</c:v>
                </c:pt>
                <c:pt idx="1231">
                  <c:v>0.46785581847866936</c:v>
                </c:pt>
                <c:pt idx="1232">
                  <c:v>0.5282331400864817</c:v>
                </c:pt>
                <c:pt idx="1233">
                  <c:v>0.55135674736711937</c:v>
                </c:pt>
                <c:pt idx="1234">
                  <c:v>0.48099644295104321</c:v>
                </c:pt>
                <c:pt idx="1235">
                  <c:v>0.50166117546747546</c:v>
                </c:pt>
                <c:pt idx="1236">
                  <c:v>0.53315966678158866</c:v>
                </c:pt>
                <c:pt idx="1237">
                  <c:v>0.53370705863660062</c:v>
                </c:pt>
                <c:pt idx="1238">
                  <c:v>0.53534923420163627</c:v>
                </c:pt>
                <c:pt idx="1239">
                  <c:v>0.47478378596779114</c:v>
                </c:pt>
                <c:pt idx="1240">
                  <c:v>0.48936185312250685</c:v>
                </c:pt>
                <c:pt idx="1241">
                  <c:v>0.47952789711015376</c:v>
                </c:pt>
                <c:pt idx="1242">
                  <c:v>0.48660154009402029</c:v>
                </c:pt>
                <c:pt idx="1243">
                  <c:v>0.5178078133933004</c:v>
                </c:pt>
                <c:pt idx="1244">
                  <c:v>0.50426660995258721</c:v>
                </c:pt>
                <c:pt idx="1245">
                  <c:v>0.54230724532417984</c:v>
                </c:pt>
                <c:pt idx="1246">
                  <c:v>0.49829318558191776</c:v>
                </c:pt>
                <c:pt idx="1247">
                  <c:v>0.49537674897741463</c:v>
                </c:pt>
                <c:pt idx="1248">
                  <c:v>0.5078213594688693</c:v>
                </c:pt>
                <c:pt idx="1249">
                  <c:v>0.5078213594688693</c:v>
                </c:pt>
                <c:pt idx="1250">
                  <c:v>0.53129209457037163</c:v>
                </c:pt>
                <c:pt idx="1251">
                  <c:v>0.52992528503247271</c:v>
                </c:pt>
                <c:pt idx="1252">
                  <c:v>0.56014032321414886</c:v>
                </c:pt>
                <c:pt idx="1253">
                  <c:v>0.49309650074450173</c:v>
                </c:pt>
                <c:pt idx="1254">
                  <c:v>0.46440724979209436</c:v>
                </c:pt>
                <c:pt idx="1255">
                  <c:v>0.53076736163746274</c:v>
                </c:pt>
                <c:pt idx="1256">
                  <c:v>0.46730604665907038</c:v>
                </c:pt>
                <c:pt idx="1257">
                  <c:v>0.49990879410040095</c:v>
                </c:pt>
                <c:pt idx="1258">
                  <c:v>0.50778137353505293</c:v>
                </c:pt>
                <c:pt idx="1259">
                  <c:v>0.52217193877693702</c:v>
                </c:pt>
                <c:pt idx="1260">
                  <c:v>0.53377436091385622</c:v>
                </c:pt>
                <c:pt idx="1261">
                  <c:v>0.4952127150683685</c:v>
                </c:pt>
                <c:pt idx="1262">
                  <c:v>0.53818571926851622</c:v>
                </c:pt>
                <c:pt idx="1263">
                  <c:v>0.54117456480682469</c:v>
                </c:pt>
                <c:pt idx="1264">
                  <c:v>0.4925296601050877</c:v>
                </c:pt>
                <c:pt idx="1265">
                  <c:v>0.49069186286588956</c:v>
                </c:pt>
                <c:pt idx="1266">
                  <c:v>0.57476144776249294</c:v>
                </c:pt>
                <c:pt idx="1267">
                  <c:v>0.5509124250337587</c:v>
                </c:pt>
                <c:pt idx="1268">
                  <c:v>0.56497827418355684</c:v>
                </c:pt>
                <c:pt idx="1269">
                  <c:v>0.52978011706803696</c:v>
                </c:pt>
                <c:pt idx="1270">
                  <c:v>0.57035901965197178</c:v>
                </c:pt>
                <c:pt idx="1271">
                  <c:v>0.50770594552353554</c:v>
                </c:pt>
                <c:pt idx="1272">
                  <c:v>0.55386103148022048</c:v>
                </c:pt>
                <c:pt idx="1273">
                  <c:v>0.56794224414497196</c:v>
                </c:pt>
                <c:pt idx="1274">
                  <c:v>0.56848254119029762</c:v>
                </c:pt>
                <c:pt idx="1275">
                  <c:v>0.55450346230856906</c:v>
                </c:pt>
                <c:pt idx="1276">
                  <c:v>0.54999530407841801</c:v>
                </c:pt>
                <c:pt idx="1277">
                  <c:v>0.52038017232034939</c:v>
                </c:pt>
                <c:pt idx="1278">
                  <c:v>0.59341598597934575</c:v>
                </c:pt>
                <c:pt idx="1279">
                  <c:v>0.55513544710718843</c:v>
                </c:pt>
                <c:pt idx="1280">
                  <c:v>0.58863499994986357</c:v>
                </c:pt>
                <c:pt idx="1281">
                  <c:v>0.62643724765306585</c:v>
                </c:pt>
                <c:pt idx="1282">
                  <c:v>0.55968573765724738</c:v>
                </c:pt>
                <c:pt idx="1283">
                  <c:v>0.57139464430279641</c:v>
                </c:pt>
                <c:pt idx="1284">
                  <c:v>0.56431123962135676</c:v>
                </c:pt>
                <c:pt idx="1285">
                  <c:v>0.62643724765306585</c:v>
                </c:pt>
                <c:pt idx="1286">
                  <c:v>0.53838982489627263</c:v>
                </c:pt>
                <c:pt idx="1287">
                  <c:v>0.53838982489627263</c:v>
                </c:pt>
                <c:pt idx="1288">
                  <c:v>0.54262911485608589</c:v>
                </c:pt>
                <c:pt idx="1289">
                  <c:v>0.53215364931832354</c:v>
                </c:pt>
                <c:pt idx="1290">
                  <c:v>0.53421626036219305</c:v>
                </c:pt>
                <c:pt idx="1291">
                  <c:v>0.59153560160277174</c:v>
                </c:pt>
                <c:pt idx="1292">
                  <c:v>0.54977181959890631</c:v>
                </c:pt>
                <c:pt idx="1293">
                  <c:v>0.59441141178856116</c:v>
                </c:pt>
                <c:pt idx="1294">
                  <c:v>0.58442130402740888</c:v>
                </c:pt>
                <c:pt idx="1295">
                  <c:v>0.55636908143409325</c:v>
                </c:pt>
                <c:pt idx="1296">
                  <c:v>0.56085592886501345</c:v>
                </c:pt>
                <c:pt idx="1297">
                  <c:v>0.51136864102398283</c:v>
                </c:pt>
                <c:pt idx="1298">
                  <c:v>0.53165433918030591</c:v>
                </c:pt>
                <c:pt idx="1299">
                  <c:v>0.53571276925038469</c:v>
                </c:pt>
                <c:pt idx="1300">
                  <c:v>0.63798520701636718</c:v>
                </c:pt>
                <c:pt idx="1301">
                  <c:v>0.57523256370328191</c:v>
                </c:pt>
                <c:pt idx="1302">
                  <c:v>0.5876399200360094</c:v>
                </c:pt>
                <c:pt idx="1303">
                  <c:v>0.54261004110604705</c:v>
                </c:pt>
                <c:pt idx="1304">
                  <c:v>0.5828033774842728</c:v>
                </c:pt>
                <c:pt idx="1305">
                  <c:v>0.57336526610800931</c:v>
                </c:pt>
                <c:pt idx="1306">
                  <c:v>0.60036006686451993</c:v>
                </c:pt>
                <c:pt idx="1307">
                  <c:v>0.6378825710435525</c:v>
                </c:pt>
                <c:pt idx="1308">
                  <c:v>0.57383813619982227</c:v>
                </c:pt>
                <c:pt idx="1309">
                  <c:v>0.56476559649705826</c:v>
                </c:pt>
                <c:pt idx="1310">
                  <c:v>0.48272194565458026</c:v>
                </c:pt>
                <c:pt idx="1311">
                  <c:v>0.64066742710592561</c:v>
                </c:pt>
                <c:pt idx="1312">
                  <c:v>0.5319194505492002</c:v>
                </c:pt>
                <c:pt idx="1313">
                  <c:v>0.55229950612579792</c:v>
                </c:pt>
                <c:pt idx="1314">
                  <c:v>0.56529478862287552</c:v>
                </c:pt>
                <c:pt idx="1315">
                  <c:v>0.6349984553882565</c:v>
                </c:pt>
                <c:pt idx="1316">
                  <c:v>0.55714423863567319</c:v>
                </c:pt>
                <c:pt idx="1317">
                  <c:v>0.56802596204652622</c:v>
                </c:pt>
                <c:pt idx="1318">
                  <c:v>0.56802596204652622</c:v>
                </c:pt>
                <c:pt idx="1319">
                  <c:v>0.63223759253874234</c:v>
                </c:pt>
                <c:pt idx="1320">
                  <c:v>0.55771529075660919</c:v>
                </c:pt>
                <c:pt idx="1321">
                  <c:v>0.57747685617711897</c:v>
                </c:pt>
                <c:pt idx="1322">
                  <c:v>0.6548175065579831</c:v>
                </c:pt>
                <c:pt idx="1323">
                  <c:v>0.58437896999596894</c:v>
                </c:pt>
                <c:pt idx="1324">
                  <c:v>0.60632621579535118</c:v>
                </c:pt>
                <c:pt idx="1325">
                  <c:v>0.5419179364617791</c:v>
                </c:pt>
                <c:pt idx="1326">
                  <c:v>0.61643165272527378</c:v>
                </c:pt>
                <c:pt idx="1327">
                  <c:v>0.61643165272527378</c:v>
                </c:pt>
                <c:pt idx="1328">
                  <c:v>0.55202834572412574</c:v>
                </c:pt>
                <c:pt idx="1329">
                  <c:v>0.64037799072593649</c:v>
                </c:pt>
                <c:pt idx="1330">
                  <c:v>0.56518209029978472</c:v>
                </c:pt>
                <c:pt idx="1331">
                  <c:v>0.6115084911440295</c:v>
                </c:pt>
                <c:pt idx="1332">
                  <c:v>0.53865729905827864</c:v>
                </c:pt>
                <c:pt idx="1333">
                  <c:v>0.60408126250665251</c:v>
                </c:pt>
                <c:pt idx="1334">
                  <c:v>0.57432269856572782</c:v>
                </c:pt>
                <c:pt idx="1335">
                  <c:v>0.57213896206928005</c:v>
                </c:pt>
                <c:pt idx="1336">
                  <c:v>0.64580492285073254</c:v>
                </c:pt>
                <c:pt idx="1337">
                  <c:v>0.60189018809688266</c:v>
                </c:pt>
                <c:pt idx="1338">
                  <c:v>0.64568945620977936</c:v>
                </c:pt>
                <c:pt idx="1339">
                  <c:v>0.65948921290679152</c:v>
                </c:pt>
                <c:pt idx="1340">
                  <c:v>0.5953365657368701</c:v>
                </c:pt>
                <c:pt idx="1341">
                  <c:v>0.65645094714660901</c:v>
                </c:pt>
                <c:pt idx="1342">
                  <c:v>0.6170638903178125</c:v>
                </c:pt>
                <c:pt idx="1343">
                  <c:v>0.60734634873800442</c:v>
                </c:pt>
                <c:pt idx="1344">
                  <c:v>0.57391309138203173</c:v>
                </c:pt>
                <c:pt idx="1345">
                  <c:v>0.60517683955070267</c:v>
                </c:pt>
                <c:pt idx="1346">
                  <c:v>0.58690735005483241</c:v>
                </c:pt>
                <c:pt idx="1347">
                  <c:v>0.6399792773453391</c:v>
                </c:pt>
                <c:pt idx="1348">
                  <c:v>0.61974277845694892</c:v>
                </c:pt>
                <c:pt idx="1349">
                  <c:v>0.63737773556751254</c:v>
                </c:pt>
                <c:pt idx="1350">
                  <c:v>0.65880219726726086</c:v>
                </c:pt>
                <c:pt idx="1351">
                  <c:v>0.61026794646596749</c:v>
                </c:pt>
                <c:pt idx="1352">
                  <c:v>0.65313800882101469</c:v>
                </c:pt>
                <c:pt idx="1353">
                  <c:v>0.60559156373442746</c:v>
                </c:pt>
                <c:pt idx="1354">
                  <c:v>0.56652114026769018</c:v>
                </c:pt>
                <c:pt idx="1355">
                  <c:v>0.71445683103032764</c:v>
                </c:pt>
                <c:pt idx="1356">
                  <c:v>0.64243497306356079</c:v>
                </c:pt>
                <c:pt idx="1357">
                  <c:v>0.61515009003769527</c:v>
                </c:pt>
                <c:pt idx="1358">
                  <c:v>0.62973862972238359</c:v>
                </c:pt>
                <c:pt idx="1359">
                  <c:v>0.63223759253874234</c:v>
                </c:pt>
                <c:pt idx="1360">
                  <c:v>0.66634169504083207</c:v>
                </c:pt>
                <c:pt idx="1361">
                  <c:v>0.63473655535510087</c:v>
                </c:pt>
                <c:pt idx="1362">
                  <c:v>0.6581489692821334</c:v>
                </c:pt>
                <c:pt idx="1363">
                  <c:v>0.67720846732183282</c:v>
                </c:pt>
                <c:pt idx="1364">
                  <c:v>0.6552745898377248</c:v>
                </c:pt>
                <c:pt idx="1365">
                  <c:v>0.66333124463081161</c:v>
                </c:pt>
                <c:pt idx="1366">
                  <c:v>0.61540997600729297</c:v>
                </c:pt>
                <c:pt idx="1367">
                  <c:v>0.62733652592991496</c:v>
                </c:pt>
                <c:pt idx="1368">
                  <c:v>0.5953186090328304</c:v>
                </c:pt>
                <c:pt idx="1369">
                  <c:v>0.69708247382476718</c:v>
                </c:pt>
                <c:pt idx="1370">
                  <c:v>0.62258511020990659</c:v>
                </c:pt>
                <c:pt idx="1371">
                  <c:v>0.60190885193725285</c:v>
                </c:pt>
                <c:pt idx="1372">
                  <c:v>0.6043447575737978</c:v>
                </c:pt>
                <c:pt idx="1373">
                  <c:v>0.56102994559751873</c:v>
                </c:pt>
                <c:pt idx="1374">
                  <c:v>0.63713865914756984</c:v>
                </c:pt>
                <c:pt idx="1375">
                  <c:v>0.65490746637479291</c:v>
                </c:pt>
                <c:pt idx="1376">
                  <c:v>0.64973033225325294</c:v>
                </c:pt>
                <c:pt idx="1377">
                  <c:v>0.62983364731996383</c:v>
                </c:pt>
                <c:pt idx="1378">
                  <c:v>0.65472825788597022</c:v>
                </c:pt>
                <c:pt idx="1379">
                  <c:v>0.72020108367456726</c:v>
                </c:pt>
                <c:pt idx="1380">
                  <c:v>0.65732638589345438</c:v>
                </c:pt>
                <c:pt idx="1381">
                  <c:v>0.59800089980198734</c:v>
                </c:pt>
                <c:pt idx="1382">
                  <c:v>0.60916322784754739</c:v>
                </c:pt>
                <c:pt idx="1383">
                  <c:v>0.68406034602552457</c:v>
                </c:pt>
                <c:pt idx="1384">
                  <c:v>0.65455186051069791</c:v>
                </c:pt>
                <c:pt idx="1385">
                  <c:v>0.59398834316807103</c:v>
                </c:pt>
                <c:pt idx="1386">
                  <c:v>0.68126826298052223</c:v>
                </c:pt>
                <c:pt idx="1387">
                  <c:v>0.63950469130355547</c:v>
                </c:pt>
                <c:pt idx="1388">
                  <c:v>0.62057269230740031</c:v>
                </c:pt>
                <c:pt idx="1389">
                  <c:v>0.68363902282644495</c:v>
                </c:pt>
                <c:pt idx="1390">
                  <c:v>0.59636595608264353</c:v>
                </c:pt>
                <c:pt idx="1391">
                  <c:v>0.74744533162357985</c:v>
                </c:pt>
                <c:pt idx="1392">
                  <c:v>0.65693437349728689</c:v>
                </c:pt>
                <c:pt idx="1393">
                  <c:v>0.66736190323533917</c:v>
                </c:pt>
                <c:pt idx="1394">
                  <c:v>0.67775869920153176</c:v>
                </c:pt>
                <c:pt idx="1395">
                  <c:v>0.63939499924672805</c:v>
                </c:pt>
                <c:pt idx="1396">
                  <c:v>0.58427474069097574</c:v>
                </c:pt>
                <c:pt idx="1397">
                  <c:v>0.66446931294267819</c:v>
                </c:pt>
                <c:pt idx="1398">
                  <c:v>0.57050395555684497</c:v>
                </c:pt>
                <c:pt idx="1399">
                  <c:v>0.70306919004308266</c:v>
                </c:pt>
                <c:pt idx="1400">
                  <c:v>0.68322449516283457</c:v>
                </c:pt>
                <c:pt idx="1401">
                  <c:v>0.65655442302100164</c:v>
                </c:pt>
                <c:pt idx="1402">
                  <c:v>0.64660662873280461</c:v>
                </c:pt>
                <c:pt idx="1403">
                  <c:v>0.72332266942991708</c:v>
                </c:pt>
                <c:pt idx="1404">
                  <c:v>0.68555883528297357</c:v>
                </c:pt>
                <c:pt idx="1405">
                  <c:v>0.69110991896947549</c:v>
                </c:pt>
                <c:pt idx="1406">
                  <c:v>0.66421848243369819</c:v>
                </c:pt>
                <c:pt idx="1407">
                  <c:v>0.71953399652944727</c:v>
                </c:pt>
                <c:pt idx="1408">
                  <c:v>0.67971788604955685</c:v>
                </c:pt>
                <c:pt idx="1409">
                  <c:v>0.67971788604955685</c:v>
                </c:pt>
                <c:pt idx="1410">
                  <c:v>0.69017171456420479</c:v>
                </c:pt>
                <c:pt idx="1411">
                  <c:v>0.68471581168227424</c:v>
                </c:pt>
                <c:pt idx="1412">
                  <c:v>0.6276891206499744</c:v>
                </c:pt>
                <c:pt idx="1413">
                  <c:v>0.63223759253874223</c:v>
                </c:pt>
                <c:pt idx="1414">
                  <c:v>0.64868987189848648</c:v>
                </c:pt>
                <c:pt idx="1415">
                  <c:v>0.72330062027066</c:v>
                </c:pt>
                <c:pt idx="1416">
                  <c:v>0.64856845286262133</c:v>
                </c:pt>
                <c:pt idx="1417">
                  <c:v>0.71739612541130759</c:v>
                </c:pt>
                <c:pt idx="1418">
                  <c:v>0.74069676113325456</c:v>
                </c:pt>
                <c:pt idx="1419">
                  <c:v>0.70528496378823835</c:v>
                </c:pt>
                <c:pt idx="1420">
                  <c:v>0.77985253705219304</c:v>
                </c:pt>
                <c:pt idx="1421">
                  <c:v>0.73151456987953645</c:v>
                </c:pt>
                <c:pt idx="1422">
                  <c:v>0.70750397260287845</c:v>
                </c:pt>
                <c:pt idx="1423">
                  <c:v>0.66279182563541017</c:v>
                </c:pt>
                <c:pt idx="1424">
                  <c:v>0.70470751421314359</c:v>
                </c:pt>
                <c:pt idx="1425">
                  <c:v>0.67279623055066162</c:v>
                </c:pt>
                <c:pt idx="1426">
                  <c:v>0.73070082416362847</c:v>
                </c:pt>
                <c:pt idx="1427">
                  <c:v>0.61073291252041784</c:v>
                </c:pt>
                <c:pt idx="1428">
                  <c:v>0.6412695581464386</c:v>
                </c:pt>
                <c:pt idx="1429">
                  <c:v>0.72110633044579431</c:v>
                </c:pt>
                <c:pt idx="1430">
                  <c:v>0.61491601466096857</c:v>
                </c:pt>
                <c:pt idx="1431">
                  <c:v>0.72110633044579431</c:v>
                </c:pt>
                <c:pt idx="1432">
                  <c:v>0.75029025504597635</c:v>
                </c:pt>
                <c:pt idx="1433">
                  <c:v>0.68492405858363758</c:v>
                </c:pt>
                <c:pt idx="1434">
                  <c:v>0.72327980586432128</c:v>
                </c:pt>
                <c:pt idx="1435">
                  <c:v>0.70632793541437622</c:v>
                </c:pt>
                <c:pt idx="1436">
                  <c:v>0.63889272509178163</c:v>
                </c:pt>
                <c:pt idx="1437">
                  <c:v>0.71405657510257958</c:v>
                </c:pt>
              </c:numCache>
            </c:numRef>
          </c:xVal>
          <c:yVal>
            <c:numRef>
              <c:f>'curves processed'!$AP$2:$AP$1439</c:f>
              <c:numCache>
                <c:formatCode>General</c:formatCode>
                <c:ptCount val="1438"/>
                <c:pt idx="0">
                  <c:v>2.8235414810052348</c:v>
                </c:pt>
                <c:pt idx="1">
                  <c:v>4.8075198475512844</c:v>
                </c:pt>
                <c:pt idx="2">
                  <c:v>4.8063632696000109</c:v>
                </c:pt>
                <c:pt idx="3">
                  <c:v>4.2156774881576045</c:v>
                </c:pt>
                <c:pt idx="4">
                  <c:v>5.1995934553564407</c:v>
                </c:pt>
                <c:pt idx="5">
                  <c:v>4.8553382490000567</c:v>
                </c:pt>
                <c:pt idx="6">
                  <c:v>6.2691775551795903</c:v>
                </c:pt>
                <c:pt idx="7">
                  <c:v>5.1528272596562692</c:v>
                </c:pt>
                <c:pt idx="8">
                  <c:v>7.4062819839003469</c:v>
                </c:pt>
                <c:pt idx="9">
                  <c:v>6.2933881485336016</c:v>
                </c:pt>
                <c:pt idx="10">
                  <c:v>8.9247691593717828</c:v>
                </c:pt>
                <c:pt idx="11">
                  <c:v>4.6775177643107808</c:v>
                </c:pt>
                <c:pt idx="12">
                  <c:v>7.0572219898623345</c:v>
                </c:pt>
                <c:pt idx="13">
                  <c:v>7.5368671911413259</c:v>
                </c:pt>
                <c:pt idx="14">
                  <c:v>6.539321521214859</c:v>
                </c:pt>
                <c:pt idx="15">
                  <c:v>6.3071629457498881</c:v>
                </c:pt>
                <c:pt idx="16">
                  <c:v>9.8996474701717769</c:v>
                </c:pt>
                <c:pt idx="17">
                  <c:v>10.329971677866869</c:v>
                </c:pt>
                <c:pt idx="18">
                  <c:v>9.759585542759277</c:v>
                </c:pt>
                <c:pt idx="19">
                  <c:v>8.6455586598756327</c:v>
                </c:pt>
                <c:pt idx="20">
                  <c:v>7.5517410053758898</c:v>
                </c:pt>
                <c:pt idx="21">
                  <c:v>8.4793134475457705</c:v>
                </c:pt>
                <c:pt idx="22">
                  <c:v>7.5353615060283667</c:v>
                </c:pt>
                <c:pt idx="23">
                  <c:v>6.3895023587339592</c:v>
                </c:pt>
                <c:pt idx="24">
                  <c:v>8.9958655092488637</c:v>
                </c:pt>
                <c:pt idx="25">
                  <c:v>5.2537950665933923</c:v>
                </c:pt>
                <c:pt idx="26">
                  <c:v>7.3583189848607971</c:v>
                </c:pt>
                <c:pt idx="27">
                  <c:v>9.2777910278381732</c:v>
                </c:pt>
                <c:pt idx="28">
                  <c:v>13.23781901319933</c:v>
                </c:pt>
                <c:pt idx="29">
                  <c:v>9.4526022601936681</c:v>
                </c:pt>
                <c:pt idx="30">
                  <c:v>9.5867889828998916</c:v>
                </c:pt>
                <c:pt idx="31">
                  <c:v>5.9250821678167052</c:v>
                </c:pt>
                <c:pt idx="32">
                  <c:v>7.6067860157924896</c:v>
                </c:pt>
                <c:pt idx="33">
                  <c:v>11.477502943768252</c:v>
                </c:pt>
                <c:pt idx="34">
                  <c:v>10.333901786151266</c:v>
                </c:pt>
                <c:pt idx="35">
                  <c:v>12.913988994023354</c:v>
                </c:pt>
                <c:pt idx="36">
                  <c:v>9.2087118590925083</c:v>
                </c:pt>
                <c:pt idx="37">
                  <c:v>9.8993645412007094</c:v>
                </c:pt>
                <c:pt idx="38">
                  <c:v>10.01166641933386</c:v>
                </c:pt>
                <c:pt idx="39">
                  <c:v>9.2013761975149677</c:v>
                </c:pt>
                <c:pt idx="40">
                  <c:v>12.385497146638702</c:v>
                </c:pt>
                <c:pt idx="41">
                  <c:v>9.6329721171635416</c:v>
                </c:pt>
                <c:pt idx="42">
                  <c:v>10.611500109597454</c:v>
                </c:pt>
                <c:pt idx="43">
                  <c:v>9.002802340940617</c:v>
                </c:pt>
                <c:pt idx="44">
                  <c:v>8.5512390934474212</c:v>
                </c:pt>
                <c:pt idx="45">
                  <c:v>14.954677733701736</c:v>
                </c:pt>
                <c:pt idx="46">
                  <c:v>6.5129942013772117</c:v>
                </c:pt>
                <c:pt idx="47">
                  <c:v>12.133517122982857</c:v>
                </c:pt>
                <c:pt idx="48">
                  <c:v>8.346331936369948</c:v>
                </c:pt>
                <c:pt idx="49">
                  <c:v>11.796082628285221</c:v>
                </c:pt>
                <c:pt idx="50">
                  <c:v>14.302102182302546</c:v>
                </c:pt>
                <c:pt idx="51">
                  <c:v>11.378311006654039</c:v>
                </c:pt>
                <c:pt idx="52">
                  <c:v>12.840854599073213</c:v>
                </c:pt>
                <c:pt idx="53">
                  <c:v>14.648727627726789</c:v>
                </c:pt>
                <c:pt idx="54">
                  <c:v>12.684913750545263</c:v>
                </c:pt>
                <c:pt idx="55">
                  <c:v>10.985201853565123</c:v>
                </c:pt>
                <c:pt idx="56">
                  <c:v>14.555744656322434</c:v>
                </c:pt>
                <c:pt idx="57">
                  <c:v>14.742864835677818</c:v>
                </c:pt>
                <c:pt idx="58">
                  <c:v>12.961771676764236</c:v>
                </c:pt>
                <c:pt idx="59">
                  <c:v>11.058708991567624</c:v>
                </c:pt>
                <c:pt idx="60">
                  <c:v>12.174740470270612</c:v>
                </c:pt>
                <c:pt idx="61">
                  <c:v>12.343466921579878</c:v>
                </c:pt>
                <c:pt idx="62">
                  <c:v>10.99524398258046</c:v>
                </c:pt>
                <c:pt idx="63">
                  <c:v>9.6359226109966389</c:v>
                </c:pt>
                <c:pt idx="64">
                  <c:v>11.338314616575092</c:v>
                </c:pt>
                <c:pt idx="65">
                  <c:v>7.7874013109500462</c:v>
                </c:pt>
                <c:pt idx="66">
                  <c:v>11.767453529869677</c:v>
                </c:pt>
                <c:pt idx="67">
                  <c:v>13.563661632375092</c:v>
                </c:pt>
                <c:pt idx="68">
                  <c:v>10.190361318452585</c:v>
                </c:pt>
                <c:pt idx="69">
                  <c:v>12.094326633761311</c:v>
                </c:pt>
                <c:pt idx="70">
                  <c:v>17.197699722402106</c:v>
                </c:pt>
                <c:pt idx="71">
                  <c:v>13.166659797027441</c:v>
                </c:pt>
                <c:pt idx="72">
                  <c:v>9.4349663725166106</c:v>
                </c:pt>
                <c:pt idx="73">
                  <c:v>16.087943642069419</c:v>
                </c:pt>
                <c:pt idx="74">
                  <c:v>13.877313624008787</c:v>
                </c:pt>
                <c:pt idx="75">
                  <c:v>13.428808257489463</c:v>
                </c:pt>
                <c:pt idx="76">
                  <c:v>18.294081196605088</c:v>
                </c:pt>
                <c:pt idx="77">
                  <c:v>16.601791905965989</c:v>
                </c:pt>
                <c:pt idx="78">
                  <c:v>12.52222935048731</c:v>
                </c:pt>
                <c:pt idx="79">
                  <c:v>13.323290413367056</c:v>
                </c:pt>
                <c:pt idx="80">
                  <c:v>16.927781617666739</c:v>
                </c:pt>
                <c:pt idx="81">
                  <c:v>16.277168467235811</c:v>
                </c:pt>
                <c:pt idx="82">
                  <c:v>12.04562600130588</c:v>
                </c:pt>
                <c:pt idx="83">
                  <c:v>13.905076139103185</c:v>
                </c:pt>
                <c:pt idx="84">
                  <c:v>14.750421216941412</c:v>
                </c:pt>
                <c:pt idx="85">
                  <c:v>12.736514766887156</c:v>
                </c:pt>
                <c:pt idx="86">
                  <c:v>11.066315577535217</c:v>
                </c:pt>
                <c:pt idx="87">
                  <c:v>14.404935417426989</c:v>
                </c:pt>
                <c:pt idx="88">
                  <c:v>19.967080912890445</c:v>
                </c:pt>
                <c:pt idx="89">
                  <c:v>10.652577264978836</c:v>
                </c:pt>
                <c:pt idx="90">
                  <c:v>12.4759321620308</c:v>
                </c:pt>
                <c:pt idx="91">
                  <c:v>14.814338436428091</c:v>
                </c:pt>
                <c:pt idx="92">
                  <c:v>10.450747125144492</c:v>
                </c:pt>
                <c:pt idx="93">
                  <c:v>16.400097178555448</c:v>
                </c:pt>
                <c:pt idx="94">
                  <c:v>15.625347761397595</c:v>
                </c:pt>
                <c:pt idx="95">
                  <c:v>17.92935154757701</c:v>
                </c:pt>
                <c:pt idx="96">
                  <c:v>10.912610454419172</c:v>
                </c:pt>
                <c:pt idx="97">
                  <c:v>12.722376072903325</c:v>
                </c:pt>
                <c:pt idx="98">
                  <c:v>13.329620083231818</c:v>
                </c:pt>
                <c:pt idx="99">
                  <c:v>15.334740818727223</c:v>
                </c:pt>
                <c:pt idx="100">
                  <c:v>11.553200906248533</c:v>
                </c:pt>
                <c:pt idx="101">
                  <c:v>13.481071728955971</c:v>
                </c:pt>
                <c:pt idx="102">
                  <c:v>13.877519910493255</c:v>
                </c:pt>
                <c:pt idx="103">
                  <c:v>14.015799390706855</c:v>
                </c:pt>
                <c:pt idx="104">
                  <c:v>17.243703254605151</c:v>
                </c:pt>
                <c:pt idx="105">
                  <c:v>19.378296997237182</c:v>
                </c:pt>
                <c:pt idx="106">
                  <c:v>14.14936417363926</c:v>
                </c:pt>
                <c:pt idx="107">
                  <c:v>11.172672215933417</c:v>
                </c:pt>
                <c:pt idx="108">
                  <c:v>16.814580686640021</c:v>
                </c:pt>
                <c:pt idx="109">
                  <c:v>7.7110407651085495</c:v>
                </c:pt>
                <c:pt idx="110">
                  <c:v>13.407333237636374</c:v>
                </c:pt>
                <c:pt idx="111">
                  <c:v>12.605383128223064</c:v>
                </c:pt>
                <c:pt idx="112">
                  <c:v>17.123037411266008</c:v>
                </c:pt>
                <c:pt idx="113">
                  <c:v>12.834136192250616</c:v>
                </c:pt>
                <c:pt idx="114">
                  <c:v>15.217095780661985</c:v>
                </c:pt>
                <c:pt idx="115">
                  <c:v>14.52195101924533</c:v>
                </c:pt>
                <c:pt idx="116">
                  <c:v>12.951905239415133</c:v>
                </c:pt>
                <c:pt idx="117">
                  <c:v>14.786030542284658</c:v>
                </c:pt>
                <c:pt idx="118">
                  <c:v>16.363360299475179</c:v>
                </c:pt>
                <c:pt idx="119">
                  <c:v>15.310253770034784</c:v>
                </c:pt>
                <c:pt idx="120">
                  <c:v>17.286851049283882</c:v>
                </c:pt>
                <c:pt idx="121">
                  <c:v>16.460476239011459</c:v>
                </c:pt>
                <c:pt idx="122">
                  <c:v>18.873229721529118</c:v>
                </c:pt>
                <c:pt idx="123">
                  <c:v>12.630925624918182</c:v>
                </c:pt>
                <c:pt idx="124">
                  <c:v>19.855142168667157</c:v>
                </c:pt>
                <c:pt idx="125">
                  <c:v>17.331228864475012</c:v>
                </c:pt>
                <c:pt idx="126">
                  <c:v>12.940149907330806</c:v>
                </c:pt>
                <c:pt idx="127">
                  <c:v>14.676466462062844</c:v>
                </c:pt>
                <c:pt idx="128">
                  <c:v>21.276865831768454</c:v>
                </c:pt>
                <c:pt idx="129">
                  <c:v>14.162861637470639</c:v>
                </c:pt>
                <c:pt idx="130">
                  <c:v>16.423808134712061</c:v>
                </c:pt>
                <c:pt idx="131">
                  <c:v>18.514466662341963</c:v>
                </c:pt>
                <c:pt idx="132">
                  <c:v>16.675773918162431</c:v>
                </c:pt>
                <c:pt idx="133">
                  <c:v>16.498006829789365</c:v>
                </c:pt>
                <c:pt idx="134">
                  <c:v>21.025679362565921</c:v>
                </c:pt>
                <c:pt idx="135">
                  <c:v>18.020851439390718</c:v>
                </c:pt>
                <c:pt idx="136">
                  <c:v>17.17970548506317</c:v>
                </c:pt>
                <c:pt idx="137">
                  <c:v>15.559565555093178</c:v>
                </c:pt>
                <c:pt idx="138">
                  <c:v>13.71578480093708</c:v>
                </c:pt>
                <c:pt idx="139">
                  <c:v>12.56913018278599</c:v>
                </c:pt>
                <c:pt idx="140">
                  <c:v>15.639511237342711</c:v>
                </c:pt>
                <c:pt idx="141">
                  <c:v>17.814465439524675</c:v>
                </c:pt>
                <c:pt idx="142">
                  <c:v>16.998207342651575</c:v>
                </c:pt>
                <c:pt idx="143">
                  <c:v>16.525155939386572</c:v>
                </c:pt>
                <c:pt idx="144">
                  <c:v>18.867419434864729</c:v>
                </c:pt>
                <c:pt idx="145">
                  <c:v>14.650843002032355</c:v>
                </c:pt>
                <c:pt idx="146">
                  <c:v>21.451076198348925</c:v>
                </c:pt>
                <c:pt idx="147">
                  <c:v>15.345404993353711</c:v>
                </c:pt>
                <c:pt idx="148">
                  <c:v>15.449523085688574</c:v>
                </c:pt>
                <c:pt idx="149">
                  <c:v>15.053881666815153</c:v>
                </c:pt>
                <c:pt idx="150">
                  <c:v>16.746676417365467</c:v>
                </c:pt>
                <c:pt idx="151">
                  <c:v>15.01224485996366</c:v>
                </c:pt>
                <c:pt idx="152">
                  <c:v>19.559126774386097</c:v>
                </c:pt>
                <c:pt idx="153">
                  <c:v>16.790370381868343</c:v>
                </c:pt>
                <c:pt idx="154">
                  <c:v>16.61701222985732</c:v>
                </c:pt>
                <c:pt idx="155">
                  <c:v>18.882909632229719</c:v>
                </c:pt>
                <c:pt idx="156">
                  <c:v>21.219377595796509</c:v>
                </c:pt>
                <c:pt idx="157">
                  <c:v>15.356500457999635</c:v>
                </c:pt>
                <c:pt idx="158">
                  <c:v>13.252583986048261</c:v>
                </c:pt>
                <c:pt idx="159">
                  <c:v>19.032298604886762</c:v>
                </c:pt>
                <c:pt idx="160">
                  <c:v>16.428278596201864</c:v>
                </c:pt>
                <c:pt idx="161">
                  <c:v>14.560485613346067</c:v>
                </c:pt>
                <c:pt idx="162">
                  <c:v>12.453930881516186</c:v>
                </c:pt>
                <c:pt idx="163">
                  <c:v>20.219218638527554</c:v>
                </c:pt>
                <c:pt idx="164">
                  <c:v>13.355783530554534</c:v>
                </c:pt>
                <c:pt idx="165">
                  <c:v>10.366824450372645</c:v>
                </c:pt>
                <c:pt idx="166">
                  <c:v>17.331657831741875</c:v>
                </c:pt>
                <c:pt idx="167">
                  <c:v>19.640495541289795</c:v>
                </c:pt>
                <c:pt idx="168">
                  <c:v>14.73501823890448</c:v>
                </c:pt>
                <c:pt idx="169">
                  <c:v>16.529110450210972</c:v>
                </c:pt>
                <c:pt idx="170">
                  <c:v>19.987875386627877</c:v>
                </c:pt>
                <c:pt idx="171">
                  <c:v>20.834299427144547</c:v>
                </c:pt>
                <c:pt idx="172">
                  <c:v>16.040723541526209</c:v>
                </c:pt>
                <c:pt idx="173">
                  <c:v>13.488006262451293</c:v>
                </c:pt>
                <c:pt idx="174">
                  <c:v>18.16260029941434</c:v>
                </c:pt>
                <c:pt idx="175">
                  <c:v>23.359509474504335</c:v>
                </c:pt>
                <c:pt idx="176">
                  <c:v>12.447008976050482</c:v>
                </c:pt>
                <c:pt idx="177">
                  <c:v>16.513088406552747</c:v>
                </c:pt>
                <c:pt idx="178">
                  <c:v>16.60791923172853</c:v>
                </c:pt>
                <c:pt idx="179">
                  <c:v>15.235570905708641</c:v>
                </c:pt>
                <c:pt idx="180">
                  <c:v>20.801081600966278</c:v>
                </c:pt>
                <c:pt idx="181">
                  <c:v>20.559453954552549</c:v>
                </c:pt>
                <c:pt idx="182">
                  <c:v>18.091337500151784</c:v>
                </c:pt>
                <c:pt idx="183">
                  <c:v>21.519504704709391</c:v>
                </c:pt>
                <c:pt idx="184">
                  <c:v>15.663316252611304</c:v>
                </c:pt>
                <c:pt idx="185">
                  <c:v>14.224848592705024</c:v>
                </c:pt>
                <c:pt idx="186">
                  <c:v>13.519175367991796</c:v>
                </c:pt>
                <c:pt idx="187">
                  <c:v>15.225374559214782</c:v>
                </c:pt>
                <c:pt idx="188">
                  <c:v>11.807531171572466</c:v>
                </c:pt>
                <c:pt idx="189">
                  <c:v>16.084531136202479</c:v>
                </c:pt>
                <c:pt idx="190">
                  <c:v>19.832494318785038</c:v>
                </c:pt>
                <c:pt idx="191">
                  <c:v>17.27691645329126</c:v>
                </c:pt>
                <c:pt idx="192">
                  <c:v>17.910501132256258</c:v>
                </c:pt>
                <c:pt idx="193">
                  <c:v>15.944604943833831</c:v>
                </c:pt>
                <c:pt idx="194">
                  <c:v>22.805261275116557</c:v>
                </c:pt>
                <c:pt idx="195">
                  <c:v>16.854321359021526</c:v>
                </c:pt>
                <c:pt idx="196">
                  <c:v>15.069757708867563</c:v>
                </c:pt>
                <c:pt idx="197">
                  <c:v>15.582403369404283</c:v>
                </c:pt>
                <c:pt idx="198">
                  <c:v>17.102910169626561</c:v>
                </c:pt>
                <c:pt idx="199">
                  <c:v>18.285697552962041</c:v>
                </c:pt>
                <c:pt idx="200">
                  <c:v>22.336040285565449</c:v>
                </c:pt>
                <c:pt idx="201">
                  <c:v>10.88519763178039</c:v>
                </c:pt>
                <c:pt idx="202">
                  <c:v>20.739692317228823</c:v>
                </c:pt>
                <c:pt idx="203">
                  <c:v>20.171393271325311</c:v>
                </c:pt>
                <c:pt idx="204">
                  <c:v>16.848026893931774</c:v>
                </c:pt>
                <c:pt idx="205">
                  <c:v>19.739230311065704</c:v>
                </c:pt>
                <c:pt idx="206">
                  <c:v>16.774776648129542</c:v>
                </c:pt>
                <c:pt idx="207">
                  <c:v>20.243938905536478</c:v>
                </c:pt>
                <c:pt idx="208">
                  <c:v>16.686479095214853</c:v>
                </c:pt>
                <c:pt idx="209">
                  <c:v>24.161529140082315</c:v>
                </c:pt>
                <c:pt idx="210">
                  <c:v>13.893783992722161</c:v>
                </c:pt>
                <c:pt idx="211">
                  <c:v>14.524919952169585</c:v>
                </c:pt>
                <c:pt idx="212">
                  <c:v>18.312709047904413</c:v>
                </c:pt>
                <c:pt idx="213">
                  <c:v>13.913128511969678</c:v>
                </c:pt>
                <c:pt idx="214">
                  <c:v>19.341126350823046</c:v>
                </c:pt>
                <c:pt idx="215">
                  <c:v>12.218320579908779</c:v>
                </c:pt>
                <c:pt idx="216">
                  <c:v>21.818343103145658</c:v>
                </c:pt>
                <c:pt idx="217">
                  <c:v>21.219550419056311</c:v>
                </c:pt>
                <c:pt idx="218">
                  <c:v>23.938120531892547</c:v>
                </c:pt>
                <c:pt idx="219">
                  <c:v>15.492625886266648</c:v>
                </c:pt>
                <c:pt idx="220">
                  <c:v>22.591098848871283</c:v>
                </c:pt>
                <c:pt idx="221">
                  <c:v>20.612285019339872</c:v>
                </c:pt>
                <c:pt idx="222">
                  <c:v>16.356936740312911</c:v>
                </c:pt>
                <c:pt idx="223">
                  <c:v>19.567054363834103</c:v>
                </c:pt>
                <c:pt idx="224">
                  <c:v>18.787496171506703</c:v>
                </c:pt>
                <c:pt idx="225">
                  <c:v>18.591472762541837</c:v>
                </c:pt>
                <c:pt idx="226">
                  <c:v>18.948348022290151</c:v>
                </c:pt>
                <c:pt idx="227">
                  <c:v>20.20857789152743</c:v>
                </c:pt>
                <c:pt idx="228">
                  <c:v>16.351957223907821</c:v>
                </c:pt>
                <c:pt idx="229">
                  <c:v>19.205710983543664</c:v>
                </c:pt>
                <c:pt idx="230">
                  <c:v>18.727148231943499</c:v>
                </c:pt>
                <c:pt idx="231">
                  <c:v>17.021393116107816</c:v>
                </c:pt>
                <c:pt idx="232">
                  <c:v>18.082722966626317</c:v>
                </c:pt>
                <c:pt idx="233">
                  <c:v>20.441935556370108</c:v>
                </c:pt>
                <c:pt idx="234">
                  <c:v>17.736860128171845</c:v>
                </c:pt>
                <c:pt idx="235">
                  <c:v>22.264976757066226</c:v>
                </c:pt>
                <c:pt idx="236">
                  <c:v>21.335951041715109</c:v>
                </c:pt>
                <c:pt idx="237">
                  <c:v>17.704696322326253</c:v>
                </c:pt>
                <c:pt idx="238">
                  <c:v>15.541127347753708</c:v>
                </c:pt>
                <c:pt idx="239">
                  <c:v>21.613491868274007</c:v>
                </c:pt>
                <c:pt idx="240">
                  <c:v>16.299278891737551</c:v>
                </c:pt>
                <c:pt idx="241">
                  <c:v>15.936614333204599</c:v>
                </c:pt>
                <c:pt idx="242">
                  <c:v>17.120572564333195</c:v>
                </c:pt>
                <c:pt idx="243">
                  <c:v>19.223860826713949</c:v>
                </c:pt>
                <c:pt idx="244">
                  <c:v>16.139628528532047</c:v>
                </c:pt>
                <c:pt idx="245">
                  <c:v>19.657411258846281</c:v>
                </c:pt>
                <c:pt idx="246">
                  <c:v>20.023522963595969</c:v>
                </c:pt>
                <c:pt idx="247">
                  <c:v>15.716146409658677</c:v>
                </c:pt>
                <c:pt idx="248">
                  <c:v>17.073383180141157</c:v>
                </c:pt>
                <c:pt idx="249">
                  <c:v>14.158428575648086</c:v>
                </c:pt>
                <c:pt idx="250">
                  <c:v>16.765530347831014</c:v>
                </c:pt>
                <c:pt idx="251">
                  <c:v>18.002280913452768</c:v>
                </c:pt>
                <c:pt idx="252">
                  <c:v>21.776379809001266</c:v>
                </c:pt>
                <c:pt idx="253">
                  <c:v>15.104224411394043</c:v>
                </c:pt>
                <c:pt idx="254">
                  <c:v>24.064350388861783</c:v>
                </c:pt>
                <c:pt idx="255">
                  <c:v>24.155227845013073</c:v>
                </c:pt>
                <c:pt idx="256">
                  <c:v>22.788032888670827</c:v>
                </c:pt>
                <c:pt idx="257">
                  <c:v>23.244044224307519</c:v>
                </c:pt>
                <c:pt idx="258">
                  <c:v>17.524004883602721</c:v>
                </c:pt>
                <c:pt idx="259">
                  <c:v>20.781131714520342</c:v>
                </c:pt>
                <c:pt idx="260">
                  <c:v>15.324317536421805</c:v>
                </c:pt>
                <c:pt idx="261">
                  <c:v>18.201579499262863</c:v>
                </c:pt>
                <c:pt idx="262">
                  <c:v>17.797613881785367</c:v>
                </c:pt>
                <c:pt idx="263">
                  <c:v>20.801825724881471</c:v>
                </c:pt>
                <c:pt idx="264">
                  <c:v>13.957710633934223</c:v>
                </c:pt>
                <c:pt idx="265">
                  <c:v>24.34569751271054</c:v>
                </c:pt>
                <c:pt idx="266">
                  <c:v>21.983267452383227</c:v>
                </c:pt>
                <c:pt idx="267">
                  <c:v>19.408717112463471</c:v>
                </c:pt>
                <c:pt idx="268">
                  <c:v>22.14176253134778</c:v>
                </c:pt>
                <c:pt idx="269">
                  <c:v>23.588142921836127</c:v>
                </c:pt>
                <c:pt idx="270">
                  <c:v>20.470081197103241</c:v>
                </c:pt>
                <c:pt idx="271">
                  <c:v>18.91090575916061</c:v>
                </c:pt>
                <c:pt idx="272">
                  <c:v>23.499928895862858</c:v>
                </c:pt>
                <c:pt idx="273">
                  <c:v>18.789964629033925</c:v>
                </c:pt>
                <c:pt idx="274">
                  <c:v>19.125041988563702</c:v>
                </c:pt>
                <c:pt idx="275">
                  <c:v>12.416726199425907</c:v>
                </c:pt>
                <c:pt idx="276">
                  <c:v>22.475701672866304</c:v>
                </c:pt>
                <c:pt idx="277">
                  <c:v>19.325794703629096</c:v>
                </c:pt>
                <c:pt idx="278">
                  <c:v>18.629795608901183</c:v>
                </c:pt>
                <c:pt idx="279">
                  <c:v>15.102173050199129</c:v>
                </c:pt>
                <c:pt idx="280">
                  <c:v>13.807770359603705</c:v>
                </c:pt>
                <c:pt idx="281">
                  <c:v>15.58529574856297</c:v>
                </c:pt>
                <c:pt idx="282">
                  <c:v>20.216465196925569</c:v>
                </c:pt>
                <c:pt idx="283">
                  <c:v>17.320939538051977</c:v>
                </c:pt>
                <c:pt idx="284">
                  <c:v>24.162714252516921</c:v>
                </c:pt>
                <c:pt idx="285">
                  <c:v>21.604077172510948</c:v>
                </c:pt>
                <c:pt idx="286">
                  <c:v>18.193147745963579</c:v>
                </c:pt>
                <c:pt idx="287">
                  <c:v>18.734509679483924</c:v>
                </c:pt>
                <c:pt idx="288">
                  <c:v>22.774281847590878</c:v>
                </c:pt>
                <c:pt idx="289">
                  <c:v>24.22428872798724</c:v>
                </c:pt>
                <c:pt idx="290">
                  <c:v>21.982075830980182</c:v>
                </c:pt>
                <c:pt idx="291">
                  <c:v>20.579959255224612</c:v>
                </c:pt>
                <c:pt idx="292">
                  <c:v>23.428801829259228</c:v>
                </c:pt>
                <c:pt idx="293">
                  <c:v>21.890745979102988</c:v>
                </c:pt>
                <c:pt idx="294">
                  <c:v>19.438609202603061</c:v>
                </c:pt>
                <c:pt idx="295">
                  <c:v>20.864849923886254</c:v>
                </c:pt>
                <c:pt idx="296">
                  <c:v>19.578181461890679</c:v>
                </c:pt>
                <c:pt idx="297">
                  <c:v>21.000512147058469</c:v>
                </c:pt>
                <c:pt idx="298">
                  <c:v>19.966923796151512</c:v>
                </c:pt>
                <c:pt idx="299">
                  <c:v>22.988015917930067</c:v>
                </c:pt>
                <c:pt idx="300">
                  <c:v>24.428073256680264</c:v>
                </c:pt>
                <c:pt idx="301">
                  <c:v>22.492849011927035</c:v>
                </c:pt>
                <c:pt idx="302">
                  <c:v>17.366932588172691</c:v>
                </c:pt>
                <c:pt idx="303">
                  <c:v>20.849862367705246</c:v>
                </c:pt>
                <c:pt idx="304">
                  <c:v>23.04337975668227</c:v>
                </c:pt>
                <c:pt idx="305">
                  <c:v>16.319893277686546</c:v>
                </c:pt>
                <c:pt idx="306">
                  <c:v>21.346705368620782</c:v>
                </c:pt>
                <c:pt idx="307">
                  <c:v>12.462642068353009</c:v>
                </c:pt>
                <c:pt idx="308">
                  <c:v>22.37858546372404</c:v>
                </c:pt>
                <c:pt idx="309">
                  <c:v>24.09534052873035</c:v>
                </c:pt>
                <c:pt idx="310">
                  <c:v>22.224359019205252</c:v>
                </c:pt>
                <c:pt idx="311">
                  <c:v>22.293122506269619</c:v>
                </c:pt>
                <c:pt idx="312">
                  <c:v>21.185153859284782</c:v>
                </c:pt>
                <c:pt idx="313">
                  <c:v>22.755047649095104</c:v>
                </c:pt>
                <c:pt idx="314">
                  <c:v>22.207905933291155</c:v>
                </c:pt>
                <c:pt idx="315">
                  <c:v>23.213561043728436</c:v>
                </c:pt>
                <c:pt idx="316">
                  <c:v>20.358499084711454</c:v>
                </c:pt>
                <c:pt idx="317">
                  <c:v>21.523907857034718</c:v>
                </c:pt>
                <c:pt idx="318">
                  <c:v>22.801972310545985</c:v>
                </c:pt>
                <c:pt idx="319">
                  <c:v>20.032569208656408</c:v>
                </c:pt>
                <c:pt idx="320">
                  <c:v>22.323701915272395</c:v>
                </c:pt>
                <c:pt idx="321">
                  <c:v>25.022659655224004</c:v>
                </c:pt>
                <c:pt idx="322">
                  <c:v>23.736643722545701</c:v>
                </c:pt>
                <c:pt idx="323">
                  <c:v>21.6511910320149</c:v>
                </c:pt>
                <c:pt idx="324">
                  <c:v>19.101676988204005</c:v>
                </c:pt>
                <c:pt idx="325">
                  <c:v>21.779761050019744</c:v>
                </c:pt>
                <c:pt idx="326">
                  <c:v>22.738590859740889</c:v>
                </c:pt>
                <c:pt idx="327">
                  <c:v>19.045305943456839</c:v>
                </c:pt>
                <c:pt idx="328">
                  <c:v>24.174902183176386</c:v>
                </c:pt>
                <c:pt idx="329">
                  <c:v>27.586092409361292</c:v>
                </c:pt>
                <c:pt idx="330">
                  <c:v>21.260849074501337</c:v>
                </c:pt>
                <c:pt idx="331">
                  <c:v>25.81536794077504</c:v>
                </c:pt>
                <c:pt idx="332">
                  <c:v>20.851700120375369</c:v>
                </c:pt>
                <c:pt idx="333">
                  <c:v>20.130245505309091</c:v>
                </c:pt>
                <c:pt idx="334">
                  <c:v>25.311371707497685</c:v>
                </c:pt>
                <c:pt idx="335">
                  <c:v>22.448325143644905</c:v>
                </c:pt>
                <c:pt idx="336">
                  <c:v>22.826807848380646</c:v>
                </c:pt>
                <c:pt idx="337">
                  <c:v>20.896139359764245</c:v>
                </c:pt>
                <c:pt idx="338">
                  <c:v>19.204889261194712</c:v>
                </c:pt>
                <c:pt idx="339">
                  <c:v>23.022242847082538</c:v>
                </c:pt>
                <c:pt idx="340">
                  <c:v>16.769958243466597</c:v>
                </c:pt>
                <c:pt idx="341">
                  <c:v>25.489028389551482</c:v>
                </c:pt>
                <c:pt idx="342">
                  <c:v>22.623394391802385</c:v>
                </c:pt>
                <c:pt idx="343">
                  <c:v>19.021507712239309</c:v>
                </c:pt>
                <c:pt idx="344">
                  <c:v>23.360996844832478</c:v>
                </c:pt>
                <c:pt idx="345">
                  <c:v>23.116889237270069</c:v>
                </c:pt>
                <c:pt idx="346">
                  <c:v>18.737496686767006</c:v>
                </c:pt>
                <c:pt idx="347">
                  <c:v>19.478893259047791</c:v>
                </c:pt>
                <c:pt idx="348">
                  <c:v>20.015003630841971</c:v>
                </c:pt>
                <c:pt idx="349">
                  <c:v>20.571906714945584</c:v>
                </c:pt>
                <c:pt idx="350">
                  <c:v>25.098672778496027</c:v>
                </c:pt>
                <c:pt idx="351">
                  <c:v>19.946054113499613</c:v>
                </c:pt>
                <c:pt idx="352">
                  <c:v>23.592598303887975</c:v>
                </c:pt>
                <c:pt idx="353">
                  <c:v>18.232848716103767</c:v>
                </c:pt>
                <c:pt idx="354">
                  <c:v>25.029680175273178</c:v>
                </c:pt>
                <c:pt idx="355">
                  <c:v>18.765817349402845</c:v>
                </c:pt>
                <c:pt idx="356">
                  <c:v>25.178908620762606</c:v>
                </c:pt>
                <c:pt idx="357">
                  <c:v>23.003744260259882</c:v>
                </c:pt>
                <c:pt idx="358">
                  <c:v>19.851305028545053</c:v>
                </c:pt>
                <c:pt idx="359">
                  <c:v>23.127353847902327</c:v>
                </c:pt>
                <c:pt idx="360">
                  <c:v>18.817661463191023</c:v>
                </c:pt>
                <c:pt idx="361">
                  <c:v>19.547654525773563</c:v>
                </c:pt>
                <c:pt idx="362">
                  <c:v>20.074711998319678</c:v>
                </c:pt>
                <c:pt idx="363">
                  <c:v>24.325447406515551</c:v>
                </c:pt>
                <c:pt idx="364">
                  <c:v>21.454044550990531</c:v>
                </c:pt>
                <c:pt idx="365">
                  <c:v>22.923619485311569</c:v>
                </c:pt>
                <c:pt idx="366">
                  <c:v>24.85933183488029</c:v>
                </c:pt>
                <c:pt idx="367">
                  <c:v>18.73770352417624</c:v>
                </c:pt>
                <c:pt idx="368">
                  <c:v>20.652580028111476</c:v>
                </c:pt>
                <c:pt idx="369">
                  <c:v>23.476603798278951</c:v>
                </c:pt>
                <c:pt idx="370">
                  <c:v>24.475898924165346</c:v>
                </c:pt>
                <c:pt idx="371">
                  <c:v>18.726282574784658</c:v>
                </c:pt>
                <c:pt idx="372">
                  <c:v>19.439235789625677</c:v>
                </c:pt>
                <c:pt idx="373">
                  <c:v>19.953378950831848</c:v>
                </c:pt>
                <c:pt idx="374">
                  <c:v>25.748721733391534</c:v>
                </c:pt>
                <c:pt idx="375">
                  <c:v>24.165674384098907</c:v>
                </c:pt>
                <c:pt idx="376">
                  <c:v>23.915874971219722</c:v>
                </c:pt>
                <c:pt idx="377">
                  <c:v>19.932341130581939</c:v>
                </c:pt>
                <c:pt idx="378">
                  <c:v>20.230509214037845</c:v>
                </c:pt>
                <c:pt idx="379">
                  <c:v>22.347491846471947</c:v>
                </c:pt>
                <c:pt idx="380">
                  <c:v>23.560188999256102</c:v>
                </c:pt>
                <c:pt idx="381">
                  <c:v>21.912787878088285</c:v>
                </c:pt>
                <c:pt idx="382">
                  <c:v>20.196076941978951</c:v>
                </c:pt>
                <c:pt idx="383">
                  <c:v>24.996043663268654</c:v>
                </c:pt>
                <c:pt idx="384">
                  <c:v>25.739717604568785</c:v>
                </c:pt>
                <c:pt idx="385">
                  <c:v>24.489367891447955</c:v>
                </c:pt>
                <c:pt idx="386">
                  <c:v>18.204408212416705</c:v>
                </c:pt>
                <c:pt idx="387">
                  <c:v>33.935295487406187</c:v>
                </c:pt>
                <c:pt idx="388">
                  <c:v>16.959235424544097</c:v>
                </c:pt>
                <c:pt idx="389">
                  <c:v>24.745609408996739</c:v>
                </c:pt>
                <c:pt idx="390">
                  <c:v>24.178629094138138</c:v>
                </c:pt>
                <c:pt idx="391">
                  <c:v>19.962069933231142</c:v>
                </c:pt>
                <c:pt idx="392">
                  <c:v>17.311554905825503</c:v>
                </c:pt>
                <c:pt idx="393">
                  <c:v>17.936321434209926</c:v>
                </c:pt>
                <c:pt idx="394">
                  <c:v>21.590420273244657</c:v>
                </c:pt>
                <c:pt idx="395">
                  <c:v>22.718242820233524</c:v>
                </c:pt>
                <c:pt idx="396">
                  <c:v>19.096918191549317</c:v>
                </c:pt>
                <c:pt idx="397">
                  <c:v>17.721914345399934</c:v>
                </c:pt>
                <c:pt idx="398">
                  <c:v>24.67813840154286</c:v>
                </c:pt>
                <c:pt idx="399">
                  <c:v>24.737603795281519</c:v>
                </c:pt>
                <c:pt idx="400">
                  <c:v>19.291218231288919</c:v>
                </c:pt>
                <c:pt idx="401">
                  <c:v>22.504636214156925</c:v>
                </c:pt>
                <c:pt idx="402">
                  <c:v>25.896208611093197</c:v>
                </c:pt>
                <c:pt idx="403">
                  <c:v>23.468731840001656</c:v>
                </c:pt>
                <c:pt idx="404">
                  <c:v>24.11637347262764</c:v>
                </c:pt>
                <c:pt idx="405">
                  <c:v>23.580434514156824</c:v>
                </c:pt>
                <c:pt idx="406">
                  <c:v>25.489426605843033</c:v>
                </c:pt>
                <c:pt idx="407">
                  <c:v>14.802370038503577</c:v>
                </c:pt>
                <c:pt idx="408">
                  <c:v>25.953605134583853</c:v>
                </c:pt>
                <c:pt idx="409">
                  <c:v>19.290158205204982</c:v>
                </c:pt>
                <c:pt idx="410">
                  <c:v>21.175868318648781</c:v>
                </c:pt>
                <c:pt idx="411">
                  <c:v>24.838125502518476</c:v>
                </c:pt>
                <c:pt idx="412">
                  <c:v>21.284869044668966</c:v>
                </c:pt>
                <c:pt idx="413">
                  <c:v>20.375688542992993</c:v>
                </c:pt>
                <c:pt idx="414">
                  <c:v>22.957725751125519</c:v>
                </c:pt>
                <c:pt idx="415">
                  <c:v>21.186436342286044</c:v>
                </c:pt>
                <c:pt idx="416">
                  <c:v>23.344522158991492</c:v>
                </c:pt>
                <c:pt idx="417">
                  <c:v>23.684576824390525</c:v>
                </c:pt>
                <c:pt idx="418">
                  <c:v>22.632486297375447</c:v>
                </c:pt>
                <c:pt idx="419">
                  <c:v>22.684419492183558</c:v>
                </c:pt>
                <c:pt idx="420">
                  <c:v>24.152614635012718</c:v>
                </c:pt>
                <c:pt idx="421">
                  <c:v>21.740690262571562</c:v>
                </c:pt>
                <c:pt idx="422">
                  <c:v>20.585894721064633</c:v>
                </c:pt>
                <c:pt idx="423">
                  <c:v>23.457731826335394</c:v>
                </c:pt>
                <c:pt idx="424">
                  <c:v>22.417543968746099</c:v>
                </c:pt>
                <c:pt idx="425">
                  <c:v>25.364561843243219</c:v>
                </c:pt>
                <c:pt idx="426">
                  <c:v>21.998328342255633</c:v>
                </c:pt>
                <c:pt idx="427">
                  <c:v>23.969052733355653</c:v>
                </c:pt>
                <c:pt idx="428">
                  <c:v>24.316746845474118</c:v>
                </c:pt>
                <c:pt idx="429">
                  <c:v>22.426802713456748</c:v>
                </c:pt>
                <c:pt idx="430">
                  <c:v>18.016170078519036</c:v>
                </c:pt>
                <c:pt idx="431">
                  <c:v>26.055680674210556</c:v>
                </c:pt>
                <c:pt idx="432">
                  <c:v>23.671677923732702</c:v>
                </c:pt>
                <c:pt idx="433">
                  <c:v>20.649954374246917</c:v>
                </c:pt>
                <c:pt idx="434">
                  <c:v>25.267144893899925</c:v>
                </c:pt>
                <c:pt idx="435">
                  <c:v>23.268678025481378</c:v>
                </c:pt>
                <c:pt idx="436">
                  <c:v>25.390017835470612</c:v>
                </c:pt>
                <c:pt idx="437">
                  <c:v>23.660763554576075</c:v>
                </c:pt>
                <c:pt idx="438">
                  <c:v>26.143248166196056</c:v>
                </c:pt>
                <c:pt idx="439">
                  <c:v>26.868006551229104</c:v>
                </c:pt>
                <c:pt idx="440">
                  <c:v>25.311145716180526</c:v>
                </c:pt>
                <c:pt idx="441">
                  <c:v>20.346503834786393</c:v>
                </c:pt>
                <c:pt idx="442">
                  <c:v>27.055894708930005</c:v>
                </c:pt>
                <c:pt idx="443">
                  <c:v>29.29748606319221</c:v>
                </c:pt>
                <c:pt idx="444">
                  <c:v>22.665470964424369</c:v>
                </c:pt>
                <c:pt idx="445">
                  <c:v>18.258578632515608</c:v>
                </c:pt>
                <c:pt idx="446">
                  <c:v>23.03878981790286</c:v>
                </c:pt>
                <c:pt idx="447">
                  <c:v>18.723316807738339</c:v>
                </c:pt>
                <c:pt idx="448">
                  <c:v>27.770338875953048</c:v>
                </c:pt>
                <c:pt idx="449">
                  <c:v>19.828212667465337</c:v>
                </c:pt>
                <c:pt idx="450">
                  <c:v>17.721037914709157</c:v>
                </c:pt>
                <c:pt idx="451">
                  <c:v>23.027883421504619</c:v>
                </c:pt>
                <c:pt idx="452">
                  <c:v>26.64508643233194</c:v>
                </c:pt>
                <c:pt idx="453">
                  <c:v>26.373001368036128</c:v>
                </c:pt>
                <c:pt idx="454">
                  <c:v>25.788177066961794</c:v>
                </c:pt>
                <c:pt idx="455">
                  <c:v>24.050677262396832</c:v>
                </c:pt>
                <c:pt idx="456">
                  <c:v>27.219667494983806</c:v>
                </c:pt>
                <c:pt idx="457">
                  <c:v>22.039175936177557</c:v>
                </c:pt>
                <c:pt idx="458">
                  <c:v>18.215197127553981</c:v>
                </c:pt>
                <c:pt idx="459">
                  <c:v>26.082463111259329</c:v>
                </c:pt>
                <c:pt idx="460">
                  <c:v>25.206342655910756</c:v>
                </c:pt>
                <c:pt idx="461">
                  <c:v>26.513811314726155</c:v>
                </c:pt>
                <c:pt idx="462">
                  <c:v>22.788972601731135</c:v>
                </c:pt>
                <c:pt idx="463">
                  <c:v>23.364281206285096</c:v>
                </c:pt>
                <c:pt idx="464">
                  <c:v>23.970250567529902</c:v>
                </c:pt>
                <c:pt idx="465">
                  <c:v>28.465055891686777</c:v>
                </c:pt>
                <c:pt idx="466">
                  <c:v>22.47403792988047</c:v>
                </c:pt>
                <c:pt idx="467">
                  <c:v>22.775485341396056</c:v>
                </c:pt>
                <c:pt idx="468">
                  <c:v>27.58377156555925</c:v>
                </c:pt>
                <c:pt idx="469">
                  <c:v>23.948606961113907</c:v>
                </c:pt>
                <c:pt idx="470">
                  <c:v>25.147005364988701</c:v>
                </c:pt>
                <c:pt idx="471">
                  <c:v>21.735977998362497</c:v>
                </c:pt>
                <c:pt idx="472">
                  <c:v>25.561518484552995</c:v>
                </c:pt>
                <c:pt idx="473">
                  <c:v>22.066300180039914</c:v>
                </c:pt>
                <c:pt idx="474">
                  <c:v>25.065045767769959</c:v>
                </c:pt>
                <c:pt idx="475">
                  <c:v>20.106525905230363</c:v>
                </c:pt>
                <c:pt idx="476">
                  <c:v>17.649332613484439</c:v>
                </c:pt>
                <c:pt idx="477">
                  <c:v>19.363830113703486</c:v>
                </c:pt>
                <c:pt idx="478">
                  <c:v>21.107725536177842</c:v>
                </c:pt>
                <c:pt idx="479">
                  <c:v>26.887118003229592</c:v>
                </c:pt>
                <c:pt idx="480">
                  <c:v>25.083531689346795</c:v>
                </c:pt>
                <c:pt idx="481">
                  <c:v>23.725894648064763</c:v>
                </c:pt>
                <c:pt idx="482">
                  <c:v>23.782677802388012</c:v>
                </c:pt>
                <c:pt idx="483">
                  <c:v>19.412438924313879</c:v>
                </c:pt>
                <c:pt idx="484">
                  <c:v>24.150979676319974</c:v>
                </c:pt>
                <c:pt idx="485">
                  <c:v>25.947603903139363</c:v>
                </c:pt>
                <c:pt idx="486">
                  <c:v>24.526201531504412</c:v>
                </c:pt>
                <c:pt idx="487">
                  <c:v>23.230055009398725</c:v>
                </c:pt>
                <c:pt idx="488">
                  <c:v>21.100609864373265</c:v>
                </c:pt>
                <c:pt idx="489">
                  <c:v>24.681124241533656</c:v>
                </c:pt>
                <c:pt idx="490">
                  <c:v>31.163849324742436</c:v>
                </c:pt>
                <c:pt idx="491">
                  <c:v>16.849963893829905</c:v>
                </c:pt>
                <c:pt idx="492">
                  <c:v>26.018552162820697</c:v>
                </c:pt>
                <c:pt idx="493">
                  <c:v>22.253128544298871</c:v>
                </c:pt>
                <c:pt idx="494">
                  <c:v>27.066860858619766</c:v>
                </c:pt>
                <c:pt idx="495">
                  <c:v>21.399203400189865</c:v>
                </c:pt>
                <c:pt idx="496">
                  <c:v>29.612982811118268</c:v>
                </c:pt>
                <c:pt idx="497">
                  <c:v>21.95508505188149</c:v>
                </c:pt>
                <c:pt idx="498">
                  <c:v>26.025918571360627</c:v>
                </c:pt>
                <c:pt idx="499">
                  <c:v>23.274309313983704</c:v>
                </c:pt>
                <c:pt idx="500">
                  <c:v>24.384928019588379</c:v>
                </c:pt>
                <c:pt idx="501">
                  <c:v>24.431714143954441</c:v>
                </c:pt>
                <c:pt idx="502">
                  <c:v>24.213485904692135</c:v>
                </c:pt>
                <c:pt idx="503">
                  <c:v>26.912427782449129</c:v>
                </c:pt>
                <c:pt idx="504">
                  <c:v>26.963748201561355</c:v>
                </c:pt>
                <c:pt idx="505">
                  <c:v>24.080939261416873</c:v>
                </c:pt>
                <c:pt idx="506">
                  <c:v>23.092247898216584</c:v>
                </c:pt>
                <c:pt idx="507">
                  <c:v>30.265705170064031</c:v>
                </c:pt>
                <c:pt idx="508">
                  <c:v>24.777931464263251</c:v>
                </c:pt>
                <c:pt idx="509">
                  <c:v>22.971809349426035</c:v>
                </c:pt>
                <c:pt idx="510">
                  <c:v>20.711353287344156</c:v>
                </c:pt>
                <c:pt idx="511">
                  <c:v>23.576810011253134</c:v>
                </c:pt>
                <c:pt idx="512">
                  <c:v>25.259039814792519</c:v>
                </c:pt>
                <c:pt idx="513">
                  <c:v>23.927529067894049</c:v>
                </c:pt>
                <c:pt idx="514">
                  <c:v>23.451149400804489</c:v>
                </c:pt>
                <c:pt idx="515">
                  <c:v>24.565851792136893</c:v>
                </c:pt>
                <c:pt idx="516">
                  <c:v>25.749558196314201</c:v>
                </c:pt>
                <c:pt idx="517">
                  <c:v>27.991992001572665</c:v>
                </c:pt>
                <c:pt idx="518">
                  <c:v>19.591389934473177</c:v>
                </c:pt>
                <c:pt idx="519">
                  <c:v>23.678745475616324</c:v>
                </c:pt>
                <c:pt idx="520">
                  <c:v>32.644776040564558</c:v>
                </c:pt>
                <c:pt idx="521">
                  <c:v>25.414222755641614</c:v>
                </c:pt>
                <c:pt idx="522">
                  <c:v>27.928572080871124</c:v>
                </c:pt>
                <c:pt idx="523">
                  <c:v>24.940972806467474</c:v>
                </c:pt>
                <c:pt idx="524">
                  <c:v>25.554581128739784</c:v>
                </c:pt>
                <c:pt idx="525">
                  <c:v>26.501466084377252</c:v>
                </c:pt>
                <c:pt idx="526">
                  <c:v>30.628873253348186</c:v>
                </c:pt>
                <c:pt idx="527">
                  <c:v>23.276965896379178</c:v>
                </c:pt>
                <c:pt idx="528">
                  <c:v>22.584912926328993</c:v>
                </c:pt>
                <c:pt idx="529">
                  <c:v>27.319545603422874</c:v>
                </c:pt>
                <c:pt idx="530">
                  <c:v>24.452975248157809</c:v>
                </c:pt>
                <c:pt idx="531">
                  <c:v>23.454911394676941</c:v>
                </c:pt>
                <c:pt idx="532">
                  <c:v>25.370989578992777</c:v>
                </c:pt>
                <c:pt idx="533">
                  <c:v>20.984246942481683</c:v>
                </c:pt>
                <c:pt idx="534">
                  <c:v>26.946868875711328</c:v>
                </c:pt>
                <c:pt idx="535">
                  <c:v>21.282859149035634</c:v>
                </c:pt>
                <c:pt idx="536">
                  <c:v>25.851157668211627</c:v>
                </c:pt>
                <c:pt idx="537">
                  <c:v>23.974692243970232</c:v>
                </c:pt>
                <c:pt idx="538">
                  <c:v>26.840803413555768</c:v>
                </c:pt>
                <c:pt idx="539">
                  <c:v>23.810802391272475</c:v>
                </c:pt>
                <c:pt idx="540">
                  <c:v>23.348355647881579</c:v>
                </c:pt>
                <c:pt idx="541">
                  <c:v>22.900001232936031</c:v>
                </c:pt>
                <c:pt idx="542">
                  <c:v>17.915755694954132</c:v>
                </c:pt>
                <c:pt idx="543">
                  <c:v>31.611856785913695</c:v>
                </c:pt>
                <c:pt idx="544">
                  <c:v>25.099036483451158</c:v>
                </c:pt>
                <c:pt idx="545">
                  <c:v>21.030939798694487</c:v>
                </c:pt>
                <c:pt idx="546">
                  <c:v>23.111135996076577</c:v>
                </c:pt>
                <c:pt idx="547">
                  <c:v>24.956784972636655</c:v>
                </c:pt>
                <c:pt idx="548">
                  <c:v>23.688420508117151</c:v>
                </c:pt>
                <c:pt idx="549">
                  <c:v>24.772840764684464</c:v>
                </c:pt>
                <c:pt idx="550">
                  <c:v>19.614651728569488</c:v>
                </c:pt>
                <c:pt idx="551">
                  <c:v>25.140612571523135</c:v>
                </c:pt>
                <c:pt idx="552">
                  <c:v>24.642797279707878</c:v>
                </c:pt>
                <c:pt idx="553">
                  <c:v>27.915135813394091</c:v>
                </c:pt>
                <c:pt idx="554">
                  <c:v>22.966157074017563</c:v>
                </c:pt>
                <c:pt idx="555">
                  <c:v>23.742061444720125</c:v>
                </c:pt>
                <c:pt idx="556">
                  <c:v>28.385710827528875</c:v>
                </c:pt>
                <c:pt idx="557">
                  <c:v>21.48990434199581</c:v>
                </c:pt>
                <c:pt idx="558">
                  <c:v>25.464499293370753</c:v>
                </c:pt>
                <c:pt idx="559">
                  <c:v>23.663334607367233</c:v>
                </c:pt>
                <c:pt idx="560">
                  <c:v>21.180469340269337</c:v>
                </c:pt>
                <c:pt idx="561">
                  <c:v>24.252430520215178</c:v>
                </c:pt>
                <c:pt idx="562">
                  <c:v>20.438710750619929</c:v>
                </c:pt>
                <c:pt idx="563">
                  <c:v>27.155743649320375</c:v>
                </c:pt>
                <c:pt idx="564">
                  <c:v>24.127777617517165</c:v>
                </c:pt>
                <c:pt idx="565">
                  <c:v>24.168811252921106</c:v>
                </c:pt>
                <c:pt idx="566">
                  <c:v>24.468081407193839</c:v>
                </c:pt>
                <c:pt idx="567">
                  <c:v>17.904107112482979</c:v>
                </c:pt>
                <c:pt idx="568">
                  <c:v>24.045001294582836</c:v>
                </c:pt>
                <c:pt idx="569">
                  <c:v>26.249556491507807</c:v>
                </c:pt>
                <c:pt idx="570">
                  <c:v>30.136888294635593</c:v>
                </c:pt>
                <c:pt idx="571">
                  <c:v>25.217419187340528</c:v>
                </c:pt>
                <c:pt idx="572">
                  <c:v>23.219460003600197</c:v>
                </c:pt>
                <c:pt idx="573">
                  <c:v>22.562975384158673</c:v>
                </c:pt>
                <c:pt idx="574">
                  <c:v>29.306434367138159</c:v>
                </c:pt>
                <c:pt idx="575">
                  <c:v>23.832954553611717</c:v>
                </c:pt>
                <c:pt idx="576">
                  <c:v>22.908262160417703</c:v>
                </c:pt>
                <c:pt idx="577">
                  <c:v>25.480100637208658</c:v>
                </c:pt>
                <c:pt idx="578">
                  <c:v>24.211739717474515</c:v>
                </c:pt>
                <c:pt idx="579">
                  <c:v>22.341209543280524</c:v>
                </c:pt>
                <c:pt idx="580">
                  <c:v>23.06851316153988</c:v>
                </c:pt>
                <c:pt idx="581">
                  <c:v>22.880231817414337</c:v>
                </c:pt>
                <c:pt idx="582">
                  <c:v>25.708887706448643</c:v>
                </c:pt>
                <c:pt idx="583">
                  <c:v>26.895617726801152</c:v>
                </c:pt>
                <c:pt idx="584">
                  <c:v>28.483392514054884</c:v>
                </c:pt>
                <c:pt idx="585">
                  <c:v>27.283109995515691</c:v>
                </c:pt>
                <c:pt idx="586">
                  <c:v>23.312705163249859</c:v>
                </c:pt>
                <c:pt idx="587">
                  <c:v>29.62896829309258</c:v>
                </c:pt>
                <c:pt idx="588">
                  <c:v>21.17335296757317</c:v>
                </c:pt>
                <c:pt idx="589">
                  <c:v>21.003481271959657</c:v>
                </c:pt>
                <c:pt idx="590">
                  <c:v>27.822343565199489</c:v>
                </c:pt>
                <c:pt idx="591">
                  <c:v>29.492337844923444</c:v>
                </c:pt>
                <c:pt idx="592">
                  <c:v>28.234718298150636</c:v>
                </c:pt>
                <c:pt idx="593">
                  <c:v>28.599115373100265</c:v>
                </c:pt>
                <c:pt idx="594">
                  <c:v>25.67904408022784</c:v>
                </c:pt>
                <c:pt idx="595">
                  <c:v>29.683784374264064</c:v>
                </c:pt>
                <c:pt idx="596">
                  <c:v>35.138490469123653</c:v>
                </c:pt>
                <c:pt idx="597">
                  <c:v>28.157116479642539</c:v>
                </c:pt>
                <c:pt idx="598">
                  <c:v>21.743160890676556</c:v>
                </c:pt>
                <c:pt idx="599">
                  <c:v>36.661676771388663</c:v>
                </c:pt>
                <c:pt idx="600">
                  <c:v>34.08268372290344</c:v>
                </c:pt>
                <c:pt idx="601">
                  <c:v>20.24392815357464</c:v>
                </c:pt>
                <c:pt idx="602">
                  <c:v>33.789257626805949</c:v>
                </c:pt>
                <c:pt idx="603">
                  <c:v>28.124242281372851</c:v>
                </c:pt>
                <c:pt idx="604">
                  <c:v>28.482841477479024</c:v>
                </c:pt>
                <c:pt idx="605">
                  <c:v>25.073508744590505</c:v>
                </c:pt>
                <c:pt idx="606">
                  <c:v>24.605928933704472</c:v>
                </c:pt>
                <c:pt idx="607">
                  <c:v>30.635965908282657</c:v>
                </c:pt>
                <c:pt idx="608">
                  <c:v>23.937753261599877</c:v>
                </c:pt>
                <c:pt idx="609">
                  <c:v>30.047752496053299</c:v>
                </c:pt>
                <c:pt idx="610">
                  <c:v>26.375762330466578</c:v>
                </c:pt>
                <c:pt idx="611">
                  <c:v>26.138425752310269</c:v>
                </c:pt>
                <c:pt idx="612">
                  <c:v>23.853598326409021</c:v>
                </c:pt>
                <c:pt idx="613">
                  <c:v>29.561363188953525</c:v>
                </c:pt>
                <c:pt idx="614">
                  <c:v>25.447265455975142</c:v>
                </c:pt>
                <c:pt idx="615">
                  <c:v>25.762641066785026</c:v>
                </c:pt>
                <c:pt idx="616">
                  <c:v>25.010964800925944</c:v>
                </c:pt>
                <c:pt idx="617">
                  <c:v>21.791291460288299</c:v>
                </c:pt>
                <c:pt idx="618">
                  <c:v>31.917394410092523</c:v>
                </c:pt>
                <c:pt idx="619">
                  <c:v>29.515619322694086</c:v>
                </c:pt>
                <c:pt idx="620">
                  <c:v>27.386659547541864</c:v>
                </c:pt>
                <c:pt idx="621">
                  <c:v>28.647948200610511</c:v>
                </c:pt>
                <c:pt idx="622">
                  <c:v>22.180223545176933</c:v>
                </c:pt>
                <c:pt idx="623">
                  <c:v>23.327765934162112</c:v>
                </c:pt>
                <c:pt idx="624">
                  <c:v>23.596740765521027</c:v>
                </c:pt>
                <c:pt idx="625">
                  <c:v>26.180500497687344</c:v>
                </c:pt>
                <c:pt idx="626">
                  <c:v>25.680061240473467</c:v>
                </c:pt>
                <c:pt idx="627">
                  <c:v>23.712837891058644</c:v>
                </c:pt>
                <c:pt idx="628">
                  <c:v>24.976263174899117</c:v>
                </c:pt>
                <c:pt idx="629">
                  <c:v>26.341215663419</c:v>
                </c:pt>
                <c:pt idx="630">
                  <c:v>20.444537017254685</c:v>
                </c:pt>
                <c:pt idx="631">
                  <c:v>25.884683242389588</c:v>
                </c:pt>
                <c:pt idx="632">
                  <c:v>25.924033627373454</c:v>
                </c:pt>
                <c:pt idx="633">
                  <c:v>26.242492501474363</c:v>
                </c:pt>
                <c:pt idx="634">
                  <c:v>20.017954670756517</c:v>
                </c:pt>
                <c:pt idx="635">
                  <c:v>19.867217472100883</c:v>
                </c:pt>
                <c:pt idx="636">
                  <c:v>20.078523368701312</c:v>
                </c:pt>
                <c:pt idx="637">
                  <c:v>28.437291264730682</c:v>
                </c:pt>
                <c:pt idx="638">
                  <c:v>23.429094783826521</c:v>
                </c:pt>
                <c:pt idx="639">
                  <c:v>21.523308228393592</c:v>
                </c:pt>
                <c:pt idx="640">
                  <c:v>20.578165421771171</c:v>
                </c:pt>
                <c:pt idx="641">
                  <c:v>26.023554468979629</c:v>
                </c:pt>
                <c:pt idx="642">
                  <c:v>27.752610301176464</c:v>
                </c:pt>
                <c:pt idx="643">
                  <c:v>23.155980145939729</c:v>
                </c:pt>
                <c:pt idx="644">
                  <c:v>27.549982810205826</c:v>
                </c:pt>
                <c:pt idx="645">
                  <c:v>27.591016445609764</c:v>
                </c:pt>
                <c:pt idx="646">
                  <c:v>25.177136540758365</c:v>
                </c:pt>
                <c:pt idx="647">
                  <c:v>33.413677103642343</c:v>
                </c:pt>
                <c:pt idx="648">
                  <c:v>25.777518180509986</c:v>
                </c:pt>
                <c:pt idx="649">
                  <c:v>24.793372522818398</c:v>
                </c:pt>
                <c:pt idx="650">
                  <c:v>25.853828181044364</c:v>
                </c:pt>
                <c:pt idx="651">
                  <c:v>21.123116351871236</c:v>
                </c:pt>
                <c:pt idx="652">
                  <c:v>20.395409356555536</c:v>
                </c:pt>
                <c:pt idx="653">
                  <c:v>24.699663458128406</c:v>
                </c:pt>
                <c:pt idx="654">
                  <c:v>24.735943809858913</c:v>
                </c:pt>
                <c:pt idx="655">
                  <c:v>31.58763503195221</c:v>
                </c:pt>
                <c:pt idx="656">
                  <c:v>30.25867621188981</c:v>
                </c:pt>
                <c:pt idx="657">
                  <c:v>25.101182645773875</c:v>
                </c:pt>
                <c:pt idx="658">
                  <c:v>23.694812619502763</c:v>
                </c:pt>
                <c:pt idx="659">
                  <c:v>23.053016890901844</c:v>
                </c:pt>
                <c:pt idx="660">
                  <c:v>24.471464808700716</c:v>
                </c:pt>
                <c:pt idx="661">
                  <c:v>29.516537860922266</c:v>
                </c:pt>
                <c:pt idx="662">
                  <c:v>26.334581184410887</c:v>
                </c:pt>
                <c:pt idx="663">
                  <c:v>28.972376484045675</c:v>
                </c:pt>
                <c:pt idx="664">
                  <c:v>26.410891184945257</c:v>
                </c:pt>
                <c:pt idx="665">
                  <c:v>20.803557630906852</c:v>
                </c:pt>
                <c:pt idx="666">
                  <c:v>28.493756424496464</c:v>
                </c:pt>
                <c:pt idx="667">
                  <c:v>28.839159000953554</c:v>
                </c:pt>
                <c:pt idx="668">
                  <c:v>27.403608102766963</c:v>
                </c:pt>
                <c:pt idx="669">
                  <c:v>22.114067294975243</c:v>
                </c:pt>
                <c:pt idx="670">
                  <c:v>23.890604756248571</c:v>
                </c:pt>
                <c:pt idx="671">
                  <c:v>32.00422702752136</c:v>
                </c:pt>
                <c:pt idx="672">
                  <c:v>22.010313800563193</c:v>
                </c:pt>
                <c:pt idx="673">
                  <c:v>25.454294774122925</c:v>
                </c:pt>
                <c:pt idx="674">
                  <c:v>27.647580489666957</c:v>
                </c:pt>
                <c:pt idx="675">
                  <c:v>29.179223861189126</c:v>
                </c:pt>
                <c:pt idx="676">
                  <c:v>32.242108646365146</c:v>
                </c:pt>
                <c:pt idx="677">
                  <c:v>29.270460774910866</c:v>
                </c:pt>
                <c:pt idx="678">
                  <c:v>28.398369784784247</c:v>
                </c:pt>
                <c:pt idx="679">
                  <c:v>28.143085140217508</c:v>
                </c:pt>
                <c:pt idx="680">
                  <c:v>22.47555333908582</c:v>
                </c:pt>
                <c:pt idx="681">
                  <c:v>27.368609285668892</c:v>
                </c:pt>
                <c:pt idx="682">
                  <c:v>28.868618575562977</c:v>
                </c:pt>
                <c:pt idx="683">
                  <c:v>23.664918210160724</c:v>
                </c:pt>
                <c:pt idx="684">
                  <c:v>21.20543493950068</c:v>
                </c:pt>
                <c:pt idx="685">
                  <c:v>25.154930088107189</c:v>
                </c:pt>
                <c:pt idx="686">
                  <c:v>26.207833325923321</c:v>
                </c:pt>
                <c:pt idx="687">
                  <c:v>26.777346585225928</c:v>
                </c:pt>
                <c:pt idx="688">
                  <c:v>27.646150112227787</c:v>
                </c:pt>
                <c:pt idx="689">
                  <c:v>25.545648293036123</c:v>
                </c:pt>
                <c:pt idx="690">
                  <c:v>26.100085034925932</c:v>
                </c:pt>
                <c:pt idx="691">
                  <c:v>26.664359435022018</c:v>
                </c:pt>
                <c:pt idx="692">
                  <c:v>28.38736772736371</c:v>
                </c:pt>
                <c:pt idx="693">
                  <c:v>26.738385974264162</c:v>
                </c:pt>
                <c:pt idx="694">
                  <c:v>26.775399243885239</c:v>
                </c:pt>
                <c:pt idx="695">
                  <c:v>31.032622365096156</c:v>
                </c:pt>
                <c:pt idx="696">
                  <c:v>23.888889803366506</c:v>
                </c:pt>
                <c:pt idx="697">
                  <c:v>37.734659347574571</c:v>
                </c:pt>
                <c:pt idx="698">
                  <c:v>26.397583919116084</c:v>
                </c:pt>
                <c:pt idx="699">
                  <c:v>33.33087451722708</c:v>
                </c:pt>
                <c:pt idx="700">
                  <c:v>26.742836634869743</c:v>
                </c:pt>
                <c:pt idx="701">
                  <c:v>31.639273035357231</c:v>
                </c:pt>
                <c:pt idx="702">
                  <c:v>25.03313940524442</c:v>
                </c:pt>
                <c:pt idx="703">
                  <c:v>29.443018362040032</c:v>
                </c:pt>
                <c:pt idx="704">
                  <c:v>28.875312501163695</c:v>
                </c:pt>
                <c:pt idx="705">
                  <c:v>28.332292711220614</c:v>
                </c:pt>
                <c:pt idx="706">
                  <c:v>28.082080196647947</c:v>
                </c:pt>
                <c:pt idx="707">
                  <c:v>27.555018756369044</c:v>
                </c:pt>
                <c:pt idx="708">
                  <c:v>25.993192950186376</c:v>
                </c:pt>
                <c:pt idx="709">
                  <c:v>24.107592399503229</c:v>
                </c:pt>
                <c:pt idx="710">
                  <c:v>28.827648934359051</c:v>
                </c:pt>
                <c:pt idx="711">
                  <c:v>22.652220716494678</c:v>
                </c:pt>
                <c:pt idx="712">
                  <c:v>25.145361507814016</c:v>
                </c:pt>
                <c:pt idx="713">
                  <c:v>29.245206120012071</c:v>
                </c:pt>
                <c:pt idx="714">
                  <c:v>24.979135041611844</c:v>
                </c:pt>
                <c:pt idx="715">
                  <c:v>41.122336566785009</c:v>
                </c:pt>
                <c:pt idx="716">
                  <c:v>26.548693798276474</c:v>
                </c:pt>
                <c:pt idx="717">
                  <c:v>28.228268835152647</c:v>
                </c:pt>
                <c:pt idx="718">
                  <c:v>31.037139195159099</c:v>
                </c:pt>
                <c:pt idx="719">
                  <c:v>35.070878824795564</c:v>
                </c:pt>
                <c:pt idx="720">
                  <c:v>23.80100216749128</c:v>
                </c:pt>
                <c:pt idx="721">
                  <c:v>25.960672251921693</c:v>
                </c:pt>
                <c:pt idx="722">
                  <c:v>28.138272884726376</c:v>
                </c:pt>
                <c:pt idx="723">
                  <c:v>32.635035596677994</c:v>
                </c:pt>
                <c:pt idx="724">
                  <c:v>26.326175553870172</c:v>
                </c:pt>
                <c:pt idx="725">
                  <c:v>26.620129040312818</c:v>
                </c:pt>
                <c:pt idx="726">
                  <c:v>26.140283076442699</c:v>
                </c:pt>
                <c:pt idx="727">
                  <c:v>33.533233157897193</c:v>
                </c:pt>
                <c:pt idx="728">
                  <c:v>26.996863066575351</c:v>
                </c:pt>
                <c:pt idx="729">
                  <c:v>27.300742392921475</c:v>
                </c:pt>
                <c:pt idx="730">
                  <c:v>26.80327890933852</c:v>
                </c:pt>
                <c:pt idx="731">
                  <c:v>20.397965840844765</c:v>
                </c:pt>
                <c:pt idx="732">
                  <c:v>26.873721166656104</c:v>
                </c:pt>
                <c:pt idx="733">
                  <c:v>27.725444792452596</c:v>
                </c:pt>
                <c:pt idx="734">
                  <c:v>29.196206204449748</c:v>
                </c:pt>
                <c:pt idx="735">
                  <c:v>33.171881499303097</c:v>
                </c:pt>
                <c:pt idx="736">
                  <c:v>23.662422829110973</c:v>
                </c:pt>
                <c:pt idx="737">
                  <c:v>27.063915261413563</c:v>
                </c:pt>
                <c:pt idx="738">
                  <c:v>29.059178541298429</c:v>
                </c:pt>
                <c:pt idx="739">
                  <c:v>26.870277751326945</c:v>
                </c:pt>
                <c:pt idx="740">
                  <c:v>36.090816335975589</c:v>
                </c:pt>
                <c:pt idx="741">
                  <c:v>30.08170229248708</c:v>
                </c:pt>
                <c:pt idx="742">
                  <c:v>25.95226093656985</c:v>
                </c:pt>
                <c:pt idx="743">
                  <c:v>24.562025418250393</c:v>
                </c:pt>
                <c:pt idx="744">
                  <c:v>25.778806971630136</c:v>
                </c:pt>
                <c:pt idx="745">
                  <c:v>25.09006480061613</c:v>
                </c:pt>
                <c:pt idx="746">
                  <c:v>26.599848594586035</c:v>
                </c:pt>
                <c:pt idx="747">
                  <c:v>35.232587265979454</c:v>
                </c:pt>
                <c:pt idx="748">
                  <c:v>26.675105367873186</c:v>
                </c:pt>
                <c:pt idx="749">
                  <c:v>26.20057582011086</c:v>
                </c:pt>
                <c:pt idx="750">
                  <c:v>23.462523594695575</c:v>
                </c:pt>
                <c:pt idx="751">
                  <c:v>23.49253449722141</c:v>
                </c:pt>
                <c:pt idx="752">
                  <c:v>22.301185591940605</c:v>
                </c:pt>
                <c:pt idx="753">
                  <c:v>28.480076108447118</c:v>
                </c:pt>
                <c:pt idx="754">
                  <c:v>27.95722578435867</c:v>
                </c:pt>
                <c:pt idx="755">
                  <c:v>30.02798521027437</c:v>
                </c:pt>
                <c:pt idx="756">
                  <c:v>26.44889070365187</c:v>
                </c:pt>
                <c:pt idx="757">
                  <c:v>24.793804812167387</c:v>
                </c:pt>
                <c:pt idx="758">
                  <c:v>28.668733937445751</c:v>
                </c:pt>
                <c:pt idx="759">
                  <c:v>28.142184530005821</c:v>
                </c:pt>
                <c:pt idx="760">
                  <c:v>29.321912193815159</c:v>
                </c:pt>
                <c:pt idx="761">
                  <c:v>24.027602474702292</c:v>
                </c:pt>
                <c:pt idx="762">
                  <c:v>30.938508934686343</c:v>
                </c:pt>
                <c:pt idx="763">
                  <c:v>26.436904416238541</c:v>
                </c:pt>
                <c:pt idx="764">
                  <c:v>27.514996694891984</c:v>
                </c:pt>
                <c:pt idx="765">
                  <c:v>24.593868566127597</c:v>
                </c:pt>
                <c:pt idx="766">
                  <c:v>33.474160677313186</c:v>
                </c:pt>
                <c:pt idx="767">
                  <c:v>25.833139086495823</c:v>
                </c:pt>
                <c:pt idx="768">
                  <c:v>24.026728562181223</c:v>
                </c:pt>
                <c:pt idx="769">
                  <c:v>27.687699410777576</c:v>
                </c:pt>
                <c:pt idx="770">
                  <c:v>26.68286002684976</c:v>
                </c:pt>
                <c:pt idx="771">
                  <c:v>25.252483917917061</c:v>
                </c:pt>
                <c:pt idx="772">
                  <c:v>21.543678357889586</c:v>
                </c:pt>
                <c:pt idx="773">
                  <c:v>32.0396976631637</c:v>
                </c:pt>
                <c:pt idx="774">
                  <c:v>24.433412750932462</c:v>
                </c:pt>
                <c:pt idx="775">
                  <c:v>27.113300797450787</c:v>
                </c:pt>
                <c:pt idx="776">
                  <c:v>23.632849462366714</c:v>
                </c:pt>
                <c:pt idx="777">
                  <c:v>34.690069163300976</c:v>
                </c:pt>
                <c:pt idx="778">
                  <c:v>22.668015095140074</c:v>
                </c:pt>
                <c:pt idx="779">
                  <c:v>24.815978442786935</c:v>
                </c:pt>
                <c:pt idx="780">
                  <c:v>37.201025469954793</c:v>
                </c:pt>
                <c:pt idx="781">
                  <c:v>24.215238608333035</c:v>
                </c:pt>
                <c:pt idx="782">
                  <c:v>28.157450797986375</c:v>
                </c:pt>
                <c:pt idx="783">
                  <c:v>29.612023082438903</c:v>
                </c:pt>
                <c:pt idx="784">
                  <c:v>32.165004685815212</c:v>
                </c:pt>
                <c:pt idx="785">
                  <c:v>27.462283877021932</c:v>
                </c:pt>
                <c:pt idx="786">
                  <c:v>24.151818546973782</c:v>
                </c:pt>
                <c:pt idx="787">
                  <c:v>33.310569169327522</c:v>
                </c:pt>
                <c:pt idx="788">
                  <c:v>32.322406225750697</c:v>
                </c:pt>
                <c:pt idx="789">
                  <c:v>27.340957471458161</c:v>
                </c:pt>
                <c:pt idx="790">
                  <c:v>31.424458220053328</c:v>
                </c:pt>
                <c:pt idx="791">
                  <c:v>31.144006531264218</c:v>
                </c:pt>
                <c:pt idx="792">
                  <c:v>28.516672447028398</c:v>
                </c:pt>
                <c:pt idx="793">
                  <c:v>22.127242210029241</c:v>
                </c:pt>
                <c:pt idx="794">
                  <c:v>29.14900607801388</c:v>
                </c:pt>
                <c:pt idx="795">
                  <c:v>28.079325812013277</c:v>
                </c:pt>
                <c:pt idx="796">
                  <c:v>30.713611131567557</c:v>
                </c:pt>
                <c:pt idx="797">
                  <c:v>27.613502877811133</c:v>
                </c:pt>
                <c:pt idx="798">
                  <c:v>25.654853114252489</c:v>
                </c:pt>
                <c:pt idx="799">
                  <c:v>30.2142769211653</c:v>
                </c:pt>
                <c:pt idx="800">
                  <c:v>29.088540556343037</c:v>
                </c:pt>
                <c:pt idx="801">
                  <c:v>27.75309930545534</c:v>
                </c:pt>
                <c:pt idx="802">
                  <c:v>28.052870627065417</c:v>
                </c:pt>
                <c:pt idx="803">
                  <c:v>32.944142308495834</c:v>
                </c:pt>
                <c:pt idx="804">
                  <c:v>28.126693970820856</c:v>
                </c:pt>
                <c:pt idx="805">
                  <c:v>31.695428427160955</c:v>
                </c:pt>
                <c:pt idx="806">
                  <c:v>30.482751523971043</c:v>
                </c:pt>
                <c:pt idx="807">
                  <c:v>23.512126138140356</c:v>
                </c:pt>
                <c:pt idx="808">
                  <c:v>32.472276707390805</c:v>
                </c:pt>
                <c:pt idx="809">
                  <c:v>34.244434467833777</c:v>
                </c:pt>
                <c:pt idx="810">
                  <c:v>24.448194504277797</c:v>
                </c:pt>
                <c:pt idx="811">
                  <c:v>30.978890231733189</c:v>
                </c:pt>
                <c:pt idx="812">
                  <c:v>24.953538664715648</c:v>
                </c:pt>
                <c:pt idx="813">
                  <c:v>26.876804472642696</c:v>
                </c:pt>
                <c:pt idx="814">
                  <c:v>27.416210391196039</c:v>
                </c:pt>
                <c:pt idx="815">
                  <c:v>30.219413519581583</c:v>
                </c:pt>
                <c:pt idx="816">
                  <c:v>34.903210274592013</c:v>
                </c:pt>
                <c:pt idx="817">
                  <c:v>25.790151584895984</c:v>
                </c:pt>
                <c:pt idx="818">
                  <c:v>27.295009426528143</c:v>
                </c:pt>
                <c:pt idx="819">
                  <c:v>28.650168590177575</c:v>
                </c:pt>
                <c:pt idx="820">
                  <c:v>30.706150786143787</c:v>
                </c:pt>
                <c:pt idx="821">
                  <c:v>29.274884808702073</c:v>
                </c:pt>
                <c:pt idx="822">
                  <c:v>26.425917466087441</c:v>
                </c:pt>
                <c:pt idx="823">
                  <c:v>32.078977059653511</c:v>
                </c:pt>
                <c:pt idx="824">
                  <c:v>30.254949517899856</c:v>
                </c:pt>
                <c:pt idx="825">
                  <c:v>29.704867132321251</c:v>
                </c:pt>
                <c:pt idx="826">
                  <c:v>28.617267667062332</c:v>
                </c:pt>
                <c:pt idx="827">
                  <c:v>30.367657129607981</c:v>
                </c:pt>
                <c:pt idx="828">
                  <c:v>30.703151777427991</c:v>
                </c:pt>
                <c:pt idx="829">
                  <c:v>28.723626850029348</c:v>
                </c:pt>
                <c:pt idx="830">
                  <c:v>32.677412625333247</c:v>
                </c:pt>
                <c:pt idx="831">
                  <c:v>27.984823757782245</c:v>
                </c:pt>
                <c:pt idx="832">
                  <c:v>26.509088302060825</c:v>
                </c:pt>
                <c:pt idx="833">
                  <c:v>22.661399464925559</c:v>
                </c:pt>
                <c:pt idx="834">
                  <c:v>33.171957232290389</c:v>
                </c:pt>
                <c:pt idx="835">
                  <c:v>34.250575089960321</c:v>
                </c:pt>
                <c:pt idx="836">
                  <c:v>22.554173196000434</c:v>
                </c:pt>
                <c:pt idx="837">
                  <c:v>27.161849880110285</c:v>
                </c:pt>
                <c:pt idx="838">
                  <c:v>27.192977372523888</c:v>
                </c:pt>
                <c:pt idx="839">
                  <c:v>27.476763417031925</c:v>
                </c:pt>
                <c:pt idx="840">
                  <c:v>36.701696830773137</c:v>
                </c:pt>
                <c:pt idx="841">
                  <c:v>25.162122160381045</c:v>
                </c:pt>
                <c:pt idx="842">
                  <c:v>28.095168004932461</c:v>
                </c:pt>
                <c:pt idx="843">
                  <c:v>28.660379059366122</c:v>
                </c:pt>
                <c:pt idx="844">
                  <c:v>37.275345095803424</c:v>
                </c:pt>
                <c:pt idx="845">
                  <c:v>31.955733804229585</c:v>
                </c:pt>
                <c:pt idx="846">
                  <c:v>29.596449632860885</c:v>
                </c:pt>
                <c:pt idx="847">
                  <c:v>21.739254886174088</c:v>
                </c:pt>
                <c:pt idx="848">
                  <c:v>26.291170387824128</c:v>
                </c:pt>
                <c:pt idx="849">
                  <c:v>27.295678054957264</c:v>
                </c:pt>
                <c:pt idx="850">
                  <c:v>34.864441095708685</c:v>
                </c:pt>
                <c:pt idx="851">
                  <c:v>28.934328972996841</c:v>
                </c:pt>
                <c:pt idx="852">
                  <c:v>36.063441657967701</c:v>
                </c:pt>
                <c:pt idx="853">
                  <c:v>28.19591144062516</c:v>
                </c:pt>
                <c:pt idx="854">
                  <c:v>32.620544220829053</c:v>
                </c:pt>
                <c:pt idx="855">
                  <c:v>26.274018858643434</c:v>
                </c:pt>
                <c:pt idx="856">
                  <c:v>29.94543271243203</c:v>
                </c:pt>
                <c:pt idx="857">
                  <c:v>32.412866236033956</c:v>
                </c:pt>
                <c:pt idx="858">
                  <c:v>26.841751219104282</c:v>
                </c:pt>
                <c:pt idx="859">
                  <c:v>34.515285569560454</c:v>
                </c:pt>
                <c:pt idx="860">
                  <c:v>28.696887255892506</c:v>
                </c:pt>
                <c:pt idx="861">
                  <c:v>32.565243713302081</c:v>
                </c:pt>
                <c:pt idx="862">
                  <c:v>23.648631387377577</c:v>
                </c:pt>
                <c:pt idx="863">
                  <c:v>31.997862996958087</c:v>
                </c:pt>
                <c:pt idx="864">
                  <c:v>34.715731722075219</c:v>
                </c:pt>
                <c:pt idx="865">
                  <c:v>24.771361363546909</c:v>
                </c:pt>
                <c:pt idx="866">
                  <c:v>26.37297465342975</c:v>
                </c:pt>
                <c:pt idx="867">
                  <c:v>35.199174691804529</c:v>
                </c:pt>
                <c:pt idx="868">
                  <c:v>28.690576553618584</c:v>
                </c:pt>
                <c:pt idx="869">
                  <c:v>21.762160725159951</c:v>
                </c:pt>
                <c:pt idx="870">
                  <c:v>29.029753224508706</c:v>
                </c:pt>
                <c:pt idx="871">
                  <c:v>30.762581850033857</c:v>
                </c:pt>
                <c:pt idx="872">
                  <c:v>25.856859315145424</c:v>
                </c:pt>
                <c:pt idx="873">
                  <c:v>30.536019462475515</c:v>
                </c:pt>
                <c:pt idx="874">
                  <c:v>40.768071216651194</c:v>
                </c:pt>
                <c:pt idx="875">
                  <c:v>34.452537906644693</c:v>
                </c:pt>
                <c:pt idx="876">
                  <c:v>26.916573953010076</c:v>
                </c:pt>
                <c:pt idx="877">
                  <c:v>30.392136532824388</c:v>
                </c:pt>
                <c:pt idx="878">
                  <c:v>30.137665002758681</c:v>
                </c:pt>
                <c:pt idx="879">
                  <c:v>28.006604242573829</c:v>
                </c:pt>
                <c:pt idx="880">
                  <c:v>24.55786596114303</c:v>
                </c:pt>
                <c:pt idx="881">
                  <c:v>38.087264346384444</c:v>
                </c:pt>
                <c:pt idx="882">
                  <c:v>29.426631879397245</c:v>
                </c:pt>
                <c:pt idx="883">
                  <c:v>24.850113209658318</c:v>
                </c:pt>
                <c:pt idx="884">
                  <c:v>30.056219095484547</c:v>
                </c:pt>
                <c:pt idx="885">
                  <c:v>30.958825885802096</c:v>
                </c:pt>
                <c:pt idx="886">
                  <c:v>25.591271002041314</c:v>
                </c:pt>
                <c:pt idx="887">
                  <c:v>30.154058350352656</c:v>
                </c:pt>
                <c:pt idx="888">
                  <c:v>23.751505768255353</c:v>
                </c:pt>
                <c:pt idx="889">
                  <c:v>29.663478818604922</c:v>
                </c:pt>
                <c:pt idx="890">
                  <c:v>39.309007933492175</c:v>
                </c:pt>
                <c:pt idx="891">
                  <c:v>27.132497627498399</c:v>
                </c:pt>
                <c:pt idx="892">
                  <c:v>26.926599821149164</c:v>
                </c:pt>
                <c:pt idx="893">
                  <c:v>33.114729268750537</c:v>
                </c:pt>
                <c:pt idx="894">
                  <c:v>27.470704034390486</c:v>
                </c:pt>
                <c:pt idx="895">
                  <c:v>24.975462112215439</c:v>
                </c:pt>
                <c:pt idx="896">
                  <c:v>33.221436237393121</c:v>
                </c:pt>
                <c:pt idx="897">
                  <c:v>28.843975273441849</c:v>
                </c:pt>
                <c:pt idx="898">
                  <c:v>23.049026528240294</c:v>
                </c:pt>
                <c:pt idx="899">
                  <c:v>28.126217847209894</c:v>
                </c:pt>
                <c:pt idx="900">
                  <c:v>33.044462907675957</c:v>
                </c:pt>
                <c:pt idx="901">
                  <c:v>25.57677115889021</c:v>
                </c:pt>
                <c:pt idx="902">
                  <c:v>25.609450168037004</c:v>
                </c:pt>
                <c:pt idx="903">
                  <c:v>30.13077142839305</c:v>
                </c:pt>
                <c:pt idx="904">
                  <c:v>22.825939765102653</c:v>
                </c:pt>
                <c:pt idx="905">
                  <c:v>27.07338737009977</c:v>
                </c:pt>
                <c:pt idx="906">
                  <c:v>27.349318485008066</c:v>
                </c:pt>
                <c:pt idx="907">
                  <c:v>28.123224794939475</c:v>
                </c:pt>
                <c:pt idx="908">
                  <c:v>36.488909225090381</c:v>
                </c:pt>
                <c:pt idx="909">
                  <c:v>26.256267216905961</c:v>
                </c:pt>
                <c:pt idx="910">
                  <c:v>26.983296750656713</c:v>
                </c:pt>
                <c:pt idx="911">
                  <c:v>29.02124769614591</c:v>
                </c:pt>
                <c:pt idx="912">
                  <c:v>27.045876608185115</c:v>
                </c:pt>
                <c:pt idx="913">
                  <c:v>31.041134261156891</c:v>
                </c:pt>
                <c:pt idx="914">
                  <c:v>31.368983192733747</c:v>
                </c:pt>
                <c:pt idx="915">
                  <c:v>31.708331422041194</c:v>
                </c:pt>
                <c:pt idx="916">
                  <c:v>31.138973516025001</c:v>
                </c:pt>
                <c:pt idx="917">
                  <c:v>31.474336620753007</c:v>
                </c:pt>
                <c:pt idx="918">
                  <c:v>26.516724067727949</c:v>
                </c:pt>
                <c:pt idx="919">
                  <c:v>33.741841255119979</c:v>
                </c:pt>
                <c:pt idx="920">
                  <c:v>26.572140418966676</c:v>
                </c:pt>
                <c:pt idx="921">
                  <c:v>23.639900953232569</c:v>
                </c:pt>
                <c:pt idx="922">
                  <c:v>30.478981192902499</c:v>
                </c:pt>
                <c:pt idx="923">
                  <c:v>38.258373158967622</c:v>
                </c:pt>
                <c:pt idx="924">
                  <c:v>30.828509708761619</c:v>
                </c:pt>
                <c:pt idx="925">
                  <c:v>32.666609493174718</c:v>
                </c:pt>
                <c:pt idx="926">
                  <c:v>38.788605249336037</c:v>
                </c:pt>
                <c:pt idx="927">
                  <c:v>32.428581547842128</c:v>
                </c:pt>
                <c:pt idx="928">
                  <c:v>34.072919864512599</c:v>
                </c:pt>
                <c:pt idx="929">
                  <c:v>28.2893095418491</c:v>
                </c:pt>
                <c:pt idx="930">
                  <c:v>24.469332665762249</c:v>
                </c:pt>
                <c:pt idx="931">
                  <c:v>26.893555256151252</c:v>
                </c:pt>
                <c:pt idx="932">
                  <c:v>29.158592894098522</c:v>
                </c:pt>
                <c:pt idx="933">
                  <c:v>26.035513880322338</c:v>
                </c:pt>
                <c:pt idx="934">
                  <c:v>28.194755812725866</c:v>
                </c:pt>
                <c:pt idx="935">
                  <c:v>30.624684403067373</c:v>
                </c:pt>
                <c:pt idx="936">
                  <c:v>32.12621095662216</c:v>
                </c:pt>
                <c:pt idx="937">
                  <c:v>32.159133902878175</c:v>
                </c:pt>
                <c:pt idx="938">
                  <c:v>26.627945953112061</c:v>
                </c:pt>
                <c:pt idx="939">
                  <c:v>26.201481581389576</c:v>
                </c:pt>
                <c:pt idx="940">
                  <c:v>33.84973231357538</c:v>
                </c:pt>
                <c:pt idx="941">
                  <c:v>31.398222616585493</c:v>
                </c:pt>
                <c:pt idx="942">
                  <c:v>26.513267244550704</c:v>
                </c:pt>
                <c:pt idx="943">
                  <c:v>34.964316725222098</c:v>
                </c:pt>
                <c:pt idx="944">
                  <c:v>28.244252543621148</c:v>
                </c:pt>
                <c:pt idx="945">
                  <c:v>26.829466509517285</c:v>
                </c:pt>
                <c:pt idx="946">
                  <c:v>23.314704083781269</c:v>
                </c:pt>
                <c:pt idx="947">
                  <c:v>33.126547706984425</c:v>
                </c:pt>
                <c:pt idx="948">
                  <c:v>21.760508576393413</c:v>
                </c:pt>
                <c:pt idx="949">
                  <c:v>33.200371050739861</c:v>
                </c:pt>
                <c:pt idx="950">
                  <c:v>28.422178133715089</c:v>
                </c:pt>
                <c:pt idx="951">
                  <c:v>32.951404372968177</c:v>
                </c:pt>
                <c:pt idx="952">
                  <c:v>32.062040056826476</c:v>
                </c:pt>
                <c:pt idx="953">
                  <c:v>26.143501469197513</c:v>
                </c:pt>
                <c:pt idx="954">
                  <c:v>28.044155371205402</c:v>
                </c:pt>
                <c:pt idx="955">
                  <c:v>29.878854554718494</c:v>
                </c:pt>
                <c:pt idx="956">
                  <c:v>24.536060497804186</c:v>
                </c:pt>
                <c:pt idx="957">
                  <c:v>30.488202086852525</c:v>
                </c:pt>
                <c:pt idx="958">
                  <c:v>29.705453601084542</c:v>
                </c:pt>
                <c:pt idx="959">
                  <c:v>27.227061120803274</c:v>
                </c:pt>
                <c:pt idx="960">
                  <c:v>29.235792017226952</c:v>
                </c:pt>
                <c:pt idx="961">
                  <c:v>25.073438678140899</c:v>
                </c:pt>
                <c:pt idx="962">
                  <c:v>32.398038864354689</c:v>
                </c:pt>
                <c:pt idx="963">
                  <c:v>29.860107544542334</c:v>
                </c:pt>
                <c:pt idx="964">
                  <c:v>27.606141240147089</c:v>
                </c:pt>
                <c:pt idx="965">
                  <c:v>35.782403484815291</c:v>
                </c:pt>
                <c:pt idx="966">
                  <c:v>23.616365243136279</c:v>
                </c:pt>
                <c:pt idx="967">
                  <c:v>26.08376156673754</c:v>
                </c:pt>
                <c:pt idx="968">
                  <c:v>31.413865343808503</c:v>
                </c:pt>
                <c:pt idx="969">
                  <c:v>30.044502630972772</c:v>
                </c:pt>
                <c:pt idx="970">
                  <c:v>30.623533680891054</c:v>
                </c:pt>
                <c:pt idx="971">
                  <c:v>38.229400207307343</c:v>
                </c:pt>
                <c:pt idx="972">
                  <c:v>29.603868535429452</c:v>
                </c:pt>
                <c:pt idx="973">
                  <c:v>34.700214010221288</c:v>
                </c:pt>
                <c:pt idx="974">
                  <c:v>28.134881523898603</c:v>
                </c:pt>
                <c:pt idx="975">
                  <c:v>38.001249747589547</c:v>
                </c:pt>
                <c:pt idx="976">
                  <c:v>37.657300512481115</c:v>
                </c:pt>
                <c:pt idx="977">
                  <c:v>31.129994632786669</c:v>
                </c:pt>
                <c:pt idx="978">
                  <c:v>25.946031858912253</c:v>
                </c:pt>
                <c:pt idx="979">
                  <c:v>34.247320289453306</c:v>
                </c:pt>
                <c:pt idx="980">
                  <c:v>33.317527591088336</c:v>
                </c:pt>
                <c:pt idx="981">
                  <c:v>30.413292803833656</c:v>
                </c:pt>
                <c:pt idx="982">
                  <c:v>30.448982175400836</c:v>
                </c:pt>
                <c:pt idx="983">
                  <c:v>26.742747779428502</c:v>
                </c:pt>
                <c:pt idx="984">
                  <c:v>38.743053480197467</c:v>
                </c:pt>
                <c:pt idx="985">
                  <c:v>29.995314991295597</c:v>
                </c:pt>
                <c:pt idx="986">
                  <c:v>30.851207796555453</c:v>
                </c:pt>
                <c:pt idx="987">
                  <c:v>25.127356975957166</c:v>
                </c:pt>
                <c:pt idx="988">
                  <c:v>31.767851295599979</c:v>
                </c:pt>
                <c:pt idx="989">
                  <c:v>36.671628223503546</c:v>
                </c:pt>
                <c:pt idx="990">
                  <c:v>36.348204775870371</c:v>
                </c:pt>
                <c:pt idx="991">
                  <c:v>31.007264489689781</c:v>
                </c:pt>
                <c:pt idx="992">
                  <c:v>28.906610618241508</c:v>
                </c:pt>
                <c:pt idx="993">
                  <c:v>28.683503401161939</c:v>
                </c:pt>
                <c:pt idx="994">
                  <c:v>28.711211576781302</c:v>
                </c:pt>
                <c:pt idx="995">
                  <c:v>28.990462708605776</c:v>
                </c:pt>
                <c:pt idx="996">
                  <c:v>32.622765987018013</c:v>
                </c:pt>
                <c:pt idx="997">
                  <c:v>30.094094466776816</c:v>
                </c:pt>
                <c:pt idx="998">
                  <c:v>31.507836670885137</c:v>
                </c:pt>
                <c:pt idx="999">
                  <c:v>24.423120917777677</c:v>
                </c:pt>
                <c:pt idx="1000">
                  <c:v>28.888543900745209</c:v>
                </c:pt>
                <c:pt idx="1001">
                  <c:v>25.277112413901875</c:v>
                </c:pt>
                <c:pt idx="1002">
                  <c:v>32.51577857525006</c:v>
                </c:pt>
                <c:pt idx="1003">
                  <c:v>31.379399681010103</c:v>
                </c:pt>
                <c:pt idx="1004">
                  <c:v>23.966426944812106</c:v>
                </c:pt>
                <c:pt idx="1005">
                  <c:v>32.022391887133196</c:v>
                </c:pt>
                <c:pt idx="1006">
                  <c:v>33.884187436114075</c:v>
                </c:pt>
                <c:pt idx="1007">
                  <c:v>31.792509551225702</c:v>
                </c:pt>
                <c:pt idx="1008">
                  <c:v>30.972334548645414</c:v>
                </c:pt>
                <c:pt idx="1009">
                  <c:v>34.95893395147057</c:v>
                </c:pt>
                <c:pt idx="1010">
                  <c:v>27.020673697032077</c:v>
                </c:pt>
                <c:pt idx="1011">
                  <c:v>28.952112305587093</c:v>
                </c:pt>
                <c:pt idx="1012">
                  <c:v>29.487985111433755</c:v>
                </c:pt>
                <c:pt idx="1013">
                  <c:v>25.577453726600591</c:v>
                </c:pt>
                <c:pt idx="1014">
                  <c:v>29.809251013913482</c:v>
                </c:pt>
                <c:pt idx="1015">
                  <c:v>35.851282063552667</c:v>
                </c:pt>
                <c:pt idx="1016">
                  <c:v>27.640435643999481</c:v>
                </c:pt>
                <c:pt idx="1017">
                  <c:v>36.26692319956291</c:v>
                </c:pt>
                <c:pt idx="1018">
                  <c:v>33.965131336106545</c:v>
                </c:pt>
                <c:pt idx="1019">
                  <c:v>33.681620706513769</c:v>
                </c:pt>
                <c:pt idx="1020">
                  <c:v>28.224388087766709</c:v>
                </c:pt>
                <c:pt idx="1021">
                  <c:v>32.828835843724875</c:v>
                </c:pt>
                <c:pt idx="1022">
                  <c:v>31.402669611845088</c:v>
                </c:pt>
                <c:pt idx="1023">
                  <c:v>29.040746128450298</c:v>
                </c:pt>
                <c:pt idx="1024">
                  <c:v>25.64946212208077</c:v>
                </c:pt>
                <c:pt idx="1025">
                  <c:v>32.958374654833143</c:v>
                </c:pt>
                <c:pt idx="1026">
                  <c:v>33.602956952729649</c:v>
                </c:pt>
                <c:pt idx="1027">
                  <c:v>36.62268249146581</c:v>
                </c:pt>
                <c:pt idx="1028">
                  <c:v>37.013646068599364</c:v>
                </c:pt>
                <c:pt idx="1029">
                  <c:v>29.985507514261737</c:v>
                </c:pt>
                <c:pt idx="1030">
                  <c:v>29.495994491213878</c:v>
                </c:pt>
                <c:pt idx="1031">
                  <c:v>31.39751125111464</c:v>
                </c:pt>
                <c:pt idx="1032">
                  <c:v>30.069359604626005</c:v>
                </c:pt>
                <c:pt idx="1033">
                  <c:v>29.836163506927331</c:v>
                </c:pt>
                <c:pt idx="1034">
                  <c:v>32.646528192247388</c:v>
                </c:pt>
                <c:pt idx="1035">
                  <c:v>34.214336982045147</c:v>
                </c:pt>
                <c:pt idx="1036">
                  <c:v>27.713511484135459</c:v>
                </c:pt>
                <c:pt idx="1037">
                  <c:v>36.274106636193444</c:v>
                </c:pt>
                <c:pt idx="1038">
                  <c:v>26.638588660068365</c:v>
                </c:pt>
                <c:pt idx="1039">
                  <c:v>33.717299782415147</c:v>
                </c:pt>
                <c:pt idx="1040">
                  <c:v>24.827441327694711</c:v>
                </c:pt>
                <c:pt idx="1041">
                  <c:v>28.802996006060216</c:v>
                </c:pt>
                <c:pt idx="1042">
                  <c:v>33.195955399698484</c:v>
                </c:pt>
                <c:pt idx="1043">
                  <c:v>37.559386650797826</c:v>
                </c:pt>
                <c:pt idx="1044">
                  <c:v>31.234550364232131</c:v>
                </c:pt>
                <c:pt idx="1045">
                  <c:v>30.717175609683451</c:v>
                </c:pt>
                <c:pt idx="1046">
                  <c:v>34.899716555682787</c:v>
                </c:pt>
                <c:pt idx="1047">
                  <c:v>39.212487363306685</c:v>
                </c:pt>
                <c:pt idx="1048">
                  <c:v>32.204389729586957</c:v>
                </c:pt>
                <c:pt idx="1049">
                  <c:v>38.898246969178928</c:v>
                </c:pt>
                <c:pt idx="1050">
                  <c:v>32.263339738244454</c:v>
                </c:pt>
                <c:pt idx="1051">
                  <c:v>28.113817761128526</c:v>
                </c:pt>
                <c:pt idx="1052">
                  <c:v>34.14063367924016</c:v>
                </c:pt>
                <c:pt idx="1053">
                  <c:v>30.418035194933903</c:v>
                </c:pt>
                <c:pt idx="1054">
                  <c:v>22.423978395832425</c:v>
                </c:pt>
                <c:pt idx="1055">
                  <c:v>27.755127955657297</c:v>
                </c:pt>
                <c:pt idx="1056">
                  <c:v>33.337011348818109</c:v>
                </c:pt>
                <c:pt idx="1057">
                  <c:v>28.042886532484609</c:v>
                </c:pt>
                <c:pt idx="1058">
                  <c:v>30.82961855726202</c:v>
                </c:pt>
                <c:pt idx="1059">
                  <c:v>31.403710323344939</c:v>
                </c:pt>
                <c:pt idx="1060">
                  <c:v>28.119228328852532</c:v>
                </c:pt>
                <c:pt idx="1061">
                  <c:v>30.124599931818942</c:v>
                </c:pt>
                <c:pt idx="1062">
                  <c:v>41.817419392936863</c:v>
                </c:pt>
                <c:pt idx="1063">
                  <c:v>31.802764345499863</c:v>
                </c:pt>
                <c:pt idx="1064">
                  <c:v>38.687061373016419</c:v>
                </c:pt>
                <c:pt idx="1065">
                  <c:v>26.672941970713818</c:v>
                </c:pt>
                <c:pt idx="1066">
                  <c:v>40.321982913284238</c:v>
                </c:pt>
                <c:pt idx="1067">
                  <c:v>34.947577892872538</c:v>
                </c:pt>
                <c:pt idx="1068">
                  <c:v>30.58375886246743</c:v>
                </c:pt>
                <c:pt idx="1069">
                  <c:v>31.980689935593794</c:v>
                </c:pt>
                <c:pt idx="1070">
                  <c:v>32.300338452122588</c:v>
                </c:pt>
                <c:pt idx="1071">
                  <c:v>25.569379253370148</c:v>
                </c:pt>
                <c:pt idx="1072">
                  <c:v>34.788085521443108</c:v>
                </c:pt>
                <c:pt idx="1073">
                  <c:v>33.876072760526831</c:v>
                </c:pt>
                <c:pt idx="1074">
                  <c:v>42.285750318219037</c:v>
                </c:pt>
                <c:pt idx="1075">
                  <c:v>40.254226217773429</c:v>
                </c:pt>
                <c:pt idx="1076">
                  <c:v>32.770495088854119</c:v>
                </c:pt>
                <c:pt idx="1077">
                  <c:v>34.003267026210914</c:v>
                </c:pt>
                <c:pt idx="1078">
                  <c:v>28.597636919424865</c:v>
                </c:pt>
                <c:pt idx="1079">
                  <c:v>26.806218279284863</c:v>
                </c:pt>
                <c:pt idx="1080">
                  <c:v>37.425137506518226</c:v>
                </c:pt>
                <c:pt idx="1081">
                  <c:v>30.428159047462977</c:v>
                </c:pt>
                <c:pt idx="1082">
                  <c:v>28.945223105652591</c:v>
                </c:pt>
                <c:pt idx="1083">
                  <c:v>40.555971265274138</c:v>
                </c:pt>
                <c:pt idx="1084">
                  <c:v>27.593696193227984</c:v>
                </c:pt>
                <c:pt idx="1085">
                  <c:v>34.257655557579078</c:v>
                </c:pt>
                <c:pt idx="1086">
                  <c:v>34.601786690792331</c:v>
                </c:pt>
                <c:pt idx="1087">
                  <c:v>33.401074905334013</c:v>
                </c:pt>
                <c:pt idx="1088">
                  <c:v>28.862288480167006</c:v>
                </c:pt>
                <c:pt idx="1089">
                  <c:v>27.273575684700347</c:v>
                </c:pt>
                <c:pt idx="1090">
                  <c:v>36.372008339946738</c:v>
                </c:pt>
                <c:pt idx="1091">
                  <c:v>32.931521114596833</c:v>
                </c:pt>
                <c:pt idx="1092">
                  <c:v>38.200224786903433</c:v>
                </c:pt>
                <c:pt idx="1093">
                  <c:v>26.936497498540231</c:v>
                </c:pt>
                <c:pt idx="1094">
                  <c:v>30.532703199563699</c:v>
                </c:pt>
                <c:pt idx="1095">
                  <c:v>30.559472183606804</c:v>
                </c:pt>
                <c:pt idx="1096">
                  <c:v>31.659361462681254</c:v>
                </c:pt>
                <c:pt idx="1097">
                  <c:v>31.96441684685843</c:v>
                </c:pt>
                <c:pt idx="1098">
                  <c:v>27.950216515724559</c:v>
                </c:pt>
                <c:pt idx="1099">
                  <c:v>27.523439309718746</c:v>
                </c:pt>
                <c:pt idx="1100">
                  <c:v>26.894982781359168</c:v>
                </c:pt>
                <c:pt idx="1101">
                  <c:v>30.464503147581929</c:v>
                </c:pt>
                <c:pt idx="1102">
                  <c:v>33.559230485002324</c:v>
                </c:pt>
                <c:pt idx="1103">
                  <c:v>31.583623082508581</c:v>
                </c:pt>
                <c:pt idx="1104">
                  <c:v>34.542548807232805</c:v>
                </c:pt>
                <c:pt idx="1105">
                  <c:v>29.315249805283365</c:v>
                </c:pt>
                <c:pt idx="1106">
                  <c:v>26.195426735609551</c:v>
                </c:pt>
                <c:pt idx="1107">
                  <c:v>33.117117898129251</c:v>
                </c:pt>
                <c:pt idx="1108">
                  <c:v>32.28864492960026</c:v>
                </c:pt>
                <c:pt idx="1109">
                  <c:v>31.216537258808074</c:v>
                </c:pt>
                <c:pt idx="1110">
                  <c:v>27.802133353008497</c:v>
                </c:pt>
                <c:pt idx="1111">
                  <c:v>26.107591176070123</c:v>
                </c:pt>
                <c:pt idx="1112">
                  <c:v>27.404588292353729</c:v>
                </c:pt>
                <c:pt idx="1113">
                  <c:v>35.45751008537119</c:v>
                </c:pt>
                <c:pt idx="1114">
                  <c:v>29.062963658471961</c:v>
                </c:pt>
                <c:pt idx="1115">
                  <c:v>31.116267051703353</c:v>
                </c:pt>
                <c:pt idx="1116">
                  <c:v>28.642637751500494</c:v>
                </c:pt>
                <c:pt idx="1117">
                  <c:v>26.454427485640728</c:v>
                </c:pt>
                <c:pt idx="1118">
                  <c:v>34.666276248922856</c:v>
                </c:pt>
                <c:pt idx="1119">
                  <c:v>30.701639635560515</c:v>
                </c:pt>
                <c:pt idx="1120">
                  <c:v>27.826227296313132</c:v>
                </c:pt>
                <c:pt idx="1121">
                  <c:v>26.136627901042285</c:v>
                </c:pt>
                <c:pt idx="1122">
                  <c:v>34.473965062900334</c:v>
                </c:pt>
                <c:pt idx="1123">
                  <c:v>31.074961043029209</c:v>
                </c:pt>
                <c:pt idx="1124">
                  <c:v>34.850671335353297</c:v>
                </c:pt>
                <c:pt idx="1125">
                  <c:v>39.733872239779409</c:v>
                </c:pt>
                <c:pt idx="1126">
                  <c:v>31.426787266603355</c:v>
                </c:pt>
                <c:pt idx="1127">
                  <c:v>30.662303513689004</c:v>
                </c:pt>
                <c:pt idx="1128">
                  <c:v>28.253809905926364</c:v>
                </c:pt>
                <c:pt idx="1129">
                  <c:v>32.612522703987253</c:v>
                </c:pt>
                <c:pt idx="1130">
                  <c:v>33.508669167482189</c:v>
                </c:pt>
                <c:pt idx="1131">
                  <c:v>33.249213768073005</c:v>
                </c:pt>
                <c:pt idx="1132">
                  <c:v>35.418867160987105</c:v>
                </c:pt>
                <c:pt idx="1133">
                  <c:v>31.350994178361891</c:v>
                </c:pt>
                <c:pt idx="1134">
                  <c:v>32.756605217207927</c:v>
                </c:pt>
                <c:pt idx="1135">
                  <c:v>29.613588185242872</c:v>
                </c:pt>
                <c:pt idx="1136">
                  <c:v>30.139741206056957</c:v>
                </c:pt>
                <c:pt idx="1137">
                  <c:v>26.931534130435008</c:v>
                </c:pt>
                <c:pt idx="1138">
                  <c:v>31.222720095687468</c:v>
                </c:pt>
                <c:pt idx="1139">
                  <c:v>31.515552393656371</c:v>
                </c:pt>
                <c:pt idx="1140">
                  <c:v>29.991083890255627</c:v>
                </c:pt>
                <c:pt idx="1141">
                  <c:v>26.19540680275005</c:v>
                </c:pt>
                <c:pt idx="1142">
                  <c:v>30.551580345381183</c:v>
                </c:pt>
                <c:pt idx="1143">
                  <c:v>28.861831307402714</c:v>
                </c:pt>
                <c:pt idx="1144">
                  <c:v>31.385886704414087</c:v>
                </c:pt>
                <c:pt idx="1145">
                  <c:v>30.122313809667716</c:v>
                </c:pt>
                <c:pt idx="1146">
                  <c:v>32.537400107157183</c:v>
                </c:pt>
                <c:pt idx="1147">
                  <c:v>30.429840032255079</c:v>
                </c:pt>
                <c:pt idx="1148">
                  <c:v>28.52212129858475</c:v>
                </c:pt>
                <c:pt idx="1149">
                  <c:v>36.274593199140924</c:v>
                </c:pt>
                <c:pt idx="1150">
                  <c:v>31.549053313140703</c:v>
                </c:pt>
                <c:pt idx="1151">
                  <c:v>32.39910457582571</c:v>
                </c:pt>
                <c:pt idx="1152">
                  <c:v>46.773853512787383</c:v>
                </c:pt>
                <c:pt idx="1153">
                  <c:v>35.428955203151681</c:v>
                </c:pt>
                <c:pt idx="1154">
                  <c:v>38.503630792815848</c:v>
                </c:pt>
                <c:pt idx="1155">
                  <c:v>29.162172620101433</c:v>
                </c:pt>
                <c:pt idx="1156">
                  <c:v>32.820618186429385</c:v>
                </c:pt>
                <c:pt idx="1157">
                  <c:v>29.454439246258051</c:v>
                </c:pt>
                <c:pt idx="1158">
                  <c:v>35.903507796585167</c:v>
                </c:pt>
                <c:pt idx="1159">
                  <c:v>31.533895800801524</c:v>
                </c:pt>
                <c:pt idx="1160">
                  <c:v>37.645589325011898</c:v>
                </c:pt>
                <c:pt idx="1161">
                  <c:v>33.537975769673885</c:v>
                </c:pt>
                <c:pt idx="1162">
                  <c:v>29.581419087147239</c:v>
                </c:pt>
                <c:pt idx="1163">
                  <c:v>28.662286788862716</c:v>
                </c:pt>
                <c:pt idx="1164">
                  <c:v>32.205635231988076</c:v>
                </c:pt>
                <c:pt idx="1165">
                  <c:v>30.908248622827408</c:v>
                </c:pt>
                <c:pt idx="1166">
                  <c:v>30.424507942850944</c:v>
                </c:pt>
                <c:pt idx="1167">
                  <c:v>26.998843974252249</c:v>
                </c:pt>
                <c:pt idx="1168">
                  <c:v>38.252580764438683</c:v>
                </c:pt>
                <c:pt idx="1169">
                  <c:v>35.60410003057175</c:v>
                </c:pt>
                <c:pt idx="1170">
                  <c:v>26.653405369989006</c:v>
                </c:pt>
                <c:pt idx="1171">
                  <c:v>29.094088971684712</c:v>
                </c:pt>
                <c:pt idx="1172">
                  <c:v>26.28952321024002</c:v>
                </c:pt>
                <c:pt idx="1173">
                  <c:v>29.378196218509149</c:v>
                </c:pt>
                <c:pt idx="1174">
                  <c:v>31.408646348686851</c:v>
                </c:pt>
                <c:pt idx="1175">
                  <c:v>32.238563820985455</c:v>
                </c:pt>
                <c:pt idx="1176">
                  <c:v>34.267554262196953</c:v>
                </c:pt>
                <c:pt idx="1177">
                  <c:v>33.414286852596135</c:v>
                </c:pt>
                <c:pt idx="1178">
                  <c:v>30.4873831994183</c:v>
                </c:pt>
                <c:pt idx="1179">
                  <c:v>36.230675320893546</c:v>
                </c:pt>
                <c:pt idx="1180">
                  <c:v>30.537028832376159</c:v>
                </c:pt>
                <c:pt idx="1181">
                  <c:v>33.241481294797175</c:v>
                </c:pt>
                <c:pt idx="1182">
                  <c:v>34.440848582283103</c:v>
                </c:pt>
                <c:pt idx="1183">
                  <c:v>35.084543761606568</c:v>
                </c:pt>
                <c:pt idx="1184">
                  <c:v>34.502340115216896</c:v>
                </c:pt>
                <c:pt idx="1185">
                  <c:v>29.680915610358358</c:v>
                </c:pt>
                <c:pt idx="1186">
                  <c:v>30.945098404525261</c:v>
                </c:pt>
                <c:pt idx="1187">
                  <c:v>32.842634775063502</c:v>
                </c:pt>
                <c:pt idx="1188">
                  <c:v>32.874484752217271</c:v>
                </c:pt>
                <c:pt idx="1189">
                  <c:v>34.347054497759217</c:v>
                </c:pt>
                <c:pt idx="1190">
                  <c:v>31.834613284461529</c:v>
                </c:pt>
                <c:pt idx="1191">
                  <c:v>36.596165374569992</c:v>
                </c:pt>
                <c:pt idx="1192">
                  <c:v>29.858703189698375</c:v>
                </c:pt>
                <c:pt idx="1193">
                  <c:v>33.871792980651243</c:v>
                </c:pt>
                <c:pt idx="1194">
                  <c:v>31.676756039597855</c:v>
                </c:pt>
                <c:pt idx="1195">
                  <c:v>26.002803992468504</c:v>
                </c:pt>
                <c:pt idx="1196">
                  <c:v>28.550870547288106</c:v>
                </c:pt>
                <c:pt idx="1197">
                  <c:v>23.166773316569973</c:v>
                </c:pt>
                <c:pt idx="1198">
                  <c:v>34.013402020287344</c:v>
                </c:pt>
                <c:pt idx="1199">
                  <c:v>35.872094777003092</c:v>
                </c:pt>
                <c:pt idx="1200">
                  <c:v>37.885720564472614</c:v>
                </c:pt>
                <c:pt idx="1201">
                  <c:v>26.939337910640454</c:v>
                </c:pt>
                <c:pt idx="1202">
                  <c:v>39.738097410471717</c:v>
                </c:pt>
                <c:pt idx="1203">
                  <c:v>24.848066004667487</c:v>
                </c:pt>
                <c:pt idx="1204">
                  <c:v>24.686029301071848</c:v>
                </c:pt>
                <c:pt idx="1205">
                  <c:v>30.927352194803955</c:v>
                </c:pt>
                <c:pt idx="1206">
                  <c:v>25.470208472217976</c:v>
                </c:pt>
                <c:pt idx="1207">
                  <c:v>34.269387591937225</c:v>
                </c:pt>
                <c:pt idx="1208">
                  <c:v>32.317033669555741</c:v>
                </c:pt>
                <c:pt idx="1209">
                  <c:v>35.538762748710326</c:v>
                </c:pt>
                <c:pt idx="1210">
                  <c:v>30.552462245013245</c:v>
                </c:pt>
                <c:pt idx="1211">
                  <c:v>30.090266002333813</c:v>
                </c:pt>
                <c:pt idx="1212">
                  <c:v>28.935579101342039</c:v>
                </c:pt>
                <c:pt idx="1213">
                  <c:v>30.382455788294624</c:v>
                </c:pt>
                <c:pt idx="1214">
                  <c:v>39.760566865533512</c:v>
                </c:pt>
                <c:pt idx="1215">
                  <c:v>34.202654730546669</c:v>
                </c:pt>
                <c:pt idx="1216">
                  <c:v>37.705821060727857</c:v>
                </c:pt>
                <c:pt idx="1217">
                  <c:v>38.077833124775836</c:v>
                </c:pt>
                <c:pt idx="1218">
                  <c:v>38.807055944151301</c:v>
                </c:pt>
                <c:pt idx="1219">
                  <c:v>35.519745478303335</c:v>
                </c:pt>
                <c:pt idx="1220">
                  <c:v>35.865841174515651</c:v>
                </c:pt>
                <c:pt idx="1221">
                  <c:v>33.787517430625371</c:v>
                </c:pt>
                <c:pt idx="1222">
                  <c:v>36.560838996721557</c:v>
                </c:pt>
                <c:pt idx="1223">
                  <c:v>33.271861259534873</c:v>
                </c:pt>
                <c:pt idx="1224">
                  <c:v>37.949698433103599</c:v>
                </c:pt>
                <c:pt idx="1225">
                  <c:v>31.703701206885732</c:v>
                </c:pt>
                <c:pt idx="1226">
                  <c:v>31.468987084380203</c:v>
                </c:pt>
                <c:pt idx="1227">
                  <c:v>33.381462684860402</c:v>
                </c:pt>
                <c:pt idx="1228">
                  <c:v>32.307796698338308</c:v>
                </c:pt>
                <c:pt idx="1229">
                  <c:v>30.533540948986285</c:v>
                </c:pt>
                <c:pt idx="1230">
                  <c:v>24.85157904154336</c:v>
                </c:pt>
                <c:pt idx="1231">
                  <c:v>27.823467862529295</c:v>
                </c:pt>
                <c:pt idx="1232">
                  <c:v>35.280923192880522</c:v>
                </c:pt>
                <c:pt idx="1233">
                  <c:v>38.229265177046528</c:v>
                </c:pt>
                <c:pt idx="1234">
                  <c:v>28.997414340266452</c:v>
                </c:pt>
                <c:pt idx="1235">
                  <c:v>31.442162140177309</c:v>
                </c:pt>
                <c:pt idx="1236">
                  <c:v>35.396292141346812</c:v>
                </c:pt>
                <c:pt idx="1237">
                  <c:v>35.42376093860068</c:v>
                </c:pt>
                <c:pt idx="1238">
                  <c:v>35.451229735854561</c:v>
                </c:pt>
                <c:pt idx="1239">
                  <c:v>27.791412815801284</c:v>
                </c:pt>
                <c:pt idx="1240">
                  <c:v>29.371593828097161</c:v>
                </c:pt>
                <c:pt idx="1241">
                  <c:v>28.053306359523383</c:v>
                </c:pt>
                <c:pt idx="1242">
                  <c:v>28.734262023558948</c:v>
                </c:pt>
                <c:pt idx="1243">
                  <c:v>32.431784626806724</c:v>
                </c:pt>
                <c:pt idx="1244">
                  <c:v>30.6623110897022</c:v>
                </c:pt>
                <c:pt idx="1245">
                  <c:v>35.347794893781405</c:v>
                </c:pt>
                <c:pt idx="1246">
                  <c:v>29.746214983098529</c:v>
                </c:pt>
                <c:pt idx="1247">
                  <c:v>29.303979044112552</c:v>
                </c:pt>
                <c:pt idx="1248">
                  <c:v>30.756874886432193</c:v>
                </c:pt>
                <c:pt idx="1249">
                  <c:v>30.785244025451195</c:v>
                </c:pt>
                <c:pt idx="1250">
                  <c:v>33.722577454139248</c:v>
                </c:pt>
                <c:pt idx="1251">
                  <c:v>32.913473249471046</c:v>
                </c:pt>
                <c:pt idx="1252">
                  <c:v>36.807601469506864</c:v>
                </c:pt>
                <c:pt idx="1253">
                  <c:v>28.54567041757144</c:v>
                </c:pt>
                <c:pt idx="1254">
                  <c:v>25.340005021770232</c:v>
                </c:pt>
                <c:pt idx="1255">
                  <c:v>32.47817308102826</c:v>
                </c:pt>
                <c:pt idx="1256">
                  <c:v>25.195198024993459</c:v>
                </c:pt>
                <c:pt idx="1257">
                  <c:v>28.859868994354589</c:v>
                </c:pt>
                <c:pt idx="1258">
                  <c:v>29.798717872008229</c:v>
                </c:pt>
                <c:pt idx="1259">
                  <c:v>31.535672519148761</c:v>
                </c:pt>
                <c:pt idx="1260">
                  <c:v>32.340526861243816</c:v>
                </c:pt>
                <c:pt idx="1261">
                  <c:v>27.857730626455133</c:v>
                </c:pt>
                <c:pt idx="1262">
                  <c:v>32.927346700900543</c:v>
                </c:pt>
                <c:pt idx="1263">
                  <c:v>32.686684739451238</c:v>
                </c:pt>
                <c:pt idx="1264">
                  <c:v>27.095089139560393</c:v>
                </c:pt>
                <c:pt idx="1265">
                  <c:v>26.913671922482525</c:v>
                </c:pt>
                <c:pt idx="1266">
                  <c:v>36.253318615667787</c:v>
                </c:pt>
                <c:pt idx="1267">
                  <c:v>33.337446835263954</c:v>
                </c:pt>
                <c:pt idx="1268">
                  <c:v>35.088058164404359</c:v>
                </c:pt>
                <c:pt idx="1269">
                  <c:v>30.295798631747008</c:v>
                </c:pt>
                <c:pt idx="1270">
                  <c:v>35.146449789186271</c:v>
                </c:pt>
                <c:pt idx="1271">
                  <c:v>27.870013373767154</c:v>
                </c:pt>
                <c:pt idx="1272">
                  <c:v>33.192647609253797</c:v>
                </c:pt>
                <c:pt idx="1273">
                  <c:v>34.928181145479101</c:v>
                </c:pt>
                <c:pt idx="1274">
                  <c:v>34.374671493307687</c:v>
                </c:pt>
                <c:pt idx="1275">
                  <c:v>32.729519191030391</c:v>
                </c:pt>
                <c:pt idx="1276">
                  <c:v>32.223716323739986</c:v>
                </c:pt>
                <c:pt idx="1277">
                  <c:v>28.868582537540142</c:v>
                </c:pt>
                <c:pt idx="1278">
                  <c:v>37.568904701984799</c:v>
                </c:pt>
                <c:pt idx="1279">
                  <c:v>32.301223759275146</c:v>
                </c:pt>
                <c:pt idx="1280">
                  <c:v>36.344504672758603</c:v>
                </c:pt>
                <c:pt idx="1281">
                  <c:v>41.193341932430421</c:v>
                </c:pt>
                <c:pt idx="1282">
                  <c:v>32.906781518528071</c:v>
                </c:pt>
                <c:pt idx="1283">
                  <c:v>34.323697186277393</c:v>
                </c:pt>
                <c:pt idx="1284">
                  <c:v>33.508005292768047</c:v>
                </c:pt>
                <c:pt idx="1285">
                  <c:v>41.32288074353869</c:v>
                </c:pt>
                <c:pt idx="1286">
                  <c:v>29.988011885775713</c:v>
                </c:pt>
                <c:pt idx="1287">
                  <c:v>30.010377646430378</c:v>
                </c:pt>
                <c:pt idx="1288">
                  <c:v>30.507562029988296</c:v>
                </c:pt>
                <c:pt idx="1289">
                  <c:v>29.367254318138404</c:v>
                </c:pt>
                <c:pt idx="1290">
                  <c:v>29.61736898932315</c:v>
                </c:pt>
                <c:pt idx="1291">
                  <c:v>36.34099563255117</c:v>
                </c:pt>
                <c:pt idx="1292">
                  <c:v>30.849962144134214</c:v>
                </c:pt>
                <c:pt idx="1293">
                  <c:v>36.089944286911958</c:v>
                </c:pt>
                <c:pt idx="1294">
                  <c:v>34.912907843097514</c:v>
                </c:pt>
                <c:pt idx="1295">
                  <c:v>31.665160229674878</c:v>
                </c:pt>
                <c:pt idx="1296">
                  <c:v>32.201779995527829</c:v>
                </c:pt>
                <c:pt idx="1297">
                  <c:v>26.789630721983237</c:v>
                </c:pt>
                <c:pt idx="1298">
                  <c:v>28.46308187447665</c:v>
                </c:pt>
                <c:pt idx="1299">
                  <c:v>28.920644438170697</c:v>
                </c:pt>
                <c:pt idx="1300">
                  <c:v>41.047406597191191</c:v>
                </c:pt>
                <c:pt idx="1301">
                  <c:v>33.394252919146702</c:v>
                </c:pt>
                <c:pt idx="1302">
                  <c:v>34.261103575741359</c:v>
                </c:pt>
                <c:pt idx="1303">
                  <c:v>29.233054700795623</c:v>
                </c:pt>
                <c:pt idx="1304">
                  <c:v>33.749101284749329</c:v>
                </c:pt>
                <c:pt idx="1305">
                  <c:v>32.688889250002894</c:v>
                </c:pt>
                <c:pt idx="1306">
                  <c:v>35.233779513164521</c:v>
                </c:pt>
                <c:pt idx="1307">
                  <c:v>39.804846325612957</c:v>
                </c:pt>
                <c:pt idx="1308">
                  <c:v>32.241526495093176</c:v>
                </c:pt>
                <c:pt idx="1309">
                  <c:v>31.252990153143092</c:v>
                </c:pt>
                <c:pt idx="1310">
                  <c:v>22.849004853026859</c:v>
                </c:pt>
                <c:pt idx="1311">
                  <c:v>39.579206403775167</c:v>
                </c:pt>
                <c:pt idx="1312">
                  <c:v>27.303047162775322</c:v>
                </c:pt>
                <c:pt idx="1313">
                  <c:v>29.45683194861564</c:v>
                </c:pt>
                <c:pt idx="1314">
                  <c:v>30.881885608026305</c:v>
                </c:pt>
                <c:pt idx="1315">
                  <c:v>38.320405296469836</c:v>
                </c:pt>
                <c:pt idx="1316">
                  <c:v>29.521383077794486</c:v>
                </c:pt>
                <c:pt idx="1317">
                  <c:v>30.712662530986876</c:v>
                </c:pt>
                <c:pt idx="1318">
                  <c:v>30.735028291641541</c:v>
                </c:pt>
                <c:pt idx="1319">
                  <c:v>37.450144482225106</c:v>
                </c:pt>
                <c:pt idx="1320">
                  <c:v>29.163098195745903</c:v>
                </c:pt>
                <c:pt idx="1321">
                  <c:v>31.293652025696964</c:v>
                </c:pt>
                <c:pt idx="1322">
                  <c:v>40.266402594470058</c:v>
                </c:pt>
                <c:pt idx="1323">
                  <c:v>32.092709307318827</c:v>
                </c:pt>
                <c:pt idx="1324">
                  <c:v>33.985127344138974</c:v>
                </c:pt>
                <c:pt idx="1325">
                  <c:v>27.168005797084653</c:v>
                </c:pt>
                <c:pt idx="1326">
                  <c:v>35.183389219431227</c:v>
                </c:pt>
                <c:pt idx="1327">
                  <c:v>35.208836484887208</c:v>
                </c:pt>
                <c:pt idx="1328">
                  <c:v>28.260579980477555</c:v>
                </c:pt>
                <c:pt idx="1329">
                  <c:v>37.415565934316064</c:v>
                </c:pt>
                <c:pt idx="1330">
                  <c:v>29.165510524253158</c:v>
                </c:pt>
                <c:pt idx="1331">
                  <c:v>34.167313625178252</c:v>
                </c:pt>
                <c:pt idx="1332">
                  <c:v>26.53039849963999</c:v>
                </c:pt>
                <c:pt idx="1333">
                  <c:v>33.390429427939168</c:v>
                </c:pt>
                <c:pt idx="1334">
                  <c:v>29.702168054854873</c:v>
                </c:pt>
                <c:pt idx="1335">
                  <c:v>29.497916500856192</c:v>
                </c:pt>
                <c:pt idx="1336">
                  <c:v>37.609960561771018</c:v>
                </c:pt>
                <c:pt idx="1337">
                  <c:v>32.69236658285201</c:v>
                </c:pt>
                <c:pt idx="1338">
                  <c:v>37.025598441258751</c:v>
                </c:pt>
                <c:pt idx="1339">
                  <c:v>38.016580640769519</c:v>
                </c:pt>
                <c:pt idx="1340">
                  <c:v>31.002289192857461</c:v>
                </c:pt>
                <c:pt idx="1341">
                  <c:v>37.10522338414318</c:v>
                </c:pt>
                <c:pt idx="1342">
                  <c:v>32.814318022041981</c:v>
                </c:pt>
                <c:pt idx="1343">
                  <c:v>31.811653525759318</c:v>
                </c:pt>
                <c:pt idx="1344">
                  <c:v>27.965664974035658</c:v>
                </c:pt>
                <c:pt idx="1345">
                  <c:v>31.122126244855625</c:v>
                </c:pt>
                <c:pt idx="1346">
                  <c:v>29.292290193474312</c:v>
                </c:pt>
                <c:pt idx="1347">
                  <c:v>34.294324720149895</c:v>
                </c:pt>
                <c:pt idx="1348">
                  <c:v>32.187282355845497</c:v>
                </c:pt>
                <c:pt idx="1349">
                  <c:v>34.069362132420828</c:v>
                </c:pt>
                <c:pt idx="1350">
                  <c:v>36.42410990212278</c:v>
                </c:pt>
                <c:pt idx="1351">
                  <c:v>30.778805381346547</c:v>
                </c:pt>
                <c:pt idx="1352">
                  <c:v>35.285020810983262</c:v>
                </c:pt>
                <c:pt idx="1353">
                  <c:v>30.35624434850763</c:v>
                </c:pt>
                <c:pt idx="1354">
                  <c:v>26.58449253934241</c:v>
                </c:pt>
                <c:pt idx="1355">
                  <c:v>41.64228611565116</c:v>
                </c:pt>
                <c:pt idx="1356">
                  <c:v>33.698428740139406</c:v>
                </c:pt>
                <c:pt idx="1357">
                  <c:v>30.918649449528157</c:v>
                </c:pt>
                <c:pt idx="1358">
                  <c:v>32.425435270259833</c:v>
                </c:pt>
                <c:pt idx="1359">
                  <c:v>32.193338841594738</c:v>
                </c:pt>
                <c:pt idx="1360">
                  <c:v>35.785389562758738</c:v>
                </c:pt>
                <c:pt idx="1361">
                  <c:v>32.498713090079626</c:v>
                </c:pt>
                <c:pt idx="1362">
                  <c:v>34.964994098917828</c:v>
                </c:pt>
                <c:pt idx="1363">
                  <c:v>36.468928260419737</c:v>
                </c:pt>
                <c:pt idx="1364">
                  <c:v>34.16885072126572</c:v>
                </c:pt>
                <c:pt idx="1365">
                  <c:v>35.043777355583465</c:v>
                </c:pt>
                <c:pt idx="1366">
                  <c:v>30.184505936651984</c:v>
                </c:pt>
                <c:pt idx="1367">
                  <c:v>31.387805024075256</c:v>
                </c:pt>
                <c:pt idx="1368">
                  <c:v>27.848628271522315</c:v>
                </c:pt>
                <c:pt idx="1369">
                  <c:v>38.210047823125748</c:v>
                </c:pt>
                <c:pt idx="1370">
                  <c:v>30.505044775820036</c:v>
                </c:pt>
                <c:pt idx="1371">
                  <c:v>28.532482619812573</c:v>
                </c:pt>
                <c:pt idx="1372">
                  <c:v>28.342882495835838</c:v>
                </c:pt>
                <c:pt idx="1373">
                  <c:v>24.442749258141426</c:v>
                </c:pt>
                <c:pt idx="1374">
                  <c:v>31.550755604388261</c:v>
                </c:pt>
                <c:pt idx="1375">
                  <c:v>33.358363494877295</c:v>
                </c:pt>
                <c:pt idx="1376">
                  <c:v>32.855942461701133</c:v>
                </c:pt>
                <c:pt idx="1377">
                  <c:v>30.426083701098655</c:v>
                </c:pt>
                <c:pt idx="1378">
                  <c:v>32.906320962827245</c:v>
                </c:pt>
                <c:pt idx="1379">
                  <c:v>39.844356540640334</c:v>
                </c:pt>
                <c:pt idx="1380">
                  <c:v>33.214163257277306</c:v>
                </c:pt>
                <c:pt idx="1381">
                  <c:v>27.50847770699999</c:v>
                </c:pt>
                <c:pt idx="1382">
                  <c:v>28.133674522759154</c:v>
                </c:pt>
                <c:pt idx="1383">
                  <c:v>35.506628988494079</c:v>
                </c:pt>
                <c:pt idx="1384">
                  <c:v>32.531925043433255</c:v>
                </c:pt>
                <c:pt idx="1385">
                  <c:v>26.808857390857654</c:v>
                </c:pt>
                <c:pt idx="1386">
                  <c:v>35.295511927160817</c:v>
                </c:pt>
                <c:pt idx="1387">
                  <c:v>31.12225108142999</c:v>
                </c:pt>
                <c:pt idx="1388">
                  <c:v>28.887741566813595</c:v>
                </c:pt>
                <c:pt idx="1389">
                  <c:v>35.08180300909877</c:v>
                </c:pt>
                <c:pt idx="1390">
                  <c:v>26.714905605715078</c:v>
                </c:pt>
                <c:pt idx="1391">
                  <c:v>41.99970505436449</c:v>
                </c:pt>
                <c:pt idx="1392">
                  <c:v>32.466138166312675</c:v>
                </c:pt>
                <c:pt idx="1393">
                  <c:v>33.52807056811745</c:v>
                </c:pt>
                <c:pt idx="1394">
                  <c:v>34.090117693567912</c:v>
                </c:pt>
                <c:pt idx="1395">
                  <c:v>30.360955761313765</c:v>
                </c:pt>
                <c:pt idx="1396">
                  <c:v>25.372854141814223</c:v>
                </c:pt>
                <c:pt idx="1397">
                  <c:v>32.838489747279361</c:v>
                </c:pt>
                <c:pt idx="1398">
                  <c:v>24.22415579257337</c:v>
                </c:pt>
                <c:pt idx="1399">
                  <c:v>36.81503969968437</c:v>
                </c:pt>
                <c:pt idx="1400">
                  <c:v>34.789933716305164</c:v>
                </c:pt>
                <c:pt idx="1401">
                  <c:v>31.678683406448958</c:v>
                </c:pt>
                <c:pt idx="1402">
                  <c:v>30.747026526145163</c:v>
                </c:pt>
                <c:pt idx="1403">
                  <c:v>38.502056220491205</c:v>
                </c:pt>
                <c:pt idx="1404">
                  <c:v>34.615077793016155</c:v>
                </c:pt>
                <c:pt idx="1405">
                  <c:v>35.201940709322542</c:v>
                </c:pt>
                <c:pt idx="1406">
                  <c:v>32.537978822167226</c:v>
                </c:pt>
                <c:pt idx="1407">
                  <c:v>37.649318564373651</c:v>
                </c:pt>
                <c:pt idx="1408">
                  <c:v>33.620779706070259</c:v>
                </c:pt>
                <c:pt idx="1409">
                  <c:v>33.643679024763941</c:v>
                </c:pt>
                <c:pt idx="1410">
                  <c:v>34.20523504684656</c:v>
                </c:pt>
                <c:pt idx="1411">
                  <c:v>33.689477662151319</c:v>
                </c:pt>
                <c:pt idx="1412">
                  <c:v>27.921633690892143</c:v>
                </c:pt>
                <c:pt idx="1413">
                  <c:v>28.350851359420624</c:v>
                </c:pt>
                <c:pt idx="1414">
                  <c:v>29.865814674278816</c:v>
                </c:pt>
                <c:pt idx="1415">
                  <c:v>36.623583433009088</c:v>
                </c:pt>
                <c:pt idx="1416">
                  <c:v>29.47052590683775</c:v>
                </c:pt>
                <c:pt idx="1417">
                  <c:v>36.081810172666962</c:v>
                </c:pt>
                <c:pt idx="1418">
                  <c:v>37.941850074483966</c:v>
                </c:pt>
                <c:pt idx="1419">
                  <c:v>34.428585785827465</c:v>
                </c:pt>
                <c:pt idx="1420">
                  <c:v>42.121933194573536</c:v>
                </c:pt>
                <c:pt idx="1421">
                  <c:v>37.087064716778983</c:v>
                </c:pt>
                <c:pt idx="1422">
                  <c:v>34.225129449541896</c:v>
                </c:pt>
                <c:pt idx="1423">
                  <c:v>30.060274672158009</c:v>
                </c:pt>
                <c:pt idx="1424">
                  <c:v>34.005488260124189</c:v>
                </c:pt>
                <c:pt idx="1425">
                  <c:v>31.016348316590303</c:v>
                </c:pt>
                <c:pt idx="1426">
                  <c:v>36.609594581812985</c:v>
                </c:pt>
                <c:pt idx="1427">
                  <c:v>25.236565065610801</c:v>
                </c:pt>
                <c:pt idx="1428">
                  <c:v>27.84200893496682</c:v>
                </c:pt>
                <c:pt idx="1429">
                  <c:v>35.229742471761149</c:v>
                </c:pt>
                <c:pt idx="1430">
                  <c:v>25.635027977598138</c:v>
                </c:pt>
                <c:pt idx="1431">
                  <c:v>35.277024370126149</c:v>
                </c:pt>
                <c:pt idx="1432">
                  <c:v>37.688223394234058</c:v>
                </c:pt>
                <c:pt idx="1433">
                  <c:v>31.428424378024168</c:v>
                </c:pt>
                <c:pt idx="1434">
                  <c:v>35.070419647056596</c:v>
                </c:pt>
                <c:pt idx="1435">
                  <c:v>33.468124243641682</c:v>
                </c:pt>
                <c:pt idx="1436">
                  <c:v>27.021640540739497</c:v>
                </c:pt>
                <c:pt idx="1437">
                  <c:v>33.780725381159279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EC-C540-B4D2-C24705DC02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961871"/>
        <c:axId val="319154703"/>
      </c:scatterChart>
      <c:valAx>
        <c:axId val="259961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319154703"/>
        <c:crosses val="autoZero"/>
        <c:crossBetween val="midCat"/>
      </c:valAx>
      <c:valAx>
        <c:axId val="3191547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2599618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0</xdr:rowOff>
    </xdr:from>
    <xdr:to>
      <xdr:col>19</xdr:col>
      <xdr:colOff>762000</xdr:colOff>
      <xdr:row>27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C01AA8C-2E74-0A44-8539-592626E49A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42</xdr:col>
      <xdr:colOff>825499</xdr:colOff>
      <xdr:row>1</xdr:row>
      <xdr:rowOff>0</xdr:rowOff>
    </xdr:from>
    <xdr:to>
      <xdr:col>53</xdr:col>
      <xdr:colOff>740832</xdr:colOff>
      <xdr:row>27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A575F0A-7CBD-C14A-B9FD-0FC33677E3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42</xdr:col>
      <xdr:colOff>825499</xdr:colOff>
      <xdr:row>29</xdr:row>
      <xdr:rowOff>0</xdr:rowOff>
    </xdr:from>
    <xdr:to>
      <xdr:col>53</xdr:col>
      <xdr:colOff>677332</xdr:colOff>
      <xdr:row>55</xdr:row>
      <xdr:rowOff>76200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0AE22D3-B03E-E442-8EF8-53816E46E0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42</xdr:col>
      <xdr:colOff>825499</xdr:colOff>
      <xdr:row>57</xdr:row>
      <xdr:rowOff>0</xdr:rowOff>
    </xdr:from>
    <xdr:to>
      <xdr:col>53</xdr:col>
      <xdr:colOff>613832</xdr:colOff>
      <xdr:row>83</xdr:row>
      <xdr:rowOff>38100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2D21F75-93C7-EA41-B6EF-6F57AD156F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1069"/>
  <sheetViews>
    <sheetView workbookViewId="0">
      <selection activeCell="M33" sqref="M33"/>
    </sheetView>
  </sheetViews>
  <sheetFormatPr baseColWidth="10" defaultRowHeight="16" x14ac:dyDescent="0.2"/>
  <sheetData>
    <row r="1" spans="1:8" x14ac:dyDescent="0.2">
      <c r="A1" t="s">
        <v>0</v>
      </c>
      <c r="G1" t="s">
        <v>67</v>
      </c>
      <c r="H1" t="s">
        <v>68</v>
      </c>
    </row>
    <row r="3" spans="1:8" x14ac:dyDescent="0.2">
      <c r="A3" t="s">
        <v>1</v>
      </c>
      <c r="G3">
        <v>0</v>
      </c>
      <c r="H3">
        <v>0</v>
      </c>
    </row>
    <row r="4" spans="1:8" x14ac:dyDescent="0.2">
      <c r="G4">
        <v>2E-3</v>
      </c>
      <c r="H4">
        <v>2.4500000000000001E-2</v>
      </c>
    </row>
    <row r="5" spans="1:8" x14ac:dyDescent="0.2">
      <c r="A5" t="e">
        <f>+ Sinus</f>
        <v>#NAME?</v>
      </c>
      <c r="G5">
        <v>5.5999999999999999E-3</v>
      </c>
      <c r="H5">
        <v>6.1199999999999997E-2</v>
      </c>
    </row>
    <row r="6" spans="1:8" x14ac:dyDescent="0.2">
      <c r="A6" t="s">
        <v>2</v>
      </c>
      <c r="B6">
        <v>75</v>
      </c>
      <c r="C6" t="s">
        <v>3</v>
      </c>
      <c r="G6">
        <v>1.0500000000000001E-2</v>
      </c>
      <c r="H6">
        <v>0.24</v>
      </c>
    </row>
    <row r="7" spans="1:8" x14ac:dyDescent="0.2">
      <c r="A7" t="s">
        <v>4</v>
      </c>
      <c r="B7">
        <v>25</v>
      </c>
      <c r="C7" t="s">
        <v>5</v>
      </c>
      <c r="G7">
        <v>1.44E-2</v>
      </c>
      <c r="H7">
        <v>0.43159999999999998</v>
      </c>
    </row>
    <row r="8" spans="1:8" x14ac:dyDescent="0.2">
      <c r="A8" t="s">
        <v>6</v>
      </c>
      <c r="B8">
        <v>25</v>
      </c>
      <c r="C8" t="s">
        <v>5</v>
      </c>
      <c r="G8">
        <v>1.5900000000000001E-2</v>
      </c>
      <c r="H8">
        <v>0.55189999999999995</v>
      </c>
    </row>
    <row r="9" spans="1:8" x14ac:dyDescent="0.2">
      <c r="A9" t="s">
        <v>7</v>
      </c>
      <c r="B9" t="s">
        <v>8</v>
      </c>
      <c r="G9">
        <v>2.0799999999999999E-2</v>
      </c>
      <c r="H9">
        <v>0.60709999999999997</v>
      </c>
    </row>
    <row r="10" spans="1:8" x14ac:dyDescent="0.2">
      <c r="A10" t="s">
        <v>9</v>
      </c>
      <c r="B10" t="s">
        <v>10</v>
      </c>
      <c r="G10">
        <v>2.18E-2</v>
      </c>
      <c r="H10">
        <v>0.7339</v>
      </c>
    </row>
    <row r="11" spans="1:8" x14ac:dyDescent="0.2">
      <c r="A11" t="s">
        <v>11</v>
      </c>
      <c r="B11">
        <v>2</v>
      </c>
      <c r="C11" t="s">
        <v>3</v>
      </c>
      <c r="G11">
        <v>2.7400000000000001E-2</v>
      </c>
      <c r="H11">
        <v>0.96630000000000005</v>
      </c>
    </row>
    <row r="12" spans="1:8" x14ac:dyDescent="0.2">
      <c r="G12">
        <v>2.9899999999999999E-2</v>
      </c>
      <c r="H12">
        <v>1.2437</v>
      </c>
    </row>
    <row r="13" spans="1:8" x14ac:dyDescent="0.2">
      <c r="A13" t="s">
        <v>12</v>
      </c>
      <c r="G13">
        <v>3.1699999999999999E-2</v>
      </c>
      <c r="H13">
        <v>1.4011</v>
      </c>
    </row>
    <row r="14" spans="1:8" x14ac:dyDescent="0.2">
      <c r="A14" t="s">
        <v>13</v>
      </c>
      <c r="G14">
        <v>3.2500000000000001E-2</v>
      </c>
      <c r="H14">
        <v>1.4193</v>
      </c>
    </row>
    <row r="15" spans="1:8" x14ac:dyDescent="0.2">
      <c r="A15" t="s">
        <v>14</v>
      </c>
      <c r="G15">
        <v>3.4700000000000002E-2</v>
      </c>
      <c r="H15">
        <v>1.4618</v>
      </c>
    </row>
    <row r="16" spans="1:8" x14ac:dyDescent="0.2">
      <c r="A16" t="s">
        <v>15</v>
      </c>
      <c r="G16">
        <v>3.7699999999999997E-2</v>
      </c>
      <c r="H16">
        <v>1.6698</v>
      </c>
    </row>
    <row r="17" spans="1:8" x14ac:dyDescent="0.2">
      <c r="A17" t="s">
        <v>16</v>
      </c>
      <c r="G17">
        <v>4.1799999999999997E-2</v>
      </c>
      <c r="H17">
        <v>1.9857</v>
      </c>
    </row>
    <row r="18" spans="1:8" x14ac:dyDescent="0.2">
      <c r="A18" t="s">
        <v>17</v>
      </c>
      <c r="G18">
        <v>4.3799999999999999E-2</v>
      </c>
      <c r="H18">
        <v>2.2299000000000002</v>
      </c>
    </row>
    <row r="19" spans="1:8" x14ac:dyDescent="0.2">
      <c r="A19" t="s">
        <v>18</v>
      </c>
      <c r="G19">
        <v>4.4600000000000001E-2</v>
      </c>
      <c r="H19">
        <v>2.2753999999999999</v>
      </c>
    </row>
    <row r="20" spans="1:8" x14ac:dyDescent="0.2">
      <c r="G20">
        <v>4.6100000000000002E-2</v>
      </c>
      <c r="H20">
        <v>2.2456</v>
      </c>
    </row>
    <row r="21" spans="1:8" x14ac:dyDescent="0.2">
      <c r="A21" t="s">
        <v>19</v>
      </c>
      <c r="G21">
        <v>4.7699999999999999E-2</v>
      </c>
      <c r="H21">
        <v>2.3584999999999998</v>
      </c>
    </row>
    <row r="22" spans="1:8" x14ac:dyDescent="0.2">
      <c r="A22" t="s">
        <v>20</v>
      </c>
      <c r="G22">
        <v>5.2299999999999999E-2</v>
      </c>
      <c r="H22">
        <v>2.6814</v>
      </c>
    </row>
    <row r="23" spans="1:8" x14ac:dyDescent="0.2">
      <c r="A23" t="s">
        <v>21</v>
      </c>
      <c r="G23">
        <v>5.3900000000000003E-2</v>
      </c>
      <c r="H23">
        <v>3.0123000000000002</v>
      </c>
    </row>
    <row r="24" spans="1:8" x14ac:dyDescent="0.2">
      <c r="G24">
        <v>5.5300000000000002E-2</v>
      </c>
      <c r="H24">
        <v>3.1454</v>
      </c>
    </row>
    <row r="25" spans="1:8" x14ac:dyDescent="0.2">
      <c r="A25" t="s">
        <v>22</v>
      </c>
      <c r="G25">
        <v>5.6399999999999999E-2</v>
      </c>
      <c r="H25">
        <v>3.0914999999999999</v>
      </c>
    </row>
    <row r="26" spans="1:8" x14ac:dyDescent="0.2">
      <c r="A26" t="s">
        <v>23</v>
      </c>
      <c r="G26">
        <v>5.7000000000000002E-2</v>
      </c>
      <c r="H26">
        <v>3.0996999999999999</v>
      </c>
    </row>
    <row r="27" spans="1:8" x14ac:dyDescent="0.2">
      <c r="G27">
        <v>6.0900000000000003E-2</v>
      </c>
      <c r="H27">
        <v>3.3458000000000001</v>
      </c>
    </row>
    <row r="28" spans="1:8" x14ac:dyDescent="0.2">
      <c r="A28" t="s">
        <v>24</v>
      </c>
      <c r="B28" t="s">
        <v>25</v>
      </c>
      <c r="G28">
        <v>6.3899999999999998E-2</v>
      </c>
      <c r="H28">
        <v>3.7275</v>
      </c>
    </row>
    <row r="29" spans="1:8" x14ac:dyDescent="0.2">
      <c r="G29">
        <v>6.4500000000000002E-2</v>
      </c>
      <c r="H29">
        <v>3.9794999999999998</v>
      </c>
    </row>
    <row r="30" spans="1:8" x14ac:dyDescent="0.2">
      <c r="A30" t="s">
        <v>26</v>
      </c>
      <c r="G30">
        <v>6.4600000000000005E-2</v>
      </c>
      <c r="H30">
        <v>3.9786999999999999</v>
      </c>
    </row>
    <row r="31" spans="1:8" x14ac:dyDescent="0.2">
      <c r="G31">
        <v>6.7100000000000007E-2</v>
      </c>
      <c r="H31">
        <v>3.9026999999999998</v>
      </c>
    </row>
    <row r="32" spans="1:8" x14ac:dyDescent="0.2">
      <c r="A32" t="s">
        <v>27</v>
      </c>
      <c r="G32">
        <v>6.9800000000000001E-2</v>
      </c>
      <c r="H32">
        <v>4.0221999999999998</v>
      </c>
    </row>
    <row r="33" spans="1:8" x14ac:dyDescent="0.2">
      <c r="G33">
        <v>7.22E-2</v>
      </c>
      <c r="H33">
        <v>4.3883999999999999</v>
      </c>
    </row>
    <row r="34" spans="1:8" x14ac:dyDescent="0.2">
      <c r="A34" t="s">
        <v>28</v>
      </c>
      <c r="G34">
        <v>7.5899999999999995E-2</v>
      </c>
      <c r="H34">
        <v>4.7613000000000003</v>
      </c>
    </row>
    <row r="35" spans="1:8" x14ac:dyDescent="0.2">
      <c r="G35">
        <v>7.6499999999999999E-2</v>
      </c>
      <c r="H35">
        <v>4.8663999999999996</v>
      </c>
    </row>
    <row r="36" spans="1:8" x14ac:dyDescent="0.2">
      <c r="A36" t="s">
        <v>29</v>
      </c>
      <c r="B36">
        <v>7.0654000000000003</v>
      </c>
      <c r="C36" t="s">
        <v>30</v>
      </c>
      <c r="G36">
        <v>7.5300000000000006E-2</v>
      </c>
      <c r="H36">
        <v>4.7675000000000001</v>
      </c>
    </row>
    <row r="37" spans="1:8" x14ac:dyDescent="0.2">
      <c r="A37" t="s">
        <v>31</v>
      </c>
      <c r="B37">
        <v>65.591999999999999</v>
      </c>
      <c r="C37" t="s">
        <v>30</v>
      </c>
      <c r="G37">
        <v>7.8799999999999995E-2</v>
      </c>
      <c r="H37">
        <v>4.7546999999999997</v>
      </c>
    </row>
    <row r="38" spans="1:8" x14ac:dyDescent="0.2">
      <c r="A38" t="s">
        <v>32</v>
      </c>
      <c r="B38">
        <v>69.963999999999999</v>
      </c>
      <c r="C38" t="s">
        <v>30</v>
      </c>
      <c r="G38">
        <v>8.5900000000000004E-2</v>
      </c>
      <c r="H38">
        <v>5.0255999999999998</v>
      </c>
    </row>
    <row r="39" spans="1:8" x14ac:dyDescent="0.2">
      <c r="G39">
        <v>8.9099999999999999E-2</v>
      </c>
      <c r="H39">
        <v>5.4671000000000003</v>
      </c>
    </row>
    <row r="40" spans="1:8" x14ac:dyDescent="0.2">
      <c r="A40" t="s">
        <v>33</v>
      </c>
      <c r="G40">
        <v>9.0300000000000005E-2</v>
      </c>
      <c r="H40">
        <v>5.7095000000000002</v>
      </c>
    </row>
    <row r="41" spans="1:8" x14ac:dyDescent="0.2">
      <c r="G41">
        <v>8.9499999999999996E-2</v>
      </c>
      <c r="H41">
        <v>5.6707000000000001</v>
      </c>
    </row>
    <row r="42" spans="1:8" x14ac:dyDescent="0.2">
      <c r="A42" t="s">
        <v>34</v>
      </c>
      <c r="G42">
        <v>9.2100000000000001E-2</v>
      </c>
      <c r="H42">
        <v>5.5537000000000001</v>
      </c>
    </row>
    <row r="43" spans="1:8" x14ac:dyDescent="0.2">
      <c r="A43" t="s">
        <v>35</v>
      </c>
      <c r="G43">
        <v>9.4100000000000003E-2</v>
      </c>
      <c r="H43">
        <v>5.6943999999999999</v>
      </c>
    </row>
    <row r="44" spans="1:8" x14ac:dyDescent="0.2">
      <c r="A44" t="s">
        <v>36</v>
      </c>
      <c r="B44">
        <v>0.25</v>
      </c>
      <c r="G44">
        <v>9.8500000000000004E-2</v>
      </c>
      <c r="H44">
        <v>6.1094999999999997</v>
      </c>
    </row>
    <row r="45" spans="1:8" x14ac:dyDescent="0.2">
      <c r="G45">
        <v>0.10059999999999999</v>
      </c>
      <c r="H45">
        <v>6.4999000000000002</v>
      </c>
    </row>
    <row r="46" spans="1:8" x14ac:dyDescent="0.2">
      <c r="A46" t="s">
        <v>37</v>
      </c>
      <c r="G46">
        <v>0.1003</v>
      </c>
      <c r="H46">
        <v>6.5843999999999996</v>
      </c>
    </row>
    <row r="47" spans="1:8" x14ac:dyDescent="0.2">
      <c r="G47">
        <v>0.1017</v>
      </c>
      <c r="H47">
        <v>6.4311999999999996</v>
      </c>
    </row>
    <row r="48" spans="1:8" x14ac:dyDescent="0.2">
      <c r="A48" t="s">
        <v>38</v>
      </c>
      <c r="B48">
        <v>720.22</v>
      </c>
      <c r="C48" t="s">
        <v>39</v>
      </c>
      <c r="G48">
        <v>0.1023</v>
      </c>
      <c r="H48">
        <v>6.4130000000000003</v>
      </c>
    </row>
    <row r="49" spans="1:8" x14ac:dyDescent="0.2">
      <c r="A49" t="s">
        <v>40</v>
      </c>
      <c r="B49">
        <v>3.84</v>
      </c>
      <c r="C49" t="s">
        <v>41</v>
      </c>
      <c r="G49">
        <v>0.10639999999999999</v>
      </c>
      <c r="H49">
        <v>6.7340999999999998</v>
      </c>
    </row>
    <row r="50" spans="1:8" x14ac:dyDescent="0.2">
      <c r="A50" t="s">
        <v>42</v>
      </c>
      <c r="B50" s="1">
        <v>0.1444</v>
      </c>
      <c r="G50">
        <v>0.1101</v>
      </c>
      <c r="H50">
        <v>7.2012999999999998</v>
      </c>
    </row>
    <row r="51" spans="1:8" x14ac:dyDescent="0.2">
      <c r="A51" t="s">
        <v>43</v>
      </c>
      <c r="B51">
        <v>75.099999999999994</v>
      </c>
      <c r="C51" t="s">
        <v>3</v>
      </c>
      <c r="G51">
        <v>0.1099</v>
      </c>
      <c r="H51">
        <v>7.4459</v>
      </c>
    </row>
    <row r="52" spans="1:8" x14ac:dyDescent="0.2">
      <c r="A52" t="s">
        <v>44</v>
      </c>
      <c r="B52">
        <v>1.51</v>
      </c>
      <c r="C52" t="s">
        <v>45</v>
      </c>
      <c r="G52">
        <v>0.11119999999999999</v>
      </c>
      <c r="H52">
        <v>7.3564999999999996</v>
      </c>
    </row>
    <row r="53" spans="1:8" x14ac:dyDescent="0.2">
      <c r="A53" t="s">
        <v>46</v>
      </c>
      <c r="B53">
        <v>242.58949999999999</v>
      </c>
      <c r="C53" t="s">
        <v>47</v>
      </c>
      <c r="G53">
        <v>0.1125</v>
      </c>
      <c r="H53">
        <v>7.2098000000000004</v>
      </c>
    </row>
    <row r="54" spans="1:8" x14ac:dyDescent="0.2">
      <c r="A54" t="s">
        <v>48</v>
      </c>
      <c r="B54">
        <v>1.2999999999999999E-3</v>
      </c>
      <c r="C54" t="s">
        <v>49</v>
      </c>
      <c r="G54">
        <v>0.11550000000000001</v>
      </c>
      <c r="H54">
        <v>7.37</v>
      </c>
    </row>
    <row r="55" spans="1:8" x14ac:dyDescent="0.2">
      <c r="A55" t="s">
        <v>50</v>
      </c>
      <c r="B55">
        <v>1.28</v>
      </c>
      <c r="C55" t="s">
        <v>45</v>
      </c>
      <c r="G55">
        <v>0.11849999999999999</v>
      </c>
      <c r="H55">
        <v>7.8379000000000003</v>
      </c>
    </row>
    <row r="56" spans="1:8" x14ac:dyDescent="0.2">
      <c r="A56" t="s">
        <v>51</v>
      </c>
      <c r="B56">
        <v>1.2</v>
      </c>
      <c r="C56" t="s">
        <v>45</v>
      </c>
      <c r="G56">
        <v>0.12</v>
      </c>
      <c r="H56">
        <v>8.2437000000000005</v>
      </c>
    </row>
    <row r="57" spans="1:8" x14ac:dyDescent="0.2">
      <c r="A57" t="s">
        <v>52</v>
      </c>
      <c r="B57">
        <v>0.85</v>
      </c>
      <c r="C57" t="s">
        <v>45</v>
      </c>
      <c r="G57">
        <v>0.12139999999999999</v>
      </c>
      <c r="H57">
        <v>8.2872000000000003</v>
      </c>
    </row>
    <row r="58" spans="1:8" x14ac:dyDescent="0.2">
      <c r="A58" t="s">
        <v>53</v>
      </c>
      <c r="B58">
        <v>2.1246</v>
      </c>
      <c r="G58">
        <v>0.1227</v>
      </c>
      <c r="H58">
        <v>8.0921000000000003</v>
      </c>
    </row>
    <row r="59" spans="1:8" x14ac:dyDescent="0.2">
      <c r="A59" t="s">
        <v>54</v>
      </c>
      <c r="B59">
        <v>0.73</v>
      </c>
      <c r="G59">
        <v>0.124</v>
      </c>
      <c r="H59">
        <v>8.0742999999999991</v>
      </c>
    </row>
    <row r="60" spans="1:8" x14ac:dyDescent="0.2">
      <c r="A60" t="s">
        <v>55</v>
      </c>
      <c r="B60">
        <v>0.999</v>
      </c>
      <c r="G60">
        <v>0.12809999999999999</v>
      </c>
      <c r="H60">
        <v>8.4445999999999994</v>
      </c>
    </row>
    <row r="61" spans="1:8" x14ac:dyDescent="0.2">
      <c r="A61" t="s">
        <v>56</v>
      </c>
      <c r="B61">
        <v>10.63</v>
      </c>
      <c r="C61" t="s">
        <v>57</v>
      </c>
      <c r="G61">
        <v>0.13120000000000001</v>
      </c>
      <c r="H61">
        <v>8.9428999999999998</v>
      </c>
    </row>
    <row r="62" spans="1:8" x14ac:dyDescent="0.2">
      <c r="A62" t="s">
        <v>58</v>
      </c>
      <c r="B62" t="s">
        <v>59</v>
      </c>
      <c r="G62">
        <v>0.13059999999999999</v>
      </c>
      <c r="H62">
        <v>9.1762999999999995</v>
      </c>
    </row>
    <row r="63" spans="1:8" x14ac:dyDescent="0.2">
      <c r="A63" t="s">
        <v>60</v>
      </c>
      <c r="B63" t="s">
        <v>61</v>
      </c>
      <c r="G63">
        <v>0.1333</v>
      </c>
      <c r="H63">
        <v>9.0295000000000005</v>
      </c>
    </row>
    <row r="64" spans="1:8" x14ac:dyDescent="0.2">
      <c r="A64" t="s">
        <v>62</v>
      </c>
      <c r="B64" t="s">
        <v>63</v>
      </c>
      <c r="G64">
        <v>0.1343</v>
      </c>
      <c r="H64">
        <v>8.8707999999999991</v>
      </c>
    </row>
    <row r="65" spans="1:8" x14ac:dyDescent="0.2">
      <c r="A65" t="s">
        <v>64</v>
      </c>
      <c r="B65">
        <v>65.941000000000003</v>
      </c>
      <c r="C65" t="s">
        <v>30</v>
      </c>
      <c r="G65">
        <v>0.13669999999999999</v>
      </c>
      <c r="H65">
        <v>9.0627999999999993</v>
      </c>
    </row>
    <row r="66" spans="1:8" x14ac:dyDescent="0.2">
      <c r="G66">
        <v>0.1399</v>
      </c>
      <c r="H66">
        <v>9.5693999999999999</v>
      </c>
    </row>
    <row r="67" spans="1:8" x14ac:dyDescent="0.2">
      <c r="A67" t="s">
        <v>65</v>
      </c>
      <c r="G67">
        <v>0.1429</v>
      </c>
      <c r="H67">
        <v>9.9778000000000002</v>
      </c>
    </row>
    <row r="68" spans="1:8" x14ac:dyDescent="0.2">
      <c r="A68" t="s">
        <v>66</v>
      </c>
      <c r="B68" t="s">
        <v>67</v>
      </c>
      <c r="C68" t="s">
        <v>68</v>
      </c>
      <c r="D68" t="s">
        <v>69</v>
      </c>
      <c r="E68" t="s">
        <v>70</v>
      </c>
      <c r="G68">
        <v>0.1434</v>
      </c>
      <c r="H68">
        <v>9.9869000000000003</v>
      </c>
    </row>
    <row r="69" spans="1:8" x14ac:dyDescent="0.2">
      <c r="G69">
        <v>0.1447</v>
      </c>
      <c r="H69">
        <v>9.7550000000000008</v>
      </c>
    </row>
    <row r="70" spans="1:8" x14ac:dyDescent="0.2">
      <c r="A70">
        <v>0</v>
      </c>
      <c r="B70">
        <v>0</v>
      </c>
      <c r="C70">
        <v>0</v>
      </c>
      <c r="D70">
        <v>0</v>
      </c>
      <c r="E70">
        <v>0</v>
      </c>
      <c r="G70">
        <v>0.1469</v>
      </c>
      <c r="H70">
        <v>9.7468000000000004</v>
      </c>
    </row>
    <row r="71" spans="1:8" x14ac:dyDescent="0.2">
      <c r="A71">
        <v>0.3705</v>
      </c>
      <c r="B71">
        <v>2E-3</v>
      </c>
      <c r="C71">
        <v>2.4500000000000001E-2</v>
      </c>
      <c r="D71">
        <v>0</v>
      </c>
      <c r="E71">
        <v>0</v>
      </c>
      <c r="G71">
        <v>0.15</v>
      </c>
      <c r="H71">
        <v>10.1518</v>
      </c>
    </row>
    <row r="72" spans="1:8" x14ac:dyDescent="0.2">
      <c r="A72">
        <v>0.74099999999999999</v>
      </c>
      <c r="B72">
        <v>5.5999999999999999E-3</v>
      </c>
      <c r="C72">
        <v>6.1199999999999997E-2</v>
      </c>
      <c r="D72">
        <v>0</v>
      </c>
      <c r="E72">
        <v>1</v>
      </c>
      <c r="G72">
        <v>0.15409999999999999</v>
      </c>
      <c r="H72">
        <v>10.6836</v>
      </c>
    </row>
    <row r="73" spans="1:8" x14ac:dyDescent="0.2">
      <c r="A73">
        <v>1.1114999999999999</v>
      </c>
      <c r="B73">
        <v>1.0500000000000001E-2</v>
      </c>
      <c r="C73">
        <v>0.24</v>
      </c>
      <c r="D73">
        <v>0</v>
      </c>
      <c r="E73">
        <v>1</v>
      </c>
      <c r="G73">
        <v>0.15479999999999999</v>
      </c>
      <c r="H73">
        <v>10.885</v>
      </c>
    </row>
    <row r="74" spans="1:8" x14ac:dyDescent="0.2">
      <c r="A74">
        <v>1.482</v>
      </c>
      <c r="B74">
        <v>1.44E-2</v>
      </c>
      <c r="C74">
        <v>0.43159999999999998</v>
      </c>
      <c r="D74">
        <v>0</v>
      </c>
      <c r="E74">
        <v>1</v>
      </c>
      <c r="G74">
        <v>0.1537</v>
      </c>
      <c r="H74">
        <v>10.7163</v>
      </c>
    </row>
    <row r="75" spans="1:8" x14ac:dyDescent="0.2">
      <c r="A75">
        <v>1.8525</v>
      </c>
      <c r="B75">
        <v>1.5900000000000001E-2</v>
      </c>
      <c r="C75">
        <v>0.55189999999999995</v>
      </c>
      <c r="D75">
        <v>0</v>
      </c>
      <c r="E75">
        <v>1</v>
      </c>
      <c r="G75">
        <v>0.155</v>
      </c>
      <c r="H75">
        <v>10.5319</v>
      </c>
    </row>
    <row r="76" spans="1:8" x14ac:dyDescent="0.2">
      <c r="A76">
        <v>2.2229000000000001</v>
      </c>
      <c r="B76">
        <v>2.0799999999999999E-2</v>
      </c>
      <c r="C76">
        <v>0.60709999999999997</v>
      </c>
      <c r="D76">
        <v>0</v>
      </c>
      <c r="E76">
        <v>1</v>
      </c>
      <c r="G76">
        <v>0.15939999999999999</v>
      </c>
      <c r="H76">
        <v>10.7492</v>
      </c>
    </row>
    <row r="77" spans="1:8" x14ac:dyDescent="0.2">
      <c r="A77">
        <v>2.5933999999999999</v>
      </c>
      <c r="B77">
        <v>2.18E-2</v>
      </c>
      <c r="C77">
        <v>0.7339</v>
      </c>
      <c r="D77">
        <v>0</v>
      </c>
      <c r="E77">
        <v>1</v>
      </c>
      <c r="G77">
        <v>0.16270000000000001</v>
      </c>
      <c r="H77">
        <v>11.305099999999999</v>
      </c>
    </row>
    <row r="78" spans="1:8" x14ac:dyDescent="0.2">
      <c r="A78">
        <v>2.9639000000000002</v>
      </c>
      <c r="B78">
        <v>2.7400000000000001E-2</v>
      </c>
      <c r="C78">
        <v>0.96630000000000005</v>
      </c>
      <c r="D78">
        <v>0</v>
      </c>
      <c r="E78">
        <v>1</v>
      </c>
      <c r="G78">
        <v>0.16270000000000001</v>
      </c>
      <c r="H78">
        <v>11.7117</v>
      </c>
    </row>
    <row r="79" spans="1:8" x14ac:dyDescent="0.2">
      <c r="A79">
        <v>3.3344</v>
      </c>
      <c r="B79">
        <v>2.9899999999999999E-2</v>
      </c>
      <c r="C79">
        <v>1.2437</v>
      </c>
      <c r="D79">
        <v>0</v>
      </c>
      <c r="E79">
        <v>1</v>
      </c>
      <c r="G79">
        <v>0.16370000000000001</v>
      </c>
      <c r="H79">
        <v>11.678599999999999</v>
      </c>
    </row>
    <row r="80" spans="1:8" x14ac:dyDescent="0.2">
      <c r="A80">
        <v>3.7048999999999999</v>
      </c>
      <c r="B80">
        <v>3.1699999999999999E-2</v>
      </c>
      <c r="C80">
        <v>1.4011</v>
      </c>
      <c r="D80">
        <v>0</v>
      </c>
      <c r="E80">
        <v>1</v>
      </c>
      <c r="G80">
        <v>0.1628</v>
      </c>
      <c r="H80">
        <v>11.4217</v>
      </c>
    </row>
    <row r="81" spans="1:8" x14ac:dyDescent="0.2">
      <c r="A81">
        <v>4.0754000000000001</v>
      </c>
      <c r="B81">
        <v>3.2500000000000001E-2</v>
      </c>
      <c r="C81">
        <v>1.4193</v>
      </c>
      <c r="D81">
        <v>0</v>
      </c>
      <c r="E81">
        <v>1</v>
      </c>
      <c r="G81">
        <v>0.16600000000000001</v>
      </c>
      <c r="H81">
        <v>11.428900000000001</v>
      </c>
    </row>
    <row r="82" spans="1:8" x14ac:dyDescent="0.2">
      <c r="A82">
        <v>4.4459</v>
      </c>
      <c r="B82">
        <v>3.4700000000000002E-2</v>
      </c>
      <c r="C82">
        <v>1.4618</v>
      </c>
      <c r="D82">
        <v>0</v>
      </c>
      <c r="E82">
        <v>1</v>
      </c>
      <c r="G82">
        <v>0.1706</v>
      </c>
      <c r="H82">
        <v>11.8636</v>
      </c>
    </row>
    <row r="83" spans="1:8" x14ac:dyDescent="0.2">
      <c r="A83">
        <v>4.8163999999999998</v>
      </c>
      <c r="B83">
        <v>3.7699999999999997E-2</v>
      </c>
      <c r="C83">
        <v>1.6698</v>
      </c>
      <c r="D83">
        <v>0</v>
      </c>
      <c r="E83">
        <v>1</v>
      </c>
      <c r="G83">
        <v>0.1719</v>
      </c>
      <c r="H83">
        <v>12.418699999999999</v>
      </c>
    </row>
    <row r="84" spans="1:8" x14ac:dyDescent="0.2">
      <c r="A84">
        <v>5.1868999999999996</v>
      </c>
      <c r="B84">
        <v>4.1799999999999997E-2</v>
      </c>
      <c r="C84">
        <v>1.9857</v>
      </c>
      <c r="D84">
        <v>0</v>
      </c>
      <c r="E84">
        <v>1</v>
      </c>
      <c r="G84">
        <v>0.1731</v>
      </c>
      <c r="H84">
        <v>12.6051</v>
      </c>
    </row>
    <row r="85" spans="1:8" x14ac:dyDescent="0.2">
      <c r="A85">
        <v>5.5574000000000003</v>
      </c>
      <c r="B85">
        <v>4.3799999999999999E-2</v>
      </c>
      <c r="C85">
        <v>2.2299000000000002</v>
      </c>
      <c r="D85">
        <v>0</v>
      </c>
      <c r="E85">
        <v>1</v>
      </c>
      <c r="G85">
        <v>0.17269999999999999</v>
      </c>
      <c r="H85">
        <v>12.379200000000001</v>
      </c>
    </row>
    <row r="86" spans="1:8" x14ac:dyDescent="0.2">
      <c r="A86">
        <v>5.9278000000000004</v>
      </c>
      <c r="B86">
        <v>4.4600000000000001E-2</v>
      </c>
      <c r="C86">
        <v>2.2753999999999999</v>
      </c>
      <c r="D86">
        <v>0</v>
      </c>
      <c r="E86">
        <v>1</v>
      </c>
      <c r="G86">
        <v>0.17419999999999999</v>
      </c>
      <c r="H86">
        <v>12.192399999999999</v>
      </c>
    </row>
    <row r="87" spans="1:8" x14ac:dyDescent="0.2">
      <c r="A87">
        <v>6.2983000000000002</v>
      </c>
      <c r="B87">
        <v>4.6100000000000002E-2</v>
      </c>
      <c r="C87">
        <v>2.2456</v>
      </c>
      <c r="D87">
        <v>0</v>
      </c>
      <c r="E87">
        <v>1</v>
      </c>
      <c r="G87">
        <v>0.1779</v>
      </c>
      <c r="H87">
        <v>12.448600000000001</v>
      </c>
    </row>
    <row r="88" spans="1:8" x14ac:dyDescent="0.2">
      <c r="A88">
        <v>6.6688000000000001</v>
      </c>
      <c r="B88">
        <v>4.7699999999999999E-2</v>
      </c>
      <c r="C88">
        <v>2.3584999999999998</v>
      </c>
      <c r="D88">
        <v>0</v>
      </c>
      <c r="E88">
        <v>1</v>
      </c>
      <c r="G88">
        <v>0.18090000000000001</v>
      </c>
      <c r="H88">
        <v>13.029299999999999</v>
      </c>
    </row>
    <row r="89" spans="1:8" x14ac:dyDescent="0.2">
      <c r="A89">
        <v>7.0392999999999999</v>
      </c>
      <c r="B89">
        <v>5.2299999999999999E-2</v>
      </c>
      <c r="C89">
        <v>2.6814</v>
      </c>
      <c r="D89">
        <v>0</v>
      </c>
      <c r="E89">
        <v>1</v>
      </c>
      <c r="G89">
        <v>0.18240000000000001</v>
      </c>
      <c r="H89">
        <v>13.4368</v>
      </c>
    </row>
    <row r="90" spans="1:8" x14ac:dyDescent="0.2">
      <c r="A90">
        <v>7.4097999999999997</v>
      </c>
      <c r="B90">
        <v>5.3900000000000003E-2</v>
      </c>
      <c r="C90">
        <v>3.0123000000000002</v>
      </c>
      <c r="D90">
        <v>0</v>
      </c>
      <c r="E90">
        <v>1</v>
      </c>
      <c r="G90">
        <v>0.18190000000000001</v>
      </c>
      <c r="H90">
        <v>13.363799999999999</v>
      </c>
    </row>
    <row r="91" spans="1:8" x14ac:dyDescent="0.2">
      <c r="A91">
        <v>7.7803000000000004</v>
      </c>
      <c r="B91">
        <v>5.5300000000000002E-2</v>
      </c>
      <c r="C91">
        <v>3.1454</v>
      </c>
      <c r="D91">
        <v>0</v>
      </c>
      <c r="E91">
        <v>1</v>
      </c>
      <c r="G91">
        <v>0.18240000000000001</v>
      </c>
      <c r="H91">
        <v>13.082100000000001</v>
      </c>
    </row>
    <row r="92" spans="1:8" x14ac:dyDescent="0.2">
      <c r="A92">
        <v>8.1508000000000003</v>
      </c>
      <c r="B92">
        <v>5.6399999999999999E-2</v>
      </c>
      <c r="C92">
        <v>3.0914999999999999</v>
      </c>
      <c r="D92">
        <v>0</v>
      </c>
      <c r="E92">
        <v>1</v>
      </c>
      <c r="G92">
        <v>0.1862</v>
      </c>
      <c r="H92">
        <v>13.0999</v>
      </c>
    </row>
    <row r="93" spans="1:8" x14ac:dyDescent="0.2">
      <c r="A93">
        <v>8.5213000000000001</v>
      </c>
      <c r="B93">
        <v>5.7000000000000002E-2</v>
      </c>
      <c r="C93">
        <v>3.0996999999999999</v>
      </c>
      <c r="D93">
        <v>0</v>
      </c>
      <c r="E93">
        <v>1</v>
      </c>
      <c r="G93">
        <v>0.1928</v>
      </c>
      <c r="H93">
        <v>13.589700000000001</v>
      </c>
    </row>
    <row r="94" spans="1:8" x14ac:dyDescent="0.2">
      <c r="A94">
        <v>8.8917999999999999</v>
      </c>
      <c r="B94">
        <v>6.0900000000000003E-2</v>
      </c>
      <c r="C94">
        <v>3.3458000000000001</v>
      </c>
      <c r="D94">
        <v>0</v>
      </c>
      <c r="E94">
        <v>1</v>
      </c>
      <c r="G94">
        <v>0.1956</v>
      </c>
      <c r="H94">
        <v>14.1591</v>
      </c>
    </row>
    <row r="95" spans="1:8" x14ac:dyDescent="0.2">
      <c r="A95">
        <v>9.2622</v>
      </c>
      <c r="B95">
        <v>6.3899999999999998E-2</v>
      </c>
      <c r="C95">
        <v>3.7275</v>
      </c>
      <c r="D95">
        <v>0</v>
      </c>
      <c r="E95">
        <v>1</v>
      </c>
      <c r="G95">
        <v>0.19550000000000001</v>
      </c>
      <c r="H95">
        <v>14.3093</v>
      </c>
    </row>
    <row r="96" spans="1:8" x14ac:dyDescent="0.2">
      <c r="A96">
        <v>9.6326999999999998</v>
      </c>
      <c r="B96">
        <v>6.4500000000000002E-2</v>
      </c>
      <c r="C96">
        <v>3.9794999999999998</v>
      </c>
      <c r="D96">
        <v>0</v>
      </c>
      <c r="E96">
        <v>1</v>
      </c>
      <c r="G96">
        <v>0.1951</v>
      </c>
      <c r="H96">
        <v>14.0504</v>
      </c>
    </row>
    <row r="97" spans="1:8" x14ac:dyDescent="0.2">
      <c r="A97">
        <v>10.0032</v>
      </c>
      <c r="B97">
        <v>6.4600000000000005E-2</v>
      </c>
      <c r="C97">
        <v>3.9786999999999999</v>
      </c>
      <c r="D97">
        <v>0</v>
      </c>
      <c r="E97">
        <v>1</v>
      </c>
      <c r="G97">
        <v>0.1991</v>
      </c>
      <c r="H97">
        <v>13.8611</v>
      </c>
    </row>
    <row r="98" spans="1:8" x14ac:dyDescent="0.2">
      <c r="A98">
        <v>10.373699999999999</v>
      </c>
      <c r="B98">
        <v>6.7100000000000007E-2</v>
      </c>
      <c r="C98">
        <v>3.9026999999999998</v>
      </c>
      <c r="D98">
        <v>0</v>
      </c>
      <c r="E98">
        <v>1</v>
      </c>
      <c r="G98">
        <v>0.20069999999999999</v>
      </c>
      <c r="H98">
        <v>14.162100000000001</v>
      </c>
    </row>
    <row r="99" spans="1:8" x14ac:dyDescent="0.2">
      <c r="A99">
        <v>10.744199999999999</v>
      </c>
      <c r="B99">
        <v>6.9800000000000001E-2</v>
      </c>
      <c r="C99">
        <v>4.0221999999999998</v>
      </c>
      <c r="D99">
        <v>0</v>
      </c>
      <c r="E99">
        <v>1</v>
      </c>
      <c r="G99">
        <v>0.20399999999999999</v>
      </c>
      <c r="H99">
        <v>14.769299999999999</v>
      </c>
    </row>
    <row r="100" spans="1:8" x14ac:dyDescent="0.2">
      <c r="A100">
        <v>11.114699999999999</v>
      </c>
      <c r="B100">
        <v>7.22E-2</v>
      </c>
      <c r="C100">
        <v>4.3883999999999999</v>
      </c>
      <c r="D100">
        <v>0</v>
      </c>
      <c r="E100">
        <v>1</v>
      </c>
      <c r="G100">
        <v>0.20799999999999999</v>
      </c>
      <c r="H100">
        <v>15.1547</v>
      </c>
    </row>
    <row r="101" spans="1:8" x14ac:dyDescent="0.2">
      <c r="A101">
        <v>11.485200000000001</v>
      </c>
      <c r="B101">
        <v>7.5899999999999995E-2</v>
      </c>
      <c r="C101">
        <v>4.7613000000000003</v>
      </c>
      <c r="D101">
        <v>0</v>
      </c>
      <c r="E101">
        <v>1</v>
      </c>
      <c r="G101">
        <v>0.2059</v>
      </c>
      <c r="H101">
        <v>15.0365</v>
      </c>
    </row>
    <row r="102" spans="1:8" x14ac:dyDescent="0.2">
      <c r="A102">
        <v>11.855700000000001</v>
      </c>
      <c r="B102">
        <v>7.6499999999999999E-2</v>
      </c>
      <c r="C102">
        <v>4.8663999999999996</v>
      </c>
      <c r="D102">
        <v>0</v>
      </c>
      <c r="E102">
        <v>1</v>
      </c>
      <c r="G102">
        <v>0.2074</v>
      </c>
      <c r="H102">
        <v>14.7468</v>
      </c>
    </row>
    <row r="103" spans="1:8" x14ac:dyDescent="0.2">
      <c r="A103">
        <v>12.2262</v>
      </c>
      <c r="B103">
        <v>7.5300000000000006E-2</v>
      </c>
      <c r="C103">
        <v>4.7675000000000001</v>
      </c>
      <c r="D103">
        <v>0</v>
      </c>
      <c r="E103">
        <v>1</v>
      </c>
      <c r="G103">
        <v>0.2109</v>
      </c>
      <c r="H103">
        <v>14.7828</v>
      </c>
    </row>
    <row r="104" spans="1:8" x14ac:dyDescent="0.2">
      <c r="A104">
        <v>12.5967</v>
      </c>
      <c r="B104">
        <v>7.8799999999999995E-2</v>
      </c>
      <c r="C104">
        <v>4.7546999999999997</v>
      </c>
      <c r="D104">
        <v>0</v>
      </c>
      <c r="E104">
        <v>1</v>
      </c>
      <c r="G104">
        <v>0.2152</v>
      </c>
      <c r="H104">
        <v>15.32</v>
      </c>
    </row>
    <row r="105" spans="1:8" x14ac:dyDescent="0.2">
      <c r="A105">
        <v>12.9671</v>
      </c>
      <c r="B105">
        <v>8.5900000000000004E-2</v>
      </c>
      <c r="C105">
        <v>5.0255999999999998</v>
      </c>
      <c r="D105">
        <v>0</v>
      </c>
      <c r="E105">
        <v>1</v>
      </c>
      <c r="G105">
        <v>0.2175</v>
      </c>
      <c r="H105">
        <v>15.8972</v>
      </c>
    </row>
    <row r="106" spans="1:8" x14ac:dyDescent="0.2">
      <c r="A106">
        <v>13.3376</v>
      </c>
      <c r="B106">
        <v>8.9099999999999999E-2</v>
      </c>
      <c r="C106">
        <v>5.4671000000000003</v>
      </c>
      <c r="D106">
        <v>0</v>
      </c>
      <c r="E106">
        <v>1</v>
      </c>
      <c r="G106">
        <v>0.218</v>
      </c>
      <c r="H106">
        <v>16.014299999999999</v>
      </c>
    </row>
    <row r="107" spans="1:8" x14ac:dyDescent="0.2">
      <c r="A107">
        <v>13.7081</v>
      </c>
      <c r="B107">
        <v>9.0300000000000005E-2</v>
      </c>
      <c r="C107">
        <v>5.7095000000000002</v>
      </c>
      <c r="D107">
        <v>0</v>
      </c>
      <c r="E107">
        <v>1</v>
      </c>
      <c r="G107">
        <v>0.21829999999999999</v>
      </c>
      <c r="H107">
        <v>15.7072</v>
      </c>
    </row>
    <row r="108" spans="1:8" x14ac:dyDescent="0.2">
      <c r="A108">
        <v>14.0786</v>
      </c>
      <c r="B108">
        <v>8.9499999999999996E-2</v>
      </c>
      <c r="C108">
        <v>5.6707000000000001</v>
      </c>
      <c r="D108">
        <v>0</v>
      </c>
      <c r="E108">
        <v>1</v>
      </c>
      <c r="G108">
        <v>0.21890000000000001</v>
      </c>
      <c r="H108">
        <v>15.53</v>
      </c>
    </row>
    <row r="109" spans="1:8" x14ac:dyDescent="0.2">
      <c r="A109">
        <v>14.4491</v>
      </c>
      <c r="B109">
        <v>9.2100000000000001E-2</v>
      </c>
      <c r="C109">
        <v>5.5537000000000001</v>
      </c>
      <c r="D109">
        <v>0</v>
      </c>
      <c r="E109">
        <v>1</v>
      </c>
      <c r="G109">
        <v>0.2235</v>
      </c>
      <c r="H109">
        <v>15.8626</v>
      </c>
    </row>
    <row r="110" spans="1:8" x14ac:dyDescent="0.2">
      <c r="A110">
        <v>14.819599999999999</v>
      </c>
      <c r="B110">
        <v>9.4100000000000003E-2</v>
      </c>
      <c r="C110">
        <v>5.6943999999999999</v>
      </c>
      <c r="D110">
        <v>0</v>
      </c>
      <c r="E110">
        <v>1</v>
      </c>
      <c r="G110">
        <v>0.2273</v>
      </c>
      <c r="H110">
        <v>16.504200000000001</v>
      </c>
    </row>
    <row r="111" spans="1:8" x14ac:dyDescent="0.2">
      <c r="A111">
        <v>15.190099999999999</v>
      </c>
      <c r="B111">
        <v>9.8500000000000004E-2</v>
      </c>
      <c r="C111">
        <v>6.1094999999999997</v>
      </c>
      <c r="D111">
        <v>0</v>
      </c>
      <c r="E111">
        <v>1</v>
      </c>
      <c r="G111">
        <v>0.23130000000000001</v>
      </c>
      <c r="H111">
        <v>16.875900000000001</v>
      </c>
    </row>
    <row r="112" spans="1:8" x14ac:dyDescent="0.2">
      <c r="A112">
        <v>15.560600000000001</v>
      </c>
      <c r="B112">
        <v>0.10059999999999999</v>
      </c>
      <c r="C112">
        <v>6.4999000000000002</v>
      </c>
      <c r="D112">
        <v>0</v>
      </c>
      <c r="E112">
        <v>1</v>
      </c>
      <c r="G112">
        <v>0.23119999999999999</v>
      </c>
      <c r="H112">
        <v>16.720600000000001</v>
      </c>
    </row>
    <row r="113" spans="1:8" x14ac:dyDescent="0.2">
      <c r="A113">
        <v>15.931100000000001</v>
      </c>
      <c r="B113">
        <v>0.1003</v>
      </c>
      <c r="C113">
        <v>6.5843999999999996</v>
      </c>
      <c r="D113">
        <v>0</v>
      </c>
      <c r="E113">
        <v>1</v>
      </c>
      <c r="G113">
        <v>0.23150000000000001</v>
      </c>
      <c r="H113">
        <v>16.400500000000001</v>
      </c>
    </row>
    <row r="114" spans="1:8" x14ac:dyDescent="0.2">
      <c r="A114">
        <v>16.301600000000001</v>
      </c>
      <c r="B114">
        <v>0.1017</v>
      </c>
      <c r="C114">
        <v>6.4311999999999996</v>
      </c>
      <c r="D114">
        <v>0</v>
      </c>
      <c r="E114">
        <v>1</v>
      </c>
      <c r="G114">
        <v>0.23599999999999999</v>
      </c>
      <c r="H114">
        <v>16.471499999999999</v>
      </c>
    </row>
    <row r="115" spans="1:8" x14ac:dyDescent="0.2">
      <c r="A115">
        <v>16.6721</v>
      </c>
      <c r="B115">
        <v>0.1023</v>
      </c>
      <c r="C115">
        <v>6.4130000000000003</v>
      </c>
      <c r="D115">
        <v>0</v>
      </c>
      <c r="E115">
        <v>1</v>
      </c>
      <c r="G115">
        <v>0.2379</v>
      </c>
      <c r="H115">
        <v>17.0518</v>
      </c>
    </row>
    <row r="116" spans="1:8" x14ac:dyDescent="0.2">
      <c r="A116">
        <v>17.0425</v>
      </c>
      <c r="B116">
        <v>0.10639999999999999</v>
      </c>
      <c r="C116">
        <v>6.7340999999999998</v>
      </c>
      <c r="D116">
        <v>0</v>
      </c>
      <c r="E116">
        <v>1</v>
      </c>
      <c r="G116">
        <v>0.2404</v>
      </c>
      <c r="H116">
        <v>17.633199999999999</v>
      </c>
    </row>
    <row r="117" spans="1:8" x14ac:dyDescent="0.2">
      <c r="A117">
        <v>17.413</v>
      </c>
      <c r="B117">
        <v>0.1101</v>
      </c>
      <c r="C117">
        <v>7.2012999999999998</v>
      </c>
      <c r="D117">
        <v>0</v>
      </c>
      <c r="E117">
        <v>1</v>
      </c>
      <c r="G117">
        <v>0.24110000000000001</v>
      </c>
      <c r="H117">
        <v>17.71</v>
      </c>
    </row>
    <row r="118" spans="1:8" x14ac:dyDescent="0.2">
      <c r="A118">
        <v>17.7835</v>
      </c>
      <c r="B118">
        <v>0.1099</v>
      </c>
      <c r="C118">
        <v>7.4459</v>
      </c>
      <c r="D118">
        <v>0</v>
      </c>
      <c r="E118">
        <v>1</v>
      </c>
      <c r="G118">
        <v>0.2417</v>
      </c>
      <c r="H118">
        <v>17.372299999999999</v>
      </c>
    </row>
    <row r="119" spans="1:8" x14ac:dyDescent="0.2">
      <c r="A119">
        <v>18.154</v>
      </c>
      <c r="B119">
        <v>0.11119999999999999</v>
      </c>
      <c r="C119">
        <v>7.3564999999999996</v>
      </c>
      <c r="D119">
        <v>0</v>
      </c>
      <c r="E119">
        <v>1</v>
      </c>
      <c r="G119">
        <v>0.2427</v>
      </c>
      <c r="H119">
        <v>17.200399999999998</v>
      </c>
    </row>
    <row r="120" spans="1:8" x14ac:dyDescent="0.2">
      <c r="A120">
        <v>18.5245</v>
      </c>
      <c r="B120">
        <v>0.1125</v>
      </c>
      <c r="C120">
        <v>7.2098000000000004</v>
      </c>
      <c r="D120">
        <v>0</v>
      </c>
      <c r="E120">
        <v>1</v>
      </c>
      <c r="G120">
        <v>0.24709999999999999</v>
      </c>
      <c r="H120">
        <v>17.579999999999998</v>
      </c>
    </row>
    <row r="121" spans="1:8" x14ac:dyDescent="0.2">
      <c r="A121">
        <v>18.895</v>
      </c>
      <c r="B121">
        <v>0.11550000000000001</v>
      </c>
      <c r="C121">
        <v>7.37</v>
      </c>
      <c r="D121">
        <v>0</v>
      </c>
      <c r="E121">
        <v>1</v>
      </c>
      <c r="G121">
        <v>0.24929999999999999</v>
      </c>
      <c r="H121">
        <v>18.247599999999998</v>
      </c>
    </row>
    <row r="122" spans="1:8" x14ac:dyDescent="0.2">
      <c r="A122">
        <v>19.265499999999999</v>
      </c>
      <c r="B122">
        <v>0.11849999999999999</v>
      </c>
      <c r="C122">
        <v>7.8379000000000003</v>
      </c>
      <c r="D122">
        <v>0</v>
      </c>
      <c r="E122">
        <v>1</v>
      </c>
      <c r="G122">
        <v>0.2515</v>
      </c>
      <c r="H122">
        <v>18.601600000000001</v>
      </c>
    </row>
    <row r="123" spans="1:8" x14ac:dyDescent="0.2">
      <c r="A123">
        <v>19.635999999999999</v>
      </c>
      <c r="B123">
        <v>0.12</v>
      </c>
      <c r="C123">
        <v>8.2437000000000005</v>
      </c>
      <c r="D123">
        <v>0</v>
      </c>
      <c r="E123">
        <v>1</v>
      </c>
      <c r="G123">
        <v>0.25040000000000001</v>
      </c>
      <c r="H123">
        <v>18.401900000000001</v>
      </c>
    </row>
    <row r="124" spans="1:8" x14ac:dyDescent="0.2">
      <c r="A124">
        <v>20.006499999999999</v>
      </c>
      <c r="B124">
        <v>0.12139999999999999</v>
      </c>
      <c r="C124">
        <v>8.2872000000000003</v>
      </c>
      <c r="D124">
        <v>0</v>
      </c>
      <c r="E124">
        <v>1</v>
      </c>
      <c r="G124">
        <v>0.25130000000000002</v>
      </c>
      <c r="H124">
        <v>18.064499999999999</v>
      </c>
    </row>
    <row r="125" spans="1:8" x14ac:dyDescent="0.2">
      <c r="A125">
        <v>20.376899999999999</v>
      </c>
      <c r="B125">
        <v>0.1227</v>
      </c>
      <c r="C125">
        <v>8.0921000000000003</v>
      </c>
      <c r="D125">
        <v>0</v>
      </c>
      <c r="E125">
        <v>1</v>
      </c>
      <c r="G125">
        <v>0.25609999999999999</v>
      </c>
      <c r="H125">
        <v>18.165700000000001</v>
      </c>
    </row>
    <row r="126" spans="1:8" x14ac:dyDescent="0.2">
      <c r="A126">
        <v>20.747399999999999</v>
      </c>
      <c r="B126">
        <v>0.124</v>
      </c>
      <c r="C126">
        <v>8.0742999999999991</v>
      </c>
      <c r="D126">
        <v>0</v>
      </c>
      <c r="E126">
        <v>1</v>
      </c>
      <c r="G126">
        <v>0.25869999999999999</v>
      </c>
      <c r="H126">
        <v>18.781500000000001</v>
      </c>
    </row>
    <row r="127" spans="1:8" x14ac:dyDescent="0.2">
      <c r="A127">
        <v>21.117899999999999</v>
      </c>
      <c r="B127">
        <v>0.12809999999999999</v>
      </c>
      <c r="C127">
        <v>8.4445999999999994</v>
      </c>
      <c r="D127">
        <v>0</v>
      </c>
      <c r="E127">
        <v>1</v>
      </c>
      <c r="G127">
        <v>0.26119999999999999</v>
      </c>
      <c r="H127">
        <v>19.3629</v>
      </c>
    </row>
    <row r="128" spans="1:8" x14ac:dyDescent="0.2">
      <c r="A128">
        <v>21.488399999999999</v>
      </c>
      <c r="B128">
        <v>0.13120000000000001</v>
      </c>
      <c r="C128">
        <v>8.9428999999999998</v>
      </c>
      <c r="D128">
        <v>0</v>
      </c>
      <c r="E128">
        <v>1</v>
      </c>
      <c r="G128">
        <v>0.26079999999999998</v>
      </c>
      <c r="H128">
        <v>19.401299999999999</v>
      </c>
    </row>
    <row r="129" spans="1:8" x14ac:dyDescent="0.2">
      <c r="A129">
        <v>21.858899999999998</v>
      </c>
      <c r="B129">
        <v>0.13059999999999999</v>
      </c>
      <c r="C129">
        <v>9.1762999999999995</v>
      </c>
      <c r="D129">
        <v>0</v>
      </c>
      <c r="E129">
        <v>1</v>
      </c>
      <c r="G129">
        <v>0.26100000000000001</v>
      </c>
      <c r="H129">
        <v>19.037400000000002</v>
      </c>
    </row>
    <row r="130" spans="1:8" x14ac:dyDescent="0.2">
      <c r="A130">
        <v>22.229399999999998</v>
      </c>
      <c r="B130">
        <v>0.1333</v>
      </c>
      <c r="C130">
        <v>9.0295000000000005</v>
      </c>
      <c r="D130">
        <v>0</v>
      </c>
      <c r="E130">
        <v>1</v>
      </c>
      <c r="G130">
        <v>0.26429999999999998</v>
      </c>
      <c r="H130">
        <v>18.875399999999999</v>
      </c>
    </row>
    <row r="131" spans="1:8" x14ac:dyDescent="0.2">
      <c r="A131">
        <v>22.599900000000002</v>
      </c>
      <c r="B131">
        <v>0.1343</v>
      </c>
      <c r="C131">
        <v>8.8707999999999991</v>
      </c>
      <c r="D131">
        <v>0</v>
      </c>
      <c r="E131">
        <v>1</v>
      </c>
      <c r="G131">
        <v>0.26879999999999998</v>
      </c>
      <c r="H131">
        <v>19.295999999999999</v>
      </c>
    </row>
    <row r="132" spans="1:8" x14ac:dyDescent="0.2">
      <c r="A132">
        <v>22.970400000000001</v>
      </c>
      <c r="B132">
        <v>0.13669999999999999</v>
      </c>
      <c r="C132">
        <v>9.0627999999999993</v>
      </c>
      <c r="D132">
        <v>0</v>
      </c>
      <c r="E132">
        <v>1</v>
      </c>
      <c r="G132">
        <v>0.2712</v>
      </c>
      <c r="H132">
        <v>19.989100000000001</v>
      </c>
    </row>
    <row r="133" spans="1:8" x14ac:dyDescent="0.2">
      <c r="A133">
        <v>23.340900000000001</v>
      </c>
      <c r="B133">
        <v>0.1399</v>
      </c>
      <c r="C133">
        <v>9.5693999999999999</v>
      </c>
      <c r="D133">
        <v>0</v>
      </c>
      <c r="E133">
        <v>1</v>
      </c>
      <c r="G133">
        <v>0.27239999999999998</v>
      </c>
      <c r="H133">
        <v>20.316400000000002</v>
      </c>
    </row>
    <row r="134" spans="1:8" x14ac:dyDescent="0.2">
      <c r="A134">
        <v>23.711400000000001</v>
      </c>
      <c r="B134">
        <v>0.1429</v>
      </c>
      <c r="C134">
        <v>9.9778000000000002</v>
      </c>
      <c r="D134">
        <v>0</v>
      </c>
      <c r="E134">
        <v>1</v>
      </c>
      <c r="G134">
        <v>0.27200000000000002</v>
      </c>
      <c r="H134">
        <v>20.069700000000001</v>
      </c>
    </row>
    <row r="135" spans="1:8" x14ac:dyDescent="0.2">
      <c r="A135">
        <v>24.081900000000001</v>
      </c>
      <c r="B135">
        <v>0.1434</v>
      </c>
      <c r="C135">
        <v>9.9869000000000003</v>
      </c>
      <c r="D135">
        <v>0</v>
      </c>
      <c r="E135">
        <v>1</v>
      </c>
      <c r="G135">
        <v>0.27389999999999998</v>
      </c>
      <c r="H135">
        <v>19.717400000000001</v>
      </c>
    </row>
    <row r="136" spans="1:8" x14ac:dyDescent="0.2">
      <c r="A136">
        <v>24.452300000000001</v>
      </c>
      <c r="B136">
        <v>0.1447</v>
      </c>
      <c r="C136">
        <v>9.7550000000000008</v>
      </c>
      <c r="D136">
        <v>0</v>
      </c>
      <c r="E136">
        <v>1</v>
      </c>
      <c r="G136">
        <v>0.27710000000000001</v>
      </c>
      <c r="H136">
        <v>19.865600000000001</v>
      </c>
    </row>
    <row r="137" spans="1:8" x14ac:dyDescent="0.2">
      <c r="A137">
        <v>24.822800000000001</v>
      </c>
      <c r="B137">
        <v>0.1469</v>
      </c>
      <c r="C137">
        <v>9.7468000000000004</v>
      </c>
      <c r="D137">
        <v>0</v>
      </c>
      <c r="E137">
        <v>1</v>
      </c>
      <c r="G137">
        <v>0.2802</v>
      </c>
      <c r="H137">
        <v>20.521599999999999</v>
      </c>
    </row>
    <row r="138" spans="1:8" x14ac:dyDescent="0.2">
      <c r="A138">
        <v>25.193300000000001</v>
      </c>
      <c r="B138">
        <v>0.15</v>
      </c>
      <c r="C138">
        <v>10.1518</v>
      </c>
      <c r="D138">
        <v>0</v>
      </c>
      <c r="E138">
        <v>1</v>
      </c>
      <c r="G138">
        <v>0.28289999999999998</v>
      </c>
      <c r="H138">
        <v>21.095700000000001</v>
      </c>
    </row>
    <row r="139" spans="1:8" x14ac:dyDescent="0.2">
      <c r="A139">
        <v>25.563800000000001</v>
      </c>
      <c r="B139">
        <v>0.15409999999999999</v>
      </c>
      <c r="C139">
        <v>10.6836</v>
      </c>
      <c r="D139">
        <v>0</v>
      </c>
      <c r="E139">
        <v>1</v>
      </c>
      <c r="G139">
        <v>0.28299999999999997</v>
      </c>
      <c r="H139">
        <v>21.086200000000002</v>
      </c>
    </row>
    <row r="140" spans="1:8" x14ac:dyDescent="0.2">
      <c r="A140">
        <v>25.9343</v>
      </c>
      <c r="B140">
        <v>0.15479999999999999</v>
      </c>
      <c r="C140">
        <v>10.885</v>
      </c>
      <c r="D140">
        <v>0</v>
      </c>
      <c r="E140">
        <v>1</v>
      </c>
      <c r="G140">
        <v>0.28179999999999999</v>
      </c>
      <c r="H140">
        <v>20.694099999999999</v>
      </c>
    </row>
    <row r="141" spans="1:8" x14ac:dyDescent="0.2">
      <c r="A141">
        <v>26.3048</v>
      </c>
      <c r="B141">
        <v>0.1537</v>
      </c>
      <c r="C141">
        <v>10.7163</v>
      </c>
      <c r="D141">
        <v>0</v>
      </c>
      <c r="E141">
        <v>1</v>
      </c>
      <c r="G141">
        <v>0.28460000000000002</v>
      </c>
      <c r="H141">
        <v>20.546700000000001</v>
      </c>
    </row>
    <row r="142" spans="1:8" x14ac:dyDescent="0.2">
      <c r="A142">
        <v>26.6753</v>
      </c>
      <c r="B142">
        <v>0.155</v>
      </c>
      <c r="C142">
        <v>10.5319</v>
      </c>
      <c r="D142">
        <v>0</v>
      </c>
      <c r="E142">
        <v>1</v>
      </c>
      <c r="G142">
        <v>0.2893</v>
      </c>
      <c r="H142">
        <v>21.017600000000002</v>
      </c>
    </row>
    <row r="143" spans="1:8" x14ac:dyDescent="0.2">
      <c r="A143">
        <v>27.0458</v>
      </c>
      <c r="B143">
        <v>0.15939999999999999</v>
      </c>
      <c r="C143">
        <v>10.7492</v>
      </c>
      <c r="D143">
        <v>0</v>
      </c>
      <c r="E143">
        <v>1</v>
      </c>
      <c r="G143">
        <v>0.29220000000000002</v>
      </c>
      <c r="H143">
        <v>21.733599999999999</v>
      </c>
    </row>
    <row r="144" spans="1:8" x14ac:dyDescent="0.2">
      <c r="A144">
        <v>27.4163</v>
      </c>
      <c r="B144">
        <v>0.16270000000000001</v>
      </c>
      <c r="C144">
        <v>11.305099999999999</v>
      </c>
      <c r="D144">
        <v>0</v>
      </c>
      <c r="E144">
        <v>1</v>
      </c>
      <c r="G144">
        <v>0.29239999999999999</v>
      </c>
      <c r="H144">
        <v>22.023900000000001</v>
      </c>
    </row>
    <row r="145" spans="1:8" x14ac:dyDescent="0.2">
      <c r="A145">
        <v>27.786799999999999</v>
      </c>
      <c r="B145">
        <v>0.16270000000000001</v>
      </c>
      <c r="C145">
        <v>11.7117</v>
      </c>
      <c r="D145">
        <v>0</v>
      </c>
      <c r="E145">
        <v>1</v>
      </c>
      <c r="G145">
        <v>0.29220000000000002</v>
      </c>
      <c r="H145">
        <v>21.734200000000001</v>
      </c>
    </row>
    <row r="146" spans="1:8" x14ac:dyDescent="0.2">
      <c r="A146">
        <v>28.1572</v>
      </c>
      <c r="B146">
        <v>0.16370000000000001</v>
      </c>
      <c r="C146">
        <v>11.678599999999999</v>
      </c>
      <c r="D146">
        <v>0</v>
      </c>
      <c r="E146">
        <v>1</v>
      </c>
      <c r="G146">
        <v>0.29260000000000003</v>
      </c>
      <c r="H146">
        <v>21.382999999999999</v>
      </c>
    </row>
    <row r="147" spans="1:8" x14ac:dyDescent="0.2">
      <c r="A147">
        <v>28.527699999999999</v>
      </c>
      <c r="B147">
        <v>0.1628</v>
      </c>
      <c r="C147">
        <v>11.4217</v>
      </c>
      <c r="D147">
        <v>0</v>
      </c>
      <c r="E147">
        <v>1</v>
      </c>
      <c r="G147">
        <v>0.29720000000000002</v>
      </c>
      <c r="H147">
        <v>21.565000000000001</v>
      </c>
    </row>
    <row r="148" spans="1:8" x14ac:dyDescent="0.2">
      <c r="A148">
        <v>28.898199999999999</v>
      </c>
      <c r="B148">
        <v>0.16600000000000001</v>
      </c>
      <c r="C148">
        <v>11.428900000000001</v>
      </c>
      <c r="D148">
        <v>0</v>
      </c>
      <c r="E148">
        <v>1</v>
      </c>
      <c r="G148">
        <v>0.3009</v>
      </c>
      <c r="H148">
        <v>22.261800000000001</v>
      </c>
    </row>
    <row r="149" spans="1:8" x14ac:dyDescent="0.2">
      <c r="A149">
        <v>29.268699999999999</v>
      </c>
      <c r="B149">
        <v>0.1706</v>
      </c>
      <c r="C149">
        <v>11.8636</v>
      </c>
      <c r="D149">
        <v>0</v>
      </c>
      <c r="E149">
        <v>1</v>
      </c>
      <c r="G149">
        <v>0.3024</v>
      </c>
      <c r="H149">
        <v>22.8156</v>
      </c>
    </row>
    <row r="150" spans="1:8" x14ac:dyDescent="0.2">
      <c r="A150">
        <v>29.639199999999999</v>
      </c>
      <c r="B150">
        <v>0.1719</v>
      </c>
      <c r="C150">
        <v>12.418699999999999</v>
      </c>
      <c r="D150">
        <v>0</v>
      </c>
      <c r="E150">
        <v>1</v>
      </c>
      <c r="G150">
        <v>0.30270000000000002</v>
      </c>
      <c r="H150">
        <v>22.772099999999998</v>
      </c>
    </row>
    <row r="151" spans="1:8" x14ac:dyDescent="0.2">
      <c r="A151">
        <v>30.009699999999999</v>
      </c>
      <c r="B151">
        <v>0.1731</v>
      </c>
      <c r="C151">
        <v>12.6051</v>
      </c>
      <c r="D151">
        <v>0</v>
      </c>
      <c r="E151">
        <v>1</v>
      </c>
      <c r="G151">
        <v>0.3019</v>
      </c>
      <c r="H151">
        <v>22.346399999999999</v>
      </c>
    </row>
    <row r="152" spans="1:8" x14ac:dyDescent="0.2">
      <c r="A152">
        <v>30.380199999999999</v>
      </c>
      <c r="B152">
        <v>0.17269999999999999</v>
      </c>
      <c r="C152">
        <v>12.379200000000001</v>
      </c>
      <c r="D152">
        <v>0</v>
      </c>
      <c r="E152">
        <v>1</v>
      </c>
      <c r="G152">
        <v>0.30499999999999999</v>
      </c>
      <c r="H152">
        <v>22.2364</v>
      </c>
    </row>
    <row r="153" spans="1:8" x14ac:dyDescent="0.2">
      <c r="A153">
        <v>30.750699999999998</v>
      </c>
      <c r="B153">
        <v>0.17419999999999999</v>
      </c>
      <c r="C153">
        <v>12.192399999999999</v>
      </c>
      <c r="D153">
        <v>0</v>
      </c>
      <c r="E153">
        <v>1</v>
      </c>
      <c r="G153">
        <v>0.31009999999999999</v>
      </c>
      <c r="H153">
        <v>22.743099999999998</v>
      </c>
    </row>
    <row r="154" spans="1:8" x14ac:dyDescent="0.2">
      <c r="A154">
        <v>31.121200000000002</v>
      </c>
      <c r="B154">
        <v>0.1779</v>
      </c>
      <c r="C154">
        <v>12.448600000000001</v>
      </c>
      <c r="D154">
        <v>0</v>
      </c>
      <c r="E154">
        <v>1</v>
      </c>
      <c r="G154">
        <v>0.31169999999999998</v>
      </c>
      <c r="H154">
        <v>23.4682</v>
      </c>
    </row>
    <row r="155" spans="1:8" x14ac:dyDescent="0.2">
      <c r="A155">
        <v>31.491599999999998</v>
      </c>
      <c r="B155">
        <v>0.18090000000000001</v>
      </c>
      <c r="C155">
        <v>13.029299999999999</v>
      </c>
      <c r="D155">
        <v>0</v>
      </c>
      <c r="E155">
        <v>1</v>
      </c>
      <c r="G155">
        <v>0.31240000000000001</v>
      </c>
      <c r="H155">
        <v>23.7287</v>
      </c>
    </row>
    <row r="156" spans="1:8" x14ac:dyDescent="0.2">
      <c r="A156">
        <v>31.862100000000002</v>
      </c>
      <c r="B156">
        <v>0.18240000000000001</v>
      </c>
      <c r="C156">
        <v>13.4368</v>
      </c>
      <c r="D156">
        <v>0</v>
      </c>
      <c r="E156">
        <v>1</v>
      </c>
      <c r="G156">
        <v>0.311</v>
      </c>
      <c r="H156">
        <v>23.393899999999999</v>
      </c>
    </row>
    <row r="157" spans="1:8" x14ac:dyDescent="0.2">
      <c r="A157">
        <v>32.232599999999998</v>
      </c>
      <c r="B157">
        <v>0.18190000000000001</v>
      </c>
      <c r="C157">
        <v>13.363799999999999</v>
      </c>
      <c r="D157">
        <v>0</v>
      </c>
      <c r="E157">
        <v>1</v>
      </c>
      <c r="G157">
        <v>0.31390000000000001</v>
      </c>
      <c r="H157">
        <v>23.05</v>
      </c>
    </row>
    <row r="158" spans="1:8" x14ac:dyDescent="0.2">
      <c r="A158">
        <v>32.603099999999998</v>
      </c>
      <c r="B158">
        <v>0.18240000000000001</v>
      </c>
      <c r="C158">
        <v>13.082100000000001</v>
      </c>
      <c r="D158">
        <v>0</v>
      </c>
      <c r="E158">
        <v>1</v>
      </c>
      <c r="G158">
        <v>0.32</v>
      </c>
      <c r="H158">
        <v>23.273099999999999</v>
      </c>
    </row>
    <row r="159" spans="1:8" x14ac:dyDescent="0.2">
      <c r="A159">
        <v>32.973599999999998</v>
      </c>
      <c r="B159">
        <v>0.1862</v>
      </c>
      <c r="C159">
        <v>13.0999</v>
      </c>
      <c r="D159">
        <v>0</v>
      </c>
      <c r="E159">
        <v>1</v>
      </c>
      <c r="G159">
        <v>0.3231</v>
      </c>
      <c r="H159">
        <v>23.999600000000001</v>
      </c>
    </row>
    <row r="160" spans="1:8" x14ac:dyDescent="0.2">
      <c r="A160">
        <v>33.344099999999997</v>
      </c>
      <c r="B160">
        <v>0.1928</v>
      </c>
      <c r="C160">
        <v>13.589700000000001</v>
      </c>
      <c r="D160">
        <v>0</v>
      </c>
      <c r="E160">
        <v>1</v>
      </c>
      <c r="G160">
        <v>0.3251</v>
      </c>
      <c r="H160">
        <v>24.551100000000002</v>
      </c>
    </row>
    <row r="161" spans="1:8" x14ac:dyDescent="0.2">
      <c r="A161">
        <v>33.714599999999997</v>
      </c>
      <c r="B161">
        <v>0.1956</v>
      </c>
      <c r="C161">
        <v>14.1591</v>
      </c>
      <c r="D161">
        <v>0</v>
      </c>
      <c r="E161">
        <v>1</v>
      </c>
      <c r="G161">
        <v>0.3236</v>
      </c>
      <c r="H161">
        <v>24.4512</v>
      </c>
    </row>
    <row r="162" spans="1:8" x14ac:dyDescent="0.2">
      <c r="A162">
        <v>34.085099999999997</v>
      </c>
      <c r="B162">
        <v>0.19550000000000001</v>
      </c>
      <c r="C162">
        <v>14.3093</v>
      </c>
      <c r="D162">
        <v>0</v>
      </c>
      <c r="E162">
        <v>1</v>
      </c>
      <c r="G162">
        <v>0.32519999999999999</v>
      </c>
      <c r="H162">
        <v>24.005199999999999</v>
      </c>
    </row>
    <row r="163" spans="1:8" x14ac:dyDescent="0.2">
      <c r="A163">
        <v>34.455599999999997</v>
      </c>
      <c r="B163">
        <v>0.1951</v>
      </c>
      <c r="C163">
        <v>14.0504</v>
      </c>
      <c r="D163">
        <v>0</v>
      </c>
      <c r="E163">
        <v>1</v>
      </c>
      <c r="G163">
        <v>0.32690000000000002</v>
      </c>
      <c r="H163">
        <v>23.918700000000001</v>
      </c>
    </row>
    <row r="164" spans="1:8" x14ac:dyDescent="0.2">
      <c r="A164">
        <v>34.826099999999997</v>
      </c>
      <c r="B164">
        <v>0.1991</v>
      </c>
      <c r="C164">
        <v>13.8611</v>
      </c>
      <c r="D164">
        <v>0</v>
      </c>
      <c r="E164">
        <v>1</v>
      </c>
      <c r="G164">
        <v>0.33160000000000001</v>
      </c>
      <c r="H164">
        <v>24.479500000000002</v>
      </c>
    </row>
    <row r="165" spans="1:8" x14ac:dyDescent="0.2">
      <c r="A165">
        <v>35.1965</v>
      </c>
      <c r="B165">
        <v>0.20069999999999999</v>
      </c>
      <c r="C165">
        <v>14.162100000000001</v>
      </c>
      <c r="D165">
        <v>0</v>
      </c>
      <c r="E165">
        <v>1</v>
      </c>
      <c r="G165">
        <v>0.33310000000000001</v>
      </c>
      <c r="H165">
        <v>25.2103</v>
      </c>
    </row>
    <row r="166" spans="1:8" x14ac:dyDescent="0.2">
      <c r="A166">
        <v>35.567</v>
      </c>
      <c r="B166">
        <v>0.20399999999999999</v>
      </c>
      <c r="C166">
        <v>14.769299999999999</v>
      </c>
      <c r="D166">
        <v>0</v>
      </c>
      <c r="E166">
        <v>1</v>
      </c>
      <c r="G166">
        <v>0.3332</v>
      </c>
      <c r="H166">
        <v>25.433700000000002</v>
      </c>
    </row>
    <row r="167" spans="1:8" x14ac:dyDescent="0.2">
      <c r="A167">
        <v>35.9375</v>
      </c>
      <c r="B167">
        <v>0.20799999999999999</v>
      </c>
      <c r="C167">
        <v>15.1547</v>
      </c>
      <c r="D167">
        <v>0</v>
      </c>
      <c r="E167">
        <v>1</v>
      </c>
      <c r="G167">
        <v>0.33450000000000002</v>
      </c>
      <c r="H167">
        <v>25.055900000000001</v>
      </c>
    </row>
    <row r="168" spans="1:8" x14ac:dyDescent="0.2">
      <c r="A168">
        <v>36.308</v>
      </c>
      <c r="B168">
        <v>0.2059</v>
      </c>
      <c r="C168">
        <v>15.0365</v>
      </c>
      <c r="D168">
        <v>0</v>
      </c>
      <c r="E168">
        <v>1</v>
      </c>
      <c r="G168">
        <v>0.33579999999999999</v>
      </c>
      <c r="H168">
        <v>24.710599999999999</v>
      </c>
    </row>
    <row r="169" spans="1:8" x14ac:dyDescent="0.2">
      <c r="A169">
        <v>36.6785</v>
      </c>
      <c r="B169">
        <v>0.2074</v>
      </c>
      <c r="C169">
        <v>14.7468</v>
      </c>
      <c r="D169">
        <v>0</v>
      </c>
      <c r="E169">
        <v>1</v>
      </c>
      <c r="G169">
        <v>0.33889999999999998</v>
      </c>
      <c r="H169">
        <v>24.993400000000001</v>
      </c>
    </row>
    <row r="170" spans="1:8" x14ac:dyDescent="0.2">
      <c r="A170">
        <v>37.048999999999999</v>
      </c>
      <c r="B170">
        <v>0.2109</v>
      </c>
      <c r="C170">
        <v>14.7828</v>
      </c>
      <c r="D170">
        <v>0</v>
      </c>
      <c r="E170">
        <v>1</v>
      </c>
      <c r="G170">
        <v>0.34300000000000003</v>
      </c>
      <c r="H170">
        <v>25.704699999999999</v>
      </c>
    </row>
    <row r="171" spans="1:8" x14ac:dyDescent="0.2">
      <c r="A171">
        <v>37.419499999999999</v>
      </c>
      <c r="B171">
        <v>0.2152</v>
      </c>
      <c r="C171">
        <v>15.32</v>
      </c>
      <c r="D171">
        <v>0</v>
      </c>
      <c r="E171">
        <v>1</v>
      </c>
      <c r="G171">
        <v>0.34439999999999998</v>
      </c>
      <c r="H171">
        <v>26.2667</v>
      </c>
    </row>
    <row r="172" spans="1:8" x14ac:dyDescent="0.2">
      <c r="A172">
        <v>37.79</v>
      </c>
      <c r="B172">
        <v>0.2175</v>
      </c>
      <c r="C172">
        <v>15.8972</v>
      </c>
      <c r="D172">
        <v>0</v>
      </c>
      <c r="E172">
        <v>1</v>
      </c>
      <c r="G172">
        <v>0.34329999999999999</v>
      </c>
      <c r="H172">
        <v>26.1219</v>
      </c>
    </row>
    <row r="173" spans="1:8" x14ac:dyDescent="0.2">
      <c r="A173">
        <v>38.160499999999999</v>
      </c>
      <c r="B173">
        <v>0.218</v>
      </c>
      <c r="C173">
        <v>16.014299999999999</v>
      </c>
      <c r="D173">
        <v>0</v>
      </c>
      <c r="E173">
        <v>1</v>
      </c>
      <c r="G173">
        <v>0.3427</v>
      </c>
      <c r="H173">
        <v>25.665800000000001</v>
      </c>
    </row>
    <row r="174" spans="1:8" x14ac:dyDescent="0.2">
      <c r="A174">
        <v>38.530999999999999</v>
      </c>
      <c r="B174">
        <v>0.21829999999999999</v>
      </c>
      <c r="C174">
        <v>15.7072</v>
      </c>
      <c r="D174">
        <v>0</v>
      </c>
      <c r="E174">
        <v>1</v>
      </c>
      <c r="G174">
        <v>0.34589999999999999</v>
      </c>
      <c r="H174">
        <v>25.6008</v>
      </c>
    </row>
    <row r="175" spans="1:8" x14ac:dyDescent="0.2">
      <c r="A175">
        <v>38.901499999999999</v>
      </c>
      <c r="B175">
        <v>0.21890000000000001</v>
      </c>
      <c r="C175">
        <v>15.53</v>
      </c>
      <c r="D175">
        <v>0</v>
      </c>
      <c r="E175">
        <v>1</v>
      </c>
      <c r="G175">
        <v>0.35020000000000001</v>
      </c>
      <c r="H175">
        <v>26.208200000000001</v>
      </c>
    </row>
    <row r="176" spans="1:8" x14ac:dyDescent="0.2">
      <c r="A176">
        <v>39.271900000000002</v>
      </c>
      <c r="B176">
        <v>0.2235</v>
      </c>
      <c r="C176">
        <v>15.8626</v>
      </c>
      <c r="D176">
        <v>0</v>
      </c>
      <c r="E176">
        <v>1</v>
      </c>
      <c r="G176">
        <v>0.35289999999999999</v>
      </c>
      <c r="H176">
        <v>26.956399999999999</v>
      </c>
    </row>
    <row r="177" spans="1:8" x14ac:dyDescent="0.2">
      <c r="A177">
        <v>39.642400000000002</v>
      </c>
      <c r="B177">
        <v>0.2273</v>
      </c>
      <c r="C177">
        <v>16.504200000000001</v>
      </c>
      <c r="D177">
        <v>0</v>
      </c>
      <c r="E177">
        <v>1</v>
      </c>
      <c r="G177">
        <v>0.3533</v>
      </c>
      <c r="H177">
        <v>27.124199999999998</v>
      </c>
    </row>
    <row r="178" spans="1:8" x14ac:dyDescent="0.2">
      <c r="A178">
        <v>40.012900000000002</v>
      </c>
      <c r="B178">
        <v>0.23130000000000001</v>
      </c>
      <c r="C178">
        <v>16.875900000000001</v>
      </c>
      <c r="D178">
        <v>0</v>
      </c>
      <c r="E178">
        <v>1</v>
      </c>
      <c r="G178">
        <v>0.35339999999999999</v>
      </c>
      <c r="H178">
        <v>26.708600000000001</v>
      </c>
    </row>
    <row r="179" spans="1:8" x14ac:dyDescent="0.2">
      <c r="A179">
        <v>40.383400000000002</v>
      </c>
      <c r="B179">
        <v>0.23119999999999999</v>
      </c>
      <c r="C179">
        <v>16.720600000000001</v>
      </c>
      <c r="D179">
        <v>0</v>
      </c>
      <c r="E179">
        <v>1</v>
      </c>
      <c r="G179">
        <v>0.35620000000000002</v>
      </c>
      <c r="H179">
        <v>26.372800000000002</v>
      </c>
    </row>
    <row r="180" spans="1:8" x14ac:dyDescent="0.2">
      <c r="A180">
        <v>40.753900000000002</v>
      </c>
      <c r="B180">
        <v>0.23150000000000001</v>
      </c>
      <c r="C180">
        <v>16.400500000000001</v>
      </c>
      <c r="D180">
        <v>0</v>
      </c>
      <c r="E180">
        <v>1</v>
      </c>
      <c r="G180">
        <v>0.36299999999999999</v>
      </c>
      <c r="H180">
        <v>26.704999999999998</v>
      </c>
    </row>
    <row r="181" spans="1:8" x14ac:dyDescent="0.2">
      <c r="A181">
        <v>41.124400000000001</v>
      </c>
      <c r="B181">
        <v>0.23599999999999999</v>
      </c>
      <c r="C181">
        <v>16.471499999999999</v>
      </c>
      <c r="D181">
        <v>0</v>
      </c>
      <c r="E181">
        <v>1</v>
      </c>
      <c r="G181">
        <v>0.36430000000000001</v>
      </c>
      <c r="H181">
        <v>27.495899999999999</v>
      </c>
    </row>
    <row r="182" spans="1:8" x14ac:dyDescent="0.2">
      <c r="A182">
        <v>41.494900000000001</v>
      </c>
      <c r="B182">
        <v>0.2379</v>
      </c>
      <c r="C182">
        <v>17.0518</v>
      </c>
      <c r="D182">
        <v>0</v>
      </c>
      <c r="E182">
        <v>1</v>
      </c>
      <c r="G182">
        <v>0.36680000000000001</v>
      </c>
      <c r="H182">
        <v>27.9909</v>
      </c>
    </row>
    <row r="183" spans="1:8" x14ac:dyDescent="0.2">
      <c r="A183">
        <v>41.865400000000001</v>
      </c>
      <c r="B183">
        <v>0.2404</v>
      </c>
      <c r="C183">
        <v>17.633199999999999</v>
      </c>
      <c r="D183">
        <v>0</v>
      </c>
      <c r="E183">
        <v>1</v>
      </c>
      <c r="G183">
        <v>0.36520000000000002</v>
      </c>
      <c r="H183">
        <v>27.792899999999999</v>
      </c>
    </row>
    <row r="184" spans="1:8" x14ac:dyDescent="0.2">
      <c r="A184">
        <v>42.235900000000001</v>
      </c>
      <c r="B184">
        <v>0.24110000000000001</v>
      </c>
      <c r="C184">
        <v>17.71</v>
      </c>
      <c r="D184">
        <v>0</v>
      </c>
      <c r="E184">
        <v>1</v>
      </c>
      <c r="G184">
        <v>0.36580000000000001</v>
      </c>
      <c r="H184">
        <v>27.316500000000001</v>
      </c>
    </row>
    <row r="185" spans="1:8" x14ac:dyDescent="0.2">
      <c r="A185">
        <v>42.606299999999997</v>
      </c>
      <c r="B185">
        <v>0.2417</v>
      </c>
      <c r="C185">
        <v>17.372299999999999</v>
      </c>
      <c r="D185">
        <v>0</v>
      </c>
      <c r="E185">
        <v>1</v>
      </c>
      <c r="G185">
        <v>0.36909999999999998</v>
      </c>
      <c r="H185">
        <v>27.301400000000001</v>
      </c>
    </row>
    <row r="186" spans="1:8" x14ac:dyDescent="0.2">
      <c r="A186">
        <v>42.976799999999997</v>
      </c>
      <c r="B186">
        <v>0.2427</v>
      </c>
      <c r="C186">
        <v>17.200399999999998</v>
      </c>
      <c r="D186">
        <v>0</v>
      </c>
      <c r="E186">
        <v>1</v>
      </c>
      <c r="G186">
        <v>0.37309999999999999</v>
      </c>
      <c r="H186">
        <v>27.9529</v>
      </c>
    </row>
    <row r="187" spans="1:8" x14ac:dyDescent="0.2">
      <c r="A187">
        <v>43.347299999999997</v>
      </c>
      <c r="B187">
        <v>0.24709999999999999</v>
      </c>
      <c r="C187">
        <v>17.579999999999998</v>
      </c>
      <c r="D187">
        <v>0</v>
      </c>
      <c r="E187">
        <v>1</v>
      </c>
      <c r="G187">
        <v>0.37669999999999998</v>
      </c>
      <c r="H187">
        <v>28.688099999999999</v>
      </c>
    </row>
    <row r="188" spans="1:8" x14ac:dyDescent="0.2">
      <c r="A188">
        <v>43.717799999999997</v>
      </c>
      <c r="B188">
        <v>0.24929999999999999</v>
      </c>
      <c r="C188">
        <v>18.247599999999998</v>
      </c>
      <c r="D188">
        <v>0</v>
      </c>
      <c r="E188">
        <v>1</v>
      </c>
      <c r="G188">
        <v>0.37519999999999998</v>
      </c>
      <c r="H188">
        <v>28.812200000000001</v>
      </c>
    </row>
    <row r="189" spans="1:8" x14ac:dyDescent="0.2">
      <c r="A189">
        <v>44.088299999999997</v>
      </c>
      <c r="B189">
        <v>0.2515</v>
      </c>
      <c r="C189">
        <v>18.601600000000001</v>
      </c>
      <c r="D189">
        <v>0</v>
      </c>
      <c r="E189">
        <v>1</v>
      </c>
      <c r="G189">
        <v>0.37519999999999998</v>
      </c>
      <c r="H189">
        <v>28.3736</v>
      </c>
    </row>
    <row r="190" spans="1:8" x14ac:dyDescent="0.2">
      <c r="A190">
        <v>44.458799999999997</v>
      </c>
      <c r="B190">
        <v>0.25040000000000001</v>
      </c>
      <c r="C190">
        <v>18.401900000000001</v>
      </c>
      <c r="D190">
        <v>0</v>
      </c>
      <c r="E190">
        <v>1</v>
      </c>
      <c r="G190">
        <v>0.37790000000000001</v>
      </c>
      <c r="H190">
        <v>28.0534</v>
      </c>
    </row>
    <row r="191" spans="1:8" x14ac:dyDescent="0.2">
      <c r="A191">
        <v>44.829300000000003</v>
      </c>
      <c r="B191">
        <v>0.25130000000000002</v>
      </c>
      <c r="C191">
        <v>18.064499999999999</v>
      </c>
      <c r="D191">
        <v>0</v>
      </c>
      <c r="E191">
        <v>1</v>
      </c>
      <c r="G191">
        <v>0.38200000000000001</v>
      </c>
      <c r="H191">
        <v>28.424800000000001</v>
      </c>
    </row>
    <row r="192" spans="1:8" x14ac:dyDescent="0.2">
      <c r="A192">
        <v>45.199800000000003</v>
      </c>
      <c r="B192">
        <v>0.25609999999999999</v>
      </c>
      <c r="C192">
        <v>18.165700000000001</v>
      </c>
      <c r="D192">
        <v>0</v>
      </c>
      <c r="E192">
        <v>1</v>
      </c>
      <c r="G192">
        <v>0.3856</v>
      </c>
      <c r="H192">
        <v>29.232800000000001</v>
      </c>
    </row>
    <row r="193" spans="1:8" x14ac:dyDescent="0.2">
      <c r="A193">
        <v>45.570300000000003</v>
      </c>
      <c r="B193">
        <v>0.25869999999999999</v>
      </c>
      <c r="C193">
        <v>18.781500000000001</v>
      </c>
      <c r="D193">
        <v>0</v>
      </c>
      <c r="E193">
        <v>1</v>
      </c>
      <c r="G193">
        <v>0.38600000000000001</v>
      </c>
      <c r="H193">
        <v>29.702999999999999</v>
      </c>
    </row>
    <row r="194" spans="1:8" x14ac:dyDescent="0.2">
      <c r="A194">
        <v>45.940800000000003</v>
      </c>
      <c r="B194">
        <v>0.26119999999999999</v>
      </c>
      <c r="C194">
        <v>19.3629</v>
      </c>
      <c r="D194">
        <v>0</v>
      </c>
      <c r="E194">
        <v>1</v>
      </c>
      <c r="G194">
        <v>0.3861</v>
      </c>
      <c r="H194">
        <v>29.4666</v>
      </c>
    </row>
    <row r="195" spans="1:8" x14ac:dyDescent="0.2">
      <c r="A195">
        <v>46.311199999999999</v>
      </c>
      <c r="B195">
        <v>0.26079999999999998</v>
      </c>
      <c r="C195">
        <v>19.401299999999999</v>
      </c>
      <c r="D195">
        <v>0</v>
      </c>
      <c r="E195">
        <v>1</v>
      </c>
      <c r="G195">
        <v>0.38719999999999999</v>
      </c>
      <c r="H195">
        <v>28.9726</v>
      </c>
    </row>
    <row r="196" spans="1:8" x14ac:dyDescent="0.2">
      <c r="A196">
        <v>46.681699999999999</v>
      </c>
      <c r="B196">
        <v>0.26100000000000001</v>
      </c>
      <c r="C196">
        <v>19.037400000000002</v>
      </c>
      <c r="D196">
        <v>0</v>
      </c>
      <c r="E196">
        <v>1</v>
      </c>
      <c r="G196">
        <v>0.3901</v>
      </c>
      <c r="H196">
        <v>29.003799999999998</v>
      </c>
    </row>
    <row r="197" spans="1:8" x14ac:dyDescent="0.2">
      <c r="A197">
        <v>47.052199999999999</v>
      </c>
      <c r="B197">
        <v>0.26429999999999998</v>
      </c>
      <c r="C197">
        <v>18.875399999999999</v>
      </c>
      <c r="D197">
        <v>0</v>
      </c>
      <c r="E197">
        <v>1</v>
      </c>
      <c r="G197">
        <v>0.39679999999999999</v>
      </c>
      <c r="H197">
        <v>29.686900000000001</v>
      </c>
    </row>
    <row r="198" spans="1:8" x14ac:dyDescent="0.2">
      <c r="A198">
        <v>47.422699999999999</v>
      </c>
      <c r="B198">
        <v>0.26879999999999998</v>
      </c>
      <c r="C198">
        <v>19.295999999999999</v>
      </c>
      <c r="D198">
        <v>0</v>
      </c>
      <c r="E198">
        <v>1</v>
      </c>
      <c r="G198">
        <v>0.39860000000000001</v>
      </c>
      <c r="H198">
        <v>30.4176</v>
      </c>
    </row>
    <row r="199" spans="1:8" x14ac:dyDescent="0.2">
      <c r="A199">
        <v>47.793199999999999</v>
      </c>
      <c r="B199">
        <v>0.2712</v>
      </c>
      <c r="C199">
        <v>19.989100000000001</v>
      </c>
      <c r="D199">
        <v>0</v>
      </c>
      <c r="E199">
        <v>1</v>
      </c>
      <c r="G199">
        <v>0.3997</v>
      </c>
      <c r="H199">
        <v>30.501000000000001</v>
      </c>
    </row>
    <row r="200" spans="1:8" x14ac:dyDescent="0.2">
      <c r="A200">
        <v>48.163699999999999</v>
      </c>
      <c r="B200">
        <v>0.27239999999999998</v>
      </c>
      <c r="C200">
        <v>20.316400000000002</v>
      </c>
      <c r="D200">
        <v>0</v>
      </c>
      <c r="E200">
        <v>1</v>
      </c>
      <c r="G200">
        <v>0.39850000000000002</v>
      </c>
      <c r="H200">
        <v>30.020099999999999</v>
      </c>
    </row>
    <row r="201" spans="1:8" x14ac:dyDescent="0.2">
      <c r="A201">
        <v>48.534199999999998</v>
      </c>
      <c r="B201">
        <v>0.27200000000000002</v>
      </c>
      <c r="C201">
        <v>20.069700000000001</v>
      </c>
      <c r="D201">
        <v>0</v>
      </c>
      <c r="E201">
        <v>1</v>
      </c>
      <c r="G201">
        <v>0.40160000000000001</v>
      </c>
      <c r="H201">
        <v>29.727699999999999</v>
      </c>
    </row>
    <row r="202" spans="1:8" x14ac:dyDescent="0.2">
      <c r="A202">
        <v>48.904699999999998</v>
      </c>
      <c r="B202">
        <v>0.27389999999999998</v>
      </c>
      <c r="C202">
        <v>19.717400000000001</v>
      </c>
      <c r="D202">
        <v>0</v>
      </c>
      <c r="E202">
        <v>1</v>
      </c>
      <c r="G202">
        <v>0.40460000000000002</v>
      </c>
      <c r="H202">
        <v>30.1492</v>
      </c>
    </row>
    <row r="203" spans="1:8" x14ac:dyDescent="0.2">
      <c r="A203">
        <v>49.275199999999998</v>
      </c>
      <c r="B203">
        <v>0.27710000000000001</v>
      </c>
      <c r="C203">
        <v>19.865600000000001</v>
      </c>
      <c r="D203">
        <v>0</v>
      </c>
      <c r="E203">
        <v>1</v>
      </c>
      <c r="G203">
        <v>0.40749999999999997</v>
      </c>
      <c r="H203">
        <v>30.977399999999999</v>
      </c>
    </row>
    <row r="204" spans="1:8" x14ac:dyDescent="0.2">
      <c r="A204">
        <v>49.645699999999998</v>
      </c>
      <c r="B204">
        <v>0.2802</v>
      </c>
      <c r="C204">
        <v>20.521599999999999</v>
      </c>
      <c r="D204">
        <v>0</v>
      </c>
      <c r="E204">
        <v>1</v>
      </c>
      <c r="G204">
        <v>0.40799999999999997</v>
      </c>
      <c r="H204">
        <v>31.4192</v>
      </c>
    </row>
    <row r="205" spans="1:8" x14ac:dyDescent="0.2">
      <c r="A205">
        <v>50.016199999999998</v>
      </c>
      <c r="B205">
        <v>0.28289999999999998</v>
      </c>
      <c r="C205">
        <v>21.095700000000001</v>
      </c>
      <c r="D205">
        <v>0</v>
      </c>
      <c r="E205">
        <v>1</v>
      </c>
      <c r="G205">
        <v>0.4073</v>
      </c>
      <c r="H205">
        <v>31.126000000000001</v>
      </c>
    </row>
    <row r="206" spans="1:8" x14ac:dyDescent="0.2">
      <c r="A206">
        <v>50.386600000000001</v>
      </c>
      <c r="B206">
        <v>0.28299999999999997</v>
      </c>
      <c r="C206">
        <v>21.086200000000002</v>
      </c>
      <c r="D206">
        <v>0</v>
      </c>
      <c r="E206">
        <v>1</v>
      </c>
      <c r="G206">
        <v>0.40689999999999998</v>
      </c>
      <c r="H206">
        <v>30.6325</v>
      </c>
    </row>
    <row r="207" spans="1:8" x14ac:dyDescent="0.2">
      <c r="A207">
        <v>50.757100000000001</v>
      </c>
      <c r="B207">
        <v>0.28179999999999999</v>
      </c>
      <c r="C207">
        <v>20.694099999999999</v>
      </c>
      <c r="D207">
        <v>0</v>
      </c>
      <c r="E207">
        <v>1</v>
      </c>
      <c r="G207">
        <v>0.4108</v>
      </c>
      <c r="H207">
        <v>30.690999999999999</v>
      </c>
    </row>
    <row r="208" spans="1:8" x14ac:dyDescent="0.2">
      <c r="A208">
        <v>51.127600000000001</v>
      </c>
      <c r="B208">
        <v>0.28460000000000002</v>
      </c>
      <c r="C208">
        <v>20.546700000000001</v>
      </c>
      <c r="D208">
        <v>0</v>
      </c>
      <c r="E208">
        <v>1</v>
      </c>
      <c r="G208">
        <v>0.41499999999999998</v>
      </c>
      <c r="H208">
        <v>31.435300000000002</v>
      </c>
    </row>
    <row r="209" spans="1:8" x14ac:dyDescent="0.2">
      <c r="A209">
        <v>51.498100000000001</v>
      </c>
      <c r="B209">
        <v>0.2893</v>
      </c>
      <c r="C209">
        <v>21.017600000000002</v>
      </c>
      <c r="D209">
        <v>0</v>
      </c>
      <c r="E209">
        <v>1</v>
      </c>
      <c r="G209">
        <v>0.41749999999999998</v>
      </c>
      <c r="H209">
        <v>32.148000000000003</v>
      </c>
    </row>
    <row r="210" spans="1:8" x14ac:dyDescent="0.2">
      <c r="A210">
        <v>51.868600000000001</v>
      </c>
      <c r="B210">
        <v>0.29220000000000002</v>
      </c>
      <c r="C210">
        <v>21.733599999999999</v>
      </c>
      <c r="D210">
        <v>0</v>
      </c>
      <c r="E210">
        <v>1</v>
      </c>
      <c r="G210">
        <v>0.41639999999999999</v>
      </c>
      <c r="H210">
        <v>32.19</v>
      </c>
    </row>
    <row r="211" spans="1:8" x14ac:dyDescent="0.2">
      <c r="A211">
        <v>52.239100000000001</v>
      </c>
      <c r="B211">
        <v>0.29239999999999999</v>
      </c>
      <c r="C211">
        <v>22.023900000000001</v>
      </c>
      <c r="D211">
        <v>0</v>
      </c>
      <c r="E211">
        <v>1</v>
      </c>
      <c r="G211">
        <v>0.41610000000000003</v>
      </c>
      <c r="H211">
        <v>31.676600000000001</v>
      </c>
    </row>
    <row r="212" spans="1:8" x14ac:dyDescent="0.2">
      <c r="A212">
        <v>52.6096</v>
      </c>
      <c r="B212">
        <v>0.29220000000000002</v>
      </c>
      <c r="C212">
        <v>21.734200000000001</v>
      </c>
      <c r="D212">
        <v>0</v>
      </c>
      <c r="E212">
        <v>1</v>
      </c>
      <c r="G212">
        <v>0.41920000000000002</v>
      </c>
      <c r="H212">
        <v>31.396799999999999</v>
      </c>
    </row>
    <row r="213" spans="1:8" x14ac:dyDescent="0.2">
      <c r="A213">
        <v>52.9801</v>
      </c>
      <c r="B213">
        <v>0.29260000000000003</v>
      </c>
      <c r="C213">
        <v>21.382999999999999</v>
      </c>
      <c r="D213">
        <v>0</v>
      </c>
      <c r="E213">
        <v>1</v>
      </c>
      <c r="G213">
        <v>0.42330000000000001</v>
      </c>
      <c r="H213">
        <v>31.8809</v>
      </c>
    </row>
    <row r="214" spans="1:8" x14ac:dyDescent="0.2">
      <c r="A214">
        <v>53.3506</v>
      </c>
      <c r="B214">
        <v>0.29720000000000002</v>
      </c>
      <c r="C214">
        <v>21.565000000000001</v>
      </c>
      <c r="D214">
        <v>0</v>
      </c>
      <c r="E214">
        <v>1</v>
      </c>
      <c r="G214">
        <v>0.42820000000000003</v>
      </c>
      <c r="H214">
        <v>32.7271</v>
      </c>
    </row>
    <row r="215" spans="1:8" x14ac:dyDescent="0.2">
      <c r="A215">
        <v>53.7211</v>
      </c>
      <c r="B215">
        <v>0.3009</v>
      </c>
      <c r="C215">
        <v>22.261800000000001</v>
      </c>
      <c r="D215">
        <v>0</v>
      </c>
      <c r="E215">
        <v>1</v>
      </c>
      <c r="G215">
        <v>0.43219999999999997</v>
      </c>
      <c r="H215">
        <v>33.119</v>
      </c>
    </row>
    <row r="216" spans="1:8" x14ac:dyDescent="0.2">
      <c r="A216">
        <v>54.091500000000003</v>
      </c>
      <c r="B216">
        <v>0.3024</v>
      </c>
      <c r="C216">
        <v>22.8156</v>
      </c>
      <c r="D216">
        <v>0</v>
      </c>
      <c r="E216">
        <v>1</v>
      </c>
      <c r="G216">
        <v>0.43209999999999998</v>
      </c>
      <c r="H216">
        <v>32.782299999999999</v>
      </c>
    </row>
    <row r="217" spans="1:8" x14ac:dyDescent="0.2">
      <c r="A217">
        <v>54.462000000000003</v>
      </c>
      <c r="B217">
        <v>0.30270000000000002</v>
      </c>
      <c r="C217">
        <v>22.772099999999998</v>
      </c>
      <c r="D217">
        <v>0</v>
      </c>
      <c r="E217">
        <v>1</v>
      </c>
      <c r="G217">
        <v>0.43259999999999998</v>
      </c>
      <c r="H217">
        <v>32.286000000000001</v>
      </c>
    </row>
    <row r="218" spans="1:8" x14ac:dyDescent="0.2">
      <c r="A218">
        <v>54.832500000000003</v>
      </c>
      <c r="B218">
        <v>0.3019</v>
      </c>
      <c r="C218">
        <v>22.346399999999999</v>
      </c>
      <c r="D218">
        <v>0</v>
      </c>
      <c r="E218">
        <v>1</v>
      </c>
      <c r="G218">
        <v>0.43619999999999998</v>
      </c>
      <c r="H218">
        <v>32.4099</v>
      </c>
    </row>
    <row r="219" spans="1:8" x14ac:dyDescent="0.2">
      <c r="A219">
        <v>55.203000000000003</v>
      </c>
      <c r="B219">
        <v>0.30499999999999999</v>
      </c>
      <c r="C219">
        <v>22.2364</v>
      </c>
      <c r="D219">
        <v>0</v>
      </c>
      <c r="E219">
        <v>1</v>
      </c>
      <c r="G219">
        <v>0.44</v>
      </c>
      <c r="H219">
        <v>33.178800000000003</v>
      </c>
    </row>
    <row r="220" spans="1:8" x14ac:dyDescent="0.2">
      <c r="A220">
        <v>55.573500000000003</v>
      </c>
      <c r="B220">
        <v>0.31009999999999999</v>
      </c>
      <c r="C220">
        <v>22.743099999999998</v>
      </c>
      <c r="D220">
        <v>0</v>
      </c>
      <c r="E220">
        <v>1</v>
      </c>
      <c r="G220">
        <v>0.44169999999999998</v>
      </c>
      <c r="H220">
        <v>33.884799999999998</v>
      </c>
    </row>
    <row r="221" spans="1:8" x14ac:dyDescent="0.2">
      <c r="A221">
        <v>55.944000000000003</v>
      </c>
      <c r="B221">
        <v>0.31169999999999998</v>
      </c>
      <c r="C221">
        <v>23.4682</v>
      </c>
      <c r="D221">
        <v>0</v>
      </c>
      <c r="E221">
        <v>1</v>
      </c>
      <c r="G221">
        <v>0.44159999999999999</v>
      </c>
      <c r="H221">
        <v>33.860999999999997</v>
      </c>
    </row>
    <row r="222" spans="1:8" x14ac:dyDescent="0.2">
      <c r="A222">
        <v>56.314500000000002</v>
      </c>
      <c r="B222">
        <v>0.31240000000000001</v>
      </c>
      <c r="C222">
        <v>23.7287</v>
      </c>
      <c r="D222">
        <v>0</v>
      </c>
      <c r="E222">
        <v>1</v>
      </c>
      <c r="G222">
        <v>0.43990000000000001</v>
      </c>
      <c r="H222">
        <v>33.321199999999997</v>
      </c>
    </row>
    <row r="223" spans="1:8" x14ac:dyDescent="0.2">
      <c r="A223">
        <v>56.685000000000002</v>
      </c>
      <c r="B223">
        <v>0.311</v>
      </c>
      <c r="C223">
        <v>23.393899999999999</v>
      </c>
      <c r="D223">
        <v>0</v>
      </c>
      <c r="E223">
        <v>1</v>
      </c>
      <c r="G223">
        <v>0.443</v>
      </c>
      <c r="H223">
        <v>33.082999999999998</v>
      </c>
    </row>
    <row r="224" spans="1:8" x14ac:dyDescent="0.2">
      <c r="A224">
        <v>57.055500000000002</v>
      </c>
      <c r="B224">
        <v>0.31390000000000001</v>
      </c>
      <c r="C224">
        <v>23.05</v>
      </c>
      <c r="D224">
        <v>0</v>
      </c>
      <c r="E224">
        <v>1</v>
      </c>
      <c r="G224">
        <v>0.4481</v>
      </c>
      <c r="H224">
        <v>33.615000000000002</v>
      </c>
    </row>
    <row r="225" spans="1:8" x14ac:dyDescent="0.2">
      <c r="A225">
        <v>57.425899999999999</v>
      </c>
      <c r="B225">
        <v>0.32</v>
      </c>
      <c r="C225">
        <v>23.273099999999999</v>
      </c>
      <c r="D225">
        <v>0</v>
      </c>
      <c r="E225">
        <v>1</v>
      </c>
      <c r="G225">
        <v>0.45100000000000001</v>
      </c>
      <c r="H225">
        <v>34.478099999999998</v>
      </c>
    </row>
    <row r="226" spans="1:8" x14ac:dyDescent="0.2">
      <c r="A226">
        <v>57.796399999999998</v>
      </c>
      <c r="B226">
        <v>0.3231</v>
      </c>
      <c r="C226">
        <v>23.999600000000001</v>
      </c>
      <c r="D226">
        <v>0</v>
      </c>
      <c r="E226">
        <v>1</v>
      </c>
      <c r="G226">
        <v>0.45279999999999998</v>
      </c>
      <c r="H226">
        <v>34.8172</v>
      </c>
    </row>
    <row r="227" spans="1:8" x14ac:dyDescent="0.2">
      <c r="A227">
        <v>58.166899999999998</v>
      </c>
      <c r="B227">
        <v>0.3251</v>
      </c>
      <c r="C227">
        <v>24.551100000000002</v>
      </c>
      <c r="D227">
        <v>0</v>
      </c>
      <c r="E227">
        <v>1</v>
      </c>
      <c r="G227">
        <v>0.45179999999999998</v>
      </c>
      <c r="H227">
        <v>34.446199999999997</v>
      </c>
    </row>
    <row r="228" spans="1:8" x14ac:dyDescent="0.2">
      <c r="A228">
        <v>58.537399999999998</v>
      </c>
      <c r="B228">
        <v>0.3236</v>
      </c>
      <c r="C228">
        <v>24.4512</v>
      </c>
      <c r="D228">
        <v>0</v>
      </c>
      <c r="E228">
        <v>1</v>
      </c>
      <c r="G228">
        <v>0.45250000000000001</v>
      </c>
      <c r="H228">
        <v>33.945599999999999</v>
      </c>
    </row>
    <row r="229" spans="1:8" x14ac:dyDescent="0.2">
      <c r="A229">
        <v>58.907899999999998</v>
      </c>
      <c r="B229">
        <v>0.32519999999999999</v>
      </c>
      <c r="C229">
        <v>24.005199999999999</v>
      </c>
      <c r="D229">
        <v>0</v>
      </c>
      <c r="E229">
        <v>1</v>
      </c>
      <c r="G229">
        <v>0.45529999999999998</v>
      </c>
      <c r="H229">
        <v>34.119399999999999</v>
      </c>
    </row>
    <row r="230" spans="1:8" x14ac:dyDescent="0.2">
      <c r="A230">
        <v>59.278399999999998</v>
      </c>
      <c r="B230">
        <v>0.32690000000000002</v>
      </c>
      <c r="C230">
        <v>23.918700000000001</v>
      </c>
      <c r="D230">
        <v>0</v>
      </c>
      <c r="E230">
        <v>1</v>
      </c>
      <c r="G230">
        <v>0.45979999999999999</v>
      </c>
      <c r="H230">
        <v>34.928600000000003</v>
      </c>
    </row>
    <row r="231" spans="1:8" x14ac:dyDescent="0.2">
      <c r="A231">
        <v>59.648899999999998</v>
      </c>
      <c r="B231">
        <v>0.33160000000000001</v>
      </c>
      <c r="C231">
        <v>24.479500000000002</v>
      </c>
      <c r="D231">
        <v>0</v>
      </c>
      <c r="E231">
        <v>1</v>
      </c>
      <c r="G231">
        <v>0.46300000000000002</v>
      </c>
      <c r="H231">
        <v>35.616900000000001</v>
      </c>
    </row>
    <row r="232" spans="1:8" x14ac:dyDescent="0.2">
      <c r="A232">
        <v>60.019399999999997</v>
      </c>
      <c r="B232">
        <v>0.33310000000000001</v>
      </c>
      <c r="C232">
        <v>25.2103</v>
      </c>
      <c r="D232">
        <v>0</v>
      </c>
      <c r="E232">
        <v>1</v>
      </c>
      <c r="G232">
        <v>0.46139999999999998</v>
      </c>
      <c r="H232">
        <v>35.538400000000003</v>
      </c>
    </row>
    <row r="233" spans="1:8" x14ac:dyDescent="0.2">
      <c r="A233">
        <v>60.389899999999997</v>
      </c>
      <c r="B233">
        <v>0.3332</v>
      </c>
      <c r="C233">
        <v>25.433700000000002</v>
      </c>
      <c r="D233">
        <v>0</v>
      </c>
      <c r="E233">
        <v>1</v>
      </c>
      <c r="G233">
        <v>0.46150000000000002</v>
      </c>
      <c r="H233">
        <v>34.973100000000002</v>
      </c>
    </row>
    <row r="234" spans="1:8" x14ac:dyDescent="0.2">
      <c r="A234">
        <v>60.760399999999997</v>
      </c>
      <c r="B234">
        <v>0.33450000000000002</v>
      </c>
      <c r="C234">
        <v>25.055900000000001</v>
      </c>
      <c r="D234">
        <v>0</v>
      </c>
      <c r="E234">
        <v>1</v>
      </c>
      <c r="G234">
        <v>0.46500000000000002</v>
      </c>
      <c r="H234">
        <v>34.762500000000003</v>
      </c>
    </row>
    <row r="235" spans="1:8" x14ac:dyDescent="0.2">
      <c r="A235">
        <v>61.130899999999997</v>
      </c>
      <c r="B235">
        <v>0.33579999999999999</v>
      </c>
      <c r="C235">
        <v>24.710599999999999</v>
      </c>
      <c r="D235">
        <v>0</v>
      </c>
      <c r="E235">
        <v>1</v>
      </c>
      <c r="G235">
        <v>0.46889999999999998</v>
      </c>
      <c r="H235">
        <v>35.345599999999997</v>
      </c>
    </row>
    <row r="236" spans="1:8" x14ac:dyDescent="0.2">
      <c r="A236">
        <v>61.501300000000001</v>
      </c>
      <c r="B236">
        <v>0.33889999999999998</v>
      </c>
      <c r="C236">
        <v>24.993400000000001</v>
      </c>
      <c r="D236">
        <v>0</v>
      </c>
      <c r="E236">
        <v>1</v>
      </c>
      <c r="G236">
        <v>0.47310000000000002</v>
      </c>
      <c r="H236">
        <v>36.216500000000003</v>
      </c>
    </row>
    <row r="237" spans="1:8" x14ac:dyDescent="0.2">
      <c r="A237">
        <v>61.8718</v>
      </c>
      <c r="B237">
        <v>0.34300000000000003</v>
      </c>
      <c r="C237">
        <v>25.704699999999999</v>
      </c>
      <c r="D237">
        <v>0</v>
      </c>
      <c r="E237">
        <v>1</v>
      </c>
      <c r="G237">
        <v>0.47120000000000001</v>
      </c>
      <c r="H237">
        <v>36.525399999999998</v>
      </c>
    </row>
    <row r="238" spans="1:8" x14ac:dyDescent="0.2">
      <c r="A238">
        <v>62.2423</v>
      </c>
      <c r="B238">
        <v>0.34439999999999998</v>
      </c>
      <c r="C238">
        <v>26.2667</v>
      </c>
      <c r="D238">
        <v>0</v>
      </c>
      <c r="E238">
        <v>1</v>
      </c>
      <c r="G238">
        <v>0.47239999999999999</v>
      </c>
      <c r="H238">
        <v>36.093299999999999</v>
      </c>
    </row>
    <row r="239" spans="1:8" x14ac:dyDescent="0.2">
      <c r="A239">
        <v>62.6128</v>
      </c>
      <c r="B239">
        <v>0.34329999999999999</v>
      </c>
      <c r="C239">
        <v>26.1219</v>
      </c>
      <c r="D239">
        <v>0</v>
      </c>
      <c r="E239">
        <v>1</v>
      </c>
      <c r="G239">
        <v>0.47270000000000001</v>
      </c>
      <c r="H239">
        <v>35.610500000000002</v>
      </c>
    </row>
    <row r="240" spans="1:8" x14ac:dyDescent="0.2">
      <c r="A240">
        <v>62.9833</v>
      </c>
      <c r="B240">
        <v>0.3427</v>
      </c>
      <c r="C240">
        <v>25.665800000000001</v>
      </c>
      <c r="D240">
        <v>0</v>
      </c>
      <c r="E240">
        <v>1</v>
      </c>
      <c r="G240">
        <v>0.47710000000000002</v>
      </c>
      <c r="H240">
        <v>35.825499999999998</v>
      </c>
    </row>
    <row r="241" spans="1:8" x14ac:dyDescent="0.2">
      <c r="A241">
        <v>63.3538</v>
      </c>
      <c r="B241">
        <v>0.34589999999999999</v>
      </c>
      <c r="C241">
        <v>25.6008</v>
      </c>
      <c r="D241">
        <v>0</v>
      </c>
      <c r="E241">
        <v>1</v>
      </c>
      <c r="G241">
        <v>0.48230000000000001</v>
      </c>
      <c r="H241">
        <v>36.678699999999999</v>
      </c>
    </row>
    <row r="242" spans="1:8" x14ac:dyDescent="0.2">
      <c r="A242">
        <v>63.724299999999999</v>
      </c>
      <c r="B242">
        <v>0.35020000000000001</v>
      </c>
      <c r="C242">
        <v>26.208200000000001</v>
      </c>
      <c r="D242">
        <v>0</v>
      </c>
      <c r="E242">
        <v>1</v>
      </c>
      <c r="G242">
        <v>0.4854</v>
      </c>
      <c r="H242">
        <v>37.338000000000001</v>
      </c>
    </row>
    <row r="243" spans="1:8" x14ac:dyDescent="0.2">
      <c r="A243">
        <v>64.094800000000006</v>
      </c>
      <c r="B243">
        <v>0.35289999999999999</v>
      </c>
      <c r="C243">
        <v>26.956399999999999</v>
      </c>
      <c r="D243">
        <v>0</v>
      </c>
      <c r="E243">
        <v>1</v>
      </c>
      <c r="G243">
        <v>0.48520000000000002</v>
      </c>
      <c r="H243">
        <v>37.213200000000001</v>
      </c>
    </row>
    <row r="244" spans="1:8" x14ac:dyDescent="0.2">
      <c r="A244">
        <v>64.465299999999999</v>
      </c>
      <c r="B244">
        <v>0.3533</v>
      </c>
      <c r="C244">
        <v>27.124199999999998</v>
      </c>
      <c r="D244">
        <v>0</v>
      </c>
      <c r="E244">
        <v>1</v>
      </c>
      <c r="G244">
        <v>0.48680000000000001</v>
      </c>
      <c r="H244">
        <v>36.623399999999997</v>
      </c>
    </row>
    <row r="245" spans="1:8" x14ac:dyDescent="0.2">
      <c r="A245">
        <v>64.835700000000003</v>
      </c>
      <c r="B245">
        <v>0.35339999999999999</v>
      </c>
      <c r="C245">
        <v>26.708600000000001</v>
      </c>
      <c r="D245">
        <v>0</v>
      </c>
      <c r="E245">
        <v>1</v>
      </c>
      <c r="G245">
        <v>0.48909999999999998</v>
      </c>
      <c r="H245">
        <v>36.456499999999998</v>
      </c>
    </row>
    <row r="246" spans="1:8" x14ac:dyDescent="0.2">
      <c r="A246">
        <v>65.206199999999995</v>
      </c>
      <c r="B246">
        <v>0.35620000000000002</v>
      </c>
      <c r="C246">
        <v>26.372800000000002</v>
      </c>
      <c r="D246">
        <v>0</v>
      </c>
      <c r="E246">
        <v>1</v>
      </c>
      <c r="G246">
        <v>0.49340000000000001</v>
      </c>
      <c r="H246">
        <v>37.092700000000001</v>
      </c>
    </row>
    <row r="247" spans="1:8" x14ac:dyDescent="0.2">
      <c r="A247">
        <v>65.576700000000002</v>
      </c>
      <c r="B247">
        <v>0.36299999999999999</v>
      </c>
      <c r="C247">
        <v>26.704999999999998</v>
      </c>
      <c r="D247">
        <v>0</v>
      </c>
      <c r="E247">
        <v>1</v>
      </c>
      <c r="G247">
        <v>0.49809999999999999</v>
      </c>
      <c r="H247">
        <v>37.954500000000003</v>
      </c>
    </row>
    <row r="248" spans="1:8" x14ac:dyDescent="0.2">
      <c r="A248">
        <v>65.947199999999995</v>
      </c>
      <c r="B248">
        <v>0.36430000000000001</v>
      </c>
      <c r="C248">
        <v>27.495899999999999</v>
      </c>
      <c r="D248">
        <v>0</v>
      </c>
      <c r="E248">
        <v>1</v>
      </c>
      <c r="G248">
        <v>0.49909999999999999</v>
      </c>
      <c r="H248">
        <v>38.221200000000003</v>
      </c>
    </row>
    <row r="249" spans="1:8" x14ac:dyDescent="0.2">
      <c r="A249">
        <v>66.317700000000002</v>
      </c>
      <c r="B249">
        <v>0.36680000000000001</v>
      </c>
      <c r="C249">
        <v>27.9909</v>
      </c>
      <c r="D249">
        <v>0</v>
      </c>
      <c r="E249">
        <v>1</v>
      </c>
      <c r="G249">
        <v>0.49869999999999998</v>
      </c>
      <c r="H249">
        <v>37.741199999999999</v>
      </c>
    </row>
    <row r="250" spans="1:8" x14ac:dyDescent="0.2">
      <c r="A250">
        <v>66.688199999999995</v>
      </c>
      <c r="B250">
        <v>0.36520000000000002</v>
      </c>
      <c r="C250">
        <v>27.792899999999999</v>
      </c>
      <c r="D250">
        <v>0</v>
      </c>
      <c r="E250">
        <v>1</v>
      </c>
      <c r="G250">
        <v>0.49980000000000002</v>
      </c>
      <c r="H250">
        <v>37.272500000000001</v>
      </c>
    </row>
    <row r="251" spans="1:8" x14ac:dyDescent="0.2">
      <c r="A251">
        <v>67.058700000000002</v>
      </c>
      <c r="B251">
        <v>0.36580000000000001</v>
      </c>
      <c r="C251">
        <v>27.316500000000001</v>
      </c>
      <c r="D251">
        <v>0</v>
      </c>
      <c r="E251">
        <v>1</v>
      </c>
      <c r="G251">
        <v>0.50419999999999998</v>
      </c>
      <c r="H251">
        <v>37.546199999999999</v>
      </c>
    </row>
    <row r="252" spans="1:8" x14ac:dyDescent="0.2">
      <c r="A252">
        <v>67.429199999999994</v>
      </c>
      <c r="B252">
        <v>0.36909999999999998</v>
      </c>
      <c r="C252">
        <v>27.301400000000001</v>
      </c>
      <c r="D252">
        <v>0</v>
      </c>
      <c r="E252">
        <v>1</v>
      </c>
      <c r="G252">
        <v>0.50780000000000003</v>
      </c>
      <c r="H252">
        <v>38.427599999999998</v>
      </c>
    </row>
    <row r="253" spans="1:8" x14ac:dyDescent="0.2">
      <c r="A253">
        <v>67.799700000000001</v>
      </c>
      <c r="B253">
        <v>0.37309999999999999</v>
      </c>
      <c r="C253">
        <v>27.9529</v>
      </c>
      <c r="D253">
        <v>0</v>
      </c>
      <c r="E253">
        <v>1</v>
      </c>
      <c r="G253">
        <v>0.50949999999999995</v>
      </c>
      <c r="H253">
        <v>39.071599999999997</v>
      </c>
    </row>
    <row r="254" spans="1:8" x14ac:dyDescent="0.2">
      <c r="A254">
        <v>68.170199999999994</v>
      </c>
      <c r="B254">
        <v>0.37669999999999998</v>
      </c>
      <c r="C254">
        <v>28.688099999999999</v>
      </c>
      <c r="D254">
        <v>0</v>
      </c>
      <c r="E254">
        <v>1</v>
      </c>
      <c r="G254">
        <v>0.50900000000000001</v>
      </c>
      <c r="H254">
        <v>38.8752</v>
      </c>
    </row>
    <row r="255" spans="1:8" x14ac:dyDescent="0.2">
      <c r="A255">
        <v>68.540599999999998</v>
      </c>
      <c r="B255">
        <v>0.37519999999999998</v>
      </c>
      <c r="C255">
        <v>28.812200000000001</v>
      </c>
      <c r="D255">
        <v>0</v>
      </c>
      <c r="E255">
        <v>1</v>
      </c>
      <c r="G255">
        <v>0.50819999999999999</v>
      </c>
      <c r="H255">
        <v>38.269100000000002</v>
      </c>
    </row>
    <row r="256" spans="1:8" x14ac:dyDescent="0.2">
      <c r="A256">
        <v>68.911100000000005</v>
      </c>
      <c r="B256">
        <v>0.37519999999999998</v>
      </c>
      <c r="C256">
        <v>28.3736</v>
      </c>
      <c r="D256">
        <v>0</v>
      </c>
      <c r="E256">
        <v>1</v>
      </c>
      <c r="G256">
        <v>0.51190000000000002</v>
      </c>
      <c r="H256">
        <v>38.148699999999998</v>
      </c>
    </row>
    <row r="257" spans="1:8" x14ac:dyDescent="0.2">
      <c r="A257">
        <v>69.281599999999997</v>
      </c>
      <c r="B257">
        <v>0.37790000000000001</v>
      </c>
      <c r="C257">
        <v>28.0534</v>
      </c>
      <c r="D257">
        <v>0</v>
      </c>
      <c r="E257">
        <v>1</v>
      </c>
      <c r="G257">
        <v>0.51600000000000001</v>
      </c>
      <c r="H257">
        <v>38.834299999999999</v>
      </c>
    </row>
    <row r="258" spans="1:8" x14ac:dyDescent="0.2">
      <c r="A258">
        <v>69.652100000000004</v>
      </c>
      <c r="B258">
        <v>0.38200000000000001</v>
      </c>
      <c r="C258">
        <v>28.424800000000001</v>
      </c>
      <c r="D258">
        <v>0</v>
      </c>
      <c r="E258">
        <v>1</v>
      </c>
      <c r="G258">
        <v>0.51790000000000003</v>
      </c>
      <c r="H258">
        <v>39.701900000000002</v>
      </c>
    </row>
    <row r="259" spans="1:8" x14ac:dyDescent="0.2">
      <c r="A259">
        <v>70.022599999999997</v>
      </c>
      <c r="B259">
        <v>0.3856</v>
      </c>
      <c r="C259">
        <v>29.232800000000001</v>
      </c>
      <c r="D259">
        <v>0</v>
      </c>
      <c r="E259">
        <v>1</v>
      </c>
      <c r="G259">
        <v>0.51890000000000003</v>
      </c>
      <c r="H259">
        <v>39.910600000000002</v>
      </c>
    </row>
    <row r="260" spans="1:8" x14ac:dyDescent="0.2">
      <c r="A260">
        <v>70.393100000000004</v>
      </c>
      <c r="B260">
        <v>0.38600000000000001</v>
      </c>
      <c r="C260">
        <v>29.702999999999999</v>
      </c>
      <c r="D260">
        <v>0</v>
      </c>
      <c r="E260">
        <v>1</v>
      </c>
      <c r="G260">
        <v>0.51859999999999995</v>
      </c>
      <c r="H260">
        <v>39.388599999999997</v>
      </c>
    </row>
    <row r="261" spans="1:8" x14ac:dyDescent="0.2">
      <c r="A261">
        <v>70.763599999999997</v>
      </c>
      <c r="B261">
        <v>0.3861</v>
      </c>
      <c r="C261">
        <v>29.4666</v>
      </c>
      <c r="D261">
        <v>0</v>
      </c>
      <c r="E261">
        <v>1</v>
      </c>
      <c r="G261">
        <v>0.52029999999999998</v>
      </c>
      <c r="H261">
        <v>38.939</v>
      </c>
    </row>
    <row r="262" spans="1:8" x14ac:dyDescent="0.2">
      <c r="A262">
        <v>71.134100000000004</v>
      </c>
      <c r="B262">
        <v>0.38719999999999999</v>
      </c>
      <c r="C262">
        <v>28.9726</v>
      </c>
      <c r="D262">
        <v>0</v>
      </c>
      <c r="E262">
        <v>1</v>
      </c>
      <c r="G262">
        <v>0.52310000000000001</v>
      </c>
      <c r="H262">
        <v>39.275399999999998</v>
      </c>
    </row>
    <row r="263" spans="1:8" x14ac:dyDescent="0.2">
      <c r="A263">
        <v>71.504599999999996</v>
      </c>
      <c r="B263">
        <v>0.3901</v>
      </c>
      <c r="C263">
        <v>29.003799999999998</v>
      </c>
      <c r="D263">
        <v>0</v>
      </c>
      <c r="E263">
        <v>1</v>
      </c>
      <c r="G263">
        <v>0.5282</v>
      </c>
      <c r="H263">
        <v>40.185400000000001</v>
      </c>
    </row>
    <row r="264" spans="1:8" x14ac:dyDescent="0.2">
      <c r="A264">
        <v>71.875100000000003</v>
      </c>
      <c r="B264">
        <v>0.39679999999999999</v>
      </c>
      <c r="C264">
        <v>29.686900000000001</v>
      </c>
      <c r="D264">
        <v>0</v>
      </c>
      <c r="E264">
        <v>1</v>
      </c>
      <c r="G264">
        <v>0.52939999999999998</v>
      </c>
      <c r="H264">
        <v>40.775399999999998</v>
      </c>
    </row>
    <row r="265" spans="1:8" x14ac:dyDescent="0.2">
      <c r="A265">
        <v>72.245599999999996</v>
      </c>
      <c r="B265">
        <v>0.39860000000000001</v>
      </c>
      <c r="C265">
        <v>30.4176</v>
      </c>
      <c r="D265">
        <v>0</v>
      </c>
      <c r="E265">
        <v>1</v>
      </c>
      <c r="G265">
        <v>0.5292</v>
      </c>
      <c r="H265">
        <v>40.540399999999998</v>
      </c>
    </row>
    <row r="266" spans="1:8" x14ac:dyDescent="0.2">
      <c r="A266">
        <v>72.616</v>
      </c>
      <c r="B266">
        <v>0.3997</v>
      </c>
      <c r="C266">
        <v>30.501000000000001</v>
      </c>
      <c r="D266">
        <v>0</v>
      </c>
      <c r="E266">
        <v>1</v>
      </c>
      <c r="G266">
        <v>0.52849999999999997</v>
      </c>
      <c r="H266">
        <v>39.920400000000001</v>
      </c>
    </row>
    <row r="267" spans="1:8" x14ac:dyDescent="0.2">
      <c r="A267">
        <v>72.986500000000007</v>
      </c>
      <c r="B267">
        <v>0.39850000000000002</v>
      </c>
      <c r="C267">
        <v>30.020099999999999</v>
      </c>
      <c r="D267">
        <v>0</v>
      </c>
      <c r="E267">
        <v>1</v>
      </c>
      <c r="G267">
        <v>0.53210000000000002</v>
      </c>
      <c r="H267">
        <v>39.845799999999997</v>
      </c>
    </row>
    <row r="268" spans="1:8" x14ac:dyDescent="0.2">
      <c r="A268">
        <v>73.356999999999999</v>
      </c>
      <c r="B268">
        <v>0.40160000000000001</v>
      </c>
      <c r="C268">
        <v>29.727699999999999</v>
      </c>
      <c r="D268">
        <v>0</v>
      </c>
      <c r="E268">
        <v>1</v>
      </c>
      <c r="G268">
        <v>0.53700000000000003</v>
      </c>
      <c r="H268">
        <v>40.577100000000002</v>
      </c>
    </row>
    <row r="269" spans="1:8" x14ac:dyDescent="0.2">
      <c r="A269">
        <v>73.727500000000006</v>
      </c>
      <c r="B269">
        <v>0.40460000000000002</v>
      </c>
      <c r="C269">
        <v>30.1492</v>
      </c>
      <c r="D269">
        <v>0</v>
      </c>
      <c r="E269">
        <v>1</v>
      </c>
      <c r="G269">
        <v>0.54</v>
      </c>
      <c r="H269">
        <v>41.439900000000002</v>
      </c>
    </row>
    <row r="270" spans="1:8" x14ac:dyDescent="0.2">
      <c r="A270">
        <v>74.097999999999999</v>
      </c>
      <c r="B270">
        <v>0.40749999999999997</v>
      </c>
      <c r="C270">
        <v>30.977399999999999</v>
      </c>
      <c r="D270">
        <v>0</v>
      </c>
      <c r="E270">
        <v>1</v>
      </c>
      <c r="G270">
        <v>0.53900000000000003</v>
      </c>
      <c r="H270">
        <v>41.592700000000001</v>
      </c>
    </row>
    <row r="271" spans="1:8" x14ac:dyDescent="0.2">
      <c r="A271">
        <v>74.468500000000006</v>
      </c>
      <c r="B271">
        <v>0.40799999999999997</v>
      </c>
      <c r="C271">
        <v>31.4192</v>
      </c>
      <c r="D271">
        <v>0</v>
      </c>
      <c r="E271">
        <v>1</v>
      </c>
      <c r="G271">
        <v>0.53820000000000001</v>
      </c>
      <c r="H271">
        <v>41.037300000000002</v>
      </c>
    </row>
    <row r="272" spans="1:8" x14ac:dyDescent="0.2">
      <c r="A272">
        <v>74.838999999999999</v>
      </c>
      <c r="B272">
        <v>0.4073</v>
      </c>
      <c r="C272">
        <v>31.126000000000001</v>
      </c>
      <c r="D272">
        <v>0</v>
      </c>
      <c r="E272">
        <v>1</v>
      </c>
      <c r="G272">
        <v>0.53979999999999995</v>
      </c>
      <c r="H272">
        <v>40.615299999999998</v>
      </c>
    </row>
    <row r="273" spans="1:8" x14ac:dyDescent="0.2">
      <c r="A273">
        <v>75.209500000000006</v>
      </c>
      <c r="B273">
        <v>0.40689999999999998</v>
      </c>
      <c r="C273">
        <v>30.6325</v>
      </c>
      <c r="D273">
        <v>0</v>
      </c>
      <c r="E273">
        <v>1</v>
      </c>
      <c r="G273">
        <v>0.54430000000000001</v>
      </c>
      <c r="H273">
        <v>40.991500000000002</v>
      </c>
    </row>
    <row r="274" spans="1:8" x14ac:dyDescent="0.2">
      <c r="A274">
        <v>75.58</v>
      </c>
      <c r="B274">
        <v>0.4108</v>
      </c>
      <c r="C274">
        <v>30.690999999999999</v>
      </c>
      <c r="D274">
        <v>0</v>
      </c>
      <c r="E274">
        <v>1</v>
      </c>
      <c r="G274">
        <v>0.54879999999999995</v>
      </c>
      <c r="H274">
        <v>41.939599999999999</v>
      </c>
    </row>
    <row r="275" spans="1:8" x14ac:dyDescent="0.2">
      <c r="A275">
        <v>75.950400000000002</v>
      </c>
      <c r="B275">
        <v>0.41499999999999998</v>
      </c>
      <c r="C275">
        <v>31.435300000000002</v>
      </c>
      <c r="D275">
        <v>0</v>
      </c>
      <c r="E275">
        <v>1</v>
      </c>
      <c r="G275">
        <v>0.55089999999999995</v>
      </c>
      <c r="H275">
        <v>42.493299999999998</v>
      </c>
    </row>
    <row r="276" spans="1:8" x14ac:dyDescent="0.2">
      <c r="A276">
        <v>76.320899999999995</v>
      </c>
      <c r="B276">
        <v>0.41749999999999998</v>
      </c>
      <c r="C276">
        <v>32.148000000000003</v>
      </c>
      <c r="D276">
        <v>0</v>
      </c>
      <c r="E276">
        <v>1</v>
      </c>
      <c r="G276">
        <v>0.5514</v>
      </c>
      <c r="H276">
        <v>42.200899999999997</v>
      </c>
    </row>
    <row r="277" spans="1:8" x14ac:dyDescent="0.2">
      <c r="A277">
        <v>76.691400000000002</v>
      </c>
      <c r="B277">
        <v>0.41639999999999999</v>
      </c>
      <c r="C277">
        <v>32.19</v>
      </c>
      <c r="D277">
        <v>0</v>
      </c>
      <c r="E277">
        <v>1</v>
      </c>
      <c r="G277">
        <v>0.55149999999999999</v>
      </c>
      <c r="H277">
        <v>41.5745</v>
      </c>
    </row>
    <row r="278" spans="1:8" x14ac:dyDescent="0.2">
      <c r="A278">
        <v>77.061899999999994</v>
      </c>
      <c r="B278">
        <v>0.41610000000000003</v>
      </c>
      <c r="C278">
        <v>31.676600000000001</v>
      </c>
      <c r="D278">
        <v>0</v>
      </c>
      <c r="E278">
        <v>1</v>
      </c>
      <c r="G278">
        <v>0.55640000000000001</v>
      </c>
      <c r="H278">
        <v>41.542499999999997</v>
      </c>
    </row>
    <row r="279" spans="1:8" x14ac:dyDescent="0.2">
      <c r="A279">
        <v>77.432400000000001</v>
      </c>
      <c r="B279">
        <v>0.41920000000000002</v>
      </c>
      <c r="C279">
        <v>31.396799999999999</v>
      </c>
      <c r="D279">
        <v>0</v>
      </c>
      <c r="E279">
        <v>1</v>
      </c>
      <c r="G279">
        <v>0.56140000000000001</v>
      </c>
      <c r="H279">
        <v>42.323399999999999</v>
      </c>
    </row>
    <row r="280" spans="1:8" x14ac:dyDescent="0.2">
      <c r="A280">
        <v>77.802899999999994</v>
      </c>
      <c r="B280">
        <v>0.42330000000000001</v>
      </c>
      <c r="C280">
        <v>31.8809</v>
      </c>
      <c r="D280">
        <v>0</v>
      </c>
      <c r="E280">
        <v>1</v>
      </c>
      <c r="G280">
        <v>0.5645</v>
      </c>
      <c r="H280">
        <v>43.175899999999999</v>
      </c>
    </row>
    <row r="281" spans="1:8" x14ac:dyDescent="0.2">
      <c r="A281">
        <v>78.173400000000001</v>
      </c>
      <c r="B281">
        <v>0.42820000000000003</v>
      </c>
      <c r="C281">
        <v>32.7271</v>
      </c>
      <c r="D281">
        <v>0</v>
      </c>
      <c r="E281">
        <v>1</v>
      </c>
      <c r="G281">
        <v>0.56389999999999996</v>
      </c>
      <c r="H281">
        <v>43.282899999999998</v>
      </c>
    </row>
    <row r="282" spans="1:8" x14ac:dyDescent="0.2">
      <c r="A282">
        <v>78.543899999999994</v>
      </c>
      <c r="B282">
        <v>0.43219999999999997</v>
      </c>
      <c r="C282">
        <v>33.119</v>
      </c>
      <c r="D282">
        <v>0</v>
      </c>
      <c r="E282">
        <v>1</v>
      </c>
      <c r="G282">
        <v>0.56459999999999999</v>
      </c>
      <c r="H282">
        <v>42.685299999999998</v>
      </c>
    </row>
    <row r="283" spans="1:8" x14ac:dyDescent="0.2">
      <c r="A283">
        <v>78.914400000000001</v>
      </c>
      <c r="B283">
        <v>0.43209999999999998</v>
      </c>
      <c r="C283">
        <v>32.782299999999999</v>
      </c>
      <c r="D283">
        <v>0</v>
      </c>
      <c r="E283">
        <v>1</v>
      </c>
      <c r="G283">
        <v>0.56689999999999996</v>
      </c>
      <c r="H283">
        <v>42.2804</v>
      </c>
    </row>
    <row r="284" spans="1:8" x14ac:dyDescent="0.2">
      <c r="A284">
        <v>79.284899999999993</v>
      </c>
      <c r="B284">
        <v>0.43259999999999998</v>
      </c>
      <c r="C284">
        <v>32.286000000000001</v>
      </c>
      <c r="D284">
        <v>0</v>
      </c>
      <c r="E284">
        <v>1</v>
      </c>
      <c r="G284">
        <v>0.5716</v>
      </c>
      <c r="H284">
        <v>42.722799999999999</v>
      </c>
    </row>
    <row r="285" spans="1:8" x14ac:dyDescent="0.2">
      <c r="A285">
        <v>79.655299999999997</v>
      </c>
      <c r="B285">
        <v>0.43619999999999998</v>
      </c>
      <c r="C285">
        <v>32.4099</v>
      </c>
      <c r="D285">
        <v>0</v>
      </c>
      <c r="E285">
        <v>1</v>
      </c>
      <c r="G285">
        <v>0.57469999999999999</v>
      </c>
      <c r="H285">
        <v>43.685499999999998</v>
      </c>
    </row>
    <row r="286" spans="1:8" x14ac:dyDescent="0.2">
      <c r="A286">
        <v>80.025800000000004</v>
      </c>
      <c r="B286">
        <v>0.44</v>
      </c>
      <c r="C286">
        <v>33.178800000000003</v>
      </c>
      <c r="D286">
        <v>0</v>
      </c>
      <c r="E286">
        <v>1</v>
      </c>
      <c r="G286">
        <v>0.57699999999999996</v>
      </c>
      <c r="H286">
        <v>44.203000000000003</v>
      </c>
    </row>
    <row r="287" spans="1:8" x14ac:dyDescent="0.2">
      <c r="A287">
        <v>80.396299999999997</v>
      </c>
      <c r="B287">
        <v>0.44169999999999998</v>
      </c>
      <c r="C287">
        <v>33.884799999999998</v>
      </c>
      <c r="D287">
        <v>0</v>
      </c>
      <c r="E287">
        <v>1</v>
      </c>
      <c r="G287">
        <v>0.5786</v>
      </c>
      <c r="H287">
        <v>43.842599999999997</v>
      </c>
    </row>
    <row r="288" spans="1:8" x14ac:dyDescent="0.2">
      <c r="A288">
        <v>80.766800000000003</v>
      </c>
      <c r="B288">
        <v>0.44159999999999999</v>
      </c>
      <c r="C288">
        <v>33.860999999999997</v>
      </c>
      <c r="D288">
        <v>0</v>
      </c>
      <c r="E288">
        <v>1</v>
      </c>
      <c r="G288">
        <v>0.5776</v>
      </c>
      <c r="H288">
        <v>43.226399999999998</v>
      </c>
    </row>
    <row r="289" spans="1:8" x14ac:dyDescent="0.2">
      <c r="A289">
        <v>81.137299999999996</v>
      </c>
      <c r="B289">
        <v>0.43990000000000001</v>
      </c>
      <c r="C289">
        <v>33.321199999999997</v>
      </c>
      <c r="D289">
        <v>0</v>
      </c>
      <c r="E289">
        <v>1</v>
      </c>
      <c r="G289">
        <v>0.58279999999999998</v>
      </c>
      <c r="H289">
        <v>43.2425</v>
      </c>
    </row>
    <row r="290" spans="1:8" x14ac:dyDescent="0.2">
      <c r="A290">
        <v>81.507800000000003</v>
      </c>
      <c r="B290">
        <v>0.443</v>
      </c>
      <c r="C290">
        <v>33.082999999999998</v>
      </c>
      <c r="D290">
        <v>0</v>
      </c>
      <c r="E290">
        <v>1</v>
      </c>
      <c r="G290">
        <v>0.58540000000000003</v>
      </c>
      <c r="H290">
        <v>44.076500000000003</v>
      </c>
    </row>
    <row r="291" spans="1:8" x14ac:dyDescent="0.2">
      <c r="A291">
        <v>81.878299999999996</v>
      </c>
      <c r="B291">
        <v>0.4481</v>
      </c>
      <c r="C291">
        <v>33.615000000000002</v>
      </c>
      <c r="D291">
        <v>0</v>
      </c>
      <c r="E291">
        <v>1</v>
      </c>
      <c r="G291">
        <v>0.58919999999999995</v>
      </c>
      <c r="H291">
        <v>44.924999999999997</v>
      </c>
    </row>
    <row r="292" spans="1:8" x14ac:dyDescent="0.2">
      <c r="A292">
        <v>82.248800000000003</v>
      </c>
      <c r="B292">
        <v>0.45100000000000001</v>
      </c>
      <c r="C292">
        <v>34.478099999999998</v>
      </c>
      <c r="D292">
        <v>0</v>
      </c>
      <c r="E292">
        <v>1</v>
      </c>
      <c r="G292">
        <v>0.58889999999999998</v>
      </c>
      <c r="H292">
        <v>44.951999999999998</v>
      </c>
    </row>
    <row r="293" spans="1:8" x14ac:dyDescent="0.2">
      <c r="A293">
        <v>82.619299999999996</v>
      </c>
      <c r="B293">
        <v>0.45279999999999998</v>
      </c>
      <c r="C293">
        <v>34.8172</v>
      </c>
      <c r="D293">
        <v>0</v>
      </c>
      <c r="E293">
        <v>1</v>
      </c>
      <c r="G293">
        <v>0.58860000000000001</v>
      </c>
      <c r="H293">
        <v>44.331099999999999</v>
      </c>
    </row>
    <row r="294" spans="1:8" x14ac:dyDescent="0.2">
      <c r="A294">
        <v>82.989800000000002</v>
      </c>
      <c r="B294">
        <v>0.45179999999999998</v>
      </c>
      <c r="C294">
        <v>34.446199999999997</v>
      </c>
      <c r="D294">
        <v>0</v>
      </c>
      <c r="E294">
        <v>1</v>
      </c>
      <c r="G294">
        <v>0.59160000000000001</v>
      </c>
      <c r="H294">
        <v>43.948900000000002</v>
      </c>
    </row>
    <row r="295" spans="1:8" x14ac:dyDescent="0.2">
      <c r="A295">
        <v>83.360299999999995</v>
      </c>
      <c r="B295">
        <v>0.45250000000000001</v>
      </c>
      <c r="C295">
        <v>33.945599999999999</v>
      </c>
      <c r="D295">
        <v>0</v>
      </c>
      <c r="E295">
        <v>1</v>
      </c>
      <c r="G295">
        <v>0.59640000000000004</v>
      </c>
      <c r="H295">
        <v>44.462600000000002</v>
      </c>
    </row>
    <row r="296" spans="1:8" x14ac:dyDescent="0.2">
      <c r="A296">
        <v>83.730699999999999</v>
      </c>
      <c r="B296">
        <v>0.45529999999999998</v>
      </c>
      <c r="C296">
        <v>34.119399999999999</v>
      </c>
      <c r="D296">
        <v>0</v>
      </c>
      <c r="E296">
        <v>1</v>
      </c>
      <c r="G296">
        <v>0.60070000000000001</v>
      </c>
      <c r="H296">
        <v>45.433</v>
      </c>
    </row>
    <row r="297" spans="1:8" x14ac:dyDescent="0.2">
      <c r="A297">
        <v>84.101200000000006</v>
      </c>
      <c r="B297">
        <v>0.45979999999999999</v>
      </c>
      <c r="C297">
        <v>34.928600000000003</v>
      </c>
      <c r="D297">
        <v>0</v>
      </c>
      <c r="E297">
        <v>1</v>
      </c>
      <c r="G297">
        <v>0.60240000000000005</v>
      </c>
      <c r="H297">
        <v>45.902700000000003</v>
      </c>
    </row>
    <row r="298" spans="1:8" x14ac:dyDescent="0.2">
      <c r="A298">
        <v>84.471699999999998</v>
      </c>
      <c r="B298">
        <v>0.46300000000000002</v>
      </c>
      <c r="C298">
        <v>35.616900000000001</v>
      </c>
      <c r="D298">
        <v>0</v>
      </c>
      <c r="E298">
        <v>1</v>
      </c>
      <c r="G298">
        <v>0.60199999999999998</v>
      </c>
      <c r="H298">
        <v>45.497700000000002</v>
      </c>
    </row>
    <row r="299" spans="1:8" x14ac:dyDescent="0.2">
      <c r="A299">
        <v>84.842200000000005</v>
      </c>
      <c r="B299">
        <v>0.46139999999999998</v>
      </c>
      <c r="C299">
        <v>35.538400000000003</v>
      </c>
      <c r="D299">
        <v>0</v>
      </c>
      <c r="E299">
        <v>1</v>
      </c>
      <c r="G299">
        <v>0.60319999999999996</v>
      </c>
      <c r="H299">
        <v>44.877099999999999</v>
      </c>
    </row>
    <row r="300" spans="1:8" x14ac:dyDescent="0.2">
      <c r="A300">
        <v>85.212699999999998</v>
      </c>
      <c r="B300">
        <v>0.46150000000000002</v>
      </c>
      <c r="C300">
        <v>34.973100000000002</v>
      </c>
      <c r="D300">
        <v>0</v>
      </c>
      <c r="E300">
        <v>1</v>
      </c>
      <c r="G300">
        <v>0.60760000000000003</v>
      </c>
      <c r="H300">
        <v>44.9621</v>
      </c>
    </row>
    <row r="301" spans="1:8" x14ac:dyDescent="0.2">
      <c r="A301">
        <v>85.583200000000005</v>
      </c>
      <c r="B301">
        <v>0.46500000000000002</v>
      </c>
      <c r="C301">
        <v>34.762500000000003</v>
      </c>
      <c r="D301">
        <v>0</v>
      </c>
      <c r="E301">
        <v>1</v>
      </c>
      <c r="G301">
        <v>0.61240000000000006</v>
      </c>
      <c r="H301">
        <v>45.8309</v>
      </c>
    </row>
    <row r="302" spans="1:8" x14ac:dyDescent="0.2">
      <c r="A302">
        <v>85.953699999999998</v>
      </c>
      <c r="B302">
        <v>0.46889999999999998</v>
      </c>
      <c r="C302">
        <v>35.345599999999997</v>
      </c>
      <c r="D302">
        <v>0</v>
      </c>
      <c r="E302">
        <v>1</v>
      </c>
      <c r="G302">
        <v>0.61509999999999998</v>
      </c>
      <c r="H302">
        <v>46.648400000000002</v>
      </c>
    </row>
    <row r="303" spans="1:8" x14ac:dyDescent="0.2">
      <c r="A303">
        <v>86.324200000000005</v>
      </c>
      <c r="B303">
        <v>0.47310000000000002</v>
      </c>
      <c r="C303">
        <v>36.216500000000003</v>
      </c>
      <c r="D303">
        <v>0</v>
      </c>
      <c r="E303">
        <v>1</v>
      </c>
      <c r="G303">
        <v>0.61329999999999996</v>
      </c>
      <c r="H303">
        <v>46.635899999999999</v>
      </c>
    </row>
    <row r="304" spans="1:8" x14ac:dyDescent="0.2">
      <c r="A304">
        <v>86.694699999999997</v>
      </c>
      <c r="B304">
        <v>0.47120000000000001</v>
      </c>
      <c r="C304">
        <v>36.525399999999998</v>
      </c>
      <c r="D304">
        <v>0</v>
      </c>
      <c r="E304">
        <v>1</v>
      </c>
      <c r="G304">
        <v>0.61480000000000001</v>
      </c>
      <c r="H304">
        <v>45.9711</v>
      </c>
    </row>
    <row r="305" spans="1:8" x14ac:dyDescent="0.2">
      <c r="A305">
        <v>87.065100000000001</v>
      </c>
      <c r="B305">
        <v>0.47239999999999999</v>
      </c>
      <c r="C305">
        <v>36.093299999999999</v>
      </c>
      <c r="D305">
        <v>0</v>
      </c>
      <c r="E305">
        <v>1</v>
      </c>
      <c r="G305">
        <v>0.61680000000000001</v>
      </c>
      <c r="H305">
        <v>45.640500000000003</v>
      </c>
    </row>
    <row r="306" spans="1:8" x14ac:dyDescent="0.2">
      <c r="A306">
        <v>87.435599999999994</v>
      </c>
      <c r="B306">
        <v>0.47270000000000001</v>
      </c>
      <c r="C306">
        <v>35.610500000000002</v>
      </c>
      <c r="D306">
        <v>0</v>
      </c>
      <c r="E306">
        <v>1</v>
      </c>
      <c r="G306">
        <v>0.62160000000000004</v>
      </c>
      <c r="H306">
        <v>46.207900000000002</v>
      </c>
    </row>
    <row r="307" spans="1:8" x14ac:dyDescent="0.2">
      <c r="A307">
        <v>87.806100000000001</v>
      </c>
      <c r="B307">
        <v>0.47710000000000002</v>
      </c>
      <c r="C307">
        <v>35.825499999999998</v>
      </c>
      <c r="D307">
        <v>0</v>
      </c>
      <c r="E307">
        <v>1</v>
      </c>
      <c r="G307">
        <v>0.62609999999999999</v>
      </c>
      <c r="H307">
        <v>47.189399999999999</v>
      </c>
    </row>
    <row r="308" spans="1:8" x14ac:dyDescent="0.2">
      <c r="A308">
        <v>88.176599999999993</v>
      </c>
      <c r="B308">
        <v>0.48230000000000001</v>
      </c>
      <c r="C308">
        <v>36.678699999999999</v>
      </c>
      <c r="D308">
        <v>0</v>
      </c>
      <c r="E308">
        <v>1</v>
      </c>
      <c r="G308">
        <v>0.62560000000000004</v>
      </c>
      <c r="H308">
        <v>47.6126</v>
      </c>
    </row>
    <row r="309" spans="1:8" x14ac:dyDescent="0.2">
      <c r="A309">
        <v>88.5471</v>
      </c>
      <c r="B309">
        <v>0.4854</v>
      </c>
      <c r="C309">
        <v>37.338000000000001</v>
      </c>
      <c r="D309">
        <v>0</v>
      </c>
      <c r="E309">
        <v>1</v>
      </c>
      <c r="G309">
        <v>0.62660000000000005</v>
      </c>
      <c r="H309">
        <v>47.152700000000003</v>
      </c>
    </row>
    <row r="310" spans="1:8" x14ac:dyDescent="0.2">
      <c r="A310">
        <v>88.917599999999993</v>
      </c>
      <c r="B310">
        <v>0.48520000000000002</v>
      </c>
      <c r="C310">
        <v>37.213200000000001</v>
      </c>
      <c r="D310">
        <v>0</v>
      </c>
      <c r="E310">
        <v>1</v>
      </c>
      <c r="G310">
        <v>0.628</v>
      </c>
      <c r="H310">
        <v>46.543100000000003</v>
      </c>
    </row>
    <row r="311" spans="1:8" x14ac:dyDescent="0.2">
      <c r="A311">
        <v>89.2881</v>
      </c>
      <c r="B311">
        <v>0.48680000000000001</v>
      </c>
      <c r="C311">
        <v>36.623399999999997</v>
      </c>
      <c r="D311">
        <v>0</v>
      </c>
      <c r="E311">
        <v>1</v>
      </c>
      <c r="G311">
        <v>0.63280000000000003</v>
      </c>
      <c r="H311">
        <v>46.671300000000002</v>
      </c>
    </row>
    <row r="312" spans="1:8" x14ac:dyDescent="0.2">
      <c r="A312">
        <v>89.658600000000007</v>
      </c>
      <c r="B312">
        <v>0.48909999999999998</v>
      </c>
      <c r="C312">
        <v>36.456499999999998</v>
      </c>
      <c r="D312">
        <v>0</v>
      </c>
      <c r="E312">
        <v>1</v>
      </c>
      <c r="G312">
        <v>0.63739999999999997</v>
      </c>
      <c r="H312">
        <v>47.59</v>
      </c>
    </row>
    <row r="313" spans="1:8" x14ac:dyDescent="0.2">
      <c r="A313">
        <v>90.0291</v>
      </c>
      <c r="B313">
        <v>0.49340000000000001</v>
      </c>
      <c r="C313">
        <v>37.092700000000001</v>
      </c>
      <c r="D313">
        <v>0</v>
      </c>
      <c r="E313">
        <v>1</v>
      </c>
      <c r="G313">
        <v>0.63959999999999995</v>
      </c>
      <c r="H313">
        <v>48.376899999999999</v>
      </c>
    </row>
    <row r="314" spans="1:8" x14ac:dyDescent="0.2">
      <c r="A314">
        <v>90.399600000000007</v>
      </c>
      <c r="B314">
        <v>0.49809999999999999</v>
      </c>
      <c r="C314">
        <v>37.954500000000003</v>
      </c>
      <c r="D314">
        <v>0</v>
      </c>
      <c r="E314">
        <v>1</v>
      </c>
      <c r="G314">
        <v>0.64259999999999995</v>
      </c>
      <c r="H314">
        <v>48.3</v>
      </c>
    </row>
    <row r="315" spans="1:8" x14ac:dyDescent="0.2">
      <c r="A315">
        <v>90.770099999999999</v>
      </c>
      <c r="B315">
        <v>0.49909999999999999</v>
      </c>
      <c r="C315">
        <v>38.221200000000003</v>
      </c>
      <c r="D315">
        <v>0</v>
      </c>
      <c r="E315">
        <v>1</v>
      </c>
      <c r="G315">
        <v>0.64339999999999997</v>
      </c>
      <c r="H315">
        <v>47.620899999999999</v>
      </c>
    </row>
    <row r="316" spans="1:8" x14ac:dyDescent="0.2">
      <c r="A316">
        <v>91.140500000000003</v>
      </c>
      <c r="B316">
        <v>0.49869999999999998</v>
      </c>
      <c r="C316">
        <v>37.741199999999999</v>
      </c>
      <c r="D316">
        <v>0</v>
      </c>
      <c r="E316">
        <v>1</v>
      </c>
      <c r="G316">
        <v>0.64629999999999999</v>
      </c>
      <c r="H316">
        <v>47.324399999999997</v>
      </c>
    </row>
    <row r="317" spans="1:8" x14ac:dyDescent="0.2">
      <c r="A317">
        <v>91.510999999999996</v>
      </c>
      <c r="B317">
        <v>0.49980000000000002</v>
      </c>
      <c r="C317">
        <v>37.272500000000001</v>
      </c>
      <c r="D317">
        <v>0</v>
      </c>
      <c r="E317">
        <v>1</v>
      </c>
      <c r="G317">
        <v>0.65239999999999998</v>
      </c>
      <c r="H317">
        <v>47.945399999999999</v>
      </c>
    </row>
    <row r="318" spans="1:8" x14ac:dyDescent="0.2">
      <c r="A318">
        <v>91.881500000000003</v>
      </c>
      <c r="B318">
        <v>0.50419999999999998</v>
      </c>
      <c r="C318">
        <v>37.546199999999999</v>
      </c>
      <c r="D318">
        <v>0</v>
      </c>
      <c r="E318">
        <v>1</v>
      </c>
      <c r="G318">
        <v>0.65580000000000005</v>
      </c>
      <c r="H318">
        <v>48.939500000000002</v>
      </c>
    </row>
    <row r="319" spans="1:8" x14ac:dyDescent="0.2">
      <c r="A319">
        <v>92.251999999999995</v>
      </c>
      <c r="B319">
        <v>0.50780000000000003</v>
      </c>
      <c r="C319">
        <v>38.427599999999998</v>
      </c>
      <c r="D319">
        <v>0</v>
      </c>
      <c r="E319">
        <v>1</v>
      </c>
      <c r="G319">
        <v>0.65839999999999999</v>
      </c>
      <c r="H319">
        <v>49.303600000000003</v>
      </c>
    </row>
    <row r="320" spans="1:8" x14ac:dyDescent="0.2">
      <c r="A320">
        <v>92.622500000000002</v>
      </c>
      <c r="B320">
        <v>0.50949999999999995</v>
      </c>
      <c r="C320">
        <v>39.071599999999997</v>
      </c>
      <c r="D320">
        <v>0</v>
      </c>
      <c r="E320">
        <v>1</v>
      </c>
      <c r="G320">
        <v>0.65690000000000004</v>
      </c>
      <c r="H320">
        <v>48.802799999999998</v>
      </c>
    </row>
    <row r="321" spans="1:8" x14ac:dyDescent="0.2">
      <c r="A321">
        <v>92.992999999999995</v>
      </c>
      <c r="B321">
        <v>0.50900000000000001</v>
      </c>
      <c r="C321">
        <v>38.8752</v>
      </c>
      <c r="D321">
        <v>0</v>
      </c>
      <c r="E321">
        <v>1</v>
      </c>
      <c r="G321">
        <v>0.6593</v>
      </c>
      <c r="H321">
        <v>48.192100000000003</v>
      </c>
    </row>
    <row r="322" spans="1:8" x14ac:dyDescent="0.2">
      <c r="A322">
        <v>93.363500000000002</v>
      </c>
      <c r="B322">
        <v>0.50819999999999999</v>
      </c>
      <c r="C322">
        <v>38.269100000000002</v>
      </c>
      <c r="D322">
        <v>0</v>
      </c>
      <c r="E322">
        <v>1</v>
      </c>
      <c r="G322">
        <v>0.6623</v>
      </c>
      <c r="H322">
        <v>48.389699999999998</v>
      </c>
    </row>
    <row r="323" spans="1:8" x14ac:dyDescent="0.2">
      <c r="A323">
        <v>93.733999999999995</v>
      </c>
      <c r="B323">
        <v>0.51190000000000002</v>
      </c>
      <c r="C323">
        <v>38.148699999999998</v>
      </c>
      <c r="D323">
        <v>0</v>
      </c>
      <c r="E323">
        <v>1</v>
      </c>
      <c r="G323">
        <v>0.66769999999999996</v>
      </c>
      <c r="H323">
        <v>49.341000000000001</v>
      </c>
    </row>
    <row r="324" spans="1:8" x14ac:dyDescent="0.2">
      <c r="A324">
        <v>94.104500000000002</v>
      </c>
      <c r="B324">
        <v>0.51600000000000001</v>
      </c>
      <c r="C324">
        <v>38.834299999999999</v>
      </c>
      <c r="D324">
        <v>0</v>
      </c>
      <c r="E324">
        <v>1</v>
      </c>
      <c r="G324">
        <v>0.67159999999999997</v>
      </c>
      <c r="H324">
        <v>50.107100000000003</v>
      </c>
    </row>
    <row r="325" spans="1:8" x14ac:dyDescent="0.2">
      <c r="A325">
        <v>94.474999999999994</v>
      </c>
      <c r="B325">
        <v>0.51790000000000003</v>
      </c>
      <c r="C325">
        <v>39.701900000000002</v>
      </c>
      <c r="D325">
        <v>0</v>
      </c>
      <c r="E325">
        <v>1</v>
      </c>
      <c r="G325">
        <v>0.66890000000000005</v>
      </c>
      <c r="H325">
        <v>49.968200000000003</v>
      </c>
    </row>
    <row r="326" spans="1:8" x14ac:dyDescent="0.2">
      <c r="A326">
        <v>94.845399999999998</v>
      </c>
      <c r="B326">
        <v>0.51890000000000003</v>
      </c>
      <c r="C326">
        <v>39.910600000000002</v>
      </c>
      <c r="D326">
        <v>0</v>
      </c>
      <c r="E326">
        <v>1</v>
      </c>
      <c r="G326">
        <v>0.67100000000000004</v>
      </c>
      <c r="H326">
        <v>49.260399999999997</v>
      </c>
    </row>
    <row r="327" spans="1:8" x14ac:dyDescent="0.2">
      <c r="A327">
        <v>95.215900000000005</v>
      </c>
      <c r="B327">
        <v>0.51859999999999995</v>
      </c>
      <c r="C327">
        <v>39.388599999999997</v>
      </c>
      <c r="D327">
        <v>0</v>
      </c>
      <c r="E327">
        <v>1</v>
      </c>
      <c r="G327">
        <v>0.67279999999999995</v>
      </c>
      <c r="H327">
        <v>49.008600000000001</v>
      </c>
    </row>
    <row r="328" spans="1:8" x14ac:dyDescent="0.2">
      <c r="A328">
        <v>95.586399999999998</v>
      </c>
      <c r="B328">
        <v>0.52029999999999998</v>
      </c>
      <c r="C328">
        <v>38.939</v>
      </c>
      <c r="D328">
        <v>0</v>
      </c>
      <c r="E328">
        <v>1</v>
      </c>
      <c r="G328">
        <v>0.6784</v>
      </c>
      <c r="H328">
        <v>49.699199999999998</v>
      </c>
    </row>
    <row r="329" spans="1:8" x14ac:dyDescent="0.2">
      <c r="A329">
        <v>95.956900000000005</v>
      </c>
      <c r="B329">
        <v>0.52310000000000001</v>
      </c>
      <c r="C329">
        <v>39.275399999999998</v>
      </c>
      <c r="D329">
        <v>0</v>
      </c>
      <c r="E329">
        <v>1</v>
      </c>
      <c r="G329">
        <v>0.68159999999999998</v>
      </c>
      <c r="H329">
        <v>50.689799999999998</v>
      </c>
    </row>
    <row r="330" spans="1:8" x14ac:dyDescent="0.2">
      <c r="A330">
        <v>96.327399999999997</v>
      </c>
      <c r="B330">
        <v>0.5282</v>
      </c>
      <c r="C330">
        <v>40.185400000000001</v>
      </c>
      <c r="D330">
        <v>0</v>
      </c>
      <c r="E330">
        <v>1</v>
      </c>
      <c r="G330">
        <v>0.68230000000000002</v>
      </c>
      <c r="H330">
        <v>51.005000000000003</v>
      </c>
    </row>
    <row r="331" spans="1:8" x14ac:dyDescent="0.2">
      <c r="A331">
        <v>96.697900000000004</v>
      </c>
      <c r="B331">
        <v>0.52939999999999998</v>
      </c>
      <c r="C331">
        <v>40.775399999999998</v>
      </c>
      <c r="D331">
        <v>0</v>
      </c>
      <c r="E331">
        <v>1</v>
      </c>
      <c r="G331">
        <v>0.68320000000000003</v>
      </c>
      <c r="H331">
        <v>50.442</v>
      </c>
    </row>
    <row r="332" spans="1:8" x14ac:dyDescent="0.2">
      <c r="A332">
        <v>97.068399999999997</v>
      </c>
      <c r="B332">
        <v>0.5292</v>
      </c>
      <c r="C332">
        <v>40.540399999999998</v>
      </c>
      <c r="D332">
        <v>0</v>
      </c>
      <c r="E332">
        <v>1</v>
      </c>
      <c r="G332">
        <v>0.68479999999999996</v>
      </c>
      <c r="H332">
        <v>49.845999999999997</v>
      </c>
    </row>
    <row r="333" spans="1:8" x14ac:dyDescent="0.2">
      <c r="A333">
        <v>97.438900000000004</v>
      </c>
      <c r="B333">
        <v>0.52849999999999997</v>
      </c>
      <c r="C333">
        <v>39.920400000000001</v>
      </c>
      <c r="D333">
        <v>0</v>
      </c>
      <c r="E333">
        <v>1</v>
      </c>
      <c r="G333">
        <v>0.68969999999999998</v>
      </c>
      <c r="H333">
        <v>50.1143</v>
      </c>
    </row>
    <row r="334" spans="1:8" x14ac:dyDescent="0.2">
      <c r="A334">
        <v>97.809399999999997</v>
      </c>
      <c r="B334">
        <v>0.53210000000000002</v>
      </c>
      <c r="C334">
        <v>39.845799999999997</v>
      </c>
      <c r="D334">
        <v>0</v>
      </c>
      <c r="E334">
        <v>1</v>
      </c>
      <c r="G334">
        <v>0.69499999999999995</v>
      </c>
      <c r="H334">
        <v>51.100900000000003</v>
      </c>
    </row>
    <row r="335" spans="1:8" x14ac:dyDescent="0.2">
      <c r="A335">
        <v>98.1798</v>
      </c>
      <c r="B335">
        <v>0.53700000000000003</v>
      </c>
      <c r="C335">
        <v>40.577100000000002</v>
      </c>
      <c r="D335">
        <v>0</v>
      </c>
      <c r="E335">
        <v>1</v>
      </c>
      <c r="G335">
        <v>0.69669999999999999</v>
      </c>
      <c r="H335">
        <v>51.8386</v>
      </c>
    </row>
    <row r="336" spans="1:8" x14ac:dyDescent="0.2">
      <c r="A336">
        <v>98.550299999999993</v>
      </c>
      <c r="B336">
        <v>0.54</v>
      </c>
      <c r="C336">
        <v>41.439900000000002</v>
      </c>
      <c r="D336">
        <v>0</v>
      </c>
      <c r="E336">
        <v>1</v>
      </c>
      <c r="G336">
        <v>0.69810000000000005</v>
      </c>
      <c r="H336">
        <v>51.624200000000002</v>
      </c>
    </row>
    <row r="337" spans="1:8" x14ac:dyDescent="0.2">
      <c r="A337">
        <v>98.9208</v>
      </c>
      <c r="B337">
        <v>0.53900000000000003</v>
      </c>
      <c r="C337">
        <v>41.592700000000001</v>
      </c>
      <c r="D337">
        <v>0</v>
      </c>
      <c r="E337">
        <v>1</v>
      </c>
      <c r="G337">
        <v>0.69820000000000004</v>
      </c>
      <c r="H337">
        <v>50.902200000000001</v>
      </c>
    </row>
    <row r="338" spans="1:8" x14ac:dyDescent="0.2">
      <c r="A338">
        <v>99.291300000000007</v>
      </c>
      <c r="B338">
        <v>0.53820000000000001</v>
      </c>
      <c r="C338">
        <v>41.037300000000002</v>
      </c>
      <c r="D338">
        <v>0</v>
      </c>
      <c r="E338">
        <v>1</v>
      </c>
      <c r="G338">
        <v>0.7016</v>
      </c>
      <c r="H338">
        <v>50.698500000000003</v>
      </c>
    </row>
    <row r="339" spans="1:8" x14ac:dyDescent="0.2">
      <c r="A339">
        <v>99.661799999999999</v>
      </c>
      <c r="B339">
        <v>0.53979999999999995</v>
      </c>
      <c r="C339">
        <v>40.615299999999998</v>
      </c>
      <c r="D339">
        <v>0</v>
      </c>
      <c r="E339">
        <v>1</v>
      </c>
      <c r="G339">
        <v>0.70679999999999998</v>
      </c>
      <c r="H339">
        <v>51.447400000000002</v>
      </c>
    </row>
    <row r="340" spans="1:8" x14ac:dyDescent="0.2">
      <c r="A340">
        <v>100.03230000000001</v>
      </c>
      <c r="B340">
        <v>0.54430000000000001</v>
      </c>
      <c r="C340">
        <v>40.991500000000002</v>
      </c>
      <c r="D340">
        <v>0</v>
      </c>
      <c r="E340">
        <v>1</v>
      </c>
      <c r="G340">
        <v>0.7087</v>
      </c>
      <c r="H340">
        <v>52.446100000000001</v>
      </c>
    </row>
    <row r="341" spans="1:8" x14ac:dyDescent="0.2">
      <c r="A341">
        <v>100.4028</v>
      </c>
      <c r="B341">
        <v>0.54879999999999995</v>
      </c>
      <c r="C341">
        <v>41.939599999999999</v>
      </c>
      <c r="D341">
        <v>0</v>
      </c>
      <c r="E341">
        <v>1</v>
      </c>
      <c r="G341">
        <v>0.70979999999999999</v>
      </c>
      <c r="H341">
        <v>52.689399999999999</v>
      </c>
    </row>
    <row r="342" spans="1:8" x14ac:dyDescent="0.2">
      <c r="A342">
        <v>100.77330000000001</v>
      </c>
      <c r="B342">
        <v>0.55089999999999995</v>
      </c>
      <c r="C342">
        <v>42.493299999999998</v>
      </c>
      <c r="D342">
        <v>0</v>
      </c>
      <c r="E342">
        <v>1</v>
      </c>
      <c r="G342">
        <v>0.7107</v>
      </c>
      <c r="H342">
        <v>52.092700000000001</v>
      </c>
    </row>
    <row r="343" spans="1:8" x14ac:dyDescent="0.2">
      <c r="A343">
        <v>101.1438</v>
      </c>
      <c r="B343">
        <v>0.5514</v>
      </c>
      <c r="C343">
        <v>42.200899999999997</v>
      </c>
      <c r="D343">
        <v>0</v>
      </c>
      <c r="E343">
        <v>1</v>
      </c>
      <c r="G343">
        <v>0.71319999999999995</v>
      </c>
      <c r="H343">
        <v>51.524900000000002</v>
      </c>
    </row>
    <row r="344" spans="1:8" x14ac:dyDescent="0.2">
      <c r="A344">
        <v>101.51430000000001</v>
      </c>
      <c r="B344">
        <v>0.55149999999999999</v>
      </c>
      <c r="C344">
        <v>41.5745</v>
      </c>
      <c r="D344">
        <v>0</v>
      </c>
      <c r="E344">
        <v>1</v>
      </c>
      <c r="G344">
        <v>0.71730000000000005</v>
      </c>
      <c r="H344">
        <v>51.847700000000003</v>
      </c>
    </row>
    <row r="345" spans="1:8" x14ac:dyDescent="0.2">
      <c r="A345">
        <v>101.8848</v>
      </c>
      <c r="B345">
        <v>0.55640000000000001</v>
      </c>
      <c r="C345">
        <v>41.542499999999997</v>
      </c>
      <c r="D345">
        <v>0</v>
      </c>
      <c r="E345">
        <v>1</v>
      </c>
      <c r="G345">
        <v>0.72240000000000004</v>
      </c>
      <c r="H345">
        <v>52.861600000000003</v>
      </c>
    </row>
    <row r="346" spans="1:8" x14ac:dyDescent="0.2">
      <c r="A346">
        <v>102.2552</v>
      </c>
      <c r="B346">
        <v>0.56140000000000001</v>
      </c>
      <c r="C346">
        <v>42.323399999999999</v>
      </c>
      <c r="D346">
        <v>0</v>
      </c>
      <c r="E346">
        <v>1</v>
      </c>
      <c r="G346">
        <v>0.72409999999999997</v>
      </c>
      <c r="H346">
        <v>53.5443</v>
      </c>
    </row>
    <row r="347" spans="1:8" x14ac:dyDescent="0.2">
      <c r="A347">
        <v>102.62569999999999</v>
      </c>
      <c r="B347">
        <v>0.5645</v>
      </c>
      <c r="C347">
        <v>43.175899999999999</v>
      </c>
      <c r="D347">
        <v>0</v>
      </c>
      <c r="E347">
        <v>1</v>
      </c>
      <c r="G347">
        <v>0.72409999999999997</v>
      </c>
      <c r="H347">
        <v>53.281799999999997</v>
      </c>
    </row>
    <row r="348" spans="1:8" x14ac:dyDescent="0.2">
      <c r="A348">
        <v>102.9962</v>
      </c>
      <c r="B348">
        <v>0.56389999999999996</v>
      </c>
      <c r="C348">
        <v>43.282899999999998</v>
      </c>
      <c r="D348">
        <v>0</v>
      </c>
      <c r="E348">
        <v>1</v>
      </c>
      <c r="G348">
        <v>0.72450000000000003</v>
      </c>
      <c r="H348">
        <v>52.560099999999998</v>
      </c>
    </row>
    <row r="349" spans="1:8" x14ac:dyDescent="0.2">
      <c r="A349">
        <v>103.36669999999999</v>
      </c>
      <c r="B349">
        <v>0.56459999999999999</v>
      </c>
      <c r="C349">
        <v>42.685299999999998</v>
      </c>
      <c r="D349">
        <v>0</v>
      </c>
      <c r="E349">
        <v>1</v>
      </c>
      <c r="G349">
        <v>0.7288</v>
      </c>
      <c r="H349">
        <v>52.405200000000001</v>
      </c>
    </row>
    <row r="350" spans="1:8" x14ac:dyDescent="0.2">
      <c r="A350">
        <v>103.7372</v>
      </c>
      <c r="B350">
        <v>0.56689999999999996</v>
      </c>
      <c r="C350">
        <v>42.2804</v>
      </c>
      <c r="D350">
        <v>0</v>
      </c>
      <c r="E350">
        <v>1</v>
      </c>
      <c r="G350">
        <v>0.73360000000000003</v>
      </c>
      <c r="H350">
        <v>53.199599999999997</v>
      </c>
    </row>
    <row r="351" spans="1:8" x14ac:dyDescent="0.2">
      <c r="A351">
        <v>104.10769999999999</v>
      </c>
      <c r="B351">
        <v>0.5716</v>
      </c>
      <c r="C351">
        <v>42.722799999999999</v>
      </c>
      <c r="D351">
        <v>0</v>
      </c>
      <c r="E351">
        <v>1</v>
      </c>
      <c r="G351">
        <v>0.73770000000000002</v>
      </c>
      <c r="H351">
        <v>54.178100000000001</v>
      </c>
    </row>
    <row r="352" spans="1:8" x14ac:dyDescent="0.2">
      <c r="A352">
        <v>104.4782</v>
      </c>
      <c r="B352">
        <v>0.57469999999999999</v>
      </c>
      <c r="C352">
        <v>43.685499999999998</v>
      </c>
      <c r="D352">
        <v>0</v>
      </c>
      <c r="E352">
        <v>1</v>
      </c>
      <c r="G352">
        <v>0.73680000000000001</v>
      </c>
      <c r="H352">
        <v>54.371499999999997</v>
      </c>
    </row>
    <row r="353" spans="1:8" x14ac:dyDescent="0.2">
      <c r="A353">
        <v>104.84869999999999</v>
      </c>
      <c r="B353">
        <v>0.57699999999999996</v>
      </c>
      <c r="C353">
        <v>44.203000000000003</v>
      </c>
      <c r="D353">
        <v>0</v>
      </c>
      <c r="E353">
        <v>1</v>
      </c>
      <c r="G353">
        <v>0.73829999999999996</v>
      </c>
      <c r="H353">
        <v>53.724600000000002</v>
      </c>
    </row>
    <row r="354" spans="1:8" x14ac:dyDescent="0.2">
      <c r="A354">
        <v>105.2192</v>
      </c>
      <c r="B354">
        <v>0.5786</v>
      </c>
      <c r="C354">
        <v>43.842599999999997</v>
      </c>
      <c r="D354">
        <v>0</v>
      </c>
      <c r="E354">
        <v>1</v>
      </c>
      <c r="G354">
        <v>0.74029999999999996</v>
      </c>
      <c r="H354">
        <v>53.191699999999997</v>
      </c>
    </row>
    <row r="355" spans="1:8" x14ac:dyDescent="0.2">
      <c r="A355">
        <v>105.58969999999999</v>
      </c>
      <c r="B355">
        <v>0.5776</v>
      </c>
      <c r="C355">
        <v>43.226399999999998</v>
      </c>
      <c r="D355">
        <v>0</v>
      </c>
      <c r="E355">
        <v>1</v>
      </c>
      <c r="G355">
        <v>0.74380000000000002</v>
      </c>
      <c r="H355">
        <v>53.575899999999997</v>
      </c>
    </row>
    <row r="356" spans="1:8" x14ac:dyDescent="0.2">
      <c r="A356">
        <v>105.9601</v>
      </c>
      <c r="B356">
        <v>0.58279999999999998</v>
      </c>
      <c r="C356">
        <v>43.2425</v>
      </c>
      <c r="D356">
        <v>0</v>
      </c>
      <c r="E356">
        <v>1</v>
      </c>
      <c r="G356">
        <v>0.74870000000000003</v>
      </c>
      <c r="H356">
        <v>54.615600000000001</v>
      </c>
    </row>
    <row r="357" spans="1:8" x14ac:dyDescent="0.2">
      <c r="A357">
        <v>106.3306</v>
      </c>
      <c r="B357">
        <v>0.58540000000000003</v>
      </c>
      <c r="C357">
        <v>44.076500000000003</v>
      </c>
      <c r="D357">
        <v>0</v>
      </c>
      <c r="E357">
        <v>1</v>
      </c>
      <c r="G357">
        <v>0.75049999999999994</v>
      </c>
      <c r="H357">
        <v>55.266100000000002</v>
      </c>
    </row>
    <row r="358" spans="1:8" x14ac:dyDescent="0.2">
      <c r="A358">
        <v>106.7011</v>
      </c>
      <c r="B358">
        <v>0.58919999999999995</v>
      </c>
      <c r="C358">
        <v>44.924999999999997</v>
      </c>
      <c r="D358">
        <v>0</v>
      </c>
      <c r="E358">
        <v>1</v>
      </c>
      <c r="G358">
        <v>0.74990000000000001</v>
      </c>
      <c r="H358">
        <v>54.9373</v>
      </c>
    </row>
    <row r="359" spans="1:8" x14ac:dyDescent="0.2">
      <c r="A359">
        <v>107.0716</v>
      </c>
      <c r="B359">
        <v>0.58889999999999998</v>
      </c>
      <c r="C359">
        <v>44.951999999999998</v>
      </c>
      <c r="D359">
        <v>0</v>
      </c>
      <c r="E359">
        <v>1</v>
      </c>
      <c r="G359">
        <v>0.75119999999999998</v>
      </c>
      <c r="H359">
        <v>54.200299999999999</v>
      </c>
    </row>
    <row r="360" spans="1:8" x14ac:dyDescent="0.2">
      <c r="A360">
        <v>107.4421</v>
      </c>
      <c r="B360">
        <v>0.58860000000000001</v>
      </c>
      <c r="C360">
        <v>44.331099999999999</v>
      </c>
      <c r="D360">
        <v>0</v>
      </c>
      <c r="E360">
        <v>1</v>
      </c>
      <c r="G360">
        <v>0.75439999999999996</v>
      </c>
      <c r="H360">
        <v>54.101700000000001</v>
      </c>
    </row>
    <row r="361" spans="1:8" x14ac:dyDescent="0.2">
      <c r="A361">
        <v>107.8126</v>
      </c>
      <c r="B361">
        <v>0.59160000000000001</v>
      </c>
      <c r="C361">
        <v>43.948900000000002</v>
      </c>
      <c r="D361">
        <v>0</v>
      </c>
      <c r="E361">
        <v>1</v>
      </c>
      <c r="G361">
        <v>0.76019999999999999</v>
      </c>
      <c r="H361">
        <v>54.954000000000001</v>
      </c>
    </row>
    <row r="362" spans="1:8" x14ac:dyDescent="0.2">
      <c r="A362">
        <v>108.1831</v>
      </c>
      <c r="B362">
        <v>0.59640000000000004</v>
      </c>
      <c r="C362">
        <v>44.462600000000002</v>
      </c>
      <c r="D362">
        <v>0</v>
      </c>
      <c r="E362">
        <v>1</v>
      </c>
      <c r="G362">
        <v>0.76359999999999995</v>
      </c>
      <c r="H362">
        <v>55.914499999999997</v>
      </c>
    </row>
    <row r="363" spans="1:8" x14ac:dyDescent="0.2">
      <c r="A363">
        <v>108.5536</v>
      </c>
      <c r="B363">
        <v>0.60070000000000001</v>
      </c>
      <c r="C363">
        <v>45.433</v>
      </c>
      <c r="D363">
        <v>0</v>
      </c>
      <c r="E363">
        <v>1</v>
      </c>
      <c r="G363">
        <v>0.76490000000000002</v>
      </c>
      <c r="H363">
        <v>56.048400000000001</v>
      </c>
    </row>
    <row r="364" spans="1:8" x14ac:dyDescent="0.2">
      <c r="A364">
        <v>108.9241</v>
      </c>
      <c r="B364">
        <v>0.60240000000000005</v>
      </c>
      <c r="C364">
        <v>45.902700000000003</v>
      </c>
      <c r="D364">
        <v>0</v>
      </c>
      <c r="E364">
        <v>1</v>
      </c>
      <c r="G364">
        <v>0.76529999999999998</v>
      </c>
      <c r="H364">
        <v>55.368200000000002</v>
      </c>
    </row>
    <row r="365" spans="1:8" x14ac:dyDescent="0.2">
      <c r="A365">
        <v>109.2945</v>
      </c>
      <c r="B365">
        <v>0.60199999999999998</v>
      </c>
      <c r="C365">
        <v>45.497700000000002</v>
      </c>
      <c r="D365">
        <v>0</v>
      </c>
      <c r="E365">
        <v>1</v>
      </c>
      <c r="G365">
        <v>0.76880000000000004</v>
      </c>
      <c r="H365">
        <v>54.852600000000002</v>
      </c>
    </row>
    <row r="366" spans="1:8" x14ac:dyDescent="0.2">
      <c r="A366">
        <v>109.66500000000001</v>
      </c>
      <c r="B366">
        <v>0.60319999999999996</v>
      </c>
      <c r="C366">
        <v>44.877099999999999</v>
      </c>
      <c r="D366">
        <v>0</v>
      </c>
      <c r="E366">
        <v>1</v>
      </c>
      <c r="G366">
        <v>0.77390000000000003</v>
      </c>
      <c r="H366">
        <v>55.313200000000002</v>
      </c>
    </row>
    <row r="367" spans="1:8" x14ac:dyDescent="0.2">
      <c r="A367">
        <v>110.0355</v>
      </c>
      <c r="B367">
        <v>0.60760000000000003</v>
      </c>
      <c r="C367">
        <v>44.9621</v>
      </c>
      <c r="D367">
        <v>0</v>
      </c>
      <c r="E367">
        <v>1</v>
      </c>
      <c r="G367">
        <v>0.77769999999999995</v>
      </c>
      <c r="H367">
        <v>56.376300000000001</v>
      </c>
    </row>
    <row r="368" spans="1:8" x14ac:dyDescent="0.2">
      <c r="A368">
        <v>110.40600000000001</v>
      </c>
      <c r="B368">
        <v>0.61240000000000006</v>
      </c>
      <c r="C368">
        <v>45.8309</v>
      </c>
      <c r="D368">
        <v>0</v>
      </c>
      <c r="E368">
        <v>1</v>
      </c>
      <c r="G368">
        <v>0.7792</v>
      </c>
      <c r="H368">
        <v>56.982900000000001</v>
      </c>
    </row>
    <row r="369" spans="1:8" x14ac:dyDescent="0.2">
      <c r="A369">
        <v>110.7765</v>
      </c>
      <c r="B369">
        <v>0.61509999999999998</v>
      </c>
      <c r="C369">
        <v>46.648400000000002</v>
      </c>
      <c r="D369">
        <v>0</v>
      </c>
      <c r="E369">
        <v>1</v>
      </c>
      <c r="G369">
        <v>0.77939999999999998</v>
      </c>
      <c r="H369">
        <v>56.582700000000003</v>
      </c>
    </row>
    <row r="370" spans="1:8" x14ac:dyDescent="0.2">
      <c r="A370">
        <v>111.14700000000001</v>
      </c>
      <c r="B370">
        <v>0.61329999999999996</v>
      </c>
      <c r="C370">
        <v>46.635899999999999</v>
      </c>
      <c r="D370">
        <v>0</v>
      </c>
      <c r="E370">
        <v>1</v>
      </c>
      <c r="G370">
        <v>0.78139999999999998</v>
      </c>
      <c r="H370">
        <v>55.837899999999998</v>
      </c>
    </row>
    <row r="371" spans="1:8" x14ac:dyDescent="0.2">
      <c r="A371">
        <v>111.5175</v>
      </c>
      <c r="B371">
        <v>0.61480000000000001</v>
      </c>
      <c r="C371">
        <v>45.9711</v>
      </c>
      <c r="D371">
        <v>0</v>
      </c>
      <c r="E371">
        <v>1</v>
      </c>
      <c r="G371">
        <v>0.78420000000000001</v>
      </c>
      <c r="H371">
        <v>55.819400000000002</v>
      </c>
    </row>
    <row r="372" spans="1:8" x14ac:dyDescent="0.2">
      <c r="A372">
        <v>111.88800000000001</v>
      </c>
      <c r="B372">
        <v>0.61680000000000001</v>
      </c>
      <c r="C372">
        <v>45.640500000000003</v>
      </c>
      <c r="D372">
        <v>0</v>
      </c>
      <c r="E372">
        <v>1</v>
      </c>
      <c r="G372">
        <v>0.79010000000000002</v>
      </c>
      <c r="H372">
        <v>56.711799999999997</v>
      </c>
    </row>
    <row r="373" spans="1:8" x14ac:dyDescent="0.2">
      <c r="A373">
        <v>112.2585</v>
      </c>
      <c r="B373">
        <v>0.62160000000000004</v>
      </c>
      <c r="C373">
        <v>46.207900000000002</v>
      </c>
      <c r="D373">
        <v>0</v>
      </c>
      <c r="E373">
        <v>1</v>
      </c>
      <c r="G373">
        <v>0.79359999999999997</v>
      </c>
      <c r="H373">
        <v>57.660499999999999</v>
      </c>
    </row>
    <row r="374" spans="1:8" x14ac:dyDescent="0.2">
      <c r="A374">
        <v>112.629</v>
      </c>
      <c r="B374">
        <v>0.62609999999999999</v>
      </c>
      <c r="C374">
        <v>47.189399999999999</v>
      </c>
      <c r="D374">
        <v>0</v>
      </c>
      <c r="E374">
        <v>1</v>
      </c>
      <c r="G374">
        <v>0.79369999999999996</v>
      </c>
      <c r="H374">
        <v>57.721200000000003</v>
      </c>
    </row>
    <row r="375" spans="1:8" x14ac:dyDescent="0.2">
      <c r="A375">
        <v>112.9995</v>
      </c>
      <c r="B375">
        <v>0.62560000000000004</v>
      </c>
      <c r="C375">
        <v>47.6126</v>
      </c>
      <c r="D375">
        <v>0</v>
      </c>
      <c r="E375">
        <v>1</v>
      </c>
      <c r="G375">
        <v>0.79430000000000001</v>
      </c>
      <c r="H375">
        <v>57.004600000000003</v>
      </c>
    </row>
    <row r="376" spans="1:8" x14ac:dyDescent="0.2">
      <c r="A376">
        <v>113.3699</v>
      </c>
      <c r="B376">
        <v>0.62660000000000005</v>
      </c>
      <c r="C376">
        <v>47.152700000000003</v>
      </c>
      <c r="D376">
        <v>0</v>
      </c>
      <c r="E376">
        <v>1</v>
      </c>
      <c r="G376">
        <v>0.79779999999999995</v>
      </c>
      <c r="H376">
        <v>56.531199999999998</v>
      </c>
    </row>
    <row r="377" spans="1:8" x14ac:dyDescent="0.2">
      <c r="A377">
        <v>113.74039999999999</v>
      </c>
      <c r="B377">
        <v>0.628</v>
      </c>
      <c r="C377">
        <v>46.543100000000003</v>
      </c>
      <c r="D377">
        <v>0</v>
      </c>
      <c r="E377">
        <v>1</v>
      </c>
      <c r="G377">
        <v>0.80220000000000002</v>
      </c>
      <c r="H377">
        <v>57.058100000000003</v>
      </c>
    </row>
    <row r="378" spans="1:8" x14ac:dyDescent="0.2">
      <c r="A378">
        <v>114.1109</v>
      </c>
      <c r="B378">
        <v>0.63280000000000003</v>
      </c>
      <c r="C378">
        <v>46.671300000000002</v>
      </c>
      <c r="D378">
        <v>0</v>
      </c>
      <c r="E378">
        <v>1</v>
      </c>
      <c r="G378">
        <v>0.80730000000000002</v>
      </c>
      <c r="H378">
        <v>58.138399999999997</v>
      </c>
    </row>
    <row r="379" spans="1:8" x14ac:dyDescent="0.2">
      <c r="A379">
        <v>114.48139999999999</v>
      </c>
      <c r="B379">
        <v>0.63739999999999997</v>
      </c>
      <c r="C379">
        <v>47.59</v>
      </c>
      <c r="D379">
        <v>0</v>
      </c>
      <c r="E379">
        <v>1</v>
      </c>
      <c r="G379">
        <v>0.81169999999999998</v>
      </c>
      <c r="H379">
        <v>58.68</v>
      </c>
    </row>
    <row r="380" spans="1:8" x14ac:dyDescent="0.2">
      <c r="A380">
        <v>114.8519</v>
      </c>
      <c r="B380">
        <v>0.63959999999999995</v>
      </c>
      <c r="C380">
        <v>48.376899999999999</v>
      </c>
      <c r="D380">
        <v>0</v>
      </c>
      <c r="E380">
        <v>1</v>
      </c>
      <c r="G380">
        <v>0.81489999999999996</v>
      </c>
      <c r="H380">
        <v>58.224299999999999</v>
      </c>
    </row>
    <row r="381" spans="1:8" x14ac:dyDescent="0.2">
      <c r="A381">
        <v>115.22239999999999</v>
      </c>
      <c r="B381">
        <v>0.64259999999999995</v>
      </c>
      <c r="C381">
        <v>48.3</v>
      </c>
      <c r="D381">
        <v>0</v>
      </c>
      <c r="E381">
        <v>1</v>
      </c>
      <c r="G381">
        <v>0.81759999999999999</v>
      </c>
      <c r="H381">
        <v>57.489699999999999</v>
      </c>
    </row>
    <row r="382" spans="1:8" x14ac:dyDescent="0.2">
      <c r="A382">
        <v>115.5929</v>
      </c>
      <c r="B382">
        <v>0.64339999999999997</v>
      </c>
      <c r="C382">
        <v>47.620899999999999</v>
      </c>
      <c r="D382">
        <v>0</v>
      </c>
      <c r="E382">
        <v>1</v>
      </c>
      <c r="G382">
        <v>0.82369999999999999</v>
      </c>
      <c r="H382">
        <v>57.525500000000001</v>
      </c>
    </row>
    <row r="383" spans="1:8" x14ac:dyDescent="0.2">
      <c r="A383">
        <v>115.96339999999999</v>
      </c>
      <c r="B383">
        <v>0.64629999999999999</v>
      </c>
      <c r="C383">
        <v>47.324399999999997</v>
      </c>
      <c r="D383">
        <v>0</v>
      </c>
      <c r="E383">
        <v>1</v>
      </c>
      <c r="G383">
        <v>0.82979999999999998</v>
      </c>
      <c r="H383">
        <v>58.476199999999999</v>
      </c>
    </row>
    <row r="384" spans="1:8" x14ac:dyDescent="0.2">
      <c r="A384">
        <v>116.3339</v>
      </c>
      <c r="B384">
        <v>0.65239999999999998</v>
      </c>
      <c r="C384">
        <v>47.945399999999999</v>
      </c>
      <c r="D384">
        <v>0</v>
      </c>
      <c r="E384">
        <v>1</v>
      </c>
      <c r="G384">
        <v>0.83320000000000005</v>
      </c>
      <c r="H384">
        <v>59.398499999999999</v>
      </c>
    </row>
    <row r="385" spans="1:8" x14ac:dyDescent="0.2">
      <c r="A385">
        <v>116.70440000000001</v>
      </c>
      <c r="B385">
        <v>0.65580000000000005</v>
      </c>
      <c r="C385">
        <v>48.939500000000002</v>
      </c>
      <c r="D385">
        <v>0</v>
      </c>
      <c r="E385">
        <v>1</v>
      </c>
      <c r="G385">
        <v>0.83360000000000001</v>
      </c>
      <c r="H385">
        <v>59.391199999999998</v>
      </c>
    </row>
    <row r="386" spans="1:8" x14ac:dyDescent="0.2">
      <c r="A386">
        <v>117.0748</v>
      </c>
      <c r="B386">
        <v>0.65839999999999999</v>
      </c>
      <c r="C386">
        <v>49.303600000000003</v>
      </c>
      <c r="D386">
        <v>0</v>
      </c>
      <c r="E386">
        <v>1</v>
      </c>
      <c r="G386">
        <v>0.83579999999999999</v>
      </c>
      <c r="H386">
        <v>58.638500000000001</v>
      </c>
    </row>
    <row r="387" spans="1:8" x14ac:dyDescent="0.2">
      <c r="A387">
        <v>117.4453</v>
      </c>
      <c r="B387">
        <v>0.65690000000000004</v>
      </c>
      <c r="C387">
        <v>48.802799999999998</v>
      </c>
      <c r="D387">
        <v>0</v>
      </c>
      <c r="E387">
        <v>1</v>
      </c>
      <c r="G387">
        <v>0.8387</v>
      </c>
      <c r="H387">
        <v>58.218400000000003</v>
      </c>
    </row>
    <row r="388" spans="1:8" x14ac:dyDescent="0.2">
      <c r="A388">
        <v>117.8158</v>
      </c>
      <c r="B388">
        <v>0.6593</v>
      </c>
      <c r="C388">
        <v>48.192100000000003</v>
      </c>
      <c r="D388">
        <v>0</v>
      </c>
      <c r="E388">
        <v>1</v>
      </c>
      <c r="G388">
        <v>0.84470000000000001</v>
      </c>
      <c r="H388">
        <v>58.790900000000001</v>
      </c>
    </row>
    <row r="389" spans="1:8" x14ac:dyDescent="0.2">
      <c r="A389">
        <v>118.1863</v>
      </c>
      <c r="B389">
        <v>0.6623</v>
      </c>
      <c r="C389">
        <v>48.389699999999998</v>
      </c>
      <c r="D389">
        <v>0</v>
      </c>
      <c r="E389">
        <v>1</v>
      </c>
      <c r="G389">
        <v>0.84899999999999998</v>
      </c>
      <c r="H389">
        <v>59.891199999999998</v>
      </c>
    </row>
    <row r="390" spans="1:8" x14ac:dyDescent="0.2">
      <c r="A390">
        <v>118.5568</v>
      </c>
      <c r="B390">
        <v>0.66769999999999996</v>
      </c>
      <c r="C390">
        <v>49.341000000000001</v>
      </c>
      <c r="D390">
        <v>0</v>
      </c>
      <c r="E390">
        <v>1</v>
      </c>
      <c r="G390">
        <v>0.85009999999999997</v>
      </c>
      <c r="H390">
        <v>60.383800000000001</v>
      </c>
    </row>
    <row r="391" spans="1:8" x14ac:dyDescent="0.2">
      <c r="A391">
        <v>118.9273</v>
      </c>
      <c r="B391">
        <v>0.67159999999999997</v>
      </c>
      <c r="C391">
        <v>50.107100000000003</v>
      </c>
      <c r="D391">
        <v>0</v>
      </c>
      <c r="E391">
        <v>1</v>
      </c>
      <c r="G391">
        <v>0.85029999999999994</v>
      </c>
      <c r="H391">
        <v>59.871699999999997</v>
      </c>
    </row>
    <row r="392" spans="1:8" x14ac:dyDescent="0.2">
      <c r="A392">
        <v>119.2978</v>
      </c>
      <c r="B392">
        <v>0.66890000000000005</v>
      </c>
      <c r="C392">
        <v>49.968200000000003</v>
      </c>
      <c r="D392">
        <v>0</v>
      </c>
      <c r="E392">
        <v>1</v>
      </c>
      <c r="G392">
        <v>0.85240000000000005</v>
      </c>
      <c r="H392">
        <v>59.143999999999998</v>
      </c>
    </row>
    <row r="393" spans="1:8" x14ac:dyDescent="0.2">
      <c r="A393">
        <v>119.6683</v>
      </c>
      <c r="B393">
        <v>0.67100000000000004</v>
      </c>
      <c r="C393">
        <v>49.260399999999997</v>
      </c>
      <c r="D393">
        <v>0</v>
      </c>
      <c r="E393">
        <v>1</v>
      </c>
      <c r="G393">
        <v>0.85740000000000005</v>
      </c>
      <c r="H393">
        <v>59.242400000000004</v>
      </c>
    </row>
    <row r="394" spans="1:8" x14ac:dyDescent="0.2">
      <c r="A394">
        <v>120.03879999999999</v>
      </c>
      <c r="B394">
        <v>0.67279999999999995</v>
      </c>
      <c r="C394">
        <v>49.008600000000001</v>
      </c>
      <c r="D394">
        <v>0</v>
      </c>
      <c r="E394">
        <v>1</v>
      </c>
      <c r="G394">
        <v>0.86399999999999999</v>
      </c>
      <c r="H394">
        <v>60.239699999999999</v>
      </c>
    </row>
    <row r="395" spans="1:8" x14ac:dyDescent="0.2">
      <c r="A395">
        <v>120.4092</v>
      </c>
      <c r="B395">
        <v>0.6784</v>
      </c>
      <c r="C395">
        <v>49.699199999999998</v>
      </c>
      <c r="D395">
        <v>0</v>
      </c>
      <c r="E395">
        <v>1</v>
      </c>
      <c r="G395">
        <v>0.86639999999999995</v>
      </c>
      <c r="H395">
        <v>61.1374</v>
      </c>
    </row>
    <row r="396" spans="1:8" x14ac:dyDescent="0.2">
      <c r="A396">
        <v>120.77970000000001</v>
      </c>
      <c r="B396">
        <v>0.68159999999999998</v>
      </c>
      <c r="C396">
        <v>50.689799999999998</v>
      </c>
      <c r="D396">
        <v>0</v>
      </c>
      <c r="E396">
        <v>1</v>
      </c>
      <c r="G396">
        <v>0.86750000000000005</v>
      </c>
      <c r="H396">
        <v>61.061300000000003</v>
      </c>
    </row>
    <row r="397" spans="1:8" x14ac:dyDescent="0.2">
      <c r="A397">
        <v>121.1502</v>
      </c>
      <c r="B397">
        <v>0.68230000000000002</v>
      </c>
      <c r="C397">
        <v>51.005000000000003</v>
      </c>
      <c r="D397">
        <v>0</v>
      </c>
      <c r="E397">
        <v>1</v>
      </c>
      <c r="G397">
        <v>0.86890000000000001</v>
      </c>
      <c r="H397">
        <v>60.274799999999999</v>
      </c>
    </row>
    <row r="398" spans="1:8" x14ac:dyDescent="0.2">
      <c r="A398">
        <v>121.52070000000001</v>
      </c>
      <c r="B398">
        <v>0.68320000000000003</v>
      </c>
      <c r="C398">
        <v>50.442</v>
      </c>
      <c r="D398">
        <v>0</v>
      </c>
      <c r="E398">
        <v>1</v>
      </c>
      <c r="G398">
        <v>0.872</v>
      </c>
      <c r="H398">
        <v>59.9</v>
      </c>
    </row>
    <row r="399" spans="1:8" x14ac:dyDescent="0.2">
      <c r="A399">
        <v>121.8912</v>
      </c>
      <c r="B399">
        <v>0.68479999999999996</v>
      </c>
      <c r="C399">
        <v>49.845999999999997</v>
      </c>
      <c r="D399">
        <v>0</v>
      </c>
      <c r="E399">
        <v>1</v>
      </c>
      <c r="G399">
        <v>0.87980000000000003</v>
      </c>
      <c r="H399">
        <v>60.551699999999997</v>
      </c>
    </row>
    <row r="400" spans="1:8" x14ac:dyDescent="0.2">
      <c r="A400">
        <v>122.2617</v>
      </c>
      <c r="B400">
        <v>0.68969999999999998</v>
      </c>
      <c r="C400">
        <v>50.1143</v>
      </c>
      <c r="D400">
        <v>0</v>
      </c>
      <c r="E400">
        <v>1</v>
      </c>
      <c r="G400">
        <v>0.88470000000000004</v>
      </c>
      <c r="H400">
        <v>61.645800000000001</v>
      </c>
    </row>
    <row r="401" spans="1:8" x14ac:dyDescent="0.2">
      <c r="A401">
        <v>122.6322</v>
      </c>
      <c r="B401">
        <v>0.69499999999999995</v>
      </c>
      <c r="C401">
        <v>51.100900000000003</v>
      </c>
      <c r="D401">
        <v>0</v>
      </c>
      <c r="E401">
        <v>1</v>
      </c>
      <c r="G401">
        <v>0.88629999999999998</v>
      </c>
      <c r="H401">
        <v>62.090200000000003</v>
      </c>
    </row>
    <row r="402" spans="1:8" x14ac:dyDescent="0.2">
      <c r="A402">
        <v>123.0027</v>
      </c>
      <c r="B402">
        <v>0.69669999999999999</v>
      </c>
      <c r="C402">
        <v>51.8386</v>
      </c>
      <c r="D402">
        <v>0</v>
      </c>
      <c r="E402">
        <v>1</v>
      </c>
      <c r="G402">
        <v>0.88859999999999995</v>
      </c>
      <c r="H402">
        <v>61.514800000000001</v>
      </c>
    </row>
    <row r="403" spans="1:8" x14ac:dyDescent="0.2">
      <c r="A403">
        <v>123.3732</v>
      </c>
      <c r="B403">
        <v>0.69810000000000005</v>
      </c>
      <c r="C403">
        <v>51.624200000000002</v>
      </c>
      <c r="D403">
        <v>0</v>
      </c>
      <c r="E403">
        <v>1</v>
      </c>
      <c r="G403">
        <v>0.89019999999999999</v>
      </c>
      <c r="H403">
        <v>60.797199999999997</v>
      </c>
    </row>
    <row r="404" spans="1:8" x14ac:dyDescent="0.2">
      <c r="A404">
        <v>123.7437</v>
      </c>
      <c r="B404">
        <v>0.69820000000000004</v>
      </c>
      <c r="C404">
        <v>50.902200000000001</v>
      </c>
      <c r="D404">
        <v>0</v>
      </c>
      <c r="E404">
        <v>1</v>
      </c>
      <c r="G404">
        <v>0.89680000000000004</v>
      </c>
      <c r="H404">
        <v>60.967100000000002</v>
      </c>
    </row>
    <row r="405" spans="1:8" x14ac:dyDescent="0.2">
      <c r="A405">
        <v>124.1142</v>
      </c>
      <c r="B405">
        <v>0.7016</v>
      </c>
      <c r="C405">
        <v>50.698500000000003</v>
      </c>
      <c r="D405">
        <v>0</v>
      </c>
      <c r="E405">
        <v>1</v>
      </c>
      <c r="G405">
        <v>0.90180000000000005</v>
      </c>
      <c r="H405">
        <v>62.000799999999998</v>
      </c>
    </row>
    <row r="406" spans="1:8" x14ac:dyDescent="0.2">
      <c r="A406">
        <v>124.4846</v>
      </c>
      <c r="B406">
        <v>0.70679999999999998</v>
      </c>
      <c r="C406">
        <v>51.447400000000002</v>
      </c>
      <c r="D406">
        <v>0</v>
      </c>
      <c r="E406">
        <v>1</v>
      </c>
      <c r="G406">
        <v>0.90639999999999998</v>
      </c>
      <c r="H406">
        <v>62.875300000000003</v>
      </c>
    </row>
    <row r="407" spans="1:8" x14ac:dyDescent="0.2">
      <c r="A407">
        <v>124.85509999999999</v>
      </c>
      <c r="B407">
        <v>0.7087</v>
      </c>
      <c r="C407">
        <v>52.446100000000001</v>
      </c>
      <c r="D407">
        <v>0</v>
      </c>
      <c r="E407">
        <v>1</v>
      </c>
      <c r="G407">
        <v>0.90639999999999998</v>
      </c>
      <c r="H407">
        <v>62.724200000000003</v>
      </c>
    </row>
    <row r="408" spans="1:8" x14ac:dyDescent="0.2">
      <c r="A408">
        <v>125.2256</v>
      </c>
      <c r="B408">
        <v>0.70979999999999999</v>
      </c>
      <c r="C408">
        <v>52.689399999999999</v>
      </c>
      <c r="D408">
        <v>0</v>
      </c>
      <c r="E408">
        <v>1</v>
      </c>
      <c r="G408">
        <v>0.90820000000000001</v>
      </c>
      <c r="H408">
        <v>61.9161</v>
      </c>
    </row>
    <row r="409" spans="1:8" x14ac:dyDescent="0.2">
      <c r="A409">
        <v>125.59610000000001</v>
      </c>
      <c r="B409">
        <v>0.7107</v>
      </c>
      <c r="C409">
        <v>52.092700000000001</v>
      </c>
      <c r="D409">
        <v>0</v>
      </c>
      <c r="E409">
        <v>1</v>
      </c>
      <c r="G409">
        <v>0.91239999999999999</v>
      </c>
      <c r="H409">
        <v>61.584200000000003</v>
      </c>
    </row>
    <row r="410" spans="1:8" x14ac:dyDescent="0.2">
      <c r="A410">
        <v>125.9666</v>
      </c>
      <c r="B410">
        <v>0.71319999999999995</v>
      </c>
      <c r="C410">
        <v>51.524900000000002</v>
      </c>
      <c r="D410">
        <v>0</v>
      </c>
      <c r="E410">
        <v>1</v>
      </c>
      <c r="G410">
        <v>0.91910000000000003</v>
      </c>
      <c r="H410">
        <v>62.312899999999999</v>
      </c>
    </row>
    <row r="411" spans="1:8" x14ac:dyDescent="0.2">
      <c r="A411">
        <v>126.33710000000001</v>
      </c>
      <c r="B411">
        <v>0.71730000000000005</v>
      </c>
      <c r="C411">
        <v>51.847700000000003</v>
      </c>
      <c r="D411">
        <v>0</v>
      </c>
      <c r="E411">
        <v>1</v>
      </c>
      <c r="G411">
        <v>0.92449999999999999</v>
      </c>
      <c r="H411">
        <v>63.392800000000001</v>
      </c>
    </row>
    <row r="412" spans="1:8" x14ac:dyDescent="0.2">
      <c r="A412">
        <v>126.7076</v>
      </c>
      <c r="B412">
        <v>0.72240000000000004</v>
      </c>
      <c r="C412">
        <v>52.861600000000003</v>
      </c>
      <c r="D412">
        <v>0</v>
      </c>
      <c r="E412">
        <v>1</v>
      </c>
      <c r="G412">
        <v>0.92649999999999999</v>
      </c>
      <c r="H412">
        <v>63.753300000000003</v>
      </c>
    </row>
    <row r="413" spans="1:8" x14ac:dyDescent="0.2">
      <c r="A413">
        <v>127.07810000000001</v>
      </c>
      <c r="B413">
        <v>0.72409999999999997</v>
      </c>
      <c r="C413">
        <v>53.5443</v>
      </c>
      <c r="D413">
        <v>0</v>
      </c>
      <c r="E413">
        <v>1</v>
      </c>
      <c r="G413">
        <v>0.92859999999999998</v>
      </c>
      <c r="H413">
        <v>63.154400000000003</v>
      </c>
    </row>
    <row r="414" spans="1:8" x14ac:dyDescent="0.2">
      <c r="A414">
        <v>127.4486</v>
      </c>
      <c r="B414">
        <v>0.72409999999999997</v>
      </c>
      <c r="C414">
        <v>53.281799999999997</v>
      </c>
      <c r="D414">
        <v>0</v>
      </c>
      <c r="E414">
        <v>1</v>
      </c>
      <c r="G414">
        <v>0.92849999999999999</v>
      </c>
      <c r="H414">
        <v>62.469099999999997</v>
      </c>
    </row>
    <row r="415" spans="1:8" x14ac:dyDescent="0.2">
      <c r="A415">
        <v>127.81910000000001</v>
      </c>
      <c r="B415">
        <v>0.72450000000000003</v>
      </c>
      <c r="C415">
        <v>52.560099999999998</v>
      </c>
      <c r="D415">
        <v>0</v>
      </c>
      <c r="E415">
        <v>1</v>
      </c>
      <c r="G415">
        <v>0.93530000000000002</v>
      </c>
      <c r="H415">
        <v>62.709800000000001</v>
      </c>
    </row>
    <row r="416" spans="1:8" x14ac:dyDescent="0.2">
      <c r="A416">
        <v>128.18950000000001</v>
      </c>
      <c r="B416">
        <v>0.7288</v>
      </c>
      <c r="C416">
        <v>52.405200000000001</v>
      </c>
      <c r="D416">
        <v>0</v>
      </c>
      <c r="E416">
        <v>1</v>
      </c>
      <c r="G416">
        <v>0.94179999999999997</v>
      </c>
      <c r="H416">
        <v>63.750999999999998</v>
      </c>
    </row>
    <row r="417" spans="1:8" x14ac:dyDescent="0.2">
      <c r="A417">
        <v>128.56</v>
      </c>
      <c r="B417">
        <v>0.73360000000000003</v>
      </c>
      <c r="C417">
        <v>53.199599999999997</v>
      </c>
      <c r="D417">
        <v>0</v>
      </c>
      <c r="E417">
        <v>1</v>
      </c>
      <c r="G417">
        <v>0.94620000000000004</v>
      </c>
      <c r="H417">
        <v>64.582700000000003</v>
      </c>
    </row>
    <row r="418" spans="1:8" x14ac:dyDescent="0.2">
      <c r="A418">
        <v>128.93049999999999</v>
      </c>
      <c r="B418">
        <v>0.73770000000000002</v>
      </c>
      <c r="C418">
        <v>54.178100000000001</v>
      </c>
      <c r="D418">
        <v>0</v>
      </c>
      <c r="E418">
        <v>1</v>
      </c>
      <c r="G418">
        <v>0.94710000000000005</v>
      </c>
      <c r="H418">
        <v>64.374099999999999</v>
      </c>
    </row>
    <row r="419" spans="1:8" x14ac:dyDescent="0.2">
      <c r="A419">
        <v>129.30099999999999</v>
      </c>
      <c r="B419">
        <v>0.73680000000000001</v>
      </c>
      <c r="C419">
        <v>54.371499999999997</v>
      </c>
      <c r="D419">
        <v>0</v>
      </c>
      <c r="E419">
        <v>1</v>
      </c>
      <c r="G419">
        <v>0.9516</v>
      </c>
      <c r="H419">
        <v>63.540100000000002</v>
      </c>
    </row>
    <row r="420" spans="1:8" x14ac:dyDescent="0.2">
      <c r="A420">
        <v>129.67150000000001</v>
      </c>
      <c r="B420">
        <v>0.73829999999999996</v>
      </c>
      <c r="C420">
        <v>53.724600000000002</v>
      </c>
      <c r="D420">
        <v>0</v>
      </c>
      <c r="E420">
        <v>1</v>
      </c>
      <c r="G420">
        <v>0.96140000000000003</v>
      </c>
      <c r="H420">
        <v>63.275300000000001</v>
      </c>
    </row>
    <row r="421" spans="1:8" x14ac:dyDescent="0.2">
      <c r="A421">
        <v>130.042</v>
      </c>
      <c r="B421">
        <v>0.74029999999999996</v>
      </c>
      <c r="C421">
        <v>53.191699999999997</v>
      </c>
      <c r="D421">
        <v>0</v>
      </c>
      <c r="E421">
        <v>1</v>
      </c>
      <c r="G421">
        <v>0.97060000000000002</v>
      </c>
      <c r="H421">
        <v>64.055400000000006</v>
      </c>
    </row>
    <row r="422" spans="1:8" x14ac:dyDescent="0.2">
      <c r="A422">
        <v>130.41249999999999</v>
      </c>
      <c r="B422">
        <v>0.74380000000000002</v>
      </c>
      <c r="C422">
        <v>53.575899999999997</v>
      </c>
      <c r="D422">
        <v>0</v>
      </c>
      <c r="E422">
        <v>1</v>
      </c>
      <c r="G422">
        <v>0.97799999999999998</v>
      </c>
      <c r="H422">
        <v>65.1584</v>
      </c>
    </row>
    <row r="423" spans="1:8" x14ac:dyDescent="0.2">
      <c r="A423">
        <v>130.78299999999999</v>
      </c>
      <c r="B423">
        <v>0.74870000000000003</v>
      </c>
      <c r="C423">
        <v>54.615600000000001</v>
      </c>
      <c r="D423">
        <v>0</v>
      </c>
      <c r="E423">
        <v>1</v>
      </c>
      <c r="G423">
        <v>0.98370000000000002</v>
      </c>
      <c r="H423">
        <v>65.460300000000004</v>
      </c>
    </row>
    <row r="424" spans="1:8" x14ac:dyDescent="0.2">
      <c r="A424">
        <v>131.15350000000001</v>
      </c>
      <c r="B424">
        <v>0.75049999999999994</v>
      </c>
      <c r="C424">
        <v>55.266100000000002</v>
      </c>
      <c r="D424">
        <v>0</v>
      </c>
      <c r="E424">
        <v>1</v>
      </c>
      <c r="G424">
        <v>0.98929999999999996</v>
      </c>
      <c r="H424">
        <v>64.789100000000005</v>
      </c>
    </row>
    <row r="425" spans="1:8" x14ac:dyDescent="0.2">
      <c r="A425">
        <v>131.524</v>
      </c>
      <c r="B425">
        <v>0.74990000000000001</v>
      </c>
      <c r="C425">
        <v>54.9373</v>
      </c>
      <c r="D425">
        <v>0</v>
      </c>
      <c r="E425">
        <v>1</v>
      </c>
      <c r="G425">
        <v>0.99399999999999999</v>
      </c>
      <c r="H425">
        <v>64.119600000000005</v>
      </c>
    </row>
    <row r="426" spans="1:8" x14ac:dyDescent="0.2">
      <c r="A426">
        <v>131.89439999999999</v>
      </c>
      <c r="B426">
        <v>0.75119999999999998</v>
      </c>
      <c r="C426">
        <v>54.200299999999999</v>
      </c>
      <c r="D426">
        <v>0</v>
      </c>
      <c r="E426">
        <v>1</v>
      </c>
      <c r="G426">
        <v>1.0023</v>
      </c>
      <c r="H426">
        <v>64.424099999999996</v>
      </c>
    </row>
    <row r="427" spans="1:8" x14ac:dyDescent="0.2">
      <c r="A427">
        <v>132.26490000000001</v>
      </c>
      <c r="B427">
        <v>0.75439999999999996</v>
      </c>
      <c r="C427">
        <v>54.101700000000001</v>
      </c>
      <c r="D427">
        <v>0</v>
      </c>
      <c r="E427">
        <v>1</v>
      </c>
      <c r="G427">
        <v>1.0102</v>
      </c>
      <c r="H427">
        <v>65.532799999999995</v>
      </c>
    </row>
    <row r="428" spans="1:8" x14ac:dyDescent="0.2">
      <c r="A428">
        <v>132.6354</v>
      </c>
      <c r="B428">
        <v>0.76019999999999999</v>
      </c>
      <c r="C428">
        <v>54.954000000000001</v>
      </c>
      <c r="D428">
        <v>0</v>
      </c>
      <c r="E428">
        <v>1</v>
      </c>
      <c r="G428">
        <v>1.0163</v>
      </c>
      <c r="H428">
        <v>66.313000000000002</v>
      </c>
    </row>
    <row r="429" spans="1:8" x14ac:dyDescent="0.2">
      <c r="A429">
        <v>133.0059</v>
      </c>
      <c r="B429">
        <v>0.76359999999999995</v>
      </c>
      <c r="C429">
        <v>55.914499999999997</v>
      </c>
      <c r="D429">
        <v>0</v>
      </c>
      <c r="E429">
        <v>1</v>
      </c>
      <c r="G429">
        <v>1.0216000000000001</v>
      </c>
      <c r="H429">
        <v>66.031400000000005</v>
      </c>
    </row>
    <row r="430" spans="1:8" x14ac:dyDescent="0.2">
      <c r="A430">
        <v>133.37639999999999</v>
      </c>
      <c r="B430">
        <v>0.76490000000000002</v>
      </c>
      <c r="C430">
        <v>56.048400000000001</v>
      </c>
      <c r="D430">
        <v>0</v>
      </c>
      <c r="E430">
        <v>1</v>
      </c>
      <c r="G430">
        <v>1.0266</v>
      </c>
      <c r="H430">
        <v>65.193299999999994</v>
      </c>
    </row>
    <row r="431" spans="1:8" x14ac:dyDescent="0.2">
      <c r="A431">
        <v>133.74690000000001</v>
      </c>
      <c r="B431">
        <v>0.76529999999999998</v>
      </c>
      <c r="C431">
        <v>55.368200000000002</v>
      </c>
      <c r="D431">
        <v>0</v>
      </c>
      <c r="E431">
        <v>1</v>
      </c>
      <c r="G431">
        <v>1.0390999999999999</v>
      </c>
      <c r="H431">
        <v>64.970600000000005</v>
      </c>
    </row>
    <row r="432" spans="1:8" x14ac:dyDescent="0.2">
      <c r="A432">
        <v>134.1174</v>
      </c>
      <c r="B432">
        <v>0.76880000000000004</v>
      </c>
      <c r="C432">
        <v>54.852600000000002</v>
      </c>
      <c r="D432">
        <v>0</v>
      </c>
      <c r="E432">
        <v>1</v>
      </c>
      <c r="G432">
        <v>1.0504</v>
      </c>
      <c r="H432">
        <v>65.820099999999996</v>
      </c>
    </row>
    <row r="433" spans="1:8" x14ac:dyDescent="0.2">
      <c r="A433">
        <v>134.4879</v>
      </c>
      <c r="B433">
        <v>0.77390000000000003</v>
      </c>
      <c r="C433">
        <v>55.313200000000002</v>
      </c>
      <c r="D433">
        <v>0</v>
      </c>
      <c r="E433">
        <v>1</v>
      </c>
      <c r="G433">
        <v>1.0589999999999999</v>
      </c>
      <c r="H433">
        <v>66.903999999999996</v>
      </c>
    </row>
    <row r="434" spans="1:8" x14ac:dyDescent="0.2">
      <c r="A434">
        <v>134.85839999999999</v>
      </c>
      <c r="B434">
        <v>0.77769999999999995</v>
      </c>
      <c r="C434">
        <v>56.376300000000001</v>
      </c>
      <c r="D434">
        <v>0</v>
      </c>
      <c r="E434">
        <v>1</v>
      </c>
      <c r="G434">
        <v>1.0637000000000001</v>
      </c>
      <c r="H434">
        <v>67.145600000000002</v>
      </c>
    </row>
    <row r="435" spans="1:8" x14ac:dyDescent="0.2">
      <c r="A435">
        <v>135.22890000000001</v>
      </c>
      <c r="B435">
        <v>0.7792</v>
      </c>
      <c r="C435">
        <v>56.982900000000001</v>
      </c>
      <c r="D435">
        <v>0</v>
      </c>
      <c r="E435">
        <v>1</v>
      </c>
      <c r="G435">
        <v>1.0671999999999999</v>
      </c>
      <c r="H435">
        <v>66.425799999999995</v>
      </c>
    </row>
    <row r="436" spans="1:8" x14ac:dyDescent="0.2">
      <c r="A436">
        <v>135.5993</v>
      </c>
      <c r="B436">
        <v>0.77939999999999998</v>
      </c>
      <c r="C436">
        <v>56.582700000000003</v>
      </c>
      <c r="D436">
        <v>0</v>
      </c>
      <c r="E436">
        <v>1</v>
      </c>
      <c r="G436">
        <v>1.0718000000000001</v>
      </c>
      <c r="H436">
        <v>65.784199999999998</v>
      </c>
    </row>
    <row r="437" spans="1:8" x14ac:dyDescent="0.2">
      <c r="A437">
        <v>135.96979999999999</v>
      </c>
      <c r="B437">
        <v>0.78139999999999998</v>
      </c>
      <c r="C437">
        <v>55.837899999999998</v>
      </c>
      <c r="D437">
        <v>0</v>
      </c>
      <c r="E437">
        <v>1</v>
      </c>
      <c r="G437">
        <v>1.0792999999999999</v>
      </c>
      <c r="H437">
        <v>66.162499999999994</v>
      </c>
    </row>
    <row r="438" spans="1:8" x14ac:dyDescent="0.2">
      <c r="A438">
        <v>136.34030000000001</v>
      </c>
      <c r="B438">
        <v>0.78420000000000001</v>
      </c>
      <c r="C438">
        <v>55.819400000000002</v>
      </c>
      <c r="D438">
        <v>0</v>
      </c>
      <c r="E438">
        <v>1</v>
      </c>
      <c r="G438">
        <v>1.0849</v>
      </c>
      <c r="H438">
        <v>67.3</v>
      </c>
    </row>
    <row r="439" spans="1:8" x14ac:dyDescent="0.2">
      <c r="A439">
        <v>136.71080000000001</v>
      </c>
      <c r="B439">
        <v>0.79010000000000002</v>
      </c>
      <c r="C439">
        <v>56.711799999999997</v>
      </c>
      <c r="D439">
        <v>0</v>
      </c>
      <c r="E439">
        <v>1</v>
      </c>
      <c r="G439">
        <v>1.0891</v>
      </c>
      <c r="H439">
        <v>68.034800000000004</v>
      </c>
    </row>
    <row r="440" spans="1:8" x14ac:dyDescent="0.2">
      <c r="A440">
        <v>137.0813</v>
      </c>
      <c r="B440">
        <v>0.79359999999999997</v>
      </c>
      <c r="C440">
        <v>57.660499999999999</v>
      </c>
      <c r="D440">
        <v>0</v>
      </c>
      <c r="E440">
        <v>1</v>
      </c>
      <c r="G440">
        <v>1.0915999999999999</v>
      </c>
      <c r="H440">
        <v>67.678100000000001</v>
      </c>
    </row>
    <row r="441" spans="1:8" x14ac:dyDescent="0.2">
      <c r="A441">
        <v>137.45179999999999</v>
      </c>
      <c r="B441">
        <v>0.79369999999999996</v>
      </c>
      <c r="C441">
        <v>57.721200000000003</v>
      </c>
      <c r="D441">
        <v>0</v>
      </c>
      <c r="E441">
        <v>1</v>
      </c>
      <c r="G441">
        <v>1.0945</v>
      </c>
      <c r="H441">
        <v>66.837199999999996</v>
      </c>
    </row>
    <row r="442" spans="1:8" x14ac:dyDescent="0.2">
      <c r="A442">
        <v>137.82230000000001</v>
      </c>
      <c r="B442">
        <v>0.79430000000000001</v>
      </c>
      <c r="C442">
        <v>57.004600000000003</v>
      </c>
      <c r="D442">
        <v>0</v>
      </c>
      <c r="E442">
        <v>1</v>
      </c>
      <c r="G442">
        <v>1.1013999999999999</v>
      </c>
      <c r="H442">
        <v>66.679100000000005</v>
      </c>
    </row>
    <row r="443" spans="1:8" x14ac:dyDescent="0.2">
      <c r="A443">
        <v>138.19280000000001</v>
      </c>
      <c r="B443">
        <v>0.79779999999999995</v>
      </c>
      <c r="C443">
        <v>56.531199999999998</v>
      </c>
      <c r="D443">
        <v>0</v>
      </c>
      <c r="E443">
        <v>1</v>
      </c>
      <c r="G443">
        <v>1.1095999999999999</v>
      </c>
      <c r="H443">
        <v>67.591099999999997</v>
      </c>
    </row>
    <row r="444" spans="1:8" x14ac:dyDescent="0.2">
      <c r="A444">
        <v>138.5633</v>
      </c>
      <c r="B444">
        <v>0.80220000000000002</v>
      </c>
      <c r="C444">
        <v>57.058100000000003</v>
      </c>
      <c r="D444">
        <v>0</v>
      </c>
      <c r="E444">
        <v>1</v>
      </c>
      <c r="G444">
        <v>1.1176999999999999</v>
      </c>
      <c r="H444">
        <v>68.662599999999998</v>
      </c>
    </row>
    <row r="445" spans="1:8" x14ac:dyDescent="0.2">
      <c r="A445">
        <v>138.93369999999999</v>
      </c>
      <c r="B445">
        <v>0.80730000000000002</v>
      </c>
      <c r="C445">
        <v>58.138399999999997</v>
      </c>
      <c r="D445">
        <v>0</v>
      </c>
      <c r="E445">
        <v>1</v>
      </c>
      <c r="G445">
        <v>1.1225000000000001</v>
      </c>
      <c r="H445">
        <v>68.820400000000006</v>
      </c>
    </row>
    <row r="446" spans="1:8" x14ac:dyDescent="0.2">
      <c r="A446">
        <v>139.30420000000001</v>
      </c>
      <c r="B446">
        <v>0.81169999999999998</v>
      </c>
      <c r="C446">
        <v>58.68</v>
      </c>
      <c r="D446">
        <v>0</v>
      </c>
      <c r="E446">
        <v>1</v>
      </c>
      <c r="G446">
        <v>1.1278999999999999</v>
      </c>
      <c r="H446">
        <v>68.060900000000004</v>
      </c>
    </row>
    <row r="447" spans="1:8" x14ac:dyDescent="0.2">
      <c r="A447">
        <v>139.6747</v>
      </c>
      <c r="B447">
        <v>0.81489999999999996</v>
      </c>
      <c r="C447">
        <v>58.224299999999999</v>
      </c>
      <c r="D447">
        <v>0</v>
      </c>
      <c r="E447">
        <v>1</v>
      </c>
      <c r="G447">
        <v>1.1336999999999999</v>
      </c>
      <c r="H447">
        <v>67.454700000000003</v>
      </c>
    </row>
    <row r="448" spans="1:8" x14ac:dyDescent="0.2">
      <c r="A448">
        <v>140.04519999999999</v>
      </c>
      <c r="B448">
        <v>0.81759999999999999</v>
      </c>
      <c r="C448">
        <v>57.489699999999999</v>
      </c>
      <c r="D448">
        <v>0</v>
      </c>
      <c r="E448">
        <v>1</v>
      </c>
      <c r="G448">
        <v>1.143</v>
      </c>
      <c r="H448">
        <v>67.907200000000003</v>
      </c>
    </row>
    <row r="449" spans="1:8" x14ac:dyDescent="0.2">
      <c r="A449">
        <v>140.41569999999999</v>
      </c>
      <c r="B449">
        <v>0.82369999999999999</v>
      </c>
      <c r="C449">
        <v>57.525500000000001</v>
      </c>
      <c r="D449">
        <v>0</v>
      </c>
      <c r="E449">
        <v>1</v>
      </c>
      <c r="G449">
        <v>1.1527000000000001</v>
      </c>
      <c r="H449">
        <v>69.063000000000002</v>
      </c>
    </row>
    <row r="450" spans="1:8" x14ac:dyDescent="0.2">
      <c r="A450">
        <v>140.78620000000001</v>
      </c>
      <c r="B450">
        <v>0.82979999999999998</v>
      </c>
      <c r="C450">
        <v>58.476199999999999</v>
      </c>
      <c r="D450">
        <v>0</v>
      </c>
      <c r="E450">
        <v>1</v>
      </c>
      <c r="G450">
        <v>1.1585000000000001</v>
      </c>
      <c r="H450">
        <v>69.741799999999998</v>
      </c>
    </row>
    <row r="451" spans="1:8" x14ac:dyDescent="0.2">
      <c r="A451">
        <v>141.1567</v>
      </c>
      <c r="B451">
        <v>0.83320000000000005</v>
      </c>
      <c r="C451">
        <v>59.398499999999999</v>
      </c>
      <c r="D451">
        <v>0</v>
      </c>
      <c r="E451">
        <v>1</v>
      </c>
      <c r="G451">
        <v>1.1617</v>
      </c>
      <c r="H451">
        <v>69.326800000000006</v>
      </c>
    </row>
    <row r="452" spans="1:8" x14ac:dyDescent="0.2">
      <c r="A452">
        <v>141.52719999999999</v>
      </c>
      <c r="B452">
        <v>0.83360000000000001</v>
      </c>
      <c r="C452">
        <v>59.391199999999998</v>
      </c>
      <c r="D452">
        <v>0</v>
      </c>
      <c r="E452">
        <v>1</v>
      </c>
      <c r="G452">
        <v>1.1659999999999999</v>
      </c>
      <c r="H452">
        <v>68.481300000000005</v>
      </c>
    </row>
    <row r="453" spans="1:8" x14ac:dyDescent="0.2">
      <c r="A453">
        <v>141.89769999999999</v>
      </c>
      <c r="B453">
        <v>0.83579999999999999</v>
      </c>
      <c r="C453">
        <v>58.638500000000001</v>
      </c>
      <c r="D453">
        <v>0</v>
      </c>
      <c r="E453">
        <v>1</v>
      </c>
      <c r="G453">
        <v>1.1737</v>
      </c>
      <c r="H453">
        <v>68.399900000000002</v>
      </c>
    </row>
    <row r="454" spans="1:8" x14ac:dyDescent="0.2">
      <c r="A454">
        <v>142.26820000000001</v>
      </c>
      <c r="B454">
        <v>0.8387</v>
      </c>
      <c r="C454">
        <v>58.218400000000003</v>
      </c>
      <c r="D454">
        <v>0</v>
      </c>
      <c r="E454">
        <v>1</v>
      </c>
      <c r="G454">
        <v>1.1829000000000001</v>
      </c>
      <c r="H454">
        <v>69.344700000000003</v>
      </c>
    </row>
    <row r="455" spans="1:8" x14ac:dyDescent="0.2">
      <c r="A455">
        <v>142.6387</v>
      </c>
      <c r="B455">
        <v>0.84470000000000001</v>
      </c>
      <c r="C455">
        <v>58.790900000000001</v>
      </c>
      <c r="D455">
        <v>0</v>
      </c>
      <c r="E455">
        <v>1</v>
      </c>
      <c r="G455">
        <v>1.1898</v>
      </c>
      <c r="H455">
        <v>70.406300000000002</v>
      </c>
    </row>
    <row r="456" spans="1:8" x14ac:dyDescent="0.2">
      <c r="A456">
        <v>143.00909999999999</v>
      </c>
      <c r="B456">
        <v>0.84899999999999998</v>
      </c>
      <c r="C456">
        <v>59.891199999999998</v>
      </c>
      <c r="D456">
        <v>0</v>
      </c>
      <c r="E456">
        <v>1</v>
      </c>
      <c r="G456">
        <v>1.1972</v>
      </c>
      <c r="H456">
        <v>70.487399999999994</v>
      </c>
    </row>
    <row r="457" spans="1:8" x14ac:dyDescent="0.2">
      <c r="A457">
        <v>143.37960000000001</v>
      </c>
      <c r="B457">
        <v>0.85009999999999997</v>
      </c>
      <c r="C457">
        <v>60.383800000000001</v>
      </c>
      <c r="D457">
        <v>0</v>
      </c>
      <c r="E457">
        <v>1</v>
      </c>
      <c r="G457">
        <v>1.2108000000000001</v>
      </c>
      <c r="H457">
        <v>69.687100000000001</v>
      </c>
    </row>
    <row r="458" spans="1:8" x14ac:dyDescent="0.2">
      <c r="A458">
        <v>143.7501</v>
      </c>
      <c r="B458">
        <v>0.85029999999999994</v>
      </c>
      <c r="C458">
        <v>59.871699999999997</v>
      </c>
      <c r="D458">
        <v>0</v>
      </c>
      <c r="E458">
        <v>1</v>
      </c>
      <c r="G458">
        <v>1.2239</v>
      </c>
      <c r="H458">
        <v>69.12</v>
      </c>
    </row>
    <row r="459" spans="1:8" x14ac:dyDescent="0.2">
      <c r="A459">
        <v>144.1206</v>
      </c>
      <c r="B459">
        <v>0.85240000000000005</v>
      </c>
      <c r="C459">
        <v>59.143999999999998</v>
      </c>
      <c r="D459">
        <v>0</v>
      </c>
      <c r="E459">
        <v>1</v>
      </c>
      <c r="G459">
        <v>1.2363</v>
      </c>
      <c r="H459">
        <v>69.652299999999997</v>
      </c>
    </row>
    <row r="460" spans="1:8" x14ac:dyDescent="0.2">
      <c r="A460">
        <v>144.49109999999999</v>
      </c>
      <c r="B460">
        <v>0.85740000000000005</v>
      </c>
      <c r="C460">
        <v>59.242400000000004</v>
      </c>
      <c r="D460">
        <v>0</v>
      </c>
      <c r="E460">
        <v>1</v>
      </c>
      <c r="G460">
        <v>1.2453000000000001</v>
      </c>
      <c r="H460">
        <v>70.832999999999998</v>
      </c>
    </row>
    <row r="461" spans="1:8" x14ac:dyDescent="0.2">
      <c r="A461">
        <v>144.86160000000001</v>
      </c>
      <c r="B461">
        <v>0.86399999999999999</v>
      </c>
      <c r="C461">
        <v>60.239699999999999</v>
      </c>
      <c r="D461">
        <v>0</v>
      </c>
      <c r="E461">
        <v>1</v>
      </c>
      <c r="G461">
        <v>1.2524</v>
      </c>
      <c r="H461">
        <v>71.452799999999996</v>
      </c>
    </row>
    <row r="462" spans="1:8" x14ac:dyDescent="0.2">
      <c r="A462">
        <v>145.2321</v>
      </c>
      <c r="B462">
        <v>0.86639999999999995</v>
      </c>
      <c r="C462">
        <v>61.1374</v>
      </c>
      <c r="D462">
        <v>0</v>
      </c>
      <c r="E462">
        <v>1</v>
      </c>
      <c r="G462">
        <v>1.2561</v>
      </c>
      <c r="H462">
        <v>70.978399999999993</v>
      </c>
    </row>
    <row r="463" spans="1:8" x14ac:dyDescent="0.2">
      <c r="A463">
        <v>145.6026</v>
      </c>
      <c r="B463">
        <v>0.86750000000000005</v>
      </c>
      <c r="C463">
        <v>61.061300000000003</v>
      </c>
      <c r="D463">
        <v>0</v>
      </c>
      <c r="E463">
        <v>1</v>
      </c>
      <c r="G463">
        <v>1.2617</v>
      </c>
      <c r="H463">
        <v>70.137200000000007</v>
      </c>
    </row>
    <row r="464" spans="1:8" x14ac:dyDescent="0.2">
      <c r="A464">
        <v>145.97309999999999</v>
      </c>
      <c r="B464">
        <v>0.86890000000000001</v>
      </c>
      <c r="C464">
        <v>60.274799999999999</v>
      </c>
      <c r="D464">
        <v>0</v>
      </c>
      <c r="E464">
        <v>1</v>
      </c>
      <c r="G464">
        <v>1.2710999999999999</v>
      </c>
      <c r="H464">
        <v>70.1203</v>
      </c>
    </row>
    <row r="465" spans="1:8" x14ac:dyDescent="0.2">
      <c r="A465">
        <v>146.34360000000001</v>
      </c>
      <c r="B465">
        <v>0.872</v>
      </c>
      <c r="C465">
        <v>59.9</v>
      </c>
      <c r="D465">
        <v>0</v>
      </c>
      <c r="E465">
        <v>1</v>
      </c>
      <c r="G465">
        <v>1.2794000000000001</v>
      </c>
      <c r="H465">
        <v>71.123500000000007</v>
      </c>
    </row>
    <row r="466" spans="1:8" x14ac:dyDescent="0.2">
      <c r="A466">
        <v>146.714</v>
      </c>
      <c r="B466">
        <v>0.87980000000000003</v>
      </c>
      <c r="C466">
        <v>60.551699999999997</v>
      </c>
      <c r="D466">
        <v>0</v>
      </c>
      <c r="E466">
        <v>1</v>
      </c>
      <c r="G466">
        <v>1.288</v>
      </c>
      <c r="H466">
        <v>72.1511</v>
      </c>
    </row>
    <row r="467" spans="1:8" x14ac:dyDescent="0.2">
      <c r="A467">
        <v>147.08449999999999</v>
      </c>
      <c r="B467">
        <v>0.88470000000000004</v>
      </c>
      <c r="C467">
        <v>61.645800000000001</v>
      </c>
      <c r="D467">
        <v>0</v>
      </c>
      <c r="E467">
        <v>1</v>
      </c>
      <c r="G467">
        <v>1.2911999999999999</v>
      </c>
      <c r="H467">
        <v>72.168199999999999</v>
      </c>
    </row>
    <row r="468" spans="1:8" x14ac:dyDescent="0.2">
      <c r="A468">
        <v>147.45500000000001</v>
      </c>
      <c r="B468">
        <v>0.88629999999999998</v>
      </c>
      <c r="C468">
        <v>62.090200000000003</v>
      </c>
      <c r="D468">
        <v>0</v>
      </c>
      <c r="E468">
        <v>1</v>
      </c>
      <c r="G468">
        <v>1.2965</v>
      </c>
      <c r="H468">
        <v>71.328000000000003</v>
      </c>
    </row>
    <row r="469" spans="1:8" x14ac:dyDescent="0.2">
      <c r="A469">
        <v>147.82550000000001</v>
      </c>
      <c r="B469">
        <v>0.88859999999999995</v>
      </c>
      <c r="C469">
        <v>61.514800000000001</v>
      </c>
      <c r="D469">
        <v>0</v>
      </c>
      <c r="E469">
        <v>1</v>
      </c>
      <c r="G469">
        <v>1.3024</v>
      </c>
      <c r="H469">
        <v>70.812899999999999</v>
      </c>
    </row>
    <row r="470" spans="1:8" x14ac:dyDescent="0.2">
      <c r="A470">
        <v>148.196</v>
      </c>
      <c r="B470">
        <v>0.89019999999999999</v>
      </c>
      <c r="C470">
        <v>60.797199999999997</v>
      </c>
      <c r="D470">
        <v>0</v>
      </c>
      <c r="E470">
        <v>1</v>
      </c>
      <c r="G470">
        <v>1.3115000000000001</v>
      </c>
      <c r="H470">
        <v>71.410399999999996</v>
      </c>
    </row>
    <row r="471" spans="1:8" x14ac:dyDescent="0.2">
      <c r="A471">
        <v>148.56649999999999</v>
      </c>
      <c r="B471">
        <v>0.89680000000000004</v>
      </c>
      <c r="C471">
        <v>60.967100000000002</v>
      </c>
      <c r="D471">
        <v>0</v>
      </c>
      <c r="E471">
        <v>1</v>
      </c>
      <c r="G471">
        <v>1.3180000000000001</v>
      </c>
      <c r="H471">
        <v>72.595500000000001</v>
      </c>
    </row>
    <row r="472" spans="1:8" x14ac:dyDescent="0.2">
      <c r="A472">
        <v>148.93700000000001</v>
      </c>
      <c r="B472">
        <v>0.90180000000000005</v>
      </c>
      <c r="C472">
        <v>62.000799999999998</v>
      </c>
      <c r="D472">
        <v>0</v>
      </c>
      <c r="E472">
        <v>1</v>
      </c>
      <c r="G472">
        <v>1.3221000000000001</v>
      </c>
      <c r="H472">
        <v>73.164500000000004</v>
      </c>
    </row>
    <row r="473" spans="1:8" x14ac:dyDescent="0.2">
      <c r="A473">
        <v>149.3075</v>
      </c>
      <c r="B473">
        <v>0.90639999999999998</v>
      </c>
      <c r="C473">
        <v>62.875300000000003</v>
      </c>
      <c r="D473">
        <v>0</v>
      </c>
      <c r="E473">
        <v>1</v>
      </c>
      <c r="G473">
        <v>1.3242</v>
      </c>
      <c r="H473">
        <v>72.614999999999995</v>
      </c>
    </row>
    <row r="474" spans="1:8" x14ac:dyDescent="0.2">
      <c r="A474">
        <v>149.678</v>
      </c>
      <c r="B474">
        <v>0.90639999999999998</v>
      </c>
      <c r="C474">
        <v>62.724200000000003</v>
      </c>
      <c r="D474">
        <v>0</v>
      </c>
      <c r="E474">
        <v>1</v>
      </c>
      <c r="G474">
        <v>1.3270999999999999</v>
      </c>
      <c r="H474">
        <v>71.790800000000004</v>
      </c>
    </row>
    <row r="475" spans="1:8" x14ac:dyDescent="0.2">
      <c r="A475">
        <v>150.04839999999999</v>
      </c>
      <c r="B475">
        <v>0.90820000000000001</v>
      </c>
      <c r="C475">
        <v>61.9161</v>
      </c>
      <c r="D475">
        <v>0</v>
      </c>
      <c r="E475">
        <v>1</v>
      </c>
      <c r="G475">
        <v>1.3347</v>
      </c>
      <c r="H475">
        <v>71.834100000000007</v>
      </c>
    </row>
    <row r="476" spans="1:8" x14ac:dyDescent="0.2">
      <c r="A476">
        <v>150.41890000000001</v>
      </c>
      <c r="B476">
        <v>0.91239999999999999</v>
      </c>
      <c r="C476">
        <v>61.584200000000003</v>
      </c>
      <c r="D476">
        <v>0</v>
      </c>
      <c r="E476">
        <v>1</v>
      </c>
      <c r="G476">
        <v>1.3407</v>
      </c>
      <c r="H476">
        <v>72.892300000000006</v>
      </c>
    </row>
    <row r="477" spans="1:8" x14ac:dyDescent="0.2">
      <c r="A477">
        <v>150.7894</v>
      </c>
      <c r="B477">
        <v>0.91910000000000003</v>
      </c>
      <c r="C477">
        <v>62.312899999999999</v>
      </c>
      <c r="D477">
        <v>0</v>
      </c>
      <c r="E477">
        <v>1</v>
      </c>
      <c r="G477">
        <v>1.3469</v>
      </c>
      <c r="H477">
        <v>73.888499999999993</v>
      </c>
    </row>
    <row r="478" spans="1:8" x14ac:dyDescent="0.2">
      <c r="A478">
        <v>151.15989999999999</v>
      </c>
      <c r="B478">
        <v>0.92449999999999999</v>
      </c>
      <c r="C478">
        <v>63.392800000000001</v>
      </c>
      <c r="D478">
        <v>0</v>
      </c>
      <c r="E478">
        <v>1</v>
      </c>
      <c r="G478">
        <v>1.3481000000000001</v>
      </c>
      <c r="H478">
        <v>73.834199999999996</v>
      </c>
    </row>
    <row r="479" spans="1:8" x14ac:dyDescent="0.2">
      <c r="A479">
        <v>151.53039999999999</v>
      </c>
      <c r="B479">
        <v>0.92649999999999999</v>
      </c>
      <c r="C479">
        <v>63.753300000000003</v>
      </c>
      <c r="D479">
        <v>0</v>
      </c>
      <c r="E479">
        <v>1</v>
      </c>
      <c r="G479">
        <v>1.3509</v>
      </c>
      <c r="H479">
        <v>72.970799999999997</v>
      </c>
    </row>
    <row r="480" spans="1:8" x14ac:dyDescent="0.2">
      <c r="A480">
        <v>151.90090000000001</v>
      </c>
      <c r="B480">
        <v>0.92859999999999998</v>
      </c>
      <c r="C480">
        <v>63.154400000000003</v>
      </c>
      <c r="D480">
        <v>0</v>
      </c>
      <c r="E480">
        <v>1</v>
      </c>
      <c r="G480">
        <v>1.3592</v>
      </c>
      <c r="H480">
        <v>72.489500000000007</v>
      </c>
    </row>
    <row r="481" spans="1:8" x14ac:dyDescent="0.2">
      <c r="A481">
        <v>152.2714</v>
      </c>
      <c r="B481">
        <v>0.92849999999999999</v>
      </c>
      <c r="C481">
        <v>62.469099999999997</v>
      </c>
      <c r="D481">
        <v>0</v>
      </c>
      <c r="E481">
        <v>1</v>
      </c>
      <c r="G481">
        <v>1.3768</v>
      </c>
      <c r="H481">
        <v>73.162700000000001</v>
      </c>
    </row>
    <row r="482" spans="1:8" x14ac:dyDescent="0.2">
      <c r="A482">
        <v>152.64189999999999</v>
      </c>
      <c r="B482">
        <v>0.93530000000000002</v>
      </c>
      <c r="C482">
        <v>62.709800000000001</v>
      </c>
      <c r="D482">
        <v>0</v>
      </c>
      <c r="E482">
        <v>1</v>
      </c>
      <c r="G482">
        <v>1.3892</v>
      </c>
      <c r="H482">
        <v>74.359700000000004</v>
      </c>
    </row>
    <row r="483" spans="1:8" x14ac:dyDescent="0.2">
      <c r="A483">
        <v>153.01240000000001</v>
      </c>
      <c r="B483">
        <v>0.94179999999999997</v>
      </c>
      <c r="C483">
        <v>63.750999999999998</v>
      </c>
      <c r="D483">
        <v>0</v>
      </c>
      <c r="E483">
        <v>1</v>
      </c>
      <c r="G483">
        <v>1.3965000000000001</v>
      </c>
      <c r="H483">
        <v>74.865600000000001</v>
      </c>
    </row>
    <row r="484" spans="1:8" x14ac:dyDescent="0.2">
      <c r="A484">
        <v>153.38290000000001</v>
      </c>
      <c r="B484">
        <v>0.94620000000000004</v>
      </c>
      <c r="C484">
        <v>64.582700000000003</v>
      </c>
      <c r="D484">
        <v>0</v>
      </c>
      <c r="E484">
        <v>1</v>
      </c>
      <c r="G484">
        <v>1.4011</v>
      </c>
      <c r="H484">
        <v>74.251499999999993</v>
      </c>
    </row>
    <row r="485" spans="1:8" x14ac:dyDescent="0.2">
      <c r="A485">
        <v>153.7534</v>
      </c>
      <c r="B485">
        <v>0.94710000000000005</v>
      </c>
      <c r="C485">
        <v>64.374099999999999</v>
      </c>
      <c r="D485">
        <v>0</v>
      </c>
      <c r="E485">
        <v>1</v>
      </c>
      <c r="G485">
        <v>1.4076</v>
      </c>
      <c r="H485">
        <v>73.434100000000001</v>
      </c>
    </row>
    <row r="486" spans="1:8" x14ac:dyDescent="0.2">
      <c r="A486">
        <v>154.12379999999999</v>
      </c>
      <c r="B486">
        <v>0.9516</v>
      </c>
      <c r="C486">
        <v>63.540100000000002</v>
      </c>
      <c r="D486">
        <v>0</v>
      </c>
      <c r="E486">
        <v>1</v>
      </c>
      <c r="G486">
        <v>1.4149</v>
      </c>
      <c r="H486">
        <v>73.558700000000002</v>
      </c>
    </row>
    <row r="487" spans="1:8" x14ac:dyDescent="0.2">
      <c r="A487">
        <v>154.49430000000001</v>
      </c>
      <c r="B487">
        <v>0.96140000000000003</v>
      </c>
      <c r="C487">
        <v>63.275300000000001</v>
      </c>
      <c r="D487">
        <v>0</v>
      </c>
      <c r="E487">
        <v>1</v>
      </c>
      <c r="G487">
        <v>1.4245000000000001</v>
      </c>
      <c r="H487">
        <v>74.666499999999999</v>
      </c>
    </row>
    <row r="488" spans="1:8" x14ac:dyDescent="0.2">
      <c r="A488">
        <v>154.8648</v>
      </c>
      <c r="B488">
        <v>0.97060000000000002</v>
      </c>
      <c r="C488">
        <v>64.055400000000006</v>
      </c>
      <c r="D488">
        <v>0</v>
      </c>
      <c r="E488">
        <v>1</v>
      </c>
      <c r="G488">
        <v>1.4298</v>
      </c>
      <c r="H488">
        <v>75.634200000000007</v>
      </c>
    </row>
    <row r="489" spans="1:8" x14ac:dyDescent="0.2">
      <c r="A489">
        <v>155.2353</v>
      </c>
      <c r="B489">
        <v>0.97799999999999998</v>
      </c>
      <c r="C489">
        <v>65.1584</v>
      </c>
      <c r="D489">
        <v>0</v>
      </c>
      <c r="E489">
        <v>1</v>
      </c>
      <c r="G489">
        <v>1.4335</v>
      </c>
      <c r="H489">
        <v>75.490600000000001</v>
      </c>
    </row>
    <row r="490" spans="1:8" x14ac:dyDescent="0.2">
      <c r="A490">
        <v>155.60579999999999</v>
      </c>
      <c r="B490">
        <v>0.98370000000000002</v>
      </c>
      <c r="C490">
        <v>65.460300000000004</v>
      </c>
      <c r="D490">
        <v>0</v>
      </c>
      <c r="E490">
        <v>1</v>
      </c>
      <c r="G490">
        <v>1.4369000000000001</v>
      </c>
      <c r="H490">
        <v>74.595500000000001</v>
      </c>
    </row>
    <row r="491" spans="1:8" x14ac:dyDescent="0.2">
      <c r="A491">
        <v>155.97630000000001</v>
      </c>
      <c r="B491">
        <v>0.98929999999999996</v>
      </c>
      <c r="C491">
        <v>64.789100000000005</v>
      </c>
      <c r="D491">
        <v>0</v>
      </c>
      <c r="E491">
        <v>1</v>
      </c>
      <c r="G491">
        <v>1.4447000000000001</v>
      </c>
      <c r="H491">
        <v>75.098500000000001</v>
      </c>
    </row>
    <row r="492" spans="1:8" x14ac:dyDescent="0.2">
      <c r="A492">
        <v>156.3468</v>
      </c>
      <c r="B492">
        <v>0.99399999999999999</v>
      </c>
      <c r="C492">
        <v>64.119600000000005</v>
      </c>
      <c r="D492">
        <v>0</v>
      </c>
      <c r="E492">
        <v>1</v>
      </c>
      <c r="G492">
        <v>1.4496</v>
      </c>
      <c r="H492">
        <v>75.106899999999996</v>
      </c>
    </row>
    <row r="493" spans="1:8" x14ac:dyDescent="0.2">
      <c r="A493">
        <v>156.71729999999999</v>
      </c>
      <c r="B493">
        <v>1.0023</v>
      </c>
      <c r="C493">
        <v>64.424099999999996</v>
      </c>
      <c r="D493">
        <v>0</v>
      </c>
      <c r="E493">
        <v>1</v>
      </c>
      <c r="G493">
        <v>1.4525999999999999</v>
      </c>
      <c r="H493">
        <v>75.104699999999994</v>
      </c>
    </row>
    <row r="494" spans="1:8" x14ac:dyDescent="0.2">
      <c r="A494">
        <v>157.08779999999999</v>
      </c>
      <c r="B494">
        <v>1.0102</v>
      </c>
      <c r="C494">
        <v>65.532799999999995</v>
      </c>
      <c r="D494">
        <v>0</v>
      </c>
      <c r="E494">
        <v>1</v>
      </c>
      <c r="G494">
        <v>1.4542999999999999</v>
      </c>
      <c r="H494">
        <v>75.103300000000004</v>
      </c>
    </row>
    <row r="495" spans="1:8" x14ac:dyDescent="0.2">
      <c r="A495">
        <v>157.45830000000001</v>
      </c>
      <c r="B495">
        <v>1.0163</v>
      </c>
      <c r="C495">
        <v>66.313000000000002</v>
      </c>
      <c r="D495">
        <v>0</v>
      </c>
      <c r="E495">
        <v>1</v>
      </c>
      <c r="G495">
        <v>1.4573</v>
      </c>
      <c r="H495">
        <v>75.096900000000005</v>
      </c>
    </row>
    <row r="496" spans="1:8" x14ac:dyDescent="0.2">
      <c r="A496">
        <v>157.8287</v>
      </c>
      <c r="B496">
        <v>1.0216000000000001</v>
      </c>
      <c r="C496">
        <v>66.031400000000005</v>
      </c>
      <c r="D496">
        <v>0</v>
      </c>
      <c r="E496">
        <v>1</v>
      </c>
      <c r="G496">
        <v>1.4591000000000001</v>
      </c>
      <c r="H496">
        <v>75.104799999999997</v>
      </c>
    </row>
    <row r="497" spans="1:8" x14ac:dyDescent="0.2">
      <c r="A497">
        <v>158.19919999999999</v>
      </c>
      <c r="B497">
        <v>1.0266</v>
      </c>
      <c r="C497">
        <v>65.193299999999994</v>
      </c>
      <c r="D497">
        <v>0</v>
      </c>
      <c r="E497">
        <v>1</v>
      </c>
      <c r="G497">
        <v>1.4621999999999999</v>
      </c>
      <c r="H497">
        <v>75.106800000000007</v>
      </c>
    </row>
    <row r="498" spans="1:8" x14ac:dyDescent="0.2">
      <c r="A498">
        <v>158.56970000000001</v>
      </c>
      <c r="B498">
        <v>1.0390999999999999</v>
      </c>
      <c r="C498">
        <v>64.970600000000005</v>
      </c>
      <c r="D498">
        <v>0</v>
      </c>
      <c r="E498">
        <v>1</v>
      </c>
      <c r="G498">
        <v>1.4641999999999999</v>
      </c>
      <c r="H498">
        <v>75.105599999999995</v>
      </c>
    </row>
    <row r="499" spans="1:8" x14ac:dyDescent="0.2">
      <c r="A499">
        <v>158.9402</v>
      </c>
      <c r="B499">
        <v>1.0504</v>
      </c>
      <c r="C499">
        <v>65.820099999999996</v>
      </c>
      <c r="D499">
        <v>0</v>
      </c>
      <c r="E499">
        <v>1</v>
      </c>
      <c r="G499">
        <v>1.4659</v>
      </c>
      <c r="H499">
        <v>75.098299999999995</v>
      </c>
    </row>
    <row r="500" spans="1:8" x14ac:dyDescent="0.2">
      <c r="A500">
        <v>159.3107</v>
      </c>
      <c r="B500">
        <v>1.0589999999999999</v>
      </c>
      <c r="C500">
        <v>66.903999999999996</v>
      </c>
      <c r="D500">
        <v>0</v>
      </c>
      <c r="E500">
        <v>1</v>
      </c>
      <c r="G500">
        <v>1.4677</v>
      </c>
      <c r="H500">
        <v>75.100700000000003</v>
      </c>
    </row>
    <row r="501" spans="1:8" x14ac:dyDescent="0.2">
      <c r="A501">
        <v>159.68119999999999</v>
      </c>
      <c r="B501">
        <v>1.0637000000000001</v>
      </c>
      <c r="C501">
        <v>67.145600000000002</v>
      </c>
      <c r="D501">
        <v>0</v>
      </c>
      <c r="E501">
        <v>1</v>
      </c>
      <c r="G501">
        <v>1.4702999999999999</v>
      </c>
      <c r="H501">
        <v>75.108900000000006</v>
      </c>
    </row>
    <row r="502" spans="1:8" x14ac:dyDescent="0.2">
      <c r="A502">
        <v>160.05170000000001</v>
      </c>
      <c r="B502">
        <v>1.0671999999999999</v>
      </c>
      <c r="C502">
        <v>66.425799999999995</v>
      </c>
      <c r="D502">
        <v>0</v>
      </c>
      <c r="E502">
        <v>1</v>
      </c>
      <c r="G502">
        <v>1.4722999999999999</v>
      </c>
      <c r="H502">
        <v>75.101299999999995</v>
      </c>
    </row>
    <row r="503" spans="1:8" x14ac:dyDescent="0.2">
      <c r="A503">
        <v>160.4222</v>
      </c>
      <c r="B503">
        <v>1.0718000000000001</v>
      </c>
      <c r="C503">
        <v>65.784199999999998</v>
      </c>
      <c r="D503">
        <v>0</v>
      </c>
      <c r="E503">
        <v>1</v>
      </c>
      <c r="G503">
        <v>1.4739</v>
      </c>
      <c r="H503">
        <v>75.104799999999997</v>
      </c>
    </row>
    <row r="504" spans="1:8" x14ac:dyDescent="0.2">
      <c r="A504">
        <v>160.7927</v>
      </c>
      <c r="B504">
        <v>1.0792999999999999</v>
      </c>
      <c r="C504">
        <v>66.162499999999994</v>
      </c>
      <c r="D504">
        <v>0</v>
      </c>
      <c r="E504">
        <v>1</v>
      </c>
      <c r="G504">
        <v>1.4742</v>
      </c>
      <c r="H504">
        <v>75.104699999999994</v>
      </c>
    </row>
    <row r="505" spans="1:8" x14ac:dyDescent="0.2">
      <c r="A505">
        <v>161.16309999999999</v>
      </c>
      <c r="B505">
        <v>1.0849</v>
      </c>
      <c r="C505">
        <v>67.3</v>
      </c>
      <c r="D505">
        <v>0</v>
      </c>
      <c r="E505">
        <v>1</v>
      </c>
      <c r="G505">
        <v>1.4757</v>
      </c>
      <c r="H505">
        <v>75.108599999999996</v>
      </c>
    </row>
    <row r="506" spans="1:8" x14ac:dyDescent="0.2">
      <c r="A506">
        <v>161.53360000000001</v>
      </c>
      <c r="B506">
        <v>1.0891</v>
      </c>
      <c r="C506">
        <v>68.034800000000004</v>
      </c>
      <c r="D506">
        <v>0</v>
      </c>
      <c r="E506">
        <v>1</v>
      </c>
      <c r="G506">
        <v>1.4778</v>
      </c>
      <c r="H506">
        <v>75.106499999999997</v>
      </c>
    </row>
    <row r="507" spans="1:8" x14ac:dyDescent="0.2">
      <c r="A507">
        <v>161.9041</v>
      </c>
      <c r="B507">
        <v>1.0915999999999999</v>
      </c>
      <c r="C507">
        <v>67.678100000000001</v>
      </c>
      <c r="D507">
        <v>0</v>
      </c>
      <c r="E507">
        <v>1</v>
      </c>
      <c r="G507">
        <v>1.4786999999999999</v>
      </c>
      <c r="H507">
        <v>75.100499999999997</v>
      </c>
    </row>
    <row r="508" spans="1:8" x14ac:dyDescent="0.2">
      <c r="A508">
        <v>162.27459999999999</v>
      </c>
      <c r="B508">
        <v>1.0945</v>
      </c>
      <c r="C508">
        <v>66.837199999999996</v>
      </c>
      <c r="D508">
        <v>0</v>
      </c>
      <c r="E508">
        <v>1</v>
      </c>
      <c r="G508">
        <v>1.4801</v>
      </c>
      <c r="H508">
        <v>75.109099999999998</v>
      </c>
    </row>
    <row r="509" spans="1:8" x14ac:dyDescent="0.2">
      <c r="A509">
        <v>162.64510000000001</v>
      </c>
      <c r="B509">
        <v>1.1013999999999999</v>
      </c>
      <c r="C509">
        <v>66.679100000000005</v>
      </c>
      <c r="D509">
        <v>0</v>
      </c>
      <c r="E509">
        <v>1</v>
      </c>
      <c r="G509">
        <v>1.4814000000000001</v>
      </c>
      <c r="H509">
        <v>75.108500000000006</v>
      </c>
    </row>
    <row r="510" spans="1:8" x14ac:dyDescent="0.2">
      <c r="A510">
        <v>163.01560000000001</v>
      </c>
      <c r="B510">
        <v>1.1095999999999999</v>
      </c>
      <c r="C510">
        <v>67.591099999999997</v>
      </c>
      <c r="D510">
        <v>0</v>
      </c>
      <c r="E510">
        <v>1</v>
      </c>
      <c r="G510">
        <v>1.4827999999999999</v>
      </c>
      <c r="H510">
        <v>75.103700000000003</v>
      </c>
    </row>
    <row r="511" spans="1:8" x14ac:dyDescent="0.2">
      <c r="A511">
        <v>163.3861</v>
      </c>
      <c r="B511">
        <v>1.1176999999999999</v>
      </c>
      <c r="C511">
        <v>68.662599999999998</v>
      </c>
      <c r="D511">
        <v>0</v>
      </c>
      <c r="E511">
        <v>1</v>
      </c>
      <c r="G511">
        <v>1.4849000000000001</v>
      </c>
      <c r="H511">
        <v>75.104500000000002</v>
      </c>
    </row>
    <row r="512" spans="1:8" x14ac:dyDescent="0.2">
      <c r="A512">
        <v>163.75659999999999</v>
      </c>
      <c r="B512">
        <v>1.1225000000000001</v>
      </c>
      <c r="C512">
        <v>68.820400000000006</v>
      </c>
      <c r="D512">
        <v>0</v>
      </c>
      <c r="E512">
        <v>1</v>
      </c>
      <c r="G512">
        <v>1.4866999999999999</v>
      </c>
      <c r="H512">
        <v>75.108599999999996</v>
      </c>
    </row>
    <row r="513" spans="1:8" x14ac:dyDescent="0.2">
      <c r="A513">
        <v>164.12710000000001</v>
      </c>
      <c r="B513">
        <v>1.1278999999999999</v>
      </c>
      <c r="C513">
        <v>68.060900000000004</v>
      </c>
      <c r="D513">
        <v>0</v>
      </c>
      <c r="E513">
        <v>1</v>
      </c>
      <c r="G513">
        <v>1.4871000000000001</v>
      </c>
      <c r="H513">
        <v>75.110200000000006</v>
      </c>
    </row>
    <row r="514" spans="1:8" x14ac:dyDescent="0.2">
      <c r="A514">
        <v>164.49760000000001</v>
      </c>
      <c r="B514">
        <v>1.1336999999999999</v>
      </c>
      <c r="C514">
        <v>67.454700000000003</v>
      </c>
      <c r="D514">
        <v>0</v>
      </c>
      <c r="E514">
        <v>1</v>
      </c>
      <c r="G514">
        <v>1.4899</v>
      </c>
      <c r="H514">
        <v>75.098799999999997</v>
      </c>
    </row>
    <row r="515" spans="1:8" x14ac:dyDescent="0.2">
      <c r="A515">
        <v>164.8681</v>
      </c>
      <c r="B515">
        <v>1.143</v>
      </c>
      <c r="C515">
        <v>67.907200000000003</v>
      </c>
      <c r="D515">
        <v>0</v>
      </c>
      <c r="E515">
        <v>1</v>
      </c>
      <c r="G515">
        <v>1.4898</v>
      </c>
      <c r="H515">
        <v>75.1066</v>
      </c>
    </row>
    <row r="516" spans="1:8" x14ac:dyDescent="0.2">
      <c r="A516">
        <v>165.23849999999999</v>
      </c>
      <c r="B516">
        <v>1.1527000000000001</v>
      </c>
      <c r="C516">
        <v>69.063000000000002</v>
      </c>
      <c r="D516">
        <v>0</v>
      </c>
      <c r="E516">
        <v>1</v>
      </c>
      <c r="G516">
        <v>1.4914000000000001</v>
      </c>
      <c r="H516">
        <v>75.099699999999999</v>
      </c>
    </row>
    <row r="517" spans="1:8" x14ac:dyDescent="0.2">
      <c r="A517">
        <v>165.60900000000001</v>
      </c>
      <c r="B517">
        <v>1.1585000000000001</v>
      </c>
      <c r="C517">
        <v>69.741799999999998</v>
      </c>
      <c r="D517">
        <v>0</v>
      </c>
      <c r="E517">
        <v>1</v>
      </c>
      <c r="G517">
        <v>1.4923</v>
      </c>
      <c r="H517">
        <v>75.1096</v>
      </c>
    </row>
    <row r="518" spans="1:8" x14ac:dyDescent="0.2">
      <c r="A518">
        <v>165.9795</v>
      </c>
      <c r="B518">
        <v>1.1617</v>
      </c>
      <c r="C518">
        <v>69.326800000000006</v>
      </c>
      <c r="D518">
        <v>0</v>
      </c>
      <c r="E518">
        <v>1</v>
      </c>
      <c r="G518">
        <v>1.4951000000000001</v>
      </c>
      <c r="H518">
        <v>74.991299999999995</v>
      </c>
    </row>
    <row r="519" spans="1:8" x14ac:dyDescent="0.2">
      <c r="A519">
        <v>166.35</v>
      </c>
      <c r="B519">
        <v>1.1659999999999999</v>
      </c>
      <c r="C519">
        <v>68.481300000000005</v>
      </c>
      <c r="D519">
        <v>0</v>
      </c>
      <c r="E519">
        <v>1</v>
      </c>
      <c r="G519">
        <v>1.4931000000000001</v>
      </c>
      <c r="H519">
        <v>74.846699999999998</v>
      </c>
    </row>
    <row r="520" spans="1:8" x14ac:dyDescent="0.2">
      <c r="A520">
        <v>166.72049999999999</v>
      </c>
      <c r="B520">
        <v>1.1737</v>
      </c>
      <c r="C520">
        <v>68.399900000000002</v>
      </c>
      <c r="D520">
        <v>0</v>
      </c>
      <c r="E520">
        <v>1</v>
      </c>
      <c r="G520">
        <v>1.4948999999999999</v>
      </c>
      <c r="H520">
        <v>74.680599999999998</v>
      </c>
    </row>
    <row r="521" spans="1:8" x14ac:dyDescent="0.2">
      <c r="A521">
        <v>167.09100000000001</v>
      </c>
      <c r="B521">
        <v>1.1829000000000001</v>
      </c>
      <c r="C521">
        <v>69.344700000000003</v>
      </c>
      <c r="D521">
        <v>0</v>
      </c>
      <c r="E521">
        <v>1</v>
      </c>
      <c r="G521">
        <v>1.4964999999999999</v>
      </c>
      <c r="H521">
        <v>74.525300000000001</v>
      </c>
    </row>
    <row r="522" spans="1:8" x14ac:dyDescent="0.2">
      <c r="A522">
        <v>167.4615</v>
      </c>
      <c r="B522">
        <v>1.1898</v>
      </c>
      <c r="C522">
        <v>70.406300000000002</v>
      </c>
      <c r="D522">
        <v>0</v>
      </c>
      <c r="E522">
        <v>1</v>
      </c>
      <c r="G522">
        <v>1.4963</v>
      </c>
      <c r="H522">
        <v>74.379099999999994</v>
      </c>
    </row>
    <row r="523" spans="1:8" x14ac:dyDescent="0.2">
      <c r="A523">
        <v>167.83199999999999</v>
      </c>
      <c r="B523">
        <v>1.1972</v>
      </c>
      <c r="C523">
        <v>70.487399999999994</v>
      </c>
      <c r="D523">
        <v>0</v>
      </c>
      <c r="E523">
        <v>1</v>
      </c>
      <c r="G523">
        <v>1.4961</v>
      </c>
      <c r="H523">
        <v>74.226299999999995</v>
      </c>
    </row>
    <row r="524" spans="1:8" x14ac:dyDescent="0.2">
      <c r="A524">
        <v>168.20249999999999</v>
      </c>
      <c r="B524">
        <v>1.2108000000000001</v>
      </c>
      <c r="C524">
        <v>69.687100000000001</v>
      </c>
      <c r="D524">
        <v>0</v>
      </c>
      <c r="E524">
        <v>1</v>
      </c>
      <c r="G524">
        <v>1.4968999999999999</v>
      </c>
      <c r="H524">
        <v>74.0702</v>
      </c>
    </row>
    <row r="525" spans="1:8" x14ac:dyDescent="0.2">
      <c r="A525">
        <v>168.57300000000001</v>
      </c>
      <c r="B525">
        <v>1.2239</v>
      </c>
      <c r="C525">
        <v>69.12</v>
      </c>
      <c r="D525">
        <v>0</v>
      </c>
      <c r="E525">
        <v>1</v>
      </c>
      <c r="G525">
        <v>1.4972000000000001</v>
      </c>
      <c r="H525">
        <v>73.910499999999999</v>
      </c>
    </row>
    <row r="526" spans="1:8" x14ac:dyDescent="0.2">
      <c r="A526">
        <v>168.9434</v>
      </c>
      <c r="B526">
        <v>1.2363</v>
      </c>
      <c r="C526">
        <v>69.652299999999997</v>
      </c>
      <c r="D526">
        <v>0</v>
      </c>
      <c r="E526">
        <v>1</v>
      </c>
      <c r="G526">
        <v>1.496</v>
      </c>
      <c r="H526">
        <v>73.761600000000001</v>
      </c>
    </row>
    <row r="527" spans="1:8" x14ac:dyDescent="0.2">
      <c r="A527">
        <v>169.31389999999999</v>
      </c>
      <c r="B527">
        <v>1.2453000000000001</v>
      </c>
      <c r="C527">
        <v>70.832999999999998</v>
      </c>
      <c r="D527">
        <v>0</v>
      </c>
      <c r="E527">
        <v>1</v>
      </c>
      <c r="G527">
        <v>1.4962</v>
      </c>
      <c r="H527">
        <v>73.604600000000005</v>
      </c>
    </row>
    <row r="528" spans="1:8" x14ac:dyDescent="0.2">
      <c r="A528">
        <v>169.68440000000001</v>
      </c>
      <c r="B528">
        <v>1.2524</v>
      </c>
      <c r="C528">
        <v>71.452799999999996</v>
      </c>
      <c r="D528">
        <v>0</v>
      </c>
      <c r="E528">
        <v>1</v>
      </c>
      <c r="G528">
        <v>1.4971000000000001</v>
      </c>
      <c r="H528">
        <v>73.447900000000004</v>
      </c>
    </row>
    <row r="529" spans="1:8" x14ac:dyDescent="0.2">
      <c r="A529">
        <v>170.0549</v>
      </c>
      <c r="B529">
        <v>1.2561</v>
      </c>
      <c r="C529">
        <v>70.978399999999993</v>
      </c>
      <c r="D529">
        <v>0</v>
      </c>
      <c r="E529">
        <v>1</v>
      </c>
      <c r="G529">
        <v>1.4973000000000001</v>
      </c>
      <c r="H529">
        <v>73.297700000000006</v>
      </c>
    </row>
    <row r="530" spans="1:8" x14ac:dyDescent="0.2">
      <c r="A530">
        <v>170.4254</v>
      </c>
      <c r="B530">
        <v>1.2617</v>
      </c>
      <c r="C530">
        <v>70.137200000000007</v>
      </c>
      <c r="D530">
        <v>0</v>
      </c>
      <c r="E530">
        <v>1</v>
      </c>
      <c r="G530">
        <v>1.4968999999999999</v>
      </c>
      <c r="H530">
        <v>73.141499999999994</v>
      </c>
    </row>
    <row r="531" spans="1:8" x14ac:dyDescent="0.2">
      <c r="A531">
        <v>170.79589999999999</v>
      </c>
      <c r="B531">
        <v>1.2710999999999999</v>
      </c>
      <c r="C531">
        <v>70.1203</v>
      </c>
      <c r="D531">
        <v>0</v>
      </c>
      <c r="E531">
        <v>1</v>
      </c>
      <c r="G531">
        <v>1.4961</v>
      </c>
      <c r="H531">
        <v>72.990700000000004</v>
      </c>
    </row>
    <row r="532" spans="1:8" x14ac:dyDescent="0.2">
      <c r="A532">
        <v>171.16640000000001</v>
      </c>
      <c r="B532">
        <v>1.2794000000000001</v>
      </c>
      <c r="C532">
        <v>71.123500000000007</v>
      </c>
      <c r="D532">
        <v>0</v>
      </c>
      <c r="E532">
        <v>1</v>
      </c>
      <c r="G532">
        <v>1.4971000000000001</v>
      </c>
      <c r="H532">
        <v>72.829800000000006</v>
      </c>
    </row>
    <row r="533" spans="1:8" x14ac:dyDescent="0.2">
      <c r="A533">
        <v>171.5369</v>
      </c>
      <c r="B533">
        <v>1.288</v>
      </c>
      <c r="C533">
        <v>72.1511</v>
      </c>
      <c r="D533">
        <v>0</v>
      </c>
      <c r="E533">
        <v>1</v>
      </c>
      <c r="G533">
        <v>1.4967999999999999</v>
      </c>
      <c r="H533">
        <v>72.675299999999993</v>
      </c>
    </row>
    <row r="534" spans="1:8" x14ac:dyDescent="0.2">
      <c r="A534">
        <v>171.9074</v>
      </c>
      <c r="B534">
        <v>1.2911999999999999</v>
      </c>
      <c r="C534">
        <v>72.168199999999999</v>
      </c>
      <c r="D534">
        <v>0</v>
      </c>
      <c r="E534">
        <v>1</v>
      </c>
      <c r="G534">
        <v>1.4952000000000001</v>
      </c>
      <c r="H534">
        <v>72.523700000000005</v>
      </c>
    </row>
    <row r="535" spans="1:8" x14ac:dyDescent="0.2">
      <c r="A535">
        <v>172.27780000000001</v>
      </c>
      <c r="B535">
        <v>1.2965</v>
      </c>
      <c r="C535">
        <v>71.328000000000003</v>
      </c>
      <c r="D535">
        <v>0</v>
      </c>
      <c r="E535">
        <v>1</v>
      </c>
      <c r="G535">
        <v>1.4957</v>
      </c>
      <c r="H535">
        <v>72.368700000000004</v>
      </c>
    </row>
    <row r="536" spans="1:8" x14ac:dyDescent="0.2">
      <c r="A536">
        <v>172.64830000000001</v>
      </c>
      <c r="B536">
        <v>1.3024</v>
      </c>
      <c r="C536">
        <v>70.812899999999999</v>
      </c>
      <c r="D536">
        <v>0</v>
      </c>
      <c r="E536">
        <v>1</v>
      </c>
      <c r="G536">
        <v>1.4947999999999999</v>
      </c>
      <c r="H536">
        <v>72.219899999999996</v>
      </c>
    </row>
    <row r="537" spans="1:8" x14ac:dyDescent="0.2">
      <c r="A537">
        <v>173.0188</v>
      </c>
      <c r="B537">
        <v>1.3115000000000001</v>
      </c>
      <c r="C537">
        <v>71.410399999999996</v>
      </c>
      <c r="D537">
        <v>0</v>
      </c>
      <c r="E537">
        <v>1</v>
      </c>
      <c r="G537">
        <v>1.4944</v>
      </c>
      <c r="H537">
        <v>72.057900000000004</v>
      </c>
    </row>
    <row r="538" spans="1:8" x14ac:dyDescent="0.2">
      <c r="A538">
        <v>173.38929999999999</v>
      </c>
      <c r="B538">
        <v>1.3180000000000001</v>
      </c>
      <c r="C538">
        <v>72.595500000000001</v>
      </c>
      <c r="D538">
        <v>0</v>
      </c>
      <c r="E538">
        <v>1</v>
      </c>
      <c r="G538">
        <v>1.4944</v>
      </c>
      <c r="H538">
        <v>71.91</v>
      </c>
    </row>
    <row r="539" spans="1:8" x14ac:dyDescent="0.2">
      <c r="A539">
        <v>173.75980000000001</v>
      </c>
      <c r="B539">
        <v>1.3221000000000001</v>
      </c>
      <c r="C539">
        <v>73.164500000000004</v>
      </c>
      <c r="D539">
        <v>0</v>
      </c>
      <c r="E539">
        <v>1</v>
      </c>
      <c r="G539">
        <v>1.4935</v>
      </c>
      <c r="H539">
        <v>71.753799999999998</v>
      </c>
    </row>
    <row r="540" spans="1:8" x14ac:dyDescent="0.2">
      <c r="A540">
        <v>174.13030000000001</v>
      </c>
      <c r="B540">
        <v>1.3242</v>
      </c>
      <c r="C540">
        <v>72.614999999999995</v>
      </c>
      <c r="D540">
        <v>0</v>
      </c>
      <c r="E540">
        <v>1</v>
      </c>
      <c r="G540">
        <v>1.4939</v>
      </c>
      <c r="H540">
        <v>71.599900000000005</v>
      </c>
    </row>
    <row r="541" spans="1:8" x14ac:dyDescent="0.2">
      <c r="A541">
        <v>174.5008</v>
      </c>
      <c r="B541">
        <v>1.3270999999999999</v>
      </c>
      <c r="C541">
        <v>71.790800000000004</v>
      </c>
      <c r="D541">
        <v>0</v>
      </c>
      <c r="E541">
        <v>1</v>
      </c>
      <c r="G541">
        <v>1.4938</v>
      </c>
      <c r="H541">
        <v>71.442300000000003</v>
      </c>
    </row>
    <row r="542" spans="1:8" x14ac:dyDescent="0.2">
      <c r="A542">
        <v>174.87129999999999</v>
      </c>
      <c r="B542">
        <v>1.3347</v>
      </c>
      <c r="C542">
        <v>71.834100000000007</v>
      </c>
      <c r="D542">
        <v>0</v>
      </c>
      <c r="E542">
        <v>1</v>
      </c>
      <c r="G542">
        <v>1.492</v>
      </c>
      <c r="H542">
        <v>71.291799999999995</v>
      </c>
    </row>
    <row r="543" spans="1:8" x14ac:dyDescent="0.2">
      <c r="A543">
        <v>175.24180000000001</v>
      </c>
      <c r="B543">
        <v>1.3407</v>
      </c>
      <c r="C543">
        <v>72.892300000000006</v>
      </c>
      <c r="D543">
        <v>0</v>
      </c>
      <c r="E543">
        <v>1</v>
      </c>
      <c r="G543">
        <v>1.4916</v>
      </c>
      <c r="H543">
        <v>71.135999999999996</v>
      </c>
    </row>
    <row r="544" spans="1:8" x14ac:dyDescent="0.2">
      <c r="A544">
        <v>175.6123</v>
      </c>
      <c r="B544">
        <v>1.3469</v>
      </c>
      <c r="C544">
        <v>73.888499999999993</v>
      </c>
      <c r="D544">
        <v>0</v>
      </c>
      <c r="E544">
        <v>1</v>
      </c>
      <c r="G544">
        <v>1.4913000000000001</v>
      </c>
      <c r="H544">
        <v>70.980900000000005</v>
      </c>
    </row>
    <row r="545" spans="1:8" x14ac:dyDescent="0.2">
      <c r="A545">
        <v>175.9828</v>
      </c>
      <c r="B545">
        <v>1.3481000000000001</v>
      </c>
      <c r="C545">
        <v>73.834199999999996</v>
      </c>
      <c r="D545">
        <v>0</v>
      </c>
      <c r="E545">
        <v>1</v>
      </c>
      <c r="G545">
        <v>1.4911000000000001</v>
      </c>
      <c r="H545">
        <v>70.829400000000007</v>
      </c>
    </row>
    <row r="546" spans="1:8" x14ac:dyDescent="0.2">
      <c r="A546">
        <v>176.35319999999999</v>
      </c>
      <c r="B546">
        <v>1.3509</v>
      </c>
      <c r="C546">
        <v>72.970799999999997</v>
      </c>
      <c r="D546">
        <v>0</v>
      </c>
      <c r="E546">
        <v>1</v>
      </c>
      <c r="G546">
        <v>1.4905999999999999</v>
      </c>
      <c r="H546">
        <v>70.677099999999996</v>
      </c>
    </row>
    <row r="547" spans="1:8" x14ac:dyDescent="0.2">
      <c r="A547">
        <v>176.72370000000001</v>
      </c>
      <c r="B547">
        <v>1.3592</v>
      </c>
      <c r="C547">
        <v>72.489500000000007</v>
      </c>
      <c r="D547">
        <v>0</v>
      </c>
      <c r="E547">
        <v>1</v>
      </c>
      <c r="G547">
        <v>1.4905999999999999</v>
      </c>
      <c r="H547">
        <v>70.519499999999994</v>
      </c>
    </row>
    <row r="548" spans="1:8" x14ac:dyDescent="0.2">
      <c r="A548">
        <v>177.0942</v>
      </c>
      <c r="B548">
        <v>1.3768</v>
      </c>
      <c r="C548">
        <v>73.162700000000001</v>
      </c>
      <c r="D548">
        <v>0</v>
      </c>
      <c r="E548">
        <v>1</v>
      </c>
      <c r="G548">
        <v>1.4901</v>
      </c>
      <c r="H548">
        <v>70.362399999999994</v>
      </c>
    </row>
    <row r="549" spans="1:8" x14ac:dyDescent="0.2">
      <c r="A549">
        <v>177.46469999999999</v>
      </c>
      <c r="B549">
        <v>1.3892</v>
      </c>
      <c r="C549">
        <v>74.359700000000004</v>
      </c>
      <c r="D549">
        <v>0</v>
      </c>
      <c r="E549">
        <v>1</v>
      </c>
      <c r="G549">
        <v>1.4895</v>
      </c>
      <c r="H549">
        <v>70.211200000000005</v>
      </c>
    </row>
    <row r="550" spans="1:8" x14ac:dyDescent="0.2">
      <c r="A550">
        <v>177.83519999999999</v>
      </c>
      <c r="B550">
        <v>1.3965000000000001</v>
      </c>
      <c r="C550">
        <v>74.865600000000001</v>
      </c>
      <c r="D550">
        <v>0</v>
      </c>
      <c r="E550">
        <v>1</v>
      </c>
      <c r="G550">
        <v>1.4885999999999999</v>
      </c>
      <c r="H550">
        <v>70.054699999999997</v>
      </c>
    </row>
    <row r="551" spans="1:8" x14ac:dyDescent="0.2">
      <c r="A551">
        <v>178.20570000000001</v>
      </c>
      <c r="B551">
        <v>1.4011</v>
      </c>
      <c r="C551">
        <v>74.251499999999993</v>
      </c>
      <c r="D551">
        <v>0</v>
      </c>
      <c r="E551">
        <v>1</v>
      </c>
      <c r="G551">
        <v>1.4888999999999999</v>
      </c>
      <c r="H551">
        <v>69.897199999999998</v>
      </c>
    </row>
    <row r="552" spans="1:8" x14ac:dyDescent="0.2">
      <c r="A552">
        <v>178.5762</v>
      </c>
      <c r="B552">
        <v>1.4076</v>
      </c>
      <c r="C552">
        <v>73.434100000000001</v>
      </c>
      <c r="D552">
        <v>0</v>
      </c>
      <c r="E552">
        <v>1</v>
      </c>
      <c r="G552">
        <v>1.4879</v>
      </c>
      <c r="H552">
        <v>69.746899999999997</v>
      </c>
    </row>
    <row r="553" spans="1:8" x14ac:dyDescent="0.2">
      <c r="A553">
        <v>178.94669999999999</v>
      </c>
      <c r="B553">
        <v>1.4149</v>
      </c>
      <c r="C553">
        <v>73.558700000000002</v>
      </c>
      <c r="D553">
        <v>0</v>
      </c>
      <c r="E553">
        <v>1</v>
      </c>
      <c r="G553">
        <v>1.4873000000000001</v>
      </c>
      <c r="H553">
        <v>69.597700000000003</v>
      </c>
    </row>
    <row r="554" spans="1:8" x14ac:dyDescent="0.2">
      <c r="A554">
        <v>179.31720000000001</v>
      </c>
      <c r="B554">
        <v>1.4245000000000001</v>
      </c>
      <c r="C554">
        <v>74.666499999999999</v>
      </c>
      <c r="D554">
        <v>0</v>
      </c>
      <c r="E554">
        <v>1</v>
      </c>
      <c r="G554">
        <v>1.4871000000000001</v>
      </c>
      <c r="H554">
        <v>69.439700000000002</v>
      </c>
    </row>
    <row r="555" spans="1:8" x14ac:dyDescent="0.2">
      <c r="A555">
        <v>179.68770000000001</v>
      </c>
      <c r="B555">
        <v>1.4298</v>
      </c>
      <c r="C555">
        <v>75.634200000000007</v>
      </c>
      <c r="D555">
        <v>0</v>
      </c>
      <c r="E555">
        <v>1</v>
      </c>
      <c r="G555">
        <v>1.4845999999999999</v>
      </c>
      <c r="H555">
        <v>69.287499999999994</v>
      </c>
    </row>
    <row r="556" spans="1:8" x14ac:dyDescent="0.2">
      <c r="A556">
        <v>180.0581</v>
      </c>
      <c r="B556">
        <v>1.4335</v>
      </c>
      <c r="C556">
        <v>75.490600000000001</v>
      </c>
      <c r="D556">
        <v>0</v>
      </c>
      <c r="E556">
        <v>1</v>
      </c>
      <c r="G556">
        <v>1.4854000000000001</v>
      </c>
      <c r="H556">
        <v>69.129199999999997</v>
      </c>
    </row>
    <row r="557" spans="1:8" x14ac:dyDescent="0.2">
      <c r="A557">
        <v>180.42859999999999</v>
      </c>
      <c r="B557">
        <v>1.4369000000000001</v>
      </c>
      <c r="C557">
        <v>74.595500000000001</v>
      </c>
      <c r="D557">
        <v>0</v>
      </c>
      <c r="E557">
        <v>1</v>
      </c>
      <c r="G557">
        <v>1.4847999999999999</v>
      </c>
      <c r="H557">
        <v>68.978300000000004</v>
      </c>
    </row>
    <row r="558" spans="1:8" x14ac:dyDescent="0.2">
      <c r="A558">
        <v>180.79910000000001</v>
      </c>
      <c r="B558">
        <v>1.4447000000000001</v>
      </c>
      <c r="C558">
        <v>75.098500000000001</v>
      </c>
      <c r="D558">
        <v>0</v>
      </c>
      <c r="E558">
        <v>2</v>
      </c>
      <c r="G558">
        <v>1.4843999999999999</v>
      </c>
      <c r="H558">
        <v>68.823499999999996</v>
      </c>
    </row>
    <row r="559" spans="1:8" x14ac:dyDescent="0.2">
      <c r="A559">
        <v>181.1696</v>
      </c>
      <c r="B559">
        <v>1.4496</v>
      </c>
      <c r="C559">
        <v>75.106899999999996</v>
      </c>
      <c r="D559">
        <v>0</v>
      </c>
      <c r="E559">
        <v>2</v>
      </c>
      <c r="G559">
        <v>1.4853000000000001</v>
      </c>
      <c r="H559">
        <v>68.663200000000003</v>
      </c>
    </row>
    <row r="560" spans="1:8" x14ac:dyDescent="0.2">
      <c r="A560">
        <v>181.5401</v>
      </c>
      <c r="B560">
        <v>1.4525999999999999</v>
      </c>
      <c r="C560">
        <v>75.104699999999994</v>
      </c>
      <c r="D560">
        <v>0</v>
      </c>
      <c r="E560">
        <v>2</v>
      </c>
      <c r="G560">
        <v>1.4835</v>
      </c>
      <c r="H560">
        <v>68.509</v>
      </c>
    </row>
    <row r="561" spans="1:8" x14ac:dyDescent="0.2">
      <c r="A561">
        <v>181.91059999999999</v>
      </c>
      <c r="B561">
        <v>1.4542999999999999</v>
      </c>
      <c r="C561">
        <v>75.103300000000004</v>
      </c>
      <c r="D561">
        <v>0</v>
      </c>
      <c r="E561">
        <v>2</v>
      </c>
      <c r="G561">
        <v>1.4818</v>
      </c>
      <c r="H561">
        <v>68.359200000000001</v>
      </c>
    </row>
    <row r="562" spans="1:8" x14ac:dyDescent="0.2">
      <c r="A562">
        <v>182.28110000000001</v>
      </c>
      <c r="B562">
        <v>1.4573</v>
      </c>
      <c r="C562">
        <v>75.096900000000005</v>
      </c>
      <c r="D562">
        <v>0</v>
      </c>
      <c r="E562">
        <v>2</v>
      </c>
      <c r="G562">
        <v>1.4804999999999999</v>
      </c>
      <c r="H562">
        <v>68.2029</v>
      </c>
    </row>
    <row r="563" spans="1:8" x14ac:dyDescent="0.2">
      <c r="A563">
        <v>182.6516</v>
      </c>
      <c r="B563">
        <v>1.4591000000000001</v>
      </c>
      <c r="C563">
        <v>75.104799999999997</v>
      </c>
      <c r="D563">
        <v>0</v>
      </c>
      <c r="E563">
        <v>2</v>
      </c>
      <c r="G563">
        <v>1.4797</v>
      </c>
      <c r="H563">
        <v>68.049700000000001</v>
      </c>
    </row>
    <row r="564" spans="1:8" x14ac:dyDescent="0.2">
      <c r="A564">
        <v>183.02209999999999</v>
      </c>
      <c r="B564">
        <v>1.4621999999999999</v>
      </c>
      <c r="C564">
        <v>75.106800000000007</v>
      </c>
      <c r="D564">
        <v>0</v>
      </c>
      <c r="E564">
        <v>2</v>
      </c>
      <c r="G564">
        <v>1.4798</v>
      </c>
      <c r="H564">
        <v>67.892799999999994</v>
      </c>
    </row>
    <row r="565" spans="1:8" x14ac:dyDescent="0.2">
      <c r="A565">
        <v>183.39250000000001</v>
      </c>
      <c r="B565">
        <v>1.4641999999999999</v>
      </c>
      <c r="C565">
        <v>75.105599999999995</v>
      </c>
      <c r="D565">
        <v>0</v>
      </c>
      <c r="E565">
        <v>2</v>
      </c>
      <c r="G565">
        <v>1.4792000000000001</v>
      </c>
      <c r="H565">
        <v>67.739199999999997</v>
      </c>
    </row>
    <row r="566" spans="1:8" x14ac:dyDescent="0.2">
      <c r="A566">
        <v>183.76300000000001</v>
      </c>
      <c r="B566">
        <v>1.4659</v>
      </c>
      <c r="C566">
        <v>75.098299999999995</v>
      </c>
      <c r="D566">
        <v>0</v>
      </c>
      <c r="E566">
        <v>2</v>
      </c>
      <c r="G566">
        <v>1.4789000000000001</v>
      </c>
      <c r="H566">
        <v>67.583699999999993</v>
      </c>
    </row>
    <row r="567" spans="1:8" x14ac:dyDescent="0.2">
      <c r="A567">
        <v>184.1335</v>
      </c>
      <c r="B567">
        <v>1.4677</v>
      </c>
      <c r="C567">
        <v>75.100700000000003</v>
      </c>
      <c r="D567">
        <v>0</v>
      </c>
      <c r="E567">
        <v>2</v>
      </c>
      <c r="G567">
        <v>1.4782999999999999</v>
      </c>
      <c r="H567">
        <v>67.428200000000004</v>
      </c>
    </row>
    <row r="568" spans="1:8" x14ac:dyDescent="0.2">
      <c r="A568">
        <v>184.50399999999999</v>
      </c>
      <c r="B568">
        <v>1.4702999999999999</v>
      </c>
      <c r="C568">
        <v>75.108900000000006</v>
      </c>
      <c r="D568">
        <v>0</v>
      </c>
      <c r="E568">
        <v>2</v>
      </c>
      <c r="G568">
        <v>1.4769000000000001</v>
      </c>
      <c r="H568">
        <v>67.280799999999999</v>
      </c>
    </row>
    <row r="569" spans="1:8" x14ac:dyDescent="0.2">
      <c r="A569">
        <v>184.87450000000001</v>
      </c>
      <c r="B569">
        <v>1.4722999999999999</v>
      </c>
      <c r="C569">
        <v>75.101299999999995</v>
      </c>
      <c r="D569">
        <v>0</v>
      </c>
      <c r="E569">
        <v>2</v>
      </c>
      <c r="G569">
        <v>1.4765999999999999</v>
      </c>
      <c r="H569">
        <v>67.123500000000007</v>
      </c>
    </row>
    <row r="570" spans="1:8" x14ac:dyDescent="0.2">
      <c r="A570">
        <v>185.245</v>
      </c>
      <c r="B570">
        <v>1.4739</v>
      </c>
      <c r="C570">
        <v>75.104799999999997</v>
      </c>
      <c r="D570">
        <v>0</v>
      </c>
      <c r="E570">
        <v>2</v>
      </c>
      <c r="G570">
        <v>1.4762999999999999</v>
      </c>
      <c r="H570">
        <v>66.967299999999994</v>
      </c>
    </row>
    <row r="571" spans="1:8" x14ac:dyDescent="0.2">
      <c r="A571">
        <v>185.6155</v>
      </c>
      <c r="B571">
        <v>1.4742</v>
      </c>
      <c r="C571">
        <v>75.104699999999994</v>
      </c>
      <c r="D571">
        <v>0</v>
      </c>
      <c r="E571">
        <v>2</v>
      </c>
      <c r="G571">
        <v>1.4757</v>
      </c>
      <c r="H571">
        <v>66.809399999999997</v>
      </c>
    </row>
    <row r="572" spans="1:8" x14ac:dyDescent="0.2">
      <c r="A572">
        <v>185.98599999999999</v>
      </c>
      <c r="B572">
        <v>1.4757</v>
      </c>
      <c r="C572">
        <v>75.108599999999996</v>
      </c>
      <c r="D572">
        <v>0</v>
      </c>
      <c r="E572">
        <v>2</v>
      </c>
      <c r="G572">
        <v>1.4752000000000001</v>
      </c>
      <c r="H572">
        <v>66.6584</v>
      </c>
    </row>
    <row r="573" spans="1:8" x14ac:dyDescent="0.2">
      <c r="A573">
        <v>186.35650000000001</v>
      </c>
      <c r="B573">
        <v>1.4778</v>
      </c>
      <c r="C573">
        <v>75.106499999999997</v>
      </c>
      <c r="D573">
        <v>0</v>
      </c>
      <c r="E573">
        <v>2</v>
      </c>
      <c r="G573">
        <v>1.4752000000000001</v>
      </c>
      <c r="H573">
        <v>66.501599999999996</v>
      </c>
    </row>
    <row r="574" spans="1:8" x14ac:dyDescent="0.2">
      <c r="A574">
        <v>186.727</v>
      </c>
      <c r="B574">
        <v>1.4786999999999999</v>
      </c>
      <c r="C574">
        <v>75.100499999999997</v>
      </c>
      <c r="D574">
        <v>0</v>
      </c>
      <c r="E574">
        <v>2</v>
      </c>
      <c r="G574">
        <v>1.4725999999999999</v>
      </c>
      <c r="H574">
        <v>66.356099999999998</v>
      </c>
    </row>
    <row r="575" spans="1:8" x14ac:dyDescent="0.2">
      <c r="A575">
        <v>187.09739999999999</v>
      </c>
      <c r="B575">
        <v>1.4801</v>
      </c>
      <c r="C575">
        <v>75.109099999999998</v>
      </c>
      <c r="D575">
        <v>0</v>
      </c>
      <c r="E575">
        <v>2</v>
      </c>
      <c r="G575">
        <v>1.4731000000000001</v>
      </c>
      <c r="H575">
        <v>66.194100000000006</v>
      </c>
    </row>
    <row r="576" spans="1:8" x14ac:dyDescent="0.2">
      <c r="A576">
        <v>187.46789999999999</v>
      </c>
      <c r="B576">
        <v>1.4814000000000001</v>
      </c>
      <c r="C576">
        <v>75.108500000000006</v>
      </c>
      <c r="D576">
        <v>0</v>
      </c>
      <c r="E576">
        <v>2</v>
      </c>
      <c r="G576">
        <v>1.4719</v>
      </c>
      <c r="H576">
        <v>66.044399999999996</v>
      </c>
    </row>
    <row r="577" spans="1:8" x14ac:dyDescent="0.2">
      <c r="A577">
        <v>187.83840000000001</v>
      </c>
      <c r="B577">
        <v>1.4827999999999999</v>
      </c>
      <c r="C577">
        <v>75.103700000000003</v>
      </c>
      <c r="D577">
        <v>0</v>
      </c>
      <c r="E577">
        <v>2</v>
      </c>
      <c r="G577">
        <v>1.4716</v>
      </c>
      <c r="H577">
        <v>65.8874</v>
      </c>
    </row>
    <row r="578" spans="1:8" x14ac:dyDescent="0.2">
      <c r="A578">
        <v>188.2089</v>
      </c>
      <c r="B578">
        <v>1.4849000000000001</v>
      </c>
      <c r="C578">
        <v>75.104500000000002</v>
      </c>
      <c r="D578">
        <v>0</v>
      </c>
      <c r="E578">
        <v>2</v>
      </c>
      <c r="G578">
        <v>1.4710000000000001</v>
      </c>
      <c r="H578">
        <v>65.730900000000005</v>
      </c>
    </row>
    <row r="579" spans="1:8" x14ac:dyDescent="0.2">
      <c r="A579">
        <v>188.57939999999999</v>
      </c>
      <c r="B579">
        <v>1.4866999999999999</v>
      </c>
      <c r="C579">
        <v>75.108599999999996</v>
      </c>
      <c r="D579">
        <v>0</v>
      </c>
      <c r="E579">
        <v>2</v>
      </c>
      <c r="G579">
        <v>1.4705999999999999</v>
      </c>
      <c r="H579">
        <v>65.578199999999995</v>
      </c>
    </row>
    <row r="580" spans="1:8" x14ac:dyDescent="0.2">
      <c r="A580">
        <v>188.94990000000001</v>
      </c>
      <c r="B580">
        <v>1.4871000000000001</v>
      </c>
      <c r="C580">
        <v>75.110200000000006</v>
      </c>
      <c r="D580">
        <v>0</v>
      </c>
      <c r="E580">
        <v>2</v>
      </c>
      <c r="G580">
        <v>1.4703999999999999</v>
      </c>
      <c r="H580">
        <v>65.422600000000003</v>
      </c>
    </row>
    <row r="581" spans="1:8" x14ac:dyDescent="0.2">
      <c r="A581">
        <v>189.32040000000001</v>
      </c>
      <c r="B581">
        <v>1.4899</v>
      </c>
      <c r="C581">
        <v>75.098799999999997</v>
      </c>
      <c r="D581">
        <v>0</v>
      </c>
      <c r="E581">
        <v>2</v>
      </c>
      <c r="G581">
        <v>1.4694</v>
      </c>
      <c r="H581">
        <v>65.270099999999999</v>
      </c>
    </row>
    <row r="582" spans="1:8" x14ac:dyDescent="0.2">
      <c r="A582">
        <v>189.6909</v>
      </c>
      <c r="B582">
        <v>1.4898</v>
      </c>
      <c r="C582">
        <v>75.1066</v>
      </c>
      <c r="D582">
        <v>0</v>
      </c>
      <c r="E582">
        <v>2</v>
      </c>
      <c r="G582">
        <v>1.47</v>
      </c>
      <c r="H582">
        <v>65.1126</v>
      </c>
    </row>
    <row r="583" spans="1:8" x14ac:dyDescent="0.2">
      <c r="A583">
        <v>190.06139999999999</v>
      </c>
      <c r="B583">
        <v>1.4914000000000001</v>
      </c>
      <c r="C583">
        <v>75.099699999999999</v>
      </c>
      <c r="D583">
        <v>0</v>
      </c>
      <c r="E583">
        <v>2</v>
      </c>
      <c r="G583">
        <v>1.4682999999999999</v>
      </c>
      <c r="H583">
        <v>64.961600000000004</v>
      </c>
    </row>
    <row r="584" spans="1:8" x14ac:dyDescent="0.2">
      <c r="A584">
        <v>190.43190000000001</v>
      </c>
      <c r="B584">
        <v>1.4923</v>
      </c>
      <c r="C584">
        <v>75.1096</v>
      </c>
      <c r="D584">
        <v>0</v>
      </c>
      <c r="E584">
        <v>2</v>
      </c>
      <c r="G584">
        <v>1.4665999999999999</v>
      </c>
      <c r="H584">
        <v>64.803899999999999</v>
      </c>
    </row>
    <row r="585" spans="1:8" x14ac:dyDescent="0.2">
      <c r="A585">
        <v>190.80240000000001</v>
      </c>
      <c r="B585">
        <v>1.4951000000000001</v>
      </c>
      <c r="C585">
        <v>74.991299999999995</v>
      </c>
      <c r="D585">
        <v>0</v>
      </c>
      <c r="E585">
        <v>3</v>
      </c>
      <c r="G585">
        <v>1.4655</v>
      </c>
      <c r="H585">
        <v>64.6541</v>
      </c>
    </row>
    <row r="586" spans="1:8" x14ac:dyDescent="0.2">
      <c r="A586">
        <v>191.1728</v>
      </c>
      <c r="B586">
        <v>1.4931000000000001</v>
      </c>
      <c r="C586">
        <v>74.846699999999998</v>
      </c>
      <c r="D586">
        <v>0</v>
      </c>
      <c r="E586">
        <v>3</v>
      </c>
      <c r="G586">
        <v>1.4661</v>
      </c>
      <c r="H586">
        <v>64.493399999999994</v>
      </c>
    </row>
    <row r="587" spans="1:8" x14ac:dyDescent="0.2">
      <c r="A587">
        <v>191.54329999999999</v>
      </c>
      <c r="B587">
        <v>1.4948999999999999</v>
      </c>
      <c r="C587">
        <v>74.680599999999998</v>
      </c>
      <c r="D587">
        <v>0</v>
      </c>
      <c r="E587">
        <v>3</v>
      </c>
      <c r="G587">
        <v>1.4649000000000001</v>
      </c>
      <c r="H587">
        <v>64.345600000000005</v>
      </c>
    </row>
    <row r="588" spans="1:8" x14ac:dyDescent="0.2">
      <c r="A588">
        <v>191.91380000000001</v>
      </c>
      <c r="B588">
        <v>1.4964999999999999</v>
      </c>
      <c r="C588">
        <v>74.525300000000001</v>
      </c>
      <c r="D588">
        <v>0</v>
      </c>
      <c r="E588">
        <v>3</v>
      </c>
      <c r="G588">
        <v>1.464</v>
      </c>
      <c r="H588">
        <v>64.187600000000003</v>
      </c>
    </row>
    <row r="589" spans="1:8" x14ac:dyDescent="0.2">
      <c r="A589">
        <v>192.2843</v>
      </c>
      <c r="B589">
        <v>1.4963</v>
      </c>
      <c r="C589">
        <v>74.379099999999994</v>
      </c>
      <c r="D589">
        <v>0</v>
      </c>
      <c r="E589">
        <v>3</v>
      </c>
      <c r="G589">
        <v>1.4633</v>
      </c>
      <c r="H589">
        <v>64.034499999999994</v>
      </c>
    </row>
    <row r="590" spans="1:8" x14ac:dyDescent="0.2">
      <c r="A590">
        <v>192.65479999999999</v>
      </c>
      <c r="B590">
        <v>1.4961</v>
      </c>
      <c r="C590">
        <v>74.226299999999995</v>
      </c>
      <c r="D590">
        <v>0</v>
      </c>
      <c r="E590">
        <v>3</v>
      </c>
      <c r="G590">
        <v>1.4626999999999999</v>
      </c>
      <c r="H590">
        <v>63.880299999999998</v>
      </c>
    </row>
    <row r="591" spans="1:8" x14ac:dyDescent="0.2">
      <c r="A591">
        <v>193.02529999999999</v>
      </c>
      <c r="B591">
        <v>1.4968999999999999</v>
      </c>
      <c r="C591">
        <v>74.0702</v>
      </c>
      <c r="D591">
        <v>0</v>
      </c>
      <c r="E591">
        <v>3</v>
      </c>
      <c r="G591">
        <v>1.4617</v>
      </c>
      <c r="H591">
        <v>63.729399999999998</v>
      </c>
    </row>
    <row r="592" spans="1:8" x14ac:dyDescent="0.2">
      <c r="A592">
        <v>193.39580000000001</v>
      </c>
      <c r="B592">
        <v>1.4972000000000001</v>
      </c>
      <c r="C592">
        <v>73.910499999999999</v>
      </c>
      <c r="D592">
        <v>0</v>
      </c>
      <c r="E592">
        <v>3</v>
      </c>
      <c r="G592">
        <v>1.4612000000000001</v>
      </c>
      <c r="H592">
        <v>63.569499999999998</v>
      </c>
    </row>
    <row r="593" spans="1:8" x14ac:dyDescent="0.2">
      <c r="A593">
        <v>193.7663</v>
      </c>
      <c r="B593">
        <v>1.496</v>
      </c>
      <c r="C593">
        <v>73.761600000000001</v>
      </c>
      <c r="D593">
        <v>0</v>
      </c>
      <c r="E593">
        <v>3</v>
      </c>
      <c r="G593">
        <v>1.4613</v>
      </c>
      <c r="H593">
        <v>63.417999999999999</v>
      </c>
    </row>
    <row r="594" spans="1:8" x14ac:dyDescent="0.2">
      <c r="A594">
        <v>194.13679999999999</v>
      </c>
      <c r="B594">
        <v>1.4962</v>
      </c>
      <c r="C594">
        <v>73.604600000000005</v>
      </c>
      <c r="D594">
        <v>0</v>
      </c>
      <c r="E594">
        <v>3</v>
      </c>
      <c r="G594">
        <v>1.4609000000000001</v>
      </c>
      <c r="H594">
        <v>63.256500000000003</v>
      </c>
    </row>
    <row r="595" spans="1:8" x14ac:dyDescent="0.2">
      <c r="A595">
        <v>194.50720000000001</v>
      </c>
      <c r="B595">
        <v>1.4971000000000001</v>
      </c>
      <c r="C595">
        <v>73.447900000000004</v>
      </c>
      <c r="D595">
        <v>0</v>
      </c>
      <c r="E595">
        <v>3</v>
      </c>
      <c r="G595">
        <v>1.4591000000000001</v>
      </c>
      <c r="H595">
        <v>63.108699999999999</v>
      </c>
    </row>
    <row r="596" spans="1:8" x14ac:dyDescent="0.2">
      <c r="A596">
        <v>194.8777</v>
      </c>
      <c r="B596">
        <v>1.4973000000000001</v>
      </c>
      <c r="C596">
        <v>73.297700000000006</v>
      </c>
      <c r="D596">
        <v>0</v>
      </c>
      <c r="E596">
        <v>3</v>
      </c>
      <c r="G596">
        <v>1.4583999999999999</v>
      </c>
      <c r="H596">
        <v>62.955100000000002</v>
      </c>
    </row>
    <row r="597" spans="1:8" x14ac:dyDescent="0.2">
      <c r="A597">
        <v>195.2482</v>
      </c>
      <c r="B597">
        <v>1.4968999999999999</v>
      </c>
      <c r="C597">
        <v>73.141499999999994</v>
      </c>
      <c r="D597">
        <v>0</v>
      </c>
      <c r="E597">
        <v>3</v>
      </c>
      <c r="G597">
        <v>1.4583999999999999</v>
      </c>
      <c r="H597">
        <v>62.798699999999997</v>
      </c>
    </row>
    <row r="598" spans="1:8" x14ac:dyDescent="0.2">
      <c r="A598">
        <v>195.61869999999999</v>
      </c>
      <c r="B598">
        <v>1.4961</v>
      </c>
      <c r="C598">
        <v>72.990700000000004</v>
      </c>
      <c r="D598">
        <v>0</v>
      </c>
      <c r="E598">
        <v>3</v>
      </c>
      <c r="G598">
        <v>1.4578</v>
      </c>
      <c r="H598">
        <v>62.644799999999996</v>
      </c>
    </row>
    <row r="599" spans="1:8" x14ac:dyDescent="0.2">
      <c r="A599">
        <v>195.98920000000001</v>
      </c>
      <c r="B599">
        <v>1.4971000000000001</v>
      </c>
      <c r="C599">
        <v>72.829800000000006</v>
      </c>
      <c r="D599">
        <v>0</v>
      </c>
      <c r="E599">
        <v>3</v>
      </c>
      <c r="G599">
        <v>1.4565999999999999</v>
      </c>
      <c r="H599">
        <v>62.491599999999998</v>
      </c>
    </row>
    <row r="600" spans="1:8" x14ac:dyDescent="0.2">
      <c r="A600">
        <v>196.3597</v>
      </c>
      <c r="B600">
        <v>1.4967999999999999</v>
      </c>
      <c r="C600">
        <v>72.675299999999993</v>
      </c>
      <c r="D600">
        <v>0</v>
      </c>
      <c r="E600">
        <v>3</v>
      </c>
      <c r="G600">
        <v>1.4553</v>
      </c>
      <c r="H600">
        <v>62.345399999999998</v>
      </c>
    </row>
    <row r="601" spans="1:8" x14ac:dyDescent="0.2">
      <c r="A601">
        <v>196.7302</v>
      </c>
      <c r="B601">
        <v>1.4952000000000001</v>
      </c>
      <c r="C601">
        <v>72.523700000000005</v>
      </c>
      <c r="D601">
        <v>0</v>
      </c>
      <c r="E601">
        <v>3</v>
      </c>
      <c r="G601">
        <v>1.4544999999999999</v>
      </c>
      <c r="H601">
        <v>62.184899999999999</v>
      </c>
    </row>
    <row r="602" spans="1:8" x14ac:dyDescent="0.2">
      <c r="A602">
        <v>197.10069999999999</v>
      </c>
      <c r="B602">
        <v>1.4957</v>
      </c>
      <c r="C602">
        <v>72.368700000000004</v>
      </c>
      <c r="D602">
        <v>0</v>
      </c>
      <c r="E602">
        <v>3</v>
      </c>
      <c r="G602">
        <v>1.4533</v>
      </c>
      <c r="H602">
        <v>62.026200000000003</v>
      </c>
    </row>
    <row r="603" spans="1:8" x14ac:dyDescent="0.2">
      <c r="A603">
        <v>197.47120000000001</v>
      </c>
      <c r="B603">
        <v>1.4947999999999999</v>
      </c>
      <c r="C603">
        <v>72.219899999999996</v>
      </c>
      <c r="D603">
        <v>0</v>
      </c>
      <c r="E603">
        <v>3</v>
      </c>
      <c r="G603">
        <v>1.4527000000000001</v>
      </c>
      <c r="H603">
        <v>61.8675</v>
      </c>
    </row>
    <row r="604" spans="1:8" x14ac:dyDescent="0.2">
      <c r="A604">
        <v>197.8417</v>
      </c>
      <c r="B604">
        <v>1.4944</v>
      </c>
      <c r="C604">
        <v>72.057900000000004</v>
      </c>
      <c r="D604">
        <v>0</v>
      </c>
      <c r="E604">
        <v>3</v>
      </c>
      <c r="G604">
        <v>1.4518</v>
      </c>
      <c r="H604">
        <v>61.721699999999998</v>
      </c>
    </row>
    <row r="605" spans="1:8" x14ac:dyDescent="0.2">
      <c r="A605">
        <v>198.21209999999999</v>
      </c>
      <c r="B605">
        <v>1.4944</v>
      </c>
      <c r="C605">
        <v>71.91</v>
      </c>
      <c r="D605">
        <v>0</v>
      </c>
      <c r="E605">
        <v>3</v>
      </c>
      <c r="G605">
        <v>1.4512</v>
      </c>
      <c r="H605">
        <v>61.566200000000002</v>
      </c>
    </row>
    <row r="606" spans="1:8" x14ac:dyDescent="0.2">
      <c r="A606">
        <v>198.58260000000001</v>
      </c>
      <c r="B606">
        <v>1.4935</v>
      </c>
      <c r="C606">
        <v>71.753799999999998</v>
      </c>
      <c r="D606">
        <v>0</v>
      </c>
      <c r="E606">
        <v>3</v>
      </c>
      <c r="G606">
        <v>1.4500999999999999</v>
      </c>
      <c r="H606">
        <v>61.413899999999998</v>
      </c>
    </row>
    <row r="607" spans="1:8" x14ac:dyDescent="0.2">
      <c r="A607">
        <v>198.95310000000001</v>
      </c>
      <c r="B607">
        <v>1.4939</v>
      </c>
      <c r="C607">
        <v>71.599900000000005</v>
      </c>
      <c r="D607">
        <v>0</v>
      </c>
      <c r="E607">
        <v>3</v>
      </c>
      <c r="G607">
        <v>1.4519</v>
      </c>
      <c r="H607">
        <v>61.252200000000002</v>
      </c>
    </row>
    <row r="608" spans="1:8" x14ac:dyDescent="0.2">
      <c r="A608">
        <v>199.3236</v>
      </c>
      <c r="B608">
        <v>1.4938</v>
      </c>
      <c r="C608">
        <v>71.442300000000003</v>
      </c>
      <c r="D608">
        <v>0</v>
      </c>
      <c r="E608">
        <v>3</v>
      </c>
      <c r="G608">
        <v>1.4493</v>
      </c>
      <c r="H608">
        <v>61.098399999999998</v>
      </c>
    </row>
    <row r="609" spans="1:8" x14ac:dyDescent="0.2">
      <c r="A609">
        <v>199.69409999999999</v>
      </c>
      <c r="B609">
        <v>1.492</v>
      </c>
      <c r="C609">
        <v>71.291799999999995</v>
      </c>
      <c r="D609">
        <v>0</v>
      </c>
      <c r="E609">
        <v>3</v>
      </c>
      <c r="G609">
        <v>1.4492</v>
      </c>
      <c r="H609">
        <v>60.9499</v>
      </c>
    </row>
    <row r="610" spans="1:8" x14ac:dyDescent="0.2">
      <c r="A610">
        <v>200.06460000000001</v>
      </c>
      <c r="B610">
        <v>1.4916</v>
      </c>
      <c r="C610">
        <v>71.135999999999996</v>
      </c>
      <c r="D610">
        <v>0</v>
      </c>
      <c r="E610">
        <v>3</v>
      </c>
      <c r="G610">
        <v>1.4477</v>
      </c>
      <c r="H610">
        <v>60.793799999999997</v>
      </c>
    </row>
    <row r="611" spans="1:8" x14ac:dyDescent="0.2">
      <c r="A611">
        <v>200.43510000000001</v>
      </c>
      <c r="B611">
        <v>1.4913000000000001</v>
      </c>
      <c r="C611">
        <v>70.980900000000005</v>
      </c>
      <c r="D611">
        <v>0</v>
      </c>
      <c r="E611">
        <v>3</v>
      </c>
      <c r="G611">
        <v>1.448</v>
      </c>
      <c r="H611">
        <v>60.6389</v>
      </c>
    </row>
    <row r="612" spans="1:8" x14ac:dyDescent="0.2">
      <c r="A612">
        <v>200.8056</v>
      </c>
      <c r="B612">
        <v>1.4911000000000001</v>
      </c>
      <c r="C612">
        <v>70.829400000000007</v>
      </c>
      <c r="D612">
        <v>0</v>
      </c>
      <c r="E612">
        <v>3</v>
      </c>
      <c r="G612">
        <v>1.4463999999999999</v>
      </c>
      <c r="H612">
        <v>60.482900000000001</v>
      </c>
    </row>
    <row r="613" spans="1:8" x14ac:dyDescent="0.2">
      <c r="A613">
        <v>201.17609999999999</v>
      </c>
      <c r="B613">
        <v>1.4905999999999999</v>
      </c>
      <c r="C613">
        <v>70.677099999999996</v>
      </c>
      <c r="D613">
        <v>0</v>
      </c>
      <c r="E613">
        <v>3</v>
      </c>
      <c r="G613">
        <v>1.4441999999999999</v>
      </c>
      <c r="H613">
        <v>60.331400000000002</v>
      </c>
    </row>
    <row r="614" spans="1:8" x14ac:dyDescent="0.2">
      <c r="A614">
        <v>201.54660000000001</v>
      </c>
      <c r="B614">
        <v>1.4905999999999999</v>
      </c>
      <c r="C614">
        <v>70.519499999999994</v>
      </c>
      <c r="D614">
        <v>0</v>
      </c>
      <c r="E614">
        <v>3</v>
      </c>
      <c r="G614">
        <v>1.4443999999999999</v>
      </c>
      <c r="H614">
        <v>60.176900000000003</v>
      </c>
    </row>
    <row r="615" spans="1:8" x14ac:dyDescent="0.2">
      <c r="A615">
        <v>201.9171</v>
      </c>
      <c r="B615">
        <v>1.4901</v>
      </c>
      <c r="C615">
        <v>70.362399999999994</v>
      </c>
      <c r="D615">
        <v>0</v>
      </c>
      <c r="E615">
        <v>3</v>
      </c>
      <c r="G615">
        <v>1.4450000000000001</v>
      </c>
      <c r="H615">
        <v>60.017600000000002</v>
      </c>
    </row>
    <row r="616" spans="1:8" x14ac:dyDescent="0.2">
      <c r="A616">
        <v>202.28749999999999</v>
      </c>
      <c r="B616">
        <v>1.4895</v>
      </c>
      <c r="C616">
        <v>70.211200000000005</v>
      </c>
      <c r="D616">
        <v>0</v>
      </c>
      <c r="E616">
        <v>3</v>
      </c>
      <c r="G616">
        <v>1.4438</v>
      </c>
      <c r="H616">
        <v>59.862299999999998</v>
      </c>
    </row>
    <row r="617" spans="1:8" x14ac:dyDescent="0.2">
      <c r="A617">
        <v>202.65799999999999</v>
      </c>
      <c r="B617">
        <v>1.4885999999999999</v>
      </c>
      <c r="C617">
        <v>70.054699999999997</v>
      </c>
      <c r="D617">
        <v>0</v>
      </c>
      <c r="E617">
        <v>3</v>
      </c>
      <c r="G617">
        <v>1.4419999999999999</v>
      </c>
      <c r="H617">
        <v>59.714199999999998</v>
      </c>
    </row>
    <row r="618" spans="1:8" x14ac:dyDescent="0.2">
      <c r="A618">
        <v>203.02850000000001</v>
      </c>
      <c r="B618">
        <v>1.4888999999999999</v>
      </c>
      <c r="C618">
        <v>69.897199999999998</v>
      </c>
      <c r="D618">
        <v>0</v>
      </c>
      <c r="E618">
        <v>3</v>
      </c>
      <c r="G618">
        <v>1.4419999999999999</v>
      </c>
      <c r="H618">
        <v>59.5578</v>
      </c>
    </row>
    <row r="619" spans="1:8" x14ac:dyDescent="0.2">
      <c r="A619">
        <v>203.399</v>
      </c>
      <c r="B619">
        <v>1.4879</v>
      </c>
      <c r="C619">
        <v>69.746899999999997</v>
      </c>
      <c r="D619">
        <v>0</v>
      </c>
      <c r="E619">
        <v>3</v>
      </c>
      <c r="G619">
        <v>1.4413</v>
      </c>
      <c r="H619">
        <v>59.403399999999998</v>
      </c>
    </row>
    <row r="620" spans="1:8" x14ac:dyDescent="0.2">
      <c r="A620">
        <v>203.76949999999999</v>
      </c>
      <c r="B620">
        <v>1.4873000000000001</v>
      </c>
      <c r="C620">
        <v>69.597700000000003</v>
      </c>
      <c r="D620">
        <v>0</v>
      </c>
      <c r="E620">
        <v>3</v>
      </c>
      <c r="G620">
        <v>1.4400999999999999</v>
      </c>
      <c r="H620">
        <v>59.2483</v>
      </c>
    </row>
    <row r="621" spans="1:8" x14ac:dyDescent="0.2">
      <c r="A621">
        <v>204.14</v>
      </c>
      <c r="B621">
        <v>1.4871000000000001</v>
      </c>
      <c r="C621">
        <v>69.439700000000002</v>
      </c>
      <c r="D621">
        <v>0</v>
      </c>
      <c r="E621">
        <v>3</v>
      </c>
      <c r="G621">
        <v>1.4396</v>
      </c>
      <c r="H621">
        <v>59.091900000000003</v>
      </c>
    </row>
    <row r="622" spans="1:8" x14ac:dyDescent="0.2">
      <c r="A622">
        <v>204.51050000000001</v>
      </c>
      <c r="B622">
        <v>1.4845999999999999</v>
      </c>
      <c r="C622">
        <v>69.287499999999994</v>
      </c>
      <c r="D622">
        <v>0</v>
      </c>
      <c r="E622">
        <v>3</v>
      </c>
      <c r="G622">
        <v>1.4377</v>
      </c>
      <c r="H622">
        <v>58.937899999999999</v>
      </c>
    </row>
    <row r="623" spans="1:8" x14ac:dyDescent="0.2">
      <c r="A623">
        <v>204.881</v>
      </c>
      <c r="B623">
        <v>1.4854000000000001</v>
      </c>
      <c r="C623">
        <v>69.129199999999997</v>
      </c>
      <c r="D623">
        <v>0</v>
      </c>
      <c r="E623">
        <v>3</v>
      </c>
      <c r="G623">
        <v>1.4372</v>
      </c>
      <c r="H623">
        <v>58.783799999999999</v>
      </c>
    </row>
    <row r="624" spans="1:8" x14ac:dyDescent="0.2">
      <c r="A624">
        <v>205.25149999999999</v>
      </c>
      <c r="B624">
        <v>1.4847999999999999</v>
      </c>
      <c r="C624">
        <v>68.978300000000004</v>
      </c>
      <c r="D624">
        <v>0</v>
      </c>
      <c r="E624">
        <v>3</v>
      </c>
      <c r="G624">
        <v>1.4373</v>
      </c>
      <c r="H624">
        <v>58.627299999999998</v>
      </c>
    </row>
    <row r="625" spans="1:8" x14ac:dyDescent="0.2">
      <c r="A625">
        <v>205.62190000000001</v>
      </c>
      <c r="B625">
        <v>1.4843999999999999</v>
      </c>
      <c r="C625">
        <v>68.823499999999996</v>
      </c>
      <c r="D625">
        <v>0</v>
      </c>
      <c r="E625">
        <v>3</v>
      </c>
      <c r="G625">
        <v>1.4356</v>
      </c>
      <c r="H625">
        <v>58.4788</v>
      </c>
    </row>
    <row r="626" spans="1:8" x14ac:dyDescent="0.2">
      <c r="A626">
        <v>205.9924</v>
      </c>
      <c r="B626">
        <v>1.4853000000000001</v>
      </c>
      <c r="C626">
        <v>68.663200000000003</v>
      </c>
      <c r="D626">
        <v>0</v>
      </c>
      <c r="E626">
        <v>3</v>
      </c>
      <c r="G626">
        <v>1.4346000000000001</v>
      </c>
      <c r="H626">
        <v>58.323300000000003</v>
      </c>
    </row>
    <row r="627" spans="1:8" x14ac:dyDescent="0.2">
      <c r="A627">
        <v>206.3629</v>
      </c>
      <c r="B627">
        <v>1.4835</v>
      </c>
      <c r="C627">
        <v>68.509</v>
      </c>
      <c r="D627">
        <v>0</v>
      </c>
      <c r="E627">
        <v>3</v>
      </c>
      <c r="G627">
        <v>1.4333</v>
      </c>
      <c r="H627">
        <v>58.166800000000002</v>
      </c>
    </row>
    <row r="628" spans="1:8" x14ac:dyDescent="0.2">
      <c r="A628">
        <v>206.73339999999999</v>
      </c>
      <c r="B628">
        <v>1.4818</v>
      </c>
      <c r="C628">
        <v>68.359200000000001</v>
      </c>
      <c r="D628">
        <v>0</v>
      </c>
      <c r="E628">
        <v>3</v>
      </c>
      <c r="G628">
        <v>1.4325000000000001</v>
      </c>
      <c r="H628">
        <v>58.012900000000002</v>
      </c>
    </row>
    <row r="629" spans="1:8" x14ac:dyDescent="0.2">
      <c r="A629">
        <v>207.10390000000001</v>
      </c>
      <c r="B629">
        <v>1.4804999999999999</v>
      </c>
      <c r="C629">
        <v>68.2029</v>
      </c>
      <c r="D629">
        <v>0</v>
      </c>
      <c r="E629">
        <v>3</v>
      </c>
      <c r="G629">
        <v>1.4309000000000001</v>
      </c>
      <c r="H629">
        <v>57.860799999999998</v>
      </c>
    </row>
    <row r="630" spans="1:8" x14ac:dyDescent="0.2">
      <c r="A630">
        <v>207.4744</v>
      </c>
      <c r="B630">
        <v>1.4797</v>
      </c>
      <c r="C630">
        <v>68.049700000000001</v>
      </c>
      <c r="D630">
        <v>0</v>
      </c>
      <c r="E630">
        <v>3</v>
      </c>
      <c r="G630">
        <v>1.4317</v>
      </c>
      <c r="H630">
        <v>57.702100000000002</v>
      </c>
    </row>
    <row r="631" spans="1:8" x14ac:dyDescent="0.2">
      <c r="A631">
        <v>207.8449</v>
      </c>
      <c r="B631">
        <v>1.4798</v>
      </c>
      <c r="C631">
        <v>67.892799999999994</v>
      </c>
      <c r="D631">
        <v>0</v>
      </c>
      <c r="E631">
        <v>3</v>
      </c>
      <c r="G631">
        <v>1.4296</v>
      </c>
      <c r="H631">
        <v>57.551699999999997</v>
      </c>
    </row>
    <row r="632" spans="1:8" x14ac:dyDescent="0.2">
      <c r="A632">
        <v>208.21539999999999</v>
      </c>
      <c r="B632">
        <v>1.4792000000000001</v>
      </c>
      <c r="C632">
        <v>67.739199999999997</v>
      </c>
      <c r="D632">
        <v>0</v>
      </c>
      <c r="E632">
        <v>3</v>
      </c>
      <c r="G632">
        <v>1.4287000000000001</v>
      </c>
      <c r="H632">
        <v>57.394399999999997</v>
      </c>
    </row>
    <row r="633" spans="1:8" x14ac:dyDescent="0.2">
      <c r="A633">
        <v>208.58590000000001</v>
      </c>
      <c r="B633">
        <v>1.4789000000000001</v>
      </c>
      <c r="C633">
        <v>67.583699999999993</v>
      </c>
      <c r="D633">
        <v>0</v>
      </c>
      <c r="E633">
        <v>3</v>
      </c>
      <c r="G633">
        <v>1.4282999999999999</v>
      </c>
      <c r="H633">
        <v>57.242899999999999</v>
      </c>
    </row>
    <row r="634" spans="1:8" x14ac:dyDescent="0.2">
      <c r="A634">
        <v>208.9564</v>
      </c>
      <c r="B634">
        <v>1.4782999999999999</v>
      </c>
      <c r="C634">
        <v>67.428200000000004</v>
      </c>
      <c r="D634">
        <v>0</v>
      </c>
      <c r="E634">
        <v>3</v>
      </c>
      <c r="G634">
        <v>1.4288000000000001</v>
      </c>
      <c r="H634">
        <v>57.087600000000002</v>
      </c>
    </row>
    <row r="635" spans="1:8" x14ac:dyDescent="0.2">
      <c r="A635">
        <v>209.32679999999999</v>
      </c>
      <c r="B635">
        <v>1.4769000000000001</v>
      </c>
      <c r="C635">
        <v>67.280799999999999</v>
      </c>
      <c r="D635">
        <v>0</v>
      </c>
      <c r="E635">
        <v>3</v>
      </c>
      <c r="G635">
        <v>1.4276</v>
      </c>
      <c r="H635">
        <v>56.931399999999996</v>
      </c>
    </row>
    <row r="636" spans="1:8" x14ac:dyDescent="0.2">
      <c r="A636">
        <v>209.69730000000001</v>
      </c>
      <c r="B636">
        <v>1.4765999999999999</v>
      </c>
      <c r="C636">
        <v>67.123500000000007</v>
      </c>
      <c r="D636">
        <v>0</v>
      </c>
      <c r="E636">
        <v>3</v>
      </c>
      <c r="G636">
        <v>1.4278</v>
      </c>
      <c r="H636">
        <v>56.7761</v>
      </c>
    </row>
    <row r="637" spans="1:8" x14ac:dyDescent="0.2">
      <c r="A637">
        <v>210.06780000000001</v>
      </c>
      <c r="B637">
        <v>1.4762999999999999</v>
      </c>
      <c r="C637">
        <v>66.967299999999994</v>
      </c>
      <c r="D637">
        <v>0</v>
      </c>
      <c r="E637">
        <v>3</v>
      </c>
      <c r="G637">
        <v>1.4268000000000001</v>
      </c>
      <c r="H637">
        <v>56.6218</v>
      </c>
    </row>
    <row r="638" spans="1:8" x14ac:dyDescent="0.2">
      <c r="A638">
        <v>210.4383</v>
      </c>
      <c r="B638">
        <v>1.4757</v>
      </c>
      <c r="C638">
        <v>66.809399999999997</v>
      </c>
      <c r="D638">
        <v>0</v>
      </c>
      <c r="E638">
        <v>3</v>
      </c>
      <c r="G638">
        <v>1.4258999999999999</v>
      </c>
      <c r="H638">
        <v>56.4651</v>
      </c>
    </row>
    <row r="639" spans="1:8" x14ac:dyDescent="0.2">
      <c r="A639">
        <v>210.80879999999999</v>
      </c>
      <c r="B639">
        <v>1.4752000000000001</v>
      </c>
      <c r="C639">
        <v>66.6584</v>
      </c>
      <c r="D639">
        <v>0</v>
      </c>
      <c r="E639">
        <v>3</v>
      </c>
      <c r="G639">
        <v>1.4253</v>
      </c>
      <c r="H639">
        <v>56.313699999999997</v>
      </c>
    </row>
    <row r="640" spans="1:8" x14ac:dyDescent="0.2">
      <c r="A640">
        <v>211.17930000000001</v>
      </c>
      <c r="B640">
        <v>1.4752000000000001</v>
      </c>
      <c r="C640">
        <v>66.501599999999996</v>
      </c>
      <c r="D640">
        <v>0</v>
      </c>
      <c r="E640">
        <v>3</v>
      </c>
      <c r="G640">
        <v>1.4253</v>
      </c>
      <c r="H640">
        <v>56.158499999999997</v>
      </c>
    </row>
    <row r="641" spans="1:8" x14ac:dyDescent="0.2">
      <c r="A641">
        <v>211.5498</v>
      </c>
      <c r="B641">
        <v>1.4725999999999999</v>
      </c>
      <c r="C641">
        <v>66.356099999999998</v>
      </c>
      <c r="D641">
        <v>0</v>
      </c>
      <c r="E641">
        <v>3</v>
      </c>
      <c r="G641">
        <v>1.425</v>
      </c>
      <c r="H641">
        <v>56.004399999999997</v>
      </c>
    </row>
    <row r="642" spans="1:8" x14ac:dyDescent="0.2">
      <c r="A642">
        <v>211.9203</v>
      </c>
      <c r="B642">
        <v>1.4731000000000001</v>
      </c>
      <c r="C642">
        <v>66.194100000000006</v>
      </c>
      <c r="D642">
        <v>0</v>
      </c>
      <c r="E642">
        <v>3</v>
      </c>
      <c r="G642">
        <v>1.4225000000000001</v>
      </c>
      <c r="H642">
        <v>55.850499999999997</v>
      </c>
    </row>
    <row r="643" spans="1:8" x14ac:dyDescent="0.2">
      <c r="A643">
        <v>212.29079999999999</v>
      </c>
      <c r="B643">
        <v>1.4719</v>
      </c>
      <c r="C643">
        <v>66.044399999999996</v>
      </c>
      <c r="D643">
        <v>0</v>
      </c>
      <c r="E643">
        <v>3</v>
      </c>
      <c r="G643">
        <v>1.4221999999999999</v>
      </c>
      <c r="H643">
        <v>55.701000000000001</v>
      </c>
    </row>
    <row r="644" spans="1:8" x14ac:dyDescent="0.2">
      <c r="A644">
        <v>212.66130000000001</v>
      </c>
      <c r="B644">
        <v>1.4716</v>
      </c>
      <c r="C644">
        <v>65.8874</v>
      </c>
      <c r="D644">
        <v>0</v>
      </c>
      <c r="E644">
        <v>3</v>
      </c>
      <c r="G644">
        <v>1.4222999999999999</v>
      </c>
      <c r="H644">
        <v>55.541699999999999</v>
      </c>
    </row>
    <row r="645" spans="1:8" x14ac:dyDescent="0.2">
      <c r="A645">
        <v>213.0318</v>
      </c>
      <c r="B645">
        <v>1.4710000000000001</v>
      </c>
      <c r="C645">
        <v>65.730900000000005</v>
      </c>
      <c r="D645">
        <v>0</v>
      </c>
      <c r="E645">
        <v>3</v>
      </c>
      <c r="G645">
        <v>1.4222999999999999</v>
      </c>
      <c r="H645">
        <v>55.384099999999997</v>
      </c>
    </row>
    <row r="646" spans="1:8" x14ac:dyDescent="0.2">
      <c r="A646">
        <v>213.40219999999999</v>
      </c>
      <c r="B646">
        <v>1.4705999999999999</v>
      </c>
      <c r="C646">
        <v>65.578199999999995</v>
      </c>
      <c r="D646">
        <v>0</v>
      </c>
      <c r="E646">
        <v>3</v>
      </c>
      <c r="G646">
        <v>1.4202999999999999</v>
      </c>
      <c r="H646">
        <v>55.233199999999997</v>
      </c>
    </row>
    <row r="647" spans="1:8" x14ac:dyDescent="0.2">
      <c r="A647">
        <v>213.77269999999999</v>
      </c>
      <c r="B647">
        <v>1.4703999999999999</v>
      </c>
      <c r="C647">
        <v>65.422600000000003</v>
      </c>
      <c r="D647">
        <v>0</v>
      </c>
      <c r="E647">
        <v>3</v>
      </c>
      <c r="G647">
        <v>1.4205000000000001</v>
      </c>
      <c r="H647">
        <v>55.078299999999999</v>
      </c>
    </row>
    <row r="648" spans="1:8" x14ac:dyDescent="0.2">
      <c r="A648">
        <v>214.14320000000001</v>
      </c>
      <c r="B648">
        <v>1.4694</v>
      </c>
      <c r="C648">
        <v>65.270099999999999</v>
      </c>
      <c r="D648">
        <v>0</v>
      </c>
      <c r="E648">
        <v>3</v>
      </c>
      <c r="G648">
        <v>1.419</v>
      </c>
      <c r="H648">
        <v>54.922600000000003</v>
      </c>
    </row>
    <row r="649" spans="1:8" x14ac:dyDescent="0.2">
      <c r="A649">
        <v>214.5137</v>
      </c>
      <c r="B649">
        <v>1.47</v>
      </c>
      <c r="C649">
        <v>65.1126</v>
      </c>
      <c r="D649">
        <v>0</v>
      </c>
      <c r="E649">
        <v>3</v>
      </c>
      <c r="G649">
        <v>1.4187000000000001</v>
      </c>
      <c r="H649">
        <v>54.769199999999998</v>
      </c>
    </row>
    <row r="650" spans="1:8" x14ac:dyDescent="0.2">
      <c r="A650">
        <v>214.88419999999999</v>
      </c>
      <c r="B650">
        <v>1.4682999999999999</v>
      </c>
      <c r="C650">
        <v>64.961600000000004</v>
      </c>
      <c r="D650">
        <v>0</v>
      </c>
      <c r="E650">
        <v>3</v>
      </c>
      <c r="G650">
        <v>1.4178999999999999</v>
      </c>
      <c r="H650">
        <v>54.617400000000004</v>
      </c>
    </row>
    <row r="651" spans="1:8" x14ac:dyDescent="0.2">
      <c r="A651">
        <v>215.25470000000001</v>
      </c>
      <c r="B651">
        <v>1.4665999999999999</v>
      </c>
      <c r="C651">
        <v>64.803899999999999</v>
      </c>
      <c r="D651">
        <v>0</v>
      </c>
      <c r="E651">
        <v>3</v>
      </c>
      <c r="G651">
        <v>1.417</v>
      </c>
      <c r="H651">
        <v>54.463500000000003</v>
      </c>
    </row>
    <row r="652" spans="1:8" x14ac:dyDescent="0.2">
      <c r="A652">
        <v>215.62520000000001</v>
      </c>
      <c r="B652">
        <v>1.4655</v>
      </c>
      <c r="C652">
        <v>64.6541</v>
      </c>
      <c r="D652">
        <v>0</v>
      </c>
      <c r="E652">
        <v>3</v>
      </c>
      <c r="G652">
        <v>1.4160999999999999</v>
      </c>
      <c r="H652">
        <v>54.308500000000002</v>
      </c>
    </row>
    <row r="653" spans="1:8" x14ac:dyDescent="0.2">
      <c r="A653">
        <v>215.9957</v>
      </c>
      <c r="B653">
        <v>1.4661</v>
      </c>
      <c r="C653">
        <v>64.493399999999994</v>
      </c>
      <c r="D653">
        <v>0</v>
      </c>
      <c r="E653">
        <v>3</v>
      </c>
      <c r="G653">
        <v>1.4160999999999999</v>
      </c>
      <c r="H653">
        <v>54.150199999999998</v>
      </c>
    </row>
    <row r="654" spans="1:8" x14ac:dyDescent="0.2">
      <c r="A654">
        <v>216.36619999999999</v>
      </c>
      <c r="B654">
        <v>1.4649000000000001</v>
      </c>
      <c r="C654">
        <v>64.345600000000005</v>
      </c>
      <c r="D654">
        <v>0</v>
      </c>
      <c r="E654">
        <v>3</v>
      </c>
      <c r="G654">
        <v>1.4154</v>
      </c>
      <c r="H654">
        <v>53.995399999999997</v>
      </c>
    </row>
    <row r="655" spans="1:8" x14ac:dyDescent="0.2">
      <c r="A655">
        <v>216.73660000000001</v>
      </c>
      <c r="B655">
        <v>1.464</v>
      </c>
      <c r="C655">
        <v>64.187600000000003</v>
      </c>
      <c r="D655">
        <v>0</v>
      </c>
      <c r="E655">
        <v>3</v>
      </c>
      <c r="G655">
        <v>1.4138999999999999</v>
      </c>
      <c r="H655">
        <v>53.846499999999999</v>
      </c>
    </row>
    <row r="656" spans="1:8" x14ac:dyDescent="0.2">
      <c r="A656">
        <v>217.1071</v>
      </c>
      <c r="B656">
        <v>1.4633</v>
      </c>
      <c r="C656">
        <v>64.034499999999994</v>
      </c>
      <c r="D656">
        <v>0</v>
      </c>
      <c r="E656">
        <v>3</v>
      </c>
      <c r="G656">
        <v>1.4132</v>
      </c>
      <c r="H656">
        <v>53.691699999999997</v>
      </c>
    </row>
    <row r="657" spans="1:8" x14ac:dyDescent="0.2">
      <c r="A657">
        <v>217.4776</v>
      </c>
      <c r="B657">
        <v>1.4626999999999999</v>
      </c>
      <c r="C657">
        <v>63.880299999999998</v>
      </c>
      <c r="D657">
        <v>0</v>
      </c>
      <c r="E657">
        <v>3</v>
      </c>
      <c r="G657">
        <v>1.4117999999999999</v>
      </c>
      <c r="H657">
        <v>53.532899999999998</v>
      </c>
    </row>
    <row r="658" spans="1:8" x14ac:dyDescent="0.2">
      <c r="A658">
        <v>217.84809999999999</v>
      </c>
      <c r="B658">
        <v>1.4617</v>
      </c>
      <c r="C658">
        <v>63.729399999999998</v>
      </c>
      <c r="D658">
        <v>0</v>
      </c>
      <c r="E658">
        <v>3</v>
      </c>
      <c r="G658">
        <v>1.4114</v>
      </c>
      <c r="H658">
        <v>53.381599999999999</v>
      </c>
    </row>
    <row r="659" spans="1:8" x14ac:dyDescent="0.2">
      <c r="A659">
        <v>218.21860000000001</v>
      </c>
      <c r="B659">
        <v>1.4612000000000001</v>
      </c>
      <c r="C659">
        <v>63.569499999999998</v>
      </c>
      <c r="D659">
        <v>0</v>
      </c>
      <c r="E659">
        <v>3</v>
      </c>
      <c r="G659">
        <v>1.4106000000000001</v>
      </c>
      <c r="H659">
        <v>53.226199999999999</v>
      </c>
    </row>
    <row r="660" spans="1:8" x14ac:dyDescent="0.2">
      <c r="A660">
        <v>218.5891</v>
      </c>
      <c r="B660">
        <v>1.4613</v>
      </c>
      <c r="C660">
        <v>63.417999999999999</v>
      </c>
      <c r="D660">
        <v>0</v>
      </c>
      <c r="E660">
        <v>3</v>
      </c>
      <c r="G660">
        <v>1.4100999999999999</v>
      </c>
      <c r="H660">
        <v>53.071199999999997</v>
      </c>
    </row>
    <row r="661" spans="1:8" x14ac:dyDescent="0.2">
      <c r="A661">
        <v>218.95959999999999</v>
      </c>
      <c r="B661">
        <v>1.4609000000000001</v>
      </c>
      <c r="C661">
        <v>63.256500000000003</v>
      </c>
      <c r="D661">
        <v>0</v>
      </c>
      <c r="E661">
        <v>3</v>
      </c>
      <c r="G661">
        <v>1.4086000000000001</v>
      </c>
      <c r="H661">
        <v>52.917900000000003</v>
      </c>
    </row>
    <row r="662" spans="1:8" x14ac:dyDescent="0.2">
      <c r="A662">
        <v>219.33009999999999</v>
      </c>
      <c r="B662">
        <v>1.4591000000000001</v>
      </c>
      <c r="C662">
        <v>63.108699999999999</v>
      </c>
      <c r="D662">
        <v>0</v>
      </c>
      <c r="E662">
        <v>3</v>
      </c>
      <c r="G662">
        <v>1.4080999999999999</v>
      </c>
      <c r="H662">
        <v>52.761899999999997</v>
      </c>
    </row>
    <row r="663" spans="1:8" x14ac:dyDescent="0.2">
      <c r="A663">
        <v>219.70060000000001</v>
      </c>
      <c r="B663">
        <v>1.4583999999999999</v>
      </c>
      <c r="C663">
        <v>62.955100000000002</v>
      </c>
      <c r="D663">
        <v>0</v>
      </c>
      <c r="E663">
        <v>3</v>
      </c>
      <c r="G663">
        <v>1.4076</v>
      </c>
      <c r="H663">
        <v>52.612000000000002</v>
      </c>
    </row>
    <row r="664" spans="1:8" x14ac:dyDescent="0.2">
      <c r="A664">
        <v>220.0711</v>
      </c>
      <c r="B664">
        <v>1.4583999999999999</v>
      </c>
      <c r="C664">
        <v>62.798699999999997</v>
      </c>
      <c r="D664">
        <v>0</v>
      </c>
      <c r="E664">
        <v>3</v>
      </c>
      <c r="G664">
        <v>1.4058999999999999</v>
      </c>
      <c r="H664">
        <v>52.457999999999998</v>
      </c>
    </row>
    <row r="665" spans="1:8" x14ac:dyDescent="0.2">
      <c r="A665">
        <v>220.44149999999999</v>
      </c>
      <c r="B665">
        <v>1.4578</v>
      </c>
      <c r="C665">
        <v>62.644799999999996</v>
      </c>
      <c r="D665">
        <v>0</v>
      </c>
      <c r="E665">
        <v>3</v>
      </c>
      <c r="G665">
        <v>1.405</v>
      </c>
      <c r="H665">
        <v>52.301900000000003</v>
      </c>
    </row>
    <row r="666" spans="1:8" x14ac:dyDescent="0.2">
      <c r="A666">
        <v>220.81200000000001</v>
      </c>
      <c r="B666">
        <v>1.4565999999999999</v>
      </c>
      <c r="C666">
        <v>62.491599999999998</v>
      </c>
      <c r="D666">
        <v>0</v>
      </c>
      <c r="E666">
        <v>3</v>
      </c>
      <c r="G666">
        <v>1.4056999999999999</v>
      </c>
      <c r="H666">
        <v>52.140999999999998</v>
      </c>
    </row>
    <row r="667" spans="1:8" x14ac:dyDescent="0.2">
      <c r="A667">
        <v>221.1825</v>
      </c>
      <c r="B667">
        <v>1.4553</v>
      </c>
      <c r="C667">
        <v>62.345399999999998</v>
      </c>
      <c r="D667">
        <v>0</v>
      </c>
      <c r="E667">
        <v>3</v>
      </c>
      <c r="G667">
        <v>1.4041999999999999</v>
      </c>
      <c r="H667">
        <v>51.991</v>
      </c>
    </row>
    <row r="668" spans="1:8" x14ac:dyDescent="0.2">
      <c r="A668">
        <v>221.553</v>
      </c>
      <c r="B668">
        <v>1.4544999999999999</v>
      </c>
      <c r="C668">
        <v>62.184899999999999</v>
      </c>
      <c r="D668">
        <v>0</v>
      </c>
      <c r="E668">
        <v>3</v>
      </c>
      <c r="G668">
        <v>1.4024000000000001</v>
      </c>
      <c r="H668">
        <v>51.836199999999998</v>
      </c>
    </row>
    <row r="669" spans="1:8" x14ac:dyDescent="0.2">
      <c r="A669">
        <v>221.92349999999999</v>
      </c>
      <c r="B669">
        <v>1.4533</v>
      </c>
      <c r="C669">
        <v>62.026200000000003</v>
      </c>
      <c r="D669">
        <v>0</v>
      </c>
      <c r="E669">
        <v>3</v>
      </c>
      <c r="G669">
        <v>1.4023000000000001</v>
      </c>
      <c r="H669">
        <v>51.6905</v>
      </c>
    </row>
    <row r="670" spans="1:8" x14ac:dyDescent="0.2">
      <c r="A670">
        <v>222.29400000000001</v>
      </c>
      <c r="B670">
        <v>1.4527000000000001</v>
      </c>
      <c r="C670">
        <v>61.8675</v>
      </c>
      <c r="D670">
        <v>0</v>
      </c>
      <c r="E670">
        <v>3</v>
      </c>
      <c r="G670">
        <v>1.4016999999999999</v>
      </c>
      <c r="H670">
        <v>51.529800000000002</v>
      </c>
    </row>
    <row r="671" spans="1:8" x14ac:dyDescent="0.2">
      <c r="A671">
        <v>222.6645</v>
      </c>
      <c r="B671">
        <v>1.4518</v>
      </c>
      <c r="C671">
        <v>61.721699999999998</v>
      </c>
      <c r="D671">
        <v>0</v>
      </c>
      <c r="E671">
        <v>3</v>
      </c>
      <c r="G671">
        <v>1.4013</v>
      </c>
      <c r="H671">
        <v>51.376199999999997</v>
      </c>
    </row>
    <row r="672" spans="1:8" x14ac:dyDescent="0.2">
      <c r="A672">
        <v>223.035</v>
      </c>
      <c r="B672">
        <v>1.4512</v>
      </c>
      <c r="C672">
        <v>61.566200000000002</v>
      </c>
      <c r="D672">
        <v>0</v>
      </c>
      <c r="E672">
        <v>3</v>
      </c>
      <c r="G672">
        <v>1.4004000000000001</v>
      </c>
      <c r="H672">
        <v>51.218800000000002</v>
      </c>
    </row>
    <row r="673" spans="1:8" x14ac:dyDescent="0.2">
      <c r="A673">
        <v>223.40549999999999</v>
      </c>
      <c r="B673">
        <v>1.4500999999999999</v>
      </c>
      <c r="C673">
        <v>61.413899999999998</v>
      </c>
      <c r="D673">
        <v>0</v>
      </c>
      <c r="E673">
        <v>3</v>
      </c>
      <c r="G673">
        <v>1.3989</v>
      </c>
      <c r="H673">
        <v>51.073500000000003</v>
      </c>
    </row>
    <row r="674" spans="1:8" x14ac:dyDescent="0.2">
      <c r="A674">
        <v>223.77600000000001</v>
      </c>
      <c r="B674">
        <v>1.4519</v>
      </c>
      <c r="C674">
        <v>61.252200000000002</v>
      </c>
      <c r="D674">
        <v>0</v>
      </c>
      <c r="E674">
        <v>3</v>
      </c>
      <c r="G674">
        <v>1.3988</v>
      </c>
      <c r="H674">
        <v>50.911200000000001</v>
      </c>
    </row>
    <row r="675" spans="1:8" x14ac:dyDescent="0.2">
      <c r="A675">
        <v>224.1465</v>
      </c>
      <c r="B675">
        <v>1.4493</v>
      </c>
      <c r="C675">
        <v>61.098399999999998</v>
      </c>
      <c r="D675">
        <v>0</v>
      </c>
      <c r="E675">
        <v>3</v>
      </c>
      <c r="G675">
        <v>1.3982000000000001</v>
      </c>
      <c r="H675">
        <v>50.755800000000001</v>
      </c>
    </row>
    <row r="676" spans="1:8" x14ac:dyDescent="0.2">
      <c r="A676">
        <v>224.51689999999999</v>
      </c>
      <c r="B676">
        <v>1.4492</v>
      </c>
      <c r="C676">
        <v>60.9499</v>
      </c>
      <c r="D676">
        <v>0</v>
      </c>
      <c r="E676">
        <v>3</v>
      </c>
      <c r="G676">
        <v>1.3974</v>
      </c>
      <c r="H676">
        <v>50.601900000000001</v>
      </c>
    </row>
    <row r="677" spans="1:8" x14ac:dyDescent="0.2">
      <c r="A677">
        <v>224.88740000000001</v>
      </c>
      <c r="B677">
        <v>1.4477</v>
      </c>
      <c r="C677">
        <v>60.793799999999997</v>
      </c>
      <c r="D677">
        <v>0</v>
      </c>
      <c r="E677">
        <v>3</v>
      </c>
      <c r="G677">
        <v>1.3955</v>
      </c>
      <c r="H677">
        <v>50.451700000000002</v>
      </c>
    </row>
    <row r="678" spans="1:8" x14ac:dyDescent="0.2">
      <c r="A678">
        <v>225.25790000000001</v>
      </c>
      <c r="B678">
        <v>1.448</v>
      </c>
      <c r="C678">
        <v>60.6389</v>
      </c>
      <c r="D678">
        <v>0</v>
      </c>
      <c r="E678">
        <v>3</v>
      </c>
      <c r="G678">
        <v>1.3956999999999999</v>
      </c>
      <c r="H678">
        <v>50.292900000000003</v>
      </c>
    </row>
    <row r="679" spans="1:8" x14ac:dyDescent="0.2">
      <c r="A679">
        <v>225.6284</v>
      </c>
      <c r="B679">
        <v>1.4463999999999999</v>
      </c>
      <c r="C679">
        <v>60.482900000000001</v>
      </c>
      <c r="D679">
        <v>0</v>
      </c>
      <c r="E679">
        <v>3</v>
      </c>
      <c r="G679">
        <v>1.3957999999999999</v>
      </c>
      <c r="H679">
        <v>50.138800000000003</v>
      </c>
    </row>
    <row r="680" spans="1:8" x14ac:dyDescent="0.2">
      <c r="A680">
        <v>225.99889999999999</v>
      </c>
      <c r="B680">
        <v>1.4441999999999999</v>
      </c>
      <c r="C680">
        <v>60.331400000000002</v>
      </c>
      <c r="D680">
        <v>0</v>
      </c>
      <c r="E680">
        <v>3</v>
      </c>
      <c r="G680">
        <v>1.3935</v>
      </c>
      <c r="H680">
        <v>49.980600000000003</v>
      </c>
    </row>
    <row r="681" spans="1:8" x14ac:dyDescent="0.2">
      <c r="A681">
        <v>226.36940000000001</v>
      </c>
      <c r="B681">
        <v>1.4443999999999999</v>
      </c>
      <c r="C681">
        <v>60.176900000000003</v>
      </c>
      <c r="D681">
        <v>0</v>
      </c>
      <c r="E681">
        <v>3</v>
      </c>
      <c r="G681">
        <v>1.3942000000000001</v>
      </c>
      <c r="H681">
        <v>49.826700000000002</v>
      </c>
    </row>
    <row r="682" spans="1:8" x14ac:dyDescent="0.2">
      <c r="A682">
        <v>226.73990000000001</v>
      </c>
      <c r="B682">
        <v>1.4450000000000001</v>
      </c>
      <c r="C682">
        <v>60.017600000000002</v>
      </c>
      <c r="D682">
        <v>0</v>
      </c>
      <c r="E682">
        <v>3</v>
      </c>
      <c r="G682">
        <v>1.3939999999999999</v>
      </c>
      <c r="H682">
        <v>49.673299999999998</v>
      </c>
    </row>
    <row r="683" spans="1:8" x14ac:dyDescent="0.2">
      <c r="A683">
        <v>227.1104</v>
      </c>
      <c r="B683">
        <v>1.4438</v>
      </c>
      <c r="C683">
        <v>59.862299999999998</v>
      </c>
      <c r="D683">
        <v>0</v>
      </c>
      <c r="E683">
        <v>3</v>
      </c>
      <c r="G683">
        <v>1.3920999999999999</v>
      </c>
      <c r="H683">
        <v>49.5227</v>
      </c>
    </row>
    <row r="684" spans="1:8" x14ac:dyDescent="0.2">
      <c r="A684">
        <v>227.48089999999999</v>
      </c>
      <c r="B684">
        <v>1.4419999999999999</v>
      </c>
      <c r="C684">
        <v>59.714199999999998</v>
      </c>
      <c r="D684">
        <v>0</v>
      </c>
      <c r="E684">
        <v>3</v>
      </c>
      <c r="G684">
        <v>1.3907</v>
      </c>
      <c r="H684">
        <v>49.363999999999997</v>
      </c>
    </row>
    <row r="685" spans="1:8" x14ac:dyDescent="0.2">
      <c r="A685">
        <v>227.85130000000001</v>
      </c>
      <c r="B685">
        <v>1.4419999999999999</v>
      </c>
      <c r="C685">
        <v>59.5578</v>
      </c>
      <c r="D685">
        <v>0</v>
      </c>
      <c r="E685">
        <v>3</v>
      </c>
      <c r="G685">
        <v>1.3900999999999999</v>
      </c>
      <c r="H685">
        <v>49.211199999999998</v>
      </c>
    </row>
    <row r="686" spans="1:8" x14ac:dyDescent="0.2">
      <c r="A686">
        <v>228.2218</v>
      </c>
      <c r="B686">
        <v>1.4413</v>
      </c>
      <c r="C686">
        <v>59.403399999999998</v>
      </c>
      <c r="D686">
        <v>0</v>
      </c>
      <c r="E686">
        <v>3</v>
      </c>
      <c r="G686">
        <v>1.3897999999999999</v>
      </c>
      <c r="H686">
        <v>49.0565</v>
      </c>
    </row>
    <row r="687" spans="1:8" x14ac:dyDescent="0.2">
      <c r="A687">
        <v>228.59229999999999</v>
      </c>
      <c r="B687">
        <v>1.4400999999999999</v>
      </c>
      <c r="C687">
        <v>59.2483</v>
      </c>
      <c r="D687">
        <v>0</v>
      </c>
      <c r="E687">
        <v>3</v>
      </c>
      <c r="G687">
        <v>1.3887</v>
      </c>
      <c r="H687">
        <v>48.904400000000003</v>
      </c>
    </row>
    <row r="688" spans="1:8" x14ac:dyDescent="0.2">
      <c r="A688">
        <v>228.96279999999999</v>
      </c>
      <c r="B688">
        <v>1.4396</v>
      </c>
      <c r="C688">
        <v>59.091900000000003</v>
      </c>
      <c r="D688">
        <v>0</v>
      </c>
      <c r="E688">
        <v>3</v>
      </c>
      <c r="G688">
        <v>1.3871</v>
      </c>
      <c r="H688">
        <v>48.751800000000003</v>
      </c>
    </row>
    <row r="689" spans="1:8" x14ac:dyDescent="0.2">
      <c r="A689">
        <v>229.33330000000001</v>
      </c>
      <c r="B689">
        <v>1.4377</v>
      </c>
      <c r="C689">
        <v>58.937899999999999</v>
      </c>
      <c r="D689">
        <v>0</v>
      </c>
      <c r="E689">
        <v>3</v>
      </c>
      <c r="G689">
        <v>1.3864000000000001</v>
      </c>
      <c r="H689">
        <v>48.594200000000001</v>
      </c>
    </row>
    <row r="690" spans="1:8" x14ac:dyDescent="0.2">
      <c r="A690">
        <v>229.7038</v>
      </c>
      <c r="B690">
        <v>1.4372</v>
      </c>
      <c r="C690">
        <v>58.783799999999999</v>
      </c>
      <c r="D690">
        <v>0</v>
      </c>
      <c r="E690">
        <v>3</v>
      </c>
      <c r="G690">
        <v>1.3865000000000001</v>
      </c>
      <c r="H690">
        <v>48.438600000000001</v>
      </c>
    </row>
    <row r="691" spans="1:8" x14ac:dyDescent="0.2">
      <c r="A691">
        <v>230.07429999999999</v>
      </c>
      <c r="B691">
        <v>1.4373</v>
      </c>
      <c r="C691">
        <v>58.627299999999998</v>
      </c>
      <c r="D691">
        <v>0</v>
      </c>
      <c r="E691">
        <v>3</v>
      </c>
      <c r="G691">
        <v>1.3854</v>
      </c>
      <c r="H691">
        <v>48.283499999999997</v>
      </c>
    </row>
    <row r="692" spans="1:8" x14ac:dyDescent="0.2">
      <c r="A692">
        <v>230.44479999999999</v>
      </c>
      <c r="B692">
        <v>1.4356</v>
      </c>
      <c r="C692">
        <v>58.4788</v>
      </c>
      <c r="D692">
        <v>0</v>
      </c>
      <c r="E692">
        <v>3</v>
      </c>
      <c r="G692">
        <v>1.3845000000000001</v>
      </c>
      <c r="H692">
        <v>48.128700000000002</v>
      </c>
    </row>
    <row r="693" spans="1:8" x14ac:dyDescent="0.2">
      <c r="A693">
        <v>230.81530000000001</v>
      </c>
      <c r="B693">
        <v>1.4346000000000001</v>
      </c>
      <c r="C693">
        <v>58.323300000000003</v>
      </c>
      <c r="D693">
        <v>0</v>
      </c>
      <c r="E693">
        <v>3</v>
      </c>
      <c r="G693">
        <v>1.3837999999999999</v>
      </c>
      <c r="H693">
        <v>47.9754</v>
      </c>
    </row>
    <row r="694" spans="1:8" x14ac:dyDescent="0.2">
      <c r="A694">
        <v>231.1858</v>
      </c>
      <c r="B694">
        <v>1.4333</v>
      </c>
      <c r="C694">
        <v>58.166800000000002</v>
      </c>
      <c r="D694">
        <v>0</v>
      </c>
      <c r="E694">
        <v>3</v>
      </c>
      <c r="G694">
        <v>1.3836999999999999</v>
      </c>
      <c r="H694">
        <v>47.8232</v>
      </c>
    </row>
    <row r="695" spans="1:8" x14ac:dyDescent="0.2">
      <c r="A695">
        <v>231.55619999999999</v>
      </c>
      <c r="B695">
        <v>1.4325000000000001</v>
      </c>
      <c r="C695">
        <v>58.012900000000002</v>
      </c>
      <c r="D695">
        <v>0</v>
      </c>
      <c r="E695">
        <v>3</v>
      </c>
      <c r="G695">
        <v>1.3814</v>
      </c>
      <c r="H695">
        <v>47.669400000000003</v>
      </c>
    </row>
    <row r="696" spans="1:8" x14ac:dyDescent="0.2">
      <c r="A696">
        <v>231.92670000000001</v>
      </c>
      <c r="B696">
        <v>1.4309000000000001</v>
      </c>
      <c r="C696">
        <v>57.860799999999998</v>
      </c>
      <c r="D696">
        <v>0</v>
      </c>
      <c r="E696">
        <v>3</v>
      </c>
      <c r="G696">
        <v>1.3802000000000001</v>
      </c>
      <c r="H696">
        <v>47.519300000000001</v>
      </c>
    </row>
    <row r="697" spans="1:8" x14ac:dyDescent="0.2">
      <c r="A697">
        <v>232.2972</v>
      </c>
      <c r="B697">
        <v>1.4317</v>
      </c>
      <c r="C697">
        <v>57.702100000000002</v>
      </c>
      <c r="D697">
        <v>0</v>
      </c>
      <c r="E697">
        <v>3</v>
      </c>
      <c r="G697">
        <v>1.3801000000000001</v>
      </c>
      <c r="H697">
        <v>47.360999999999997</v>
      </c>
    </row>
    <row r="698" spans="1:8" x14ac:dyDescent="0.2">
      <c r="A698">
        <v>232.6677</v>
      </c>
      <c r="B698">
        <v>1.4296</v>
      </c>
      <c r="C698">
        <v>57.551699999999997</v>
      </c>
      <c r="D698">
        <v>0</v>
      </c>
      <c r="E698">
        <v>3</v>
      </c>
      <c r="G698">
        <v>1.3794999999999999</v>
      </c>
      <c r="H698">
        <v>47.2059</v>
      </c>
    </row>
    <row r="699" spans="1:8" x14ac:dyDescent="0.2">
      <c r="A699">
        <v>233.03819999999999</v>
      </c>
      <c r="B699">
        <v>1.4287000000000001</v>
      </c>
      <c r="C699">
        <v>57.394399999999997</v>
      </c>
      <c r="D699">
        <v>0</v>
      </c>
      <c r="E699">
        <v>3</v>
      </c>
      <c r="G699">
        <v>1.3779999999999999</v>
      </c>
      <c r="H699">
        <v>47.0503</v>
      </c>
    </row>
    <row r="700" spans="1:8" x14ac:dyDescent="0.2">
      <c r="A700">
        <v>233.40870000000001</v>
      </c>
      <c r="B700">
        <v>1.4282999999999999</v>
      </c>
      <c r="C700">
        <v>57.242899999999999</v>
      </c>
      <c r="D700">
        <v>0</v>
      </c>
      <c r="E700">
        <v>3</v>
      </c>
      <c r="G700">
        <v>1.3778999999999999</v>
      </c>
      <c r="H700">
        <v>46.892299999999999</v>
      </c>
    </row>
    <row r="701" spans="1:8" x14ac:dyDescent="0.2">
      <c r="A701">
        <v>233.7792</v>
      </c>
      <c r="B701">
        <v>1.4288000000000001</v>
      </c>
      <c r="C701">
        <v>57.087600000000002</v>
      </c>
      <c r="D701">
        <v>0</v>
      </c>
      <c r="E701">
        <v>3</v>
      </c>
      <c r="G701">
        <v>1.3774</v>
      </c>
      <c r="H701">
        <v>46.742600000000003</v>
      </c>
    </row>
    <row r="702" spans="1:8" x14ac:dyDescent="0.2">
      <c r="A702">
        <v>234.1497</v>
      </c>
      <c r="B702">
        <v>1.4276</v>
      </c>
      <c r="C702">
        <v>56.931399999999996</v>
      </c>
      <c r="D702">
        <v>0</v>
      </c>
      <c r="E702">
        <v>3</v>
      </c>
      <c r="G702">
        <v>1.3765000000000001</v>
      </c>
      <c r="H702">
        <v>46.584000000000003</v>
      </c>
    </row>
    <row r="703" spans="1:8" x14ac:dyDescent="0.2">
      <c r="A703">
        <v>234.52019999999999</v>
      </c>
      <c r="B703">
        <v>1.4278</v>
      </c>
      <c r="C703">
        <v>56.7761</v>
      </c>
      <c r="D703">
        <v>0</v>
      </c>
      <c r="E703">
        <v>3</v>
      </c>
      <c r="G703">
        <v>1.3751</v>
      </c>
      <c r="H703">
        <v>46.432600000000001</v>
      </c>
    </row>
    <row r="704" spans="1:8" x14ac:dyDescent="0.2">
      <c r="A704">
        <v>234.89070000000001</v>
      </c>
      <c r="B704">
        <v>1.4268000000000001</v>
      </c>
      <c r="C704">
        <v>56.6218</v>
      </c>
      <c r="D704">
        <v>0</v>
      </c>
      <c r="E704">
        <v>3</v>
      </c>
      <c r="G704">
        <v>1.3735999999999999</v>
      </c>
      <c r="H704">
        <v>46.278500000000001</v>
      </c>
    </row>
    <row r="705" spans="1:8" x14ac:dyDescent="0.2">
      <c r="A705">
        <v>235.2612</v>
      </c>
      <c r="B705">
        <v>1.4258999999999999</v>
      </c>
      <c r="C705">
        <v>56.4651</v>
      </c>
      <c r="D705">
        <v>0</v>
      </c>
      <c r="E705">
        <v>3</v>
      </c>
      <c r="G705">
        <v>1.373</v>
      </c>
      <c r="H705">
        <v>46.125999999999998</v>
      </c>
    </row>
    <row r="706" spans="1:8" x14ac:dyDescent="0.2">
      <c r="A706">
        <v>235.63159999999999</v>
      </c>
      <c r="B706">
        <v>1.4253</v>
      </c>
      <c r="C706">
        <v>56.313699999999997</v>
      </c>
      <c r="D706">
        <v>0</v>
      </c>
      <c r="E706">
        <v>3</v>
      </c>
      <c r="G706">
        <v>1.3725000000000001</v>
      </c>
      <c r="H706">
        <v>45.969099999999997</v>
      </c>
    </row>
    <row r="707" spans="1:8" x14ac:dyDescent="0.2">
      <c r="A707">
        <v>236.00210000000001</v>
      </c>
      <c r="B707">
        <v>1.4253</v>
      </c>
      <c r="C707">
        <v>56.158499999999997</v>
      </c>
      <c r="D707">
        <v>0</v>
      </c>
      <c r="E707">
        <v>3</v>
      </c>
      <c r="G707">
        <v>1.3722000000000001</v>
      </c>
      <c r="H707">
        <v>45.814</v>
      </c>
    </row>
    <row r="708" spans="1:8" x14ac:dyDescent="0.2">
      <c r="A708">
        <v>236.37260000000001</v>
      </c>
      <c r="B708">
        <v>1.425</v>
      </c>
      <c r="C708">
        <v>56.004399999999997</v>
      </c>
      <c r="D708">
        <v>0</v>
      </c>
      <c r="E708">
        <v>3</v>
      </c>
      <c r="G708">
        <v>1.3703000000000001</v>
      </c>
      <c r="H708">
        <v>45.6631</v>
      </c>
    </row>
    <row r="709" spans="1:8" x14ac:dyDescent="0.2">
      <c r="A709">
        <v>236.7431</v>
      </c>
      <c r="B709">
        <v>1.4225000000000001</v>
      </c>
      <c r="C709">
        <v>55.850499999999997</v>
      </c>
      <c r="D709">
        <v>0</v>
      </c>
      <c r="E709">
        <v>3</v>
      </c>
      <c r="G709">
        <v>1.37</v>
      </c>
      <c r="H709">
        <v>45.505800000000001</v>
      </c>
    </row>
    <row r="710" spans="1:8" x14ac:dyDescent="0.2">
      <c r="A710">
        <v>237.11359999999999</v>
      </c>
      <c r="B710">
        <v>1.4221999999999999</v>
      </c>
      <c r="C710">
        <v>55.701000000000001</v>
      </c>
      <c r="D710">
        <v>0</v>
      </c>
      <c r="E710">
        <v>3</v>
      </c>
      <c r="G710">
        <v>1.3707</v>
      </c>
      <c r="H710">
        <v>45.351700000000001</v>
      </c>
    </row>
    <row r="711" spans="1:8" x14ac:dyDescent="0.2">
      <c r="A711">
        <v>237.48410000000001</v>
      </c>
      <c r="B711">
        <v>1.4222999999999999</v>
      </c>
      <c r="C711">
        <v>55.541699999999999</v>
      </c>
      <c r="D711">
        <v>0</v>
      </c>
      <c r="E711">
        <v>3</v>
      </c>
      <c r="G711">
        <v>1.3696999999999999</v>
      </c>
      <c r="H711">
        <v>45.195700000000002</v>
      </c>
    </row>
    <row r="712" spans="1:8" x14ac:dyDescent="0.2">
      <c r="A712">
        <v>237.8546</v>
      </c>
      <c r="B712">
        <v>1.4222999999999999</v>
      </c>
      <c r="C712">
        <v>55.384099999999997</v>
      </c>
      <c r="D712">
        <v>0</v>
      </c>
      <c r="E712">
        <v>3</v>
      </c>
      <c r="G712">
        <v>1.3684000000000001</v>
      </c>
      <c r="H712">
        <v>45.045400000000001</v>
      </c>
    </row>
    <row r="713" spans="1:8" x14ac:dyDescent="0.2">
      <c r="A713">
        <v>238.2251</v>
      </c>
      <c r="B713">
        <v>1.4202999999999999</v>
      </c>
      <c r="C713">
        <v>55.233199999999997</v>
      </c>
      <c r="D713">
        <v>0</v>
      </c>
      <c r="E713">
        <v>3</v>
      </c>
      <c r="G713">
        <v>1.3668</v>
      </c>
      <c r="H713">
        <v>44.890599999999999</v>
      </c>
    </row>
    <row r="714" spans="1:8" x14ac:dyDescent="0.2">
      <c r="A714">
        <v>238.59559999999999</v>
      </c>
      <c r="B714">
        <v>1.4205000000000001</v>
      </c>
      <c r="C714">
        <v>55.078299999999999</v>
      </c>
      <c r="D714">
        <v>0</v>
      </c>
      <c r="E714">
        <v>3</v>
      </c>
      <c r="G714">
        <v>1.3667</v>
      </c>
      <c r="H714">
        <v>44.733400000000003</v>
      </c>
    </row>
    <row r="715" spans="1:8" x14ac:dyDescent="0.2">
      <c r="A715">
        <v>238.96600000000001</v>
      </c>
      <c r="B715">
        <v>1.419</v>
      </c>
      <c r="C715">
        <v>54.922600000000003</v>
      </c>
      <c r="D715">
        <v>0</v>
      </c>
      <c r="E715">
        <v>3</v>
      </c>
      <c r="G715">
        <v>1.3657999999999999</v>
      </c>
      <c r="H715">
        <v>44.579900000000002</v>
      </c>
    </row>
    <row r="716" spans="1:8" x14ac:dyDescent="0.2">
      <c r="A716">
        <v>239.3365</v>
      </c>
      <c r="B716">
        <v>1.4187000000000001</v>
      </c>
      <c r="C716">
        <v>54.769199999999998</v>
      </c>
      <c r="D716">
        <v>0</v>
      </c>
      <c r="E716">
        <v>3</v>
      </c>
      <c r="G716">
        <v>1.3642000000000001</v>
      </c>
      <c r="H716">
        <v>44.426299999999998</v>
      </c>
    </row>
    <row r="717" spans="1:8" x14ac:dyDescent="0.2">
      <c r="A717">
        <v>239.70699999999999</v>
      </c>
      <c r="B717">
        <v>1.4178999999999999</v>
      </c>
      <c r="C717">
        <v>54.617400000000004</v>
      </c>
      <c r="D717">
        <v>0</v>
      </c>
      <c r="E717">
        <v>3</v>
      </c>
      <c r="G717">
        <v>1.3635999999999999</v>
      </c>
      <c r="H717">
        <v>44.268599999999999</v>
      </c>
    </row>
    <row r="718" spans="1:8" x14ac:dyDescent="0.2">
      <c r="A718">
        <v>240.07749999999999</v>
      </c>
      <c r="B718">
        <v>1.417</v>
      </c>
      <c r="C718">
        <v>54.463500000000003</v>
      </c>
      <c r="D718">
        <v>0</v>
      </c>
      <c r="E718">
        <v>3</v>
      </c>
      <c r="G718">
        <v>1.3636999999999999</v>
      </c>
      <c r="H718">
        <v>44.114100000000001</v>
      </c>
    </row>
    <row r="719" spans="1:8" x14ac:dyDescent="0.2">
      <c r="A719">
        <v>240.44800000000001</v>
      </c>
      <c r="B719">
        <v>1.4160999999999999</v>
      </c>
      <c r="C719">
        <v>54.308500000000002</v>
      </c>
      <c r="D719">
        <v>0</v>
      </c>
      <c r="E719">
        <v>3</v>
      </c>
      <c r="G719">
        <v>1.3619000000000001</v>
      </c>
      <c r="H719">
        <v>43.9617</v>
      </c>
    </row>
    <row r="720" spans="1:8" x14ac:dyDescent="0.2">
      <c r="A720">
        <v>240.8185</v>
      </c>
      <c r="B720">
        <v>1.4160999999999999</v>
      </c>
      <c r="C720">
        <v>54.150199999999998</v>
      </c>
      <c r="D720">
        <v>0</v>
      </c>
      <c r="E720">
        <v>3</v>
      </c>
      <c r="G720">
        <v>1.3615999999999999</v>
      </c>
      <c r="H720">
        <v>43.81</v>
      </c>
    </row>
    <row r="721" spans="1:8" x14ac:dyDescent="0.2">
      <c r="A721">
        <v>241.18899999999999</v>
      </c>
      <c r="B721">
        <v>1.4154</v>
      </c>
      <c r="C721">
        <v>53.995399999999997</v>
      </c>
      <c r="D721">
        <v>0</v>
      </c>
      <c r="E721">
        <v>3</v>
      </c>
      <c r="G721">
        <v>1.3609</v>
      </c>
      <c r="H721">
        <v>43.656399999999998</v>
      </c>
    </row>
    <row r="722" spans="1:8" x14ac:dyDescent="0.2">
      <c r="A722">
        <v>241.55950000000001</v>
      </c>
      <c r="B722">
        <v>1.4138999999999999</v>
      </c>
      <c r="C722">
        <v>53.846499999999999</v>
      </c>
      <c r="D722">
        <v>0</v>
      </c>
      <c r="E722">
        <v>3</v>
      </c>
      <c r="G722">
        <v>1.3611</v>
      </c>
      <c r="H722">
        <v>43.498399999999997</v>
      </c>
    </row>
    <row r="723" spans="1:8" x14ac:dyDescent="0.2">
      <c r="A723">
        <v>241.93</v>
      </c>
      <c r="B723">
        <v>1.4132</v>
      </c>
      <c r="C723">
        <v>53.691699999999997</v>
      </c>
      <c r="D723">
        <v>0</v>
      </c>
      <c r="E723">
        <v>3</v>
      </c>
      <c r="G723">
        <v>1.3594999999999999</v>
      </c>
      <c r="H723">
        <v>43.349499999999999</v>
      </c>
    </row>
    <row r="724" spans="1:8" x14ac:dyDescent="0.2">
      <c r="A724">
        <v>242.3005</v>
      </c>
      <c r="B724">
        <v>1.4117999999999999</v>
      </c>
      <c r="C724">
        <v>53.532899999999998</v>
      </c>
      <c r="D724">
        <v>0</v>
      </c>
      <c r="E724">
        <v>3</v>
      </c>
      <c r="G724">
        <v>1.3577999999999999</v>
      </c>
      <c r="H724">
        <v>43.192399999999999</v>
      </c>
    </row>
    <row r="725" spans="1:8" x14ac:dyDescent="0.2">
      <c r="A725">
        <v>242.67089999999999</v>
      </c>
      <c r="B725">
        <v>1.4114</v>
      </c>
      <c r="C725">
        <v>53.381599999999999</v>
      </c>
      <c r="D725">
        <v>0</v>
      </c>
      <c r="E725">
        <v>3</v>
      </c>
      <c r="G725">
        <v>1.3574999999999999</v>
      </c>
      <c r="H725">
        <v>43.036000000000001</v>
      </c>
    </row>
    <row r="726" spans="1:8" x14ac:dyDescent="0.2">
      <c r="A726">
        <v>243.04140000000001</v>
      </c>
      <c r="B726">
        <v>1.4106000000000001</v>
      </c>
      <c r="C726">
        <v>53.226199999999999</v>
      </c>
      <c r="D726">
        <v>0</v>
      </c>
      <c r="E726">
        <v>3</v>
      </c>
      <c r="G726">
        <v>1.3565</v>
      </c>
      <c r="H726">
        <v>42.884700000000002</v>
      </c>
    </row>
    <row r="727" spans="1:8" x14ac:dyDescent="0.2">
      <c r="A727">
        <v>243.4119</v>
      </c>
      <c r="B727">
        <v>1.4100999999999999</v>
      </c>
      <c r="C727">
        <v>53.071199999999997</v>
      </c>
      <c r="D727">
        <v>0</v>
      </c>
      <c r="E727">
        <v>3</v>
      </c>
      <c r="G727">
        <v>1.3563000000000001</v>
      </c>
      <c r="H727">
        <v>42.729799999999997</v>
      </c>
    </row>
    <row r="728" spans="1:8" x14ac:dyDescent="0.2">
      <c r="A728">
        <v>243.7824</v>
      </c>
      <c r="B728">
        <v>1.4086000000000001</v>
      </c>
      <c r="C728">
        <v>52.917900000000003</v>
      </c>
      <c r="D728">
        <v>0</v>
      </c>
      <c r="E728">
        <v>3</v>
      </c>
      <c r="G728">
        <v>1.3546</v>
      </c>
      <c r="H728">
        <v>42.572899999999997</v>
      </c>
    </row>
    <row r="729" spans="1:8" x14ac:dyDescent="0.2">
      <c r="A729">
        <v>244.15289999999999</v>
      </c>
      <c r="B729">
        <v>1.4080999999999999</v>
      </c>
      <c r="C729">
        <v>52.761899999999997</v>
      </c>
      <c r="D729">
        <v>0</v>
      </c>
      <c r="E729">
        <v>3</v>
      </c>
      <c r="G729">
        <v>1.3554999999999999</v>
      </c>
      <c r="H729">
        <v>42.416600000000003</v>
      </c>
    </row>
    <row r="730" spans="1:8" x14ac:dyDescent="0.2">
      <c r="A730">
        <v>244.52340000000001</v>
      </c>
      <c r="B730">
        <v>1.4076</v>
      </c>
      <c r="C730">
        <v>52.612000000000002</v>
      </c>
      <c r="D730">
        <v>0</v>
      </c>
      <c r="E730">
        <v>3</v>
      </c>
      <c r="G730">
        <v>1.3529</v>
      </c>
      <c r="H730">
        <v>42.265999999999998</v>
      </c>
    </row>
    <row r="731" spans="1:8" x14ac:dyDescent="0.2">
      <c r="A731">
        <v>244.8939</v>
      </c>
      <c r="B731">
        <v>1.4058999999999999</v>
      </c>
      <c r="C731">
        <v>52.457999999999998</v>
      </c>
      <c r="D731">
        <v>0</v>
      </c>
      <c r="E731">
        <v>3</v>
      </c>
      <c r="G731">
        <v>1.3525</v>
      </c>
      <c r="H731">
        <v>42.107199999999999</v>
      </c>
    </row>
    <row r="732" spans="1:8" x14ac:dyDescent="0.2">
      <c r="A732">
        <v>245.26439999999999</v>
      </c>
      <c r="B732">
        <v>1.405</v>
      </c>
      <c r="C732">
        <v>52.301900000000003</v>
      </c>
      <c r="D732">
        <v>0</v>
      </c>
      <c r="E732">
        <v>3</v>
      </c>
      <c r="G732">
        <v>1.3516999999999999</v>
      </c>
      <c r="H732">
        <v>41.959699999999998</v>
      </c>
    </row>
    <row r="733" spans="1:8" x14ac:dyDescent="0.2">
      <c r="A733">
        <v>245.63489999999999</v>
      </c>
      <c r="B733">
        <v>1.4056999999999999</v>
      </c>
      <c r="C733">
        <v>52.140999999999998</v>
      </c>
      <c r="D733">
        <v>0</v>
      </c>
      <c r="E733">
        <v>3</v>
      </c>
      <c r="G733">
        <v>1.3513999999999999</v>
      </c>
      <c r="H733">
        <v>41.7973</v>
      </c>
    </row>
    <row r="734" spans="1:8" x14ac:dyDescent="0.2">
      <c r="A734">
        <v>246.00540000000001</v>
      </c>
      <c r="B734">
        <v>1.4041999999999999</v>
      </c>
      <c r="C734">
        <v>51.991</v>
      </c>
      <c r="D734">
        <v>0</v>
      </c>
      <c r="E734">
        <v>3</v>
      </c>
      <c r="G734">
        <v>1.3506</v>
      </c>
      <c r="H734">
        <v>41.647799999999997</v>
      </c>
    </row>
    <row r="735" spans="1:8" x14ac:dyDescent="0.2">
      <c r="A735">
        <v>246.3759</v>
      </c>
      <c r="B735">
        <v>1.4024000000000001</v>
      </c>
      <c r="C735">
        <v>51.836199999999998</v>
      </c>
      <c r="D735">
        <v>0</v>
      </c>
      <c r="E735">
        <v>3</v>
      </c>
      <c r="G735">
        <v>1.3503000000000001</v>
      </c>
      <c r="H735">
        <v>41.490099999999998</v>
      </c>
    </row>
    <row r="736" spans="1:8" x14ac:dyDescent="0.2">
      <c r="A736">
        <v>246.74629999999999</v>
      </c>
      <c r="B736">
        <v>1.4023000000000001</v>
      </c>
      <c r="C736">
        <v>51.6905</v>
      </c>
      <c r="D736">
        <v>0</v>
      </c>
      <c r="E736">
        <v>3</v>
      </c>
      <c r="G736">
        <v>1.3498000000000001</v>
      </c>
      <c r="H736">
        <v>41.335700000000003</v>
      </c>
    </row>
    <row r="737" spans="1:8" x14ac:dyDescent="0.2">
      <c r="A737">
        <v>247.11680000000001</v>
      </c>
      <c r="B737">
        <v>1.4016999999999999</v>
      </c>
      <c r="C737">
        <v>51.529800000000002</v>
      </c>
      <c r="D737">
        <v>0</v>
      </c>
      <c r="E737">
        <v>3</v>
      </c>
      <c r="G737">
        <v>1.3478000000000001</v>
      </c>
      <c r="H737">
        <v>41.183999999999997</v>
      </c>
    </row>
    <row r="738" spans="1:8" x14ac:dyDescent="0.2">
      <c r="A738">
        <v>247.4873</v>
      </c>
      <c r="B738">
        <v>1.4013</v>
      </c>
      <c r="C738">
        <v>51.376199999999997</v>
      </c>
      <c r="D738">
        <v>0</v>
      </c>
      <c r="E738">
        <v>3</v>
      </c>
      <c r="G738">
        <v>1.347</v>
      </c>
      <c r="H738">
        <v>41.030299999999997</v>
      </c>
    </row>
    <row r="739" spans="1:8" x14ac:dyDescent="0.2">
      <c r="A739">
        <v>247.8578</v>
      </c>
      <c r="B739">
        <v>1.4004000000000001</v>
      </c>
      <c r="C739">
        <v>51.218800000000002</v>
      </c>
      <c r="D739">
        <v>0</v>
      </c>
      <c r="E739">
        <v>3</v>
      </c>
      <c r="G739">
        <v>1.3456999999999999</v>
      </c>
      <c r="H739">
        <v>40.8705</v>
      </c>
    </row>
    <row r="740" spans="1:8" x14ac:dyDescent="0.2">
      <c r="A740">
        <v>248.22829999999999</v>
      </c>
      <c r="B740">
        <v>1.3989</v>
      </c>
      <c r="C740">
        <v>51.073500000000003</v>
      </c>
      <c r="D740">
        <v>0</v>
      </c>
      <c r="E740">
        <v>3</v>
      </c>
      <c r="G740">
        <v>1.3444</v>
      </c>
      <c r="H740">
        <v>40.724299999999999</v>
      </c>
    </row>
    <row r="741" spans="1:8" x14ac:dyDescent="0.2">
      <c r="A741">
        <v>248.59880000000001</v>
      </c>
      <c r="B741">
        <v>1.3988</v>
      </c>
      <c r="C741">
        <v>50.911200000000001</v>
      </c>
      <c r="D741">
        <v>0</v>
      </c>
      <c r="E741">
        <v>3</v>
      </c>
      <c r="G741">
        <v>1.3443000000000001</v>
      </c>
      <c r="H741">
        <v>40.563499999999998</v>
      </c>
    </row>
    <row r="742" spans="1:8" x14ac:dyDescent="0.2">
      <c r="A742">
        <v>248.9693</v>
      </c>
      <c r="B742">
        <v>1.3982000000000001</v>
      </c>
      <c r="C742">
        <v>50.755800000000001</v>
      </c>
      <c r="D742">
        <v>0</v>
      </c>
      <c r="E742">
        <v>3</v>
      </c>
      <c r="G742">
        <v>1.3435999999999999</v>
      </c>
      <c r="H742">
        <v>40.407299999999999</v>
      </c>
    </row>
    <row r="743" spans="1:8" x14ac:dyDescent="0.2">
      <c r="A743">
        <v>249.3398</v>
      </c>
      <c r="B743">
        <v>1.3974</v>
      </c>
      <c r="C743">
        <v>50.601900000000001</v>
      </c>
      <c r="D743">
        <v>0</v>
      </c>
      <c r="E743">
        <v>3</v>
      </c>
      <c r="G743">
        <v>1.3420000000000001</v>
      </c>
      <c r="H743">
        <v>40.252699999999997</v>
      </c>
    </row>
    <row r="744" spans="1:8" x14ac:dyDescent="0.2">
      <c r="A744">
        <v>249.71029999999999</v>
      </c>
      <c r="B744">
        <v>1.3955</v>
      </c>
      <c r="C744">
        <v>50.451700000000002</v>
      </c>
      <c r="D744">
        <v>0</v>
      </c>
      <c r="E744">
        <v>3</v>
      </c>
      <c r="G744">
        <v>1.3406</v>
      </c>
      <c r="H744">
        <v>40.104100000000003</v>
      </c>
    </row>
    <row r="745" spans="1:8" x14ac:dyDescent="0.2">
      <c r="A745">
        <v>250.08070000000001</v>
      </c>
      <c r="B745">
        <v>1.3956999999999999</v>
      </c>
      <c r="C745">
        <v>50.292900000000003</v>
      </c>
      <c r="D745">
        <v>0</v>
      </c>
      <c r="E745">
        <v>3</v>
      </c>
      <c r="G745">
        <v>1.3405</v>
      </c>
      <c r="H745">
        <v>39.948900000000002</v>
      </c>
    </row>
    <row r="746" spans="1:8" x14ac:dyDescent="0.2">
      <c r="A746">
        <v>250.4512</v>
      </c>
      <c r="B746">
        <v>1.3957999999999999</v>
      </c>
      <c r="C746">
        <v>50.138800000000003</v>
      </c>
      <c r="D746">
        <v>0</v>
      </c>
      <c r="E746">
        <v>3</v>
      </c>
      <c r="G746">
        <v>1.3392999999999999</v>
      </c>
      <c r="H746">
        <v>39.789499999999997</v>
      </c>
    </row>
    <row r="747" spans="1:8" x14ac:dyDescent="0.2">
      <c r="A747">
        <v>250.82169999999999</v>
      </c>
      <c r="B747">
        <v>1.3935</v>
      </c>
      <c r="C747">
        <v>49.980600000000003</v>
      </c>
      <c r="D747">
        <v>0</v>
      </c>
      <c r="E747">
        <v>3</v>
      </c>
      <c r="G747">
        <v>1.3383</v>
      </c>
      <c r="H747">
        <v>39.646099999999997</v>
      </c>
    </row>
    <row r="748" spans="1:8" x14ac:dyDescent="0.2">
      <c r="A748">
        <v>251.19220000000001</v>
      </c>
      <c r="B748">
        <v>1.3942000000000001</v>
      </c>
      <c r="C748">
        <v>49.826700000000002</v>
      </c>
      <c r="D748">
        <v>0</v>
      </c>
      <c r="E748">
        <v>3</v>
      </c>
      <c r="G748">
        <v>1.339</v>
      </c>
      <c r="H748">
        <v>39.481699999999996</v>
      </c>
    </row>
    <row r="749" spans="1:8" x14ac:dyDescent="0.2">
      <c r="A749">
        <v>251.56270000000001</v>
      </c>
      <c r="B749">
        <v>1.3939999999999999</v>
      </c>
      <c r="C749">
        <v>49.673299999999998</v>
      </c>
      <c r="D749">
        <v>0</v>
      </c>
      <c r="E749">
        <v>3</v>
      </c>
      <c r="G749">
        <v>1.3364</v>
      </c>
      <c r="H749">
        <v>39.338500000000003</v>
      </c>
    </row>
    <row r="750" spans="1:8" x14ac:dyDescent="0.2">
      <c r="A750">
        <v>251.9332</v>
      </c>
      <c r="B750">
        <v>1.3920999999999999</v>
      </c>
      <c r="C750">
        <v>49.5227</v>
      </c>
      <c r="D750">
        <v>0</v>
      </c>
      <c r="E750">
        <v>3</v>
      </c>
      <c r="G750">
        <v>1.3364</v>
      </c>
      <c r="H750">
        <v>39.1751</v>
      </c>
    </row>
    <row r="751" spans="1:8" x14ac:dyDescent="0.2">
      <c r="A751">
        <v>252.30369999999999</v>
      </c>
      <c r="B751">
        <v>1.3907</v>
      </c>
      <c r="C751">
        <v>49.363999999999997</v>
      </c>
      <c r="D751">
        <v>0</v>
      </c>
      <c r="E751">
        <v>3</v>
      </c>
      <c r="G751">
        <v>1.3346</v>
      </c>
      <c r="H751">
        <v>39.023800000000001</v>
      </c>
    </row>
    <row r="752" spans="1:8" x14ac:dyDescent="0.2">
      <c r="A752">
        <v>252.67420000000001</v>
      </c>
      <c r="B752">
        <v>1.3900999999999999</v>
      </c>
      <c r="C752">
        <v>49.211199999999998</v>
      </c>
      <c r="D752">
        <v>0</v>
      </c>
      <c r="E752">
        <v>3</v>
      </c>
      <c r="G752">
        <v>1.3347</v>
      </c>
      <c r="H752">
        <v>38.867800000000003</v>
      </c>
    </row>
    <row r="753" spans="1:8" x14ac:dyDescent="0.2">
      <c r="A753">
        <v>253.04470000000001</v>
      </c>
      <c r="B753">
        <v>1.3897999999999999</v>
      </c>
      <c r="C753">
        <v>49.0565</v>
      </c>
      <c r="D753">
        <v>0</v>
      </c>
      <c r="E753">
        <v>3</v>
      </c>
      <c r="G753">
        <v>1.3340000000000001</v>
      </c>
      <c r="H753">
        <v>38.7117</v>
      </c>
    </row>
    <row r="754" spans="1:8" x14ac:dyDescent="0.2">
      <c r="A754">
        <v>253.4152</v>
      </c>
      <c r="B754">
        <v>1.3887</v>
      </c>
      <c r="C754">
        <v>48.904400000000003</v>
      </c>
      <c r="D754">
        <v>0</v>
      </c>
      <c r="E754">
        <v>3</v>
      </c>
      <c r="G754">
        <v>1.3332999999999999</v>
      </c>
      <c r="H754">
        <v>38.559399999999997</v>
      </c>
    </row>
    <row r="755" spans="1:8" x14ac:dyDescent="0.2">
      <c r="A755">
        <v>253.78559999999999</v>
      </c>
      <c r="B755">
        <v>1.3871</v>
      </c>
      <c r="C755">
        <v>48.751800000000003</v>
      </c>
      <c r="D755">
        <v>0</v>
      </c>
      <c r="E755">
        <v>3</v>
      </c>
      <c r="G755">
        <v>1.3323</v>
      </c>
      <c r="H755">
        <v>38.401800000000001</v>
      </c>
    </row>
    <row r="756" spans="1:8" x14ac:dyDescent="0.2">
      <c r="A756">
        <v>254.15610000000001</v>
      </c>
      <c r="B756">
        <v>1.3864000000000001</v>
      </c>
      <c r="C756">
        <v>48.594200000000001</v>
      </c>
      <c r="D756">
        <v>0</v>
      </c>
      <c r="E756">
        <v>3</v>
      </c>
      <c r="G756">
        <v>1.3305</v>
      </c>
      <c r="H756">
        <v>38.2483</v>
      </c>
    </row>
    <row r="757" spans="1:8" x14ac:dyDescent="0.2">
      <c r="A757">
        <v>254.5266</v>
      </c>
      <c r="B757">
        <v>1.3865000000000001</v>
      </c>
      <c r="C757">
        <v>48.438600000000001</v>
      </c>
      <c r="D757">
        <v>0</v>
      </c>
      <c r="E757">
        <v>3</v>
      </c>
      <c r="G757">
        <v>1.3299000000000001</v>
      </c>
      <c r="H757">
        <v>38.094200000000001</v>
      </c>
    </row>
    <row r="758" spans="1:8" x14ac:dyDescent="0.2">
      <c r="A758">
        <v>254.89709999999999</v>
      </c>
      <c r="B758">
        <v>1.3854</v>
      </c>
      <c r="C758">
        <v>48.283499999999997</v>
      </c>
      <c r="D758">
        <v>0</v>
      </c>
      <c r="E758">
        <v>3</v>
      </c>
      <c r="G758">
        <v>1.3293999999999999</v>
      </c>
      <c r="H758">
        <v>37.943300000000001</v>
      </c>
    </row>
    <row r="759" spans="1:8" x14ac:dyDescent="0.2">
      <c r="A759">
        <v>255.26759999999999</v>
      </c>
      <c r="B759">
        <v>1.3845000000000001</v>
      </c>
      <c r="C759">
        <v>48.128700000000002</v>
      </c>
      <c r="D759">
        <v>0</v>
      </c>
      <c r="E759">
        <v>3</v>
      </c>
      <c r="G759">
        <v>1.3282</v>
      </c>
      <c r="H759">
        <v>37.7896</v>
      </c>
    </row>
    <row r="760" spans="1:8" x14ac:dyDescent="0.2">
      <c r="A760">
        <v>255.63810000000001</v>
      </c>
      <c r="B760">
        <v>1.3837999999999999</v>
      </c>
      <c r="C760">
        <v>47.9754</v>
      </c>
      <c r="D760">
        <v>0</v>
      </c>
      <c r="E760">
        <v>3</v>
      </c>
      <c r="G760">
        <v>1.3269</v>
      </c>
      <c r="H760">
        <v>37.632100000000001</v>
      </c>
    </row>
    <row r="761" spans="1:8" x14ac:dyDescent="0.2">
      <c r="A761">
        <v>256.0086</v>
      </c>
      <c r="B761">
        <v>1.3836999999999999</v>
      </c>
      <c r="C761">
        <v>47.8232</v>
      </c>
      <c r="D761">
        <v>0</v>
      </c>
      <c r="E761">
        <v>3</v>
      </c>
      <c r="G761">
        <v>1.3263</v>
      </c>
      <c r="H761">
        <v>37.478499999999997</v>
      </c>
    </row>
    <row r="762" spans="1:8" x14ac:dyDescent="0.2">
      <c r="A762">
        <v>256.37909999999999</v>
      </c>
      <c r="B762">
        <v>1.3814</v>
      </c>
      <c r="C762">
        <v>47.669400000000003</v>
      </c>
      <c r="D762">
        <v>0</v>
      </c>
      <c r="E762">
        <v>3</v>
      </c>
      <c r="G762">
        <v>1.3252999999999999</v>
      </c>
      <c r="H762">
        <v>37.325200000000002</v>
      </c>
    </row>
    <row r="763" spans="1:8" x14ac:dyDescent="0.2">
      <c r="A763">
        <v>256.74959999999999</v>
      </c>
      <c r="B763">
        <v>1.3802000000000001</v>
      </c>
      <c r="C763">
        <v>47.519300000000001</v>
      </c>
      <c r="D763">
        <v>0</v>
      </c>
      <c r="E763">
        <v>3</v>
      </c>
      <c r="G763">
        <v>1.3252999999999999</v>
      </c>
      <c r="H763">
        <v>37.168500000000002</v>
      </c>
    </row>
    <row r="764" spans="1:8" x14ac:dyDescent="0.2">
      <c r="A764">
        <v>257.12009999999998</v>
      </c>
      <c r="B764">
        <v>1.3801000000000001</v>
      </c>
      <c r="C764">
        <v>47.360999999999997</v>
      </c>
      <c r="D764">
        <v>0</v>
      </c>
      <c r="E764">
        <v>3</v>
      </c>
      <c r="G764">
        <v>1.3238000000000001</v>
      </c>
      <c r="H764">
        <v>37.0122</v>
      </c>
    </row>
    <row r="765" spans="1:8" x14ac:dyDescent="0.2">
      <c r="A765">
        <v>257.4905</v>
      </c>
      <c r="B765">
        <v>1.3794999999999999</v>
      </c>
      <c r="C765">
        <v>47.2059</v>
      </c>
      <c r="D765">
        <v>0</v>
      </c>
      <c r="E765">
        <v>3</v>
      </c>
      <c r="G765">
        <v>1.3218000000000001</v>
      </c>
      <c r="H765">
        <v>36.862000000000002</v>
      </c>
    </row>
    <row r="766" spans="1:8" x14ac:dyDescent="0.2">
      <c r="A766">
        <v>257.86110000000002</v>
      </c>
      <c r="B766">
        <v>1.3779999999999999</v>
      </c>
      <c r="C766">
        <v>47.0503</v>
      </c>
      <c r="D766">
        <v>0</v>
      </c>
      <c r="E766">
        <v>3</v>
      </c>
      <c r="G766">
        <v>1.3223</v>
      </c>
      <c r="H766">
        <v>36.705100000000002</v>
      </c>
    </row>
    <row r="767" spans="1:8" x14ac:dyDescent="0.2">
      <c r="A767">
        <v>258.23149999999998</v>
      </c>
      <c r="B767">
        <v>1.3778999999999999</v>
      </c>
      <c r="C767">
        <v>46.892299999999999</v>
      </c>
      <c r="D767">
        <v>0</v>
      </c>
      <c r="E767">
        <v>3</v>
      </c>
      <c r="G767">
        <v>1.3222</v>
      </c>
      <c r="H767">
        <v>36.549700000000001</v>
      </c>
    </row>
    <row r="768" spans="1:8" x14ac:dyDescent="0.2">
      <c r="A768">
        <v>258.60199999999998</v>
      </c>
      <c r="B768">
        <v>1.3774</v>
      </c>
      <c r="C768">
        <v>46.742600000000003</v>
      </c>
      <c r="D768">
        <v>0</v>
      </c>
      <c r="E768">
        <v>3</v>
      </c>
      <c r="G768">
        <v>1.3203</v>
      </c>
      <c r="H768">
        <v>36.398899999999998</v>
      </c>
    </row>
    <row r="769" spans="1:8" x14ac:dyDescent="0.2">
      <c r="A769">
        <v>258.97250000000003</v>
      </c>
      <c r="B769">
        <v>1.3765000000000001</v>
      </c>
      <c r="C769">
        <v>46.584000000000003</v>
      </c>
      <c r="D769">
        <v>0</v>
      </c>
      <c r="E769">
        <v>3</v>
      </c>
      <c r="G769">
        <v>1.3197000000000001</v>
      </c>
      <c r="H769">
        <v>36.245699999999999</v>
      </c>
    </row>
    <row r="770" spans="1:8" x14ac:dyDescent="0.2">
      <c r="A770">
        <v>259.34300000000002</v>
      </c>
      <c r="B770">
        <v>1.3751</v>
      </c>
      <c r="C770">
        <v>46.432600000000001</v>
      </c>
      <c r="D770">
        <v>0</v>
      </c>
      <c r="E770">
        <v>3</v>
      </c>
      <c r="G770">
        <v>1.3179000000000001</v>
      </c>
      <c r="H770">
        <v>36.090499999999999</v>
      </c>
    </row>
    <row r="771" spans="1:8" x14ac:dyDescent="0.2">
      <c r="A771">
        <v>259.71350000000001</v>
      </c>
      <c r="B771">
        <v>1.3735999999999999</v>
      </c>
      <c r="C771">
        <v>46.278500000000001</v>
      </c>
      <c r="D771">
        <v>0</v>
      </c>
      <c r="E771">
        <v>3</v>
      </c>
      <c r="G771">
        <v>1.3173999999999999</v>
      </c>
      <c r="H771">
        <v>35.9358</v>
      </c>
    </row>
    <row r="772" spans="1:8" x14ac:dyDescent="0.2">
      <c r="A772">
        <v>260.084</v>
      </c>
      <c r="B772">
        <v>1.373</v>
      </c>
      <c r="C772">
        <v>46.125999999999998</v>
      </c>
      <c r="D772">
        <v>0</v>
      </c>
      <c r="E772">
        <v>3</v>
      </c>
      <c r="G772">
        <v>1.3149999999999999</v>
      </c>
      <c r="H772">
        <v>35.781500000000001</v>
      </c>
    </row>
    <row r="773" spans="1:8" x14ac:dyDescent="0.2">
      <c r="A773">
        <v>260.4545</v>
      </c>
      <c r="B773">
        <v>1.3725000000000001</v>
      </c>
      <c r="C773">
        <v>45.969099999999997</v>
      </c>
      <c r="D773">
        <v>0</v>
      </c>
      <c r="E773">
        <v>3</v>
      </c>
      <c r="G773">
        <v>1.3151999999999999</v>
      </c>
      <c r="H773">
        <v>35.623399999999997</v>
      </c>
    </row>
    <row r="774" spans="1:8" x14ac:dyDescent="0.2">
      <c r="A774">
        <v>260.82499999999999</v>
      </c>
      <c r="B774">
        <v>1.3722000000000001</v>
      </c>
      <c r="C774">
        <v>45.814</v>
      </c>
      <c r="D774">
        <v>0</v>
      </c>
      <c r="E774">
        <v>3</v>
      </c>
      <c r="G774">
        <v>1.3146</v>
      </c>
      <c r="H774">
        <v>35.473700000000001</v>
      </c>
    </row>
    <row r="775" spans="1:8" x14ac:dyDescent="0.2">
      <c r="A775">
        <v>261.19549999999998</v>
      </c>
      <c r="B775">
        <v>1.3703000000000001</v>
      </c>
      <c r="C775">
        <v>45.6631</v>
      </c>
      <c r="D775">
        <v>0</v>
      </c>
      <c r="E775">
        <v>3</v>
      </c>
      <c r="G775">
        <v>1.3129999999999999</v>
      </c>
      <c r="H775">
        <v>35.313899999999997</v>
      </c>
    </row>
    <row r="776" spans="1:8" x14ac:dyDescent="0.2">
      <c r="A776">
        <v>261.5659</v>
      </c>
      <c r="B776">
        <v>1.37</v>
      </c>
      <c r="C776">
        <v>45.505800000000001</v>
      </c>
      <c r="D776">
        <v>0</v>
      </c>
      <c r="E776">
        <v>3</v>
      </c>
      <c r="G776">
        <v>1.3120000000000001</v>
      </c>
      <c r="H776">
        <v>35.166899999999998</v>
      </c>
    </row>
    <row r="777" spans="1:8" x14ac:dyDescent="0.2">
      <c r="A777">
        <v>261.93639999999999</v>
      </c>
      <c r="B777">
        <v>1.3707</v>
      </c>
      <c r="C777">
        <v>45.351700000000001</v>
      </c>
      <c r="D777">
        <v>0</v>
      </c>
      <c r="E777">
        <v>3</v>
      </c>
      <c r="G777">
        <v>1.3102</v>
      </c>
      <c r="H777">
        <v>35.010800000000003</v>
      </c>
    </row>
    <row r="778" spans="1:8" x14ac:dyDescent="0.2">
      <c r="A778">
        <v>262.30689999999998</v>
      </c>
      <c r="B778">
        <v>1.3696999999999999</v>
      </c>
      <c r="C778">
        <v>45.195700000000002</v>
      </c>
      <c r="D778">
        <v>0</v>
      </c>
      <c r="E778">
        <v>3</v>
      </c>
      <c r="G778">
        <v>1.31</v>
      </c>
      <c r="H778">
        <v>34.853400000000001</v>
      </c>
    </row>
    <row r="779" spans="1:8" x14ac:dyDescent="0.2">
      <c r="A779">
        <v>262.67739999999998</v>
      </c>
      <c r="B779">
        <v>1.3684000000000001</v>
      </c>
      <c r="C779">
        <v>45.045400000000001</v>
      </c>
      <c r="D779">
        <v>0</v>
      </c>
      <c r="E779">
        <v>3</v>
      </c>
      <c r="G779">
        <v>1.3093999999999999</v>
      </c>
      <c r="H779">
        <v>34.698399999999999</v>
      </c>
    </row>
    <row r="780" spans="1:8" x14ac:dyDescent="0.2">
      <c r="A780">
        <v>263.04790000000003</v>
      </c>
      <c r="B780">
        <v>1.3668</v>
      </c>
      <c r="C780">
        <v>44.890599999999999</v>
      </c>
      <c r="D780">
        <v>0</v>
      </c>
      <c r="E780">
        <v>3</v>
      </c>
      <c r="G780">
        <v>1.3082</v>
      </c>
      <c r="H780">
        <v>34.540799999999997</v>
      </c>
    </row>
    <row r="781" spans="1:8" x14ac:dyDescent="0.2">
      <c r="A781">
        <v>263.41840000000002</v>
      </c>
      <c r="B781">
        <v>1.3667</v>
      </c>
      <c r="C781">
        <v>44.733400000000003</v>
      </c>
      <c r="D781">
        <v>0</v>
      </c>
      <c r="E781">
        <v>3</v>
      </c>
      <c r="G781">
        <v>1.3067</v>
      </c>
      <c r="H781">
        <v>34.389699999999998</v>
      </c>
    </row>
    <row r="782" spans="1:8" x14ac:dyDescent="0.2">
      <c r="A782">
        <v>263.78890000000001</v>
      </c>
      <c r="B782">
        <v>1.3657999999999999</v>
      </c>
      <c r="C782">
        <v>44.579900000000002</v>
      </c>
      <c r="D782">
        <v>0</v>
      </c>
      <c r="E782">
        <v>3</v>
      </c>
      <c r="G782">
        <v>1.3058000000000001</v>
      </c>
      <c r="H782">
        <v>34.233600000000003</v>
      </c>
    </row>
    <row r="783" spans="1:8" x14ac:dyDescent="0.2">
      <c r="A783">
        <v>264.15940000000001</v>
      </c>
      <c r="B783">
        <v>1.3642000000000001</v>
      </c>
      <c r="C783">
        <v>44.426299999999998</v>
      </c>
      <c r="D783">
        <v>0</v>
      </c>
      <c r="E783">
        <v>3</v>
      </c>
      <c r="G783">
        <v>1.3048999999999999</v>
      </c>
      <c r="H783">
        <v>34.081899999999997</v>
      </c>
    </row>
    <row r="784" spans="1:8" x14ac:dyDescent="0.2">
      <c r="A784">
        <v>264.52980000000002</v>
      </c>
      <c r="B784">
        <v>1.3635999999999999</v>
      </c>
      <c r="C784">
        <v>44.268599999999999</v>
      </c>
      <c r="D784">
        <v>0</v>
      </c>
      <c r="E784">
        <v>3</v>
      </c>
      <c r="G784">
        <v>1.3038000000000001</v>
      </c>
      <c r="H784">
        <v>33.927700000000002</v>
      </c>
    </row>
    <row r="785" spans="1:8" x14ac:dyDescent="0.2">
      <c r="A785">
        <v>264.90039999999999</v>
      </c>
      <c r="B785">
        <v>1.3636999999999999</v>
      </c>
      <c r="C785">
        <v>44.114100000000001</v>
      </c>
      <c r="D785">
        <v>0</v>
      </c>
      <c r="E785">
        <v>3</v>
      </c>
      <c r="G785">
        <v>1.3035000000000001</v>
      </c>
      <c r="H785">
        <v>33.771599999999999</v>
      </c>
    </row>
    <row r="786" spans="1:8" x14ac:dyDescent="0.2">
      <c r="A786">
        <v>265.27080000000001</v>
      </c>
      <c r="B786">
        <v>1.3619000000000001</v>
      </c>
      <c r="C786">
        <v>43.9617</v>
      </c>
      <c r="D786">
        <v>0</v>
      </c>
      <c r="E786">
        <v>3</v>
      </c>
      <c r="G786">
        <v>1.3015000000000001</v>
      </c>
      <c r="H786">
        <v>33.622900000000001</v>
      </c>
    </row>
    <row r="787" spans="1:8" x14ac:dyDescent="0.2">
      <c r="A787">
        <v>265.6413</v>
      </c>
      <c r="B787">
        <v>1.3615999999999999</v>
      </c>
      <c r="C787">
        <v>43.81</v>
      </c>
      <c r="D787">
        <v>0</v>
      </c>
      <c r="E787">
        <v>3</v>
      </c>
      <c r="G787">
        <v>1.3008999999999999</v>
      </c>
      <c r="H787">
        <v>33.464399999999998</v>
      </c>
    </row>
    <row r="788" spans="1:8" x14ac:dyDescent="0.2">
      <c r="A788">
        <v>266.01179999999999</v>
      </c>
      <c r="B788">
        <v>1.3609</v>
      </c>
      <c r="C788">
        <v>43.656399999999998</v>
      </c>
      <c r="D788">
        <v>0</v>
      </c>
      <c r="E788">
        <v>3</v>
      </c>
      <c r="G788">
        <v>1.2994000000000001</v>
      </c>
      <c r="H788">
        <v>33.308</v>
      </c>
    </row>
    <row r="789" spans="1:8" x14ac:dyDescent="0.2">
      <c r="A789">
        <v>266.38229999999999</v>
      </c>
      <c r="B789">
        <v>1.3611</v>
      </c>
      <c r="C789">
        <v>43.498399999999997</v>
      </c>
      <c r="D789">
        <v>0</v>
      </c>
      <c r="E789">
        <v>3</v>
      </c>
      <c r="G789">
        <v>1.2990999999999999</v>
      </c>
      <c r="H789">
        <v>33.154400000000003</v>
      </c>
    </row>
    <row r="790" spans="1:8" x14ac:dyDescent="0.2">
      <c r="A790">
        <v>266.75279999999998</v>
      </c>
      <c r="B790">
        <v>1.3594999999999999</v>
      </c>
      <c r="C790">
        <v>43.349499999999999</v>
      </c>
      <c r="D790">
        <v>0</v>
      </c>
      <c r="E790">
        <v>3</v>
      </c>
      <c r="G790">
        <v>1.2979000000000001</v>
      </c>
      <c r="H790">
        <v>33.002299999999998</v>
      </c>
    </row>
    <row r="791" spans="1:8" x14ac:dyDescent="0.2">
      <c r="A791">
        <v>267.12329999999997</v>
      </c>
      <c r="B791">
        <v>1.3577999999999999</v>
      </c>
      <c r="C791">
        <v>43.192399999999999</v>
      </c>
      <c r="D791">
        <v>0</v>
      </c>
      <c r="E791">
        <v>3</v>
      </c>
      <c r="G791">
        <v>1.2971999999999999</v>
      </c>
      <c r="H791">
        <v>32.844299999999997</v>
      </c>
    </row>
    <row r="792" spans="1:8" x14ac:dyDescent="0.2">
      <c r="A792">
        <v>267.49380000000002</v>
      </c>
      <c r="B792">
        <v>1.3574999999999999</v>
      </c>
      <c r="C792">
        <v>43.036000000000001</v>
      </c>
      <c r="D792">
        <v>0</v>
      </c>
      <c r="E792">
        <v>3</v>
      </c>
      <c r="G792">
        <v>1.2946</v>
      </c>
      <c r="H792">
        <v>32.692500000000003</v>
      </c>
    </row>
    <row r="793" spans="1:8" x14ac:dyDescent="0.2">
      <c r="A793">
        <v>267.86430000000001</v>
      </c>
      <c r="B793">
        <v>1.3565</v>
      </c>
      <c r="C793">
        <v>42.884700000000002</v>
      </c>
      <c r="D793">
        <v>0</v>
      </c>
      <c r="E793">
        <v>3</v>
      </c>
      <c r="G793">
        <v>1.2950999999999999</v>
      </c>
      <c r="H793">
        <v>32.533499999999997</v>
      </c>
    </row>
    <row r="794" spans="1:8" x14ac:dyDescent="0.2">
      <c r="A794">
        <v>268.23480000000001</v>
      </c>
      <c r="B794">
        <v>1.3563000000000001</v>
      </c>
      <c r="C794">
        <v>42.729799999999997</v>
      </c>
      <c r="D794">
        <v>0</v>
      </c>
      <c r="E794">
        <v>3</v>
      </c>
      <c r="G794">
        <v>1.2934000000000001</v>
      </c>
      <c r="H794">
        <v>32.386099999999999</v>
      </c>
    </row>
    <row r="795" spans="1:8" x14ac:dyDescent="0.2">
      <c r="A795">
        <v>268.6053</v>
      </c>
      <c r="B795">
        <v>1.3546</v>
      </c>
      <c r="C795">
        <v>42.572899999999997</v>
      </c>
      <c r="D795">
        <v>0</v>
      </c>
      <c r="E795">
        <v>3</v>
      </c>
      <c r="G795">
        <v>1.2948999999999999</v>
      </c>
      <c r="H795">
        <v>32.225099999999998</v>
      </c>
    </row>
    <row r="796" spans="1:8" x14ac:dyDescent="0.2">
      <c r="A796">
        <v>268.97570000000002</v>
      </c>
      <c r="B796">
        <v>1.3554999999999999</v>
      </c>
      <c r="C796">
        <v>42.416600000000003</v>
      </c>
      <c r="D796">
        <v>0</v>
      </c>
      <c r="E796">
        <v>3</v>
      </c>
      <c r="G796">
        <v>1.2927999999999999</v>
      </c>
      <c r="H796">
        <v>32.075000000000003</v>
      </c>
    </row>
    <row r="797" spans="1:8" x14ac:dyDescent="0.2">
      <c r="A797">
        <v>269.34620000000001</v>
      </c>
      <c r="B797">
        <v>1.3529</v>
      </c>
      <c r="C797">
        <v>42.265999999999998</v>
      </c>
      <c r="D797">
        <v>0</v>
      </c>
      <c r="E797">
        <v>3</v>
      </c>
      <c r="G797">
        <v>1.292</v>
      </c>
      <c r="H797">
        <v>31.917300000000001</v>
      </c>
    </row>
    <row r="798" spans="1:8" x14ac:dyDescent="0.2">
      <c r="A798">
        <v>269.7167</v>
      </c>
      <c r="B798">
        <v>1.3525</v>
      </c>
      <c r="C798">
        <v>42.107199999999999</v>
      </c>
      <c r="D798">
        <v>0</v>
      </c>
      <c r="E798">
        <v>3</v>
      </c>
      <c r="G798">
        <v>1.2907</v>
      </c>
      <c r="H798">
        <v>31.7682</v>
      </c>
    </row>
    <row r="799" spans="1:8" x14ac:dyDescent="0.2">
      <c r="A799">
        <v>270.0872</v>
      </c>
      <c r="B799">
        <v>1.3516999999999999</v>
      </c>
      <c r="C799">
        <v>41.959699999999998</v>
      </c>
      <c r="D799">
        <v>0</v>
      </c>
      <c r="E799">
        <v>3</v>
      </c>
      <c r="G799">
        <v>1.2884</v>
      </c>
      <c r="H799">
        <v>31.613099999999999</v>
      </c>
    </row>
    <row r="800" spans="1:8" x14ac:dyDescent="0.2">
      <c r="A800">
        <v>270.45769999999999</v>
      </c>
      <c r="B800">
        <v>1.3513999999999999</v>
      </c>
      <c r="C800">
        <v>41.7973</v>
      </c>
      <c r="D800">
        <v>0</v>
      </c>
      <c r="E800">
        <v>3</v>
      </c>
      <c r="G800">
        <v>1.2889999999999999</v>
      </c>
      <c r="H800">
        <v>31.452000000000002</v>
      </c>
    </row>
    <row r="801" spans="1:8" x14ac:dyDescent="0.2">
      <c r="A801">
        <v>270.82819999999998</v>
      </c>
      <c r="B801">
        <v>1.3506</v>
      </c>
      <c r="C801">
        <v>41.647799999999997</v>
      </c>
      <c r="D801">
        <v>0</v>
      </c>
      <c r="E801">
        <v>3</v>
      </c>
      <c r="G801">
        <v>1.2887999999999999</v>
      </c>
      <c r="H801">
        <v>31.302399999999999</v>
      </c>
    </row>
    <row r="802" spans="1:8" x14ac:dyDescent="0.2">
      <c r="A802">
        <v>271.19869999999997</v>
      </c>
      <c r="B802">
        <v>1.3503000000000001</v>
      </c>
      <c r="C802">
        <v>41.490099999999998</v>
      </c>
      <c r="D802">
        <v>0</v>
      </c>
      <c r="E802">
        <v>3</v>
      </c>
      <c r="G802">
        <v>1.2881</v>
      </c>
      <c r="H802">
        <v>31.140599999999999</v>
      </c>
    </row>
    <row r="803" spans="1:8" x14ac:dyDescent="0.2">
      <c r="A803">
        <v>271.56920000000002</v>
      </c>
      <c r="B803">
        <v>1.3498000000000001</v>
      </c>
      <c r="C803">
        <v>41.335700000000003</v>
      </c>
      <c r="D803">
        <v>0</v>
      </c>
      <c r="E803">
        <v>3</v>
      </c>
      <c r="G803">
        <v>1.2853000000000001</v>
      </c>
      <c r="H803">
        <v>30.992699999999999</v>
      </c>
    </row>
    <row r="804" spans="1:8" x14ac:dyDescent="0.2">
      <c r="A804">
        <v>271.93970000000002</v>
      </c>
      <c r="B804">
        <v>1.3478000000000001</v>
      </c>
      <c r="C804">
        <v>41.183999999999997</v>
      </c>
      <c r="D804">
        <v>0</v>
      </c>
      <c r="E804">
        <v>3</v>
      </c>
      <c r="G804">
        <v>1.2849999999999999</v>
      </c>
      <c r="H804">
        <v>30.837299999999999</v>
      </c>
    </row>
    <row r="805" spans="1:8" x14ac:dyDescent="0.2">
      <c r="A805">
        <v>272.31020000000001</v>
      </c>
      <c r="B805">
        <v>1.347</v>
      </c>
      <c r="C805">
        <v>41.030299999999997</v>
      </c>
      <c r="D805">
        <v>0</v>
      </c>
      <c r="E805">
        <v>3</v>
      </c>
      <c r="G805">
        <v>1.2830999999999999</v>
      </c>
      <c r="H805">
        <v>30.6891</v>
      </c>
    </row>
    <row r="806" spans="1:8" x14ac:dyDescent="0.2">
      <c r="A806">
        <v>272.68060000000003</v>
      </c>
      <c r="B806">
        <v>1.3456999999999999</v>
      </c>
      <c r="C806">
        <v>40.8705</v>
      </c>
      <c r="D806">
        <v>0</v>
      </c>
      <c r="E806">
        <v>3</v>
      </c>
      <c r="G806">
        <v>1.2827</v>
      </c>
      <c r="H806">
        <v>30.532</v>
      </c>
    </row>
    <row r="807" spans="1:8" x14ac:dyDescent="0.2">
      <c r="A807">
        <v>273.05110000000002</v>
      </c>
      <c r="B807">
        <v>1.3444</v>
      </c>
      <c r="C807">
        <v>40.724299999999999</v>
      </c>
      <c r="D807">
        <v>0</v>
      </c>
      <c r="E807">
        <v>3</v>
      </c>
      <c r="G807">
        <v>1.2827999999999999</v>
      </c>
      <c r="H807">
        <v>30.373999999999999</v>
      </c>
    </row>
    <row r="808" spans="1:8" x14ac:dyDescent="0.2">
      <c r="A808">
        <v>273.42160000000001</v>
      </c>
      <c r="B808">
        <v>1.3443000000000001</v>
      </c>
      <c r="C808">
        <v>40.563499999999998</v>
      </c>
      <c r="D808">
        <v>0</v>
      </c>
      <c r="E808">
        <v>3</v>
      </c>
      <c r="G808">
        <v>1.2808999999999999</v>
      </c>
      <c r="H808">
        <v>30.2212</v>
      </c>
    </row>
    <row r="809" spans="1:8" x14ac:dyDescent="0.2">
      <c r="A809">
        <v>273.7921</v>
      </c>
      <c r="B809">
        <v>1.3435999999999999</v>
      </c>
      <c r="C809">
        <v>40.407299999999999</v>
      </c>
      <c r="D809">
        <v>0</v>
      </c>
      <c r="E809">
        <v>3</v>
      </c>
      <c r="G809">
        <v>1.2803</v>
      </c>
      <c r="H809">
        <v>30.0641</v>
      </c>
    </row>
    <row r="810" spans="1:8" x14ac:dyDescent="0.2">
      <c r="A810">
        <v>274.1626</v>
      </c>
      <c r="B810">
        <v>1.3420000000000001</v>
      </c>
      <c r="C810">
        <v>40.252699999999997</v>
      </c>
      <c r="D810">
        <v>0</v>
      </c>
      <c r="E810">
        <v>3</v>
      </c>
      <c r="G810">
        <v>1.2783</v>
      </c>
      <c r="H810">
        <v>29.910299999999999</v>
      </c>
    </row>
    <row r="811" spans="1:8" x14ac:dyDescent="0.2">
      <c r="A811">
        <v>274.53309999999999</v>
      </c>
      <c r="B811">
        <v>1.3406</v>
      </c>
      <c r="C811">
        <v>40.104100000000003</v>
      </c>
      <c r="D811">
        <v>0</v>
      </c>
      <c r="E811">
        <v>3</v>
      </c>
      <c r="G811">
        <v>1.2781</v>
      </c>
      <c r="H811">
        <v>29.760400000000001</v>
      </c>
    </row>
    <row r="812" spans="1:8" x14ac:dyDescent="0.2">
      <c r="A812">
        <v>274.90359999999998</v>
      </c>
      <c r="B812">
        <v>1.3405</v>
      </c>
      <c r="C812">
        <v>39.948900000000002</v>
      </c>
      <c r="D812">
        <v>0</v>
      </c>
      <c r="E812">
        <v>3</v>
      </c>
      <c r="G812">
        <v>1.2768999999999999</v>
      </c>
      <c r="H812">
        <v>29.5976</v>
      </c>
    </row>
    <row r="813" spans="1:8" x14ac:dyDescent="0.2">
      <c r="A813">
        <v>275.27409999999998</v>
      </c>
      <c r="B813">
        <v>1.3392999999999999</v>
      </c>
      <c r="C813">
        <v>39.789499999999997</v>
      </c>
      <c r="D813">
        <v>0</v>
      </c>
      <c r="E813">
        <v>3</v>
      </c>
      <c r="G813">
        <v>1.2765</v>
      </c>
      <c r="H813">
        <v>29.445799999999998</v>
      </c>
    </row>
    <row r="814" spans="1:8" x14ac:dyDescent="0.2">
      <c r="A814">
        <v>275.64460000000003</v>
      </c>
      <c r="B814">
        <v>1.3383</v>
      </c>
      <c r="C814">
        <v>39.646099999999997</v>
      </c>
      <c r="D814">
        <v>0</v>
      </c>
      <c r="E814">
        <v>3</v>
      </c>
      <c r="G814">
        <v>1.2748999999999999</v>
      </c>
      <c r="H814">
        <v>29.293099999999999</v>
      </c>
    </row>
    <row r="815" spans="1:8" x14ac:dyDescent="0.2">
      <c r="A815">
        <v>276.01499999999999</v>
      </c>
      <c r="B815">
        <v>1.339</v>
      </c>
      <c r="C815">
        <v>39.481699999999996</v>
      </c>
      <c r="D815">
        <v>0</v>
      </c>
      <c r="E815">
        <v>3</v>
      </c>
      <c r="G815">
        <v>1.2750999999999999</v>
      </c>
      <c r="H815">
        <v>29.137499999999999</v>
      </c>
    </row>
    <row r="816" spans="1:8" x14ac:dyDescent="0.2">
      <c r="A816">
        <v>276.38549999999998</v>
      </c>
      <c r="B816">
        <v>1.3364</v>
      </c>
      <c r="C816">
        <v>39.338500000000003</v>
      </c>
      <c r="D816">
        <v>0</v>
      </c>
      <c r="E816">
        <v>3</v>
      </c>
      <c r="G816">
        <v>1.2734000000000001</v>
      </c>
      <c r="H816">
        <v>28.982600000000001</v>
      </c>
    </row>
    <row r="817" spans="1:8" x14ac:dyDescent="0.2">
      <c r="A817">
        <v>276.75599999999997</v>
      </c>
      <c r="B817">
        <v>1.3364</v>
      </c>
      <c r="C817">
        <v>39.1751</v>
      </c>
      <c r="D817">
        <v>0</v>
      </c>
      <c r="E817">
        <v>3</v>
      </c>
      <c r="G817">
        <v>1.2722</v>
      </c>
      <c r="H817">
        <v>28.831299999999999</v>
      </c>
    </row>
    <row r="818" spans="1:8" x14ac:dyDescent="0.2">
      <c r="A818">
        <v>277.12650000000002</v>
      </c>
      <c r="B818">
        <v>1.3346</v>
      </c>
      <c r="C818">
        <v>39.023800000000001</v>
      </c>
      <c r="D818">
        <v>0</v>
      </c>
      <c r="E818">
        <v>3</v>
      </c>
      <c r="G818">
        <v>1.2713000000000001</v>
      </c>
      <c r="H818">
        <v>28.677700000000002</v>
      </c>
    </row>
    <row r="819" spans="1:8" x14ac:dyDescent="0.2">
      <c r="A819">
        <v>277.49700000000001</v>
      </c>
      <c r="B819">
        <v>1.3347</v>
      </c>
      <c r="C819">
        <v>38.867800000000003</v>
      </c>
      <c r="D819">
        <v>0</v>
      </c>
      <c r="E819">
        <v>3</v>
      </c>
      <c r="G819">
        <v>1.2697000000000001</v>
      </c>
      <c r="H819">
        <v>28.515000000000001</v>
      </c>
    </row>
    <row r="820" spans="1:8" x14ac:dyDescent="0.2">
      <c r="A820">
        <v>277.86750000000001</v>
      </c>
      <c r="B820">
        <v>1.3340000000000001</v>
      </c>
      <c r="C820">
        <v>38.7117</v>
      </c>
      <c r="D820">
        <v>0</v>
      </c>
      <c r="E820">
        <v>3</v>
      </c>
      <c r="G820">
        <v>1.2683</v>
      </c>
      <c r="H820">
        <v>28.367100000000001</v>
      </c>
    </row>
    <row r="821" spans="1:8" x14ac:dyDescent="0.2">
      <c r="A821">
        <v>278.238</v>
      </c>
      <c r="B821">
        <v>1.3332999999999999</v>
      </c>
      <c r="C821">
        <v>38.559399999999997</v>
      </c>
      <c r="D821">
        <v>0</v>
      </c>
      <c r="E821">
        <v>3</v>
      </c>
      <c r="G821">
        <v>1.2674000000000001</v>
      </c>
      <c r="H821">
        <v>28.215399999999999</v>
      </c>
    </row>
    <row r="822" spans="1:8" x14ac:dyDescent="0.2">
      <c r="A822">
        <v>278.60849999999999</v>
      </c>
      <c r="B822">
        <v>1.3323</v>
      </c>
      <c r="C822">
        <v>38.401800000000001</v>
      </c>
      <c r="D822">
        <v>0</v>
      </c>
      <c r="E822">
        <v>3</v>
      </c>
      <c r="G822">
        <v>1.2663</v>
      </c>
      <c r="H822">
        <v>28.061299999999999</v>
      </c>
    </row>
    <row r="823" spans="1:8" x14ac:dyDescent="0.2">
      <c r="A823">
        <v>278.97899999999998</v>
      </c>
      <c r="B823">
        <v>1.3305</v>
      </c>
      <c r="C823">
        <v>38.2483</v>
      </c>
      <c r="D823">
        <v>0</v>
      </c>
      <c r="E823">
        <v>3</v>
      </c>
      <c r="G823">
        <v>1.2658</v>
      </c>
      <c r="H823">
        <v>27.904299999999999</v>
      </c>
    </row>
    <row r="824" spans="1:8" x14ac:dyDescent="0.2">
      <c r="A824">
        <v>279.34949999999998</v>
      </c>
      <c r="B824">
        <v>1.3299000000000001</v>
      </c>
      <c r="C824">
        <v>38.094200000000001</v>
      </c>
      <c r="D824">
        <v>0</v>
      </c>
      <c r="E824">
        <v>3</v>
      </c>
      <c r="G824">
        <v>1.2659</v>
      </c>
      <c r="H824">
        <v>27.748200000000001</v>
      </c>
    </row>
    <row r="825" spans="1:8" x14ac:dyDescent="0.2">
      <c r="A825">
        <v>279.7199</v>
      </c>
      <c r="B825">
        <v>1.3293999999999999</v>
      </c>
      <c r="C825">
        <v>37.943300000000001</v>
      </c>
      <c r="D825">
        <v>0</v>
      </c>
      <c r="E825">
        <v>3</v>
      </c>
      <c r="G825">
        <v>1.264</v>
      </c>
      <c r="H825">
        <v>27.587700000000002</v>
      </c>
    </row>
    <row r="826" spans="1:8" x14ac:dyDescent="0.2">
      <c r="A826">
        <v>280.09050000000002</v>
      </c>
      <c r="B826">
        <v>1.3282</v>
      </c>
      <c r="C826">
        <v>37.7896</v>
      </c>
      <c r="D826">
        <v>0</v>
      </c>
      <c r="E826">
        <v>3</v>
      </c>
      <c r="G826">
        <v>1.2625999999999999</v>
      </c>
      <c r="H826">
        <v>27.442699999999999</v>
      </c>
    </row>
    <row r="827" spans="1:8" x14ac:dyDescent="0.2">
      <c r="A827">
        <v>280.46089999999998</v>
      </c>
      <c r="B827">
        <v>1.3269</v>
      </c>
      <c r="C827">
        <v>37.632100000000001</v>
      </c>
      <c r="D827">
        <v>0</v>
      </c>
      <c r="E827">
        <v>3</v>
      </c>
      <c r="G827">
        <v>1.2625</v>
      </c>
      <c r="H827">
        <v>27.284500000000001</v>
      </c>
    </row>
    <row r="828" spans="1:8" x14ac:dyDescent="0.2">
      <c r="A828">
        <v>280.83139999999997</v>
      </c>
      <c r="B828">
        <v>1.3263</v>
      </c>
      <c r="C828">
        <v>37.478499999999997</v>
      </c>
      <c r="D828">
        <v>0</v>
      </c>
      <c r="E828">
        <v>3</v>
      </c>
      <c r="G828">
        <v>1.2604</v>
      </c>
      <c r="H828">
        <v>27.1372</v>
      </c>
    </row>
    <row r="829" spans="1:8" x14ac:dyDescent="0.2">
      <c r="A829">
        <v>281.20190000000002</v>
      </c>
      <c r="B829">
        <v>1.3252999999999999</v>
      </c>
      <c r="C829">
        <v>37.325200000000002</v>
      </c>
      <c r="D829">
        <v>0</v>
      </c>
      <c r="E829">
        <v>3</v>
      </c>
      <c r="G829">
        <v>1.2598</v>
      </c>
      <c r="H829">
        <v>26.9817</v>
      </c>
    </row>
    <row r="830" spans="1:8" x14ac:dyDescent="0.2">
      <c r="A830">
        <v>281.57240000000002</v>
      </c>
      <c r="B830">
        <v>1.3252999999999999</v>
      </c>
      <c r="C830">
        <v>37.168500000000002</v>
      </c>
      <c r="D830">
        <v>0</v>
      </c>
      <c r="E830">
        <v>3</v>
      </c>
      <c r="G830">
        <v>1.2599</v>
      </c>
      <c r="H830">
        <v>26.8262</v>
      </c>
    </row>
    <row r="831" spans="1:8" x14ac:dyDescent="0.2">
      <c r="A831">
        <v>281.94290000000001</v>
      </c>
      <c r="B831">
        <v>1.3238000000000001</v>
      </c>
      <c r="C831">
        <v>37.0122</v>
      </c>
      <c r="D831">
        <v>0</v>
      </c>
      <c r="E831">
        <v>3</v>
      </c>
      <c r="G831">
        <v>1.2584</v>
      </c>
      <c r="H831">
        <v>26.667899999999999</v>
      </c>
    </row>
    <row r="832" spans="1:8" x14ac:dyDescent="0.2">
      <c r="A832">
        <v>282.3134</v>
      </c>
      <c r="B832">
        <v>1.3218000000000001</v>
      </c>
      <c r="C832">
        <v>36.862000000000002</v>
      </c>
      <c r="D832">
        <v>0</v>
      </c>
      <c r="E832">
        <v>3</v>
      </c>
      <c r="G832">
        <v>1.2569999999999999</v>
      </c>
      <c r="H832">
        <v>26.510999999999999</v>
      </c>
    </row>
    <row r="833" spans="1:8" x14ac:dyDescent="0.2">
      <c r="A833">
        <v>282.68389999999999</v>
      </c>
      <c r="B833">
        <v>1.3223</v>
      </c>
      <c r="C833">
        <v>36.705100000000002</v>
      </c>
      <c r="D833">
        <v>0</v>
      </c>
      <c r="E833">
        <v>3</v>
      </c>
      <c r="G833">
        <v>1.2569999999999999</v>
      </c>
      <c r="H833">
        <v>26.3569</v>
      </c>
    </row>
    <row r="834" spans="1:8" x14ac:dyDescent="0.2">
      <c r="A834">
        <v>283.05439999999999</v>
      </c>
      <c r="B834">
        <v>1.3222</v>
      </c>
      <c r="C834">
        <v>36.549700000000001</v>
      </c>
      <c r="D834">
        <v>0</v>
      </c>
      <c r="E834">
        <v>3</v>
      </c>
      <c r="G834">
        <v>1.256</v>
      </c>
      <c r="H834">
        <v>26.2041</v>
      </c>
    </row>
    <row r="835" spans="1:8" x14ac:dyDescent="0.2">
      <c r="A835">
        <v>283.4248</v>
      </c>
      <c r="B835">
        <v>1.3203</v>
      </c>
      <c r="C835">
        <v>36.398899999999998</v>
      </c>
      <c r="D835">
        <v>0</v>
      </c>
      <c r="E835">
        <v>3</v>
      </c>
      <c r="G835">
        <v>1.2544999999999999</v>
      </c>
      <c r="H835">
        <v>26.050599999999999</v>
      </c>
    </row>
    <row r="836" spans="1:8" x14ac:dyDescent="0.2">
      <c r="A836">
        <v>283.7953</v>
      </c>
      <c r="B836">
        <v>1.3197000000000001</v>
      </c>
      <c r="C836">
        <v>36.245699999999999</v>
      </c>
      <c r="D836">
        <v>0</v>
      </c>
      <c r="E836">
        <v>3</v>
      </c>
      <c r="G836">
        <v>1.2529999999999999</v>
      </c>
      <c r="H836">
        <v>25.893599999999999</v>
      </c>
    </row>
    <row r="837" spans="1:8" x14ac:dyDescent="0.2">
      <c r="A837">
        <v>284.16579999999999</v>
      </c>
      <c r="B837">
        <v>1.3179000000000001</v>
      </c>
      <c r="C837">
        <v>36.090499999999999</v>
      </c>
      <c r="D837">
        <v>0</v>
      </c>
      <c r="E837">
        <v>3</v>
      </c>
      <c r="G837">
        <v>1.252</v>
      </c>
      <c r="H837">
        <v>25.742799999999999</v>
      </c>
    </row>
    <row r="838" spans="1:8" x14ac:dyDescent="0.2">
      <c r="A838">
        <v>284.53629999999998</v>
      </c>
      <c r="B838">
        <v>1.3173999999999999</v>
      </c>
      <c r="C838">
        <v>35.9358</v>
      </c>
      <c r="D838">
        <v>0</v>
      </c>
      <c r="E838">
        <v>3</v>
      </c>
      <c r="G838">
        <v>1.2503</v>
      </c>
      <c r="H838">
        <v>25.588100000000001</v>
      </c>
    </row>
    <row r="839" spans="1:8" x14ac:dyDescent="0.2">
      <c r="A839">
        <v>284.90679999999998</v>
      </c>
      <c r="B839">
        <v>1.3149999999999999</v>
      </c>
      <c r="C839">
        <v>35.781500000000001</v>
      </c>
      <c r="D839">
        <v>0</v>
      </c>
      <c r="E839">
        <v>3</v>
      </c>
      <c r="G839">
        <v>1.2502</v>
      </c>
      <c r="H839">
        <v>25.4376</v>
      </c>
    </row>
    <row r="840" spans="1:8" x14ac:dyDescent="0.2">
      <c r="A840">
        <v>285.27730000000003</v>
      </c>
      <c r="B840">
        <v>1.3151999999999999</v>
      </c>
      <c r="C840">
        <v>35.623399999999997</v>
      </c>
      <c r="D840">
        <v>0</v>
      </c>
      <c r="E840">
        <v>3</v>
      </c>
      <c r="G840">
        <v>1.2492000000000001</v>
      </c>
      <c r="H840">
        <v>25.273900000000001</v>
      </c>
    </row>
    <row r="841" spans="1:8" x14ac:dyDescent="0.2">
      <c r="A841">
        <v>285.64780000000002</v>
      </c>
      <c r="B841">
        <v>1.3146</v>
      </c>
      <c r="C841">
        <v>35.473700000000001</v>
      </c>
      <c r="D841">
        <v>0</v>
      </c>
      <c r="E841">
        <v>3</v>
      </c>
      <c r="G841">
        <v>1.2481</v>
      </c>
      <c r="H841">
        <v>25.1251</v>
      </c>
    </row>
    <row r="842" spans="1:8" x14ac:dyDescent="0.2">
      <c r="A842">
        <v>286.01830000000001</v>
      </c>
      <c r="B842">
        <v>1.3129999999999999</v>
      </c>
      <c r="C842">
        <v>35.313899999999997</v>
      </c>
      <c r="D842">
        <v>0</v>
      </c>
      <c r="E842">
        <v>3</v>
      </c>
      <c r="G842">
        <v>1.2464</v>
      </c>
      <c r="H842">
        <v>24.9739</v>
      </c>
    </row>
    <row r="843" spans="1:8" x14ac:dyDescent="0.2">
      <c r="A843">
        <v>286.3888</v>
      </c>
      <c r="B843">
        <v>1.3120000000000001</v>
      </c>
      <c r="C843">
        <v>35.166899999999998</v>
      </c>
      <c r="D843">
        <v>0</v>
      </c>
      <c r="E843">
        <v>3</v>
      </c>
      <c r="G843">
        <v>1.2461</v>
      </c>
      <c r="H843">
        <v>24.818899999999999</v>
      </c>
    </row>
    <row r="844" spans="1:8" x14ac:dyDescent="0.2">
      <c r="A844">
        <v>286.75920000000002</v>
      </c>
      <c r="B844">
        <v>1.3102</v>
      </c>
      <c r="C844">
        <v>35.010800000000003</v>
      </c>
      <c r="D844">
        <v>0</v>
      </c>
      <c r="E844">
        <v>3</v>
      </c>
      <c r="G844">
        <v>1.2450000000000001</v>
      </c>
      <c r="H844">
        <v>24.657800000000002</v>
      </c>
    </row>
    <row r="845" spans="1:8" x14ac:dyDescent="0.2">
      <c r="A845">
        <v>287.12979999999999</v>
      </c>
      <c r="B845">
        <v>1.31</v>
      </c>
      <c r="C845">
        <v>34.853400000000001</v>
      </c>
      <c r="D845">
        <v>0</v>
      </c>
      <c r="E845">
        <v>3</v>
      </c>
      <c r="G845">
        <v>1.2438</v>
      </c>
      <c r="H845">
        <v>24.5076</v>
      </c>
    </row>
    <row r="846" spans="1:8" x14ac:dyDescent="0.2">
      <c r="A846">
        <v>287.50020000000001</v>
      </c>
      <c r="B846">
        <v>1.3093999999999999</v>
      </c>
      <c r="C846">
        <v>34.698399999999999</v>
      </c>
      <c r="D846">
        <v>0</v>
      </c>
      <c r="E846">
        <v>3</v>
      </c>
      <c r="G846">
        <v>1.2431000000000001</v>
      </c>
      <c r="H846">
        <v>24.352399999999999</v>
      </c>
    </row>
    <row r="847" spans="1:8" x14ac:dyDescent="0.2">
      <c r="A847">
        <v>287.8707</v>
      </c>
      <c r="B847">
        <v>1.3082</v>
      </c>
      <c r="C847">
        <v>34.540799999999997</v>
      </c>
      <c r="D847">
        <v>0</v>
      </c>
      <c r="E847">
        <v>3</v>
      </c>
      <c r="G847">
        <v>1.2424999999999999</v>
      </c>
      <c r="H847">
        <v>24.195599999999999</v>
      </c>
    </row>
    <row r="848" spans="1:8" x14ac:dyDescent="0.2">
      <c r="A848">
        <v>288.24119999999999</v>
      </c>
      <c r="B848">
        <v>1.3067</v>
      </c>
      <c r="C848">
        <v>34.389699999999998</v>
      </c>
      <c r="D848">
        <v>0</v>
      </c>
      <c r="E848">
        <v>3</v>
      </c>
      <c r="G848">
        <v>1.2417</v>
      </c>
      <c r="H848">
        <v>24.041799999999999</v>
      </c>
    </row>
    <row r="849" spans="1:8" x14ac:dyDescent="0.2">
      <c r="A849">
        <v>288.61169999999998</v>
      </c>
      <c r="B849">
        <v>1.3058000000000001</v>
      </c>
      <c r="C849">
        <v>34.233600000000003</v>
      </c>
      <c r="D849">
        <v>0</v>
      </c>
      <c r="E849">
        <v>3</v>
      </c>
      <c r="G849">
        <v>1.2397</v>
      </c>
      <c r="H849">
        <v>23.891500000000001</v>
      </c>
    </row>
    <row r="850" spans="1:8" x14ac:dyDescent="0.2">
      <c r="A850">
        <v>288.98219999999998</v>
      </c>
      <c r="B850">
        <v>1.3048999999999999</v>
      </c>
      <c r="C850">
        <v>34.081899999999997</v>
      </c>
      <c r="D850">
        <v>0</v>
      </c>
      <c r="E850">
        <v>3</v>
      </c>
      <c r="G850">
        <v>1.2382</v>
      </c>
      <c r="H850">
        <v>23.732399999999998</v>
      </c>
    </row>
    <row r="851" spans="1:8" x14ac:dyDescent="0.2">
      <c r="A851">
        <v>289.35270000000003</v>
      </c>
      <c r="B851">
        <v>1.3038000000000001</v>
      </c>
      <c r="C851">
        <v>33.927700000000002</v>
      </c>
      <c r="D851">
        <v>0</v>
      </c>
      <c r="E851">
        <v>3</v>
      </c>
      <c r="G851">
        <v>1.2372000000000001</v>
      </c>
      <c r="H851">
        <v>23.578499999999998</v>
      </c>
    </row>
    <row r="852" spans="1:8" x14ac:dyDescent="0.2">
      <c r="A852">
        <v>289.72320000000002</v>
      </c>
      <c r="B852">
        <v>1.3035000000000001</v>
      </c>
      <c r="C852">
        <v>33.771599999999999</v>
      </c>
      <c r="D852">
        <v>0</v>
      </c>
      <c r="E852">
        <v>3</v>
      </c>
      <c r="G852">
        <v>1.2370000000000001</v>
      </c>
      <c r="H852">
        <v>23.4239</v>
      </c>
    </row>
    <row r="853" spans="1:8" x14ac:dyDescent="0.2">
      <c r="A853">
        <v>290.09370000000001</v>
      </c>
      <c r="B853">
        <v>1.3015000000000001</v>
      </c>
      <c r="C853">
        <v>33.622900000000001</v>
      </c>
      <c r="D853">
        <v>0</v>
      </c>
      <c r="E853">
        <v>3</v>
      </c>
      <c r="G853">
        <v>1.2349000000000001</v>
      </c>
      <c r="H853">
        <v>23.270299999999999</v>
      </c>
    </row>
    <row r="854" spans="1:8" x14ac:dyDescent="0.2">
      <c r="A854">
        <v>290.46420000000001</v>
      </c>
      <c r="B854">
        <v>1.3008999999999999</v>
      </c>
      <c r="C854">
        <v>33.464399999999998</v>
      </c>
      <c r="D854">
        <v>0</v>
      </c>
      <c r="E854">
        <v>3</v>
      </c>
      <c r="G854">
        <v>1.2343</v>
      </c>
      <c r="H854">
        <v>23.1159</v>
      </c>
    </row>
    <row r="855" spans="1:8" x14ac:dyDescent="0.2">
      <c r="A855">
        <v>290.8347</v>
      </c>
      <c r="B855">
        <v>1.2994000000000001</v>
      </c>
      <c r="C855">
        <v>33.308</v>
      </c>
      <c r="D855">
        <v>0</v>
      </c>
      <c r="E855">
        <v>3</v>
      </c>
      <c r="G855">
        <v>1.2329000000000001</v>
      </c>
      <c r="H855">
        <v>22.961500000000001</v>
      </c>
    </row>
    <row r="856" spans="1:8" x14ac:dyDescent="0.2">
      <c r="A856">
        <v>291.20510000000002</v>
      </c>
      <c r="B856">
        <v>1.2990999999999999</v>
      </c>
      <c r="C856">
        <v>33.154400000000003</v>
      </c>
      <c r="D856">
        <v>0</v>
      </c>
      <c r="E856">
        <v>3</v>
      </c>
      <c r="G856">
        <v>1.2317</v>
      </c>
      <c r="H856">
        <v>22.806999999999999</v>
      </c>
    </row>
    <row r="857" spans="1:8" x14ac:dyDescent="0.2">
      <c r="A857">
        <v>291.57560000000001</v>
      </c>
      <c r="B857">
        <v>1.2979000000000001</v>
      </c>
      <c r="C857">
        <v>33.002299999999998</v>
      </c>
      <c r="D857">
        <v>0</v>
      </c>
      <c r="E857">
        <v>3</v>
      </c>
      <c r="G857">
        <v>1.2302999999999999</v>
      </c>
      <c r="H857">
        <v>22.650700000000001</v>
      </c>
    </row>
    <row r="858" spans="1:8" x14ac:dyDescent="0.2">
      <c r="A858">
        <v>291.9461</v>
      </c>
      <c r="B858">
        <v>1.2971999999999999</v>
      </c>
      <c r="C858">
        <v>32.844299999999997</v>
      </c>
      <c r="D858">
        <v>0</v>
      </c>
      <c r="E858">
        <v>3</v>
      </c>
      <c r="G858">
        <v>1.2299</v>
      </c>
      <c r="H858">
        <v>22.497299999999999</v>
      </c>
    </row>
    <row r="859" spans="1:8" x14ac:dyDescent="0.2">
      <c r="A859">
        <v>292.31659999999999</v>
      </c>
      <c r="B859">
        <v>1.2946</v>
      </c>
      <c r="C859">
        <v>32.692500000000003</v>
      </c>
      <c r="D859">
        <v>0</v>
      </c>
      <c r="E859">
        <v>3</v>
      </c>
      <c r="G859">
        <v>1.228</v>
      </c>
      <c r="H859">
        <v>22.3445</v>
      </c>
    </row>
    <row r="860" spans="1:8" x14ac:dyDescent="0.2">
      <c r="A860">
        <v>292.68709999999999</v>
      </c>
      <c r="B860">
        <v>1.2950999999999999</v>
      </c>
      <c r="C860">
        <v>32.533499999999997</v>
      </c>
      <c r="D860">
        <v>0</v>
      </c>
      <c r="E860">
        <v>3</v>
      </c>
      <c r="G860">
        <v>1.2258</v>
      </c>
      <c r="H860">
        <v>22.1907</v>
      </c>
    </row>
    <row r="861" spans="1:8" x14ac:dyDescent="0.2">
      <c r="A861">
        <v>293.05759999999998</v>
      </c>
      <c r="B861">
        <v>1.2934000000000001</v>
      </c>
      <c r="C861">
        <v>32.386099999999999</v>
      </c>
      <c r="D861">
        <v>0</v>
      </c>
      <c r="E861">
        <v>3</v>
      </c>
      <c r="G861">
        <v>1.2245999999999999</v>
      </c>
      <c r="H861">
        <v>22.037199999999999</v>
      </c>
    </row>
    <row r="862" spans="1:8" x14ac:dyDescent="0.2">
      <c r="A862">
        <v>293.42809999999997</v>
      </c>
      <c r="B862">
        <v>1.2948999999999999</v>
      </c>
      <c r="C862">
        <v>32.225099999999998</v>
      </c>
      <c r="D862">
        <v>0</v>
      </c>
      <c r="E862">
        <v>3</v>
      </c>
      <c r="G862">
        <v>1.224</v>
      </c>
      <c r="H862">
        <v>21.879100000000001</v>
      </c>
    </row>
    <row r="863" spans="1:8" x14ac:dyDescent="0.2">
      <c r="A863">
        <v>293.79860000000002</v>
      </c>
      <c r="B863">
        <v>1.2927999999999999</v>
      </c>
      <c r="C863">
        <v>32.075000000000003</v>
      </c>
      <c r="D863">
        <v>0</v>
      </c>
      <c r="E863">
        <v>3</v>
      </c>
      <c r="G863">
        <v>1.2221</v>
      </c>
      <c r="H863">
        <v>21.7319</v>
      </c>
    </row>
    <row r="864" spans="1:8" x14ac:dyDescent="0.2">
      <c r="A864">
        <v>294.16910000000001</v>
      </c>
      <c r="B864">
        <v>1.292</v>
      </c>
      <c r="C864">
        <v>31.917300000000001</v>
      </c>
      <c r="D864">
        <v>0</v>
      </c>
      <c r="E864">
        <v>3</v>
      </c>
      <c r="G864">
        <v>1.2212000000000001</v>
      </c>
      <c r="H864">
        <v>21.572900000000001</v>
      </c>
    </row>
    <row r="865" spans="1:8" x14ac:dyDescent="0.2">
      <c r="A865">
        <v>294.53960000000001</v>
      </c>
      <c r="B865">
        <v>1.2907</v>
      </c>
      <c r="C865">
        <v>31.7682</v>
      </c>
      <c r="D865">
        <v>0</v>
      </c>
      <c r="E865">
        <v>3</v>
      </c>
      <c r="G865">
        <v>1.2205999999999999</v>
      </c>
      <c r="H865">
        <v>21.417300000000001</v>
      </c>
    </row>
    <row r="866" spans="1:8" x14ac:dyDescent="0.2">
      <c r="A866">
        <v>294.91000000000003</v>
      </c>
      <c r="B866">
        <v>1.2884</v>
      </c>
      <c r="C866">
        <v>31.613099999999999</v>
      </c>
      <c r="D866">
        <v>0</v>
      </c>
      <c r="E866">
        <v>3</v>
      </c>
      <c r="G866">
        <v>1.2195</v>
      </c>
      <c r="H866">
        <v>21.2684</v>
      </c>
    </row>
    <row r="867" spans="1:8" x14ac:dyDescent="0.2">
      <c r="A867">
        <v>295.28050000000002</v>
      </c>
      <c r="B867">
        <v>1.2889999999999999</v>
      </c>
      <c r="C867">
        <v>31.452000000000002</v>
      </c>
      <c r="D867">
        <v>0</v>
      </c>
      <c r="E867">
        <v>3</v>
      </c>
      <c r="G867">
        <v>1.2181999999999999</v>
      </c>
      <c r="H867">
        <v>21.111999999999998</v>
      </c>
    </row>
    <row r="868" spans="1:8" x14ac:dyDescent="0.2">
      <c r="A868">
        <v>295.65100000000001</v>
      </c>
      <c r="B868">
        <v>1.2887999999999999</v>
      </c>
      <c r="C868">
        <v>31.302399999999999</v>
      </c>
      <c r="D868">
        <v>0</v>
      </c>
      <c r="E868">
        <v>3</v>
      </c>
      <c r="G868">
        <v>1.2164999999999999</v>
      </c>
      <c r="H868">
        <v>20.959700000000002</v>
      </c>
    </row>
    <row r="869" spans="1:8" x14ac:dyDescent="0.2">
      <c r="A869">
        <v>296.0215</v>
      </c>
      <c r="B869">
        <v>1.2881</v>
      </c>
      <c r="C869">
        <v>31.140599999999999</v>
      </c>
      <c r="D869">
        <v>0</v>
      </c>
      <c r="E869">
        <v>3</v>
      </c>
      <c r="G869">
        <v>1.216</v>
      </c>
      <c r="H869">
        <v>20.803000000000001</v>
      </c>
    </row>
    <row r="870" spans="1:8" x14ac:dyDescent="0.2">
      <c r="A870">
        <v>296.392</v>
      </c>
      <c r="B870">
        <v>1.2853000000000001</v>
      </c>
      <c r="C870">
        <v>30.992699999999999</v>
      </c>
      <c r="D870">
        <v>0</v>
      </c>
      <c r="E870">
        <v>3</v>
      </c>
      <c r="G870">
        <v>1.2143999999999999</v>
      </c>
      <c r="H870">
        <v>20.645600000000002</v>
      </c>
    </row>
    <row r="871" spans="1:8" x14ac:dyDescent="0.2">
      <c r="A871">
        <v>296.76249999999999</v>
      </c>
      <c r="B871">
        <v>1.2849999999999999</v>
      </c>
      <c r="C871">
        <v>30.837299999999999</v>
      </c>
      <c r="D871">
        <v>0</v>
      </c>
      <c r="E871">
        <v>3</v>
      </c>
      <c r="G871">
        <v>1.2125999999999999</v>
      </c>
      <c r="H871">
        <v>20.4908</v>
      </c>
    </row>
    <row r="872" spans="1:8" x14ac:dyDescent="0.2">
      <c r="A872">
        <v>297.13299999999998</v>
      </c>
      <c r="B872">
        <v>1.2830999999999999</v>
      </c>
      <c r="C872">
        <v>30.6891</v>
      </c>
      <c r="D872">
        <v>0</v>
      </c>
      <c r="E872">
        <v>3</v>
      </c>
      <c r="G872">
        <v>1.2118</v>
      </c>
      <c r="H872">
        <v>20.342300000000002</v>
      </c>
    </row>
    <row r="873" spans="1:8" x14ac:dyDescent="0.2">
      <c r="A873">
        <v>297.50349999999997</v>
      </c>
      <c r="B873">
        <v>1.2827</v>
      </c>
      <c r="C873">
        <v>30.532</v>
      </c>
      <c r="D873">
        <v>0</v>
      </c>
      <c r="E873">
        <v>3</v>
      </c>
      <c r="G873">
        <v>1.2109000000000001</v>
      </c>
      <c r="H873">
        <v>20.181100000000001</v>
      </c>
    </row>
    <row r="874" spans="1:8" x14ac:dyDescent="0.2">
      <c r="A874">
        <v>297.87400000000002</v>
      </c>
      <c r="B874">
        <v>1.2827999999999999</v>
      </c>
      <c r="C874">
        <v>30.373999999999999</v>
      </c>
      <c r="D874">
        <v>0</v>
      </c>
      <c r="E874">
        <v>3</v>
      </c>
      <c r="G874">
        <v>1.2096</v>
      </c>
      <c r="H874">
        <v>20.028199999999998</v>
      </c>
    </row>
    <row r="875" spans="1:8" x14ac:dyDescent="0.2">
      <c r="A875">
        <v>298.24439999999998</v>
      </c>
      <c r="B875">
        <v>1.2808999999999999</v>
      </c>
      <c r="C875">
        <v>30.2212</v>
      </c>
      <c r="D875">
        <v>0</v>
      </c>
      <c r="E875">
        <v>3</v>
      </c>
      <c r="G875">
        <v>1.2083999999999999</v>
      </c>
      <c r="H875">
        <v>19.8751</v>
      </c>
    </row>
    <row r="876" spans="1:8" x14ac:dyDescent="0.2">
      <c r="A876">
        <v>298.61489999999998</v>
      </c>
      <c r="B876">
        <v>1.2803</v>
      </c>
      <c r="C876">
        <v>30.0641</v>
      </c>
      <c r="D876">
        <v>0</v>
      </c>
      <c r="E876">
        <v>3</v>
      </c>
      <c r="G876">
        <v>1.2067000000000001</v>
      </c>
      <c r="H876">
        <v>19.720800000000001</v>
      </c>
    </row>
    <row r="877" spans="1:8" x14ac:dyDescent="0.2">
      <c r="A877">
        <v>298.98540000000003</v>
      </c>
      <c r="B877">
        <v>1.2783</v>
      </c>
      <c r="C877">
        <v>29.910299999999999</v>
      </c>
      <c r="D877">
        <v>0</v>
      </c>
      <c r="E877">
        <v>3</v>
      </c>
      <c r="G877">
        <v>1.2069000000000001</v>
      </c>
      <c r="H877">
        <v>19.564699999999998</v>
      </c>
    </row>
    <row r="878" spans="1:8" x14ac:dyDescent="0.2">
      <c r="A878">
        <v>299.35590000000002</v>
      </c>
      <c r="B878">
        <v>1.2781</v>
      </c>
      <c r="C878">
        <v>29.760400000000001</v>
      </c>
      <c r="D878">
        <v>0</v>
      </c>
      <c r="E878">
        <v>3</v>
      </c>
      <c r="G878">
        <v>1.2057</v>
      </c>
      <c r="H878">
        <v>19.411999999999999</v>
      </c>
    </row>
    <row r="879" spans="1:8" x14ac:dyDescent="0.2">
      <c r="A879">
        <v>299.72640000000001</v>
      </c>
      <c r="B879">
        <v>1.2768999999999999</v>
      </c>
      <c r="C879">
        <v>29.5976</v>
      </c>
      <c r="D879">
        <v>0</v>
      </c>
      <c r="E879">
        <v>3</v>
      </c>
      <c r="G879">
        <v>1.2039</v>
      </c>
      <c r="H879">
        <v>19.257999999999999</v>
      </c>
    </row>
    <row r="880" spans="1:8" x14ac:dyDescent="0.2">
      <c r="A880">
        <v>300.09690000000001</v>
      </c>
      <c r="B880">
        <v>1.2765</v>
      </c>
      <c r="C880">
        <v>29.445799999999998</v>
      </c>
      <c r="D880">
        <v>0</v>
      </c>
      <c r="E880">
        <v>3</v>
      </c>
      <c r="G880">
        <v>1.2022999999999999</v>
      </c>
      <c r="H880">
        <v>19.1008</v>
      </c>
    </row>
    <row r="881" spans="1:8" x14ac:dyDescent="0.2">
      <c r="A881">
        <v>300.4674</v>
      </c>
      <c r="B881">
        <v>1.2748999999999999</v>
      </c>
      <c r="C881">
        <v>29.293099999999999</v>
      </c>
      <c r="D881">
        <v>0</v>
      </c>
      <c r="E881">
        <v>3</v>
      </c>
      <c r="G881">
        <v>1.2015</v>
      </c>
      <c r="H881">
        <v>18.9482</v>
      </c>
    </row>
    <row r="882" spans="1:8" x14ac:dyDescent="0.2">
      <c r="A882">
        <v>300.83789999999999</v>
      </c>
      <c r="B882">
        <v>1.2750999999999999</v>
      </c>
      <c r="C882">
        <v>29.137499999999999</v>
      </c>
      <c r="D882">
        <v>0</v>
      </c>
      <c r="E882">
        <v>3</v>
      </c>
      <c r="G882">
        <v>1.2</v>
      </c>
      <c r="H882">
        <v>18.7974</v>
      </c>
    </row>
    <row r="883" spans="1:8" x14ac:dyDescent="0.2">
      <c r="A883">
        <v>301.20839999999998</v>
      </c>
      <c r="B883">
        <v>1.2734000000000001</v>
      </c>
      <c r="C883">
        <v>28.982600000000001</v>
      </c>
      <c r="D883">
        <v>0</v>
      </c>
      <c r="E883">
        <v>3</v>
      </c>
      <c r="G883">
        <v>1.1982999999999999</v>
      </c>
      <c r="H883">
        <v>18.6404</v>
      </c>
    </row>
    <row r="884" spans="1:8" x14ac:dyDescent="0.2">
      <c r="A884">
        <v>301.57889999999998</v>
      </c>
      <c r="B884">
        <v>1.2722</v>
      </c>
      <c r="C884">
        <v>28.831299999999999</v>
      </c>
      <c r="D884">
        <v>0</v>
      </c>
      <c r="E884">
        <v>3</v>
      </c>
      <c r="G884">
        <v>1.1977</v>
      </c>
      <c r="H884">
        <v>18.482700000000001</v>
      </c>
    </row>
    <row r="885" spans="1:8" x14ac:dyDescent="0.2">
      <c r="A885">
        <v>301.94929999999999</v>
      </c>
      <c r="B885">
        <v>1.2713000000000001</v>
      </c>
      <c r="C885">
        <v>28.677700000000002</v>
      </c>
      <c r="D885">
        <v>0</v>
      </c>
      <c r="E885">
        <v>3</v>
      </c>
      <c r="G885">
        <v>1.1971000000000001</v>
      </c>
      <c r="H885">
        <v>18.3307</v>
      </c>
    </row>
    <row r="886" spans="1:8" x14ac:dyDescent="0.2">
      <c r="A886">
        <v>302.31990000000002</v>
      </c>
      <c r="B886">
        <v>1.2697000000000001</v>
      </c>
      <c r="C886">
        <v>28.515000000000001</v>
      </c>
      <c r="D886">
        <v>0</v>
      </c>
      <c r="E886">
        <v>3</v>
      </c>
      <c r="G886">
        <v>1.1952</v>
      </c>
      <c r="H886">
        <v>18.177399999999999</v>
      </c>
    </row>
    <row r="887" spans="1:8" x14ac:dyDescent="0.2">
      <c r="A887">
        <v>302.69029999999998</v>
      </c>
      <c r="B887">
        <v>1.2683</v>
      </c>
      <c r="C887">
        <v>28.367100000000001</v>
      </c>
      <c r="D887">
        <v>0</v>
      </c>
      <c r="E887">
        <v>3</v>
      </c>
      <c r="G887">
        <v>1.1941999999999999</v>
      </c>
      <c r="H887">
        <v>18.017399999999999</v>
      </c>
    </row>
    <row r="888" spans="1:8" x14ac:dyDescent="0.2">
      <c r="A888">
        <v>303.06079999999997</v>
      </c>
      <c r="B888">
        <v>1.2674000000000001</v>
      </c>
      <c r="C888">
        <v>28.215399999999999</v>
      </c>
      <c r="D888">
        <v>0</v>
      </c>
      <c r="E888">
        <v>3</v>
      </c>
      <c r="G888">
        <v>1.1934</v>
      </c>
      <c r="H888">
        <v>17.8626</v>
      </c>
    </row>
    <row r="889" spans="1:8" x14ac:dyDescent="0.2">
      <c r="A889">
        <v>303.43130000000002</v>
      </c>
      <c r="B889">
        <v>1.2663</v>
      </c>
      <c r="C889">
        <v>28.061299999999999</v>
      </c>
      <c r="D889">
        <v>0</v>
      </c>
      <c r="E889">
        <v>3</v>
      </c>
      <c r="G889">
        <v>1.1919</v>
      </c>
      <c r="H889">
        <v>17.712800000000001</v>
      </c>
    </row>
    <row r="890" spans="1:8" x14ac:dyDescent="0.2">
      <c r="A890">
        <v>303.80180000000001</v>
      </c>
      <c r="B890">
        <v>1.2658</v>
      </c>
      <c r="C890">
        <v>27.904299999999999</v>
      </c>
      <c r="D890">
        <v>0</v>
      </c>
      <c r="E890">
        <v>3</v>
      </c>
      <c r="G890">
        <v>1.1913</v>
      </c>
      <c r="H890">
        <v>17.553599999999999</v>
      </c>
    </row>
    <row r="891" spans="1:8" x14ac:dyDescent="0.2">
      <c r="A891">
        <v>304.17230000000001</v>
      </c>
      <c r="B891">
        <v>1.2659</v>
      </c>
      <c r="C891">
        <v>27.748200000000001</v>
      </c>
      <c r="D891">
        <v>0</v>
      </c>
      <c r="E891">
        <v>3</v>
      </c>
      <c r="G891">
        <v>1.1900999999999999</v>
      </c>
      <c r="H891">
        <v>17.401900000000001</v>
      </c>
    </row>
    <row r="892" spans="1:8" x14ac:dyDescent="0.2">
      <c r="A892">
        <v>304.5428</v>
      </c>
      <c r="B892">
        <v>1.264</v>
      </c>
      <c r="C892">
        <v>27.587700000000002</v>
      </c>
      <c r="D892">
        <v>0</v>
      </c>
      <c r="E892">
        <v>3</v>
      </c>
      <c r="G892">
        <v>1.1882999999999999</v>
      </c>
      <c r="H892">
        <v>17.2517</v>
      </c>
    </row>
    <row r="893" spans="1:8" x14ac:dyDescent="0.2">
      <c r="A893">
        <v>304.91329999999999</v>
      </c>
      <c r="B893">
        <v>1.2625999999999999</v>
      </c>
      <c r="C893">
        <v>27.442699999999999</v>
      </c>
      <c r="D893">
        <v>0</v>
      </c>
      <c r="E893">
        <v>3</v>
      </c>
      <c r="G893">
        <v>1.1876</v>
      </c>
      <c r="H893">
        <v>17.0962</v>
      </c>
    </row>
    <row r="894" spans="1:8" x14ac:dyDescent="0.2">
      <c r="A894">
        <v>305.28379999999999</v>
      </c>
      <c r="B894">
        <v>1.2625</v>
      </c>
      <c r="C894">
        <v>27.284500000000001</v>
      </c>
      <c r="D894">
        <v>0</v>
      </c>
      <c r="E894">
        <v>3</v>
      </c>
      <c r="G894">
        <v>1.1860999999999999</v>
      </c>
      <c r="H894">
        <v>16.941400000000002</v>
      </c>
    </row>
    <row r="895" spans="1:8" x14ac:dyDescent="0.2">
      <c r="A895">
        <v>305.6542</v>
      </c>
      <c r="B895">
        <v>1.2604</v>
      </c>
      <c r="C895">
        <v>27.1372</v>
      </c>
      <c r="D895">
        <v>0</v>
      </c>
      <c r="E895">
        <v>3</v>
      </c>
      <c r="G895">
        <v>1.1859999999999999</v>
      </c>
      <c r="H895">
        <v>16.785699999999999</v>
      </c>
    </row>
    <row r="896" spans="1:8" x14ac:dyDescent="0.2">
      <c r="A896">
        <v>306.0247</v>
      </c>
      <c r="B896">
        <v>1.2598</v>
      </c>
      <c r="C896">
        <v>26.9817</v>
      </c>
      <c r="D896">
        <v>0</v>
      </c>
      <c r="E896">
        <v>3</v>
      </c>
      <c r="G896">
        <v>1.1836</v>
      </c>
      <c r="H896">
        <v>16.630400000000002</v>
      </c>
    </row>
    <row r="897" spans="1:8" x14ac:dyDescent="0.2">
      <c r="A897">
        <v>306.39519999999999</v>
      </c>
      <c r="B897">
        <v>1.2599</v>
      </c>
      <c r="C897">
        <v>26.8262</v>
      </c>
      <c r="D897">
        <v>0</v>
      </c>
      <c r="E897">
        <v>3</v>
      </c>
      <c r="G897">
        <v>1.1829000000000001</v>
      </c>
      <c r="H897">
        <v>16.475300000000001</v>
      </c>
    </row>
    <row r="898" spans="1:8" x14ac:dyDescent="0.2">
      <c r="A898">
        <v>306.76569999999998</v>
      </c>
      <c r="B898">
        <v>1.2584</v>
      </c>
      <c r="C898">
        <v>26.667899999999999</v>
      </c>
      <c r="D898">
        <v>0</v>
      </c>
      <c r="E898">
        <v>3</v>
      </c>
      <c r="G898">
        <v>1.1813</v>
      </c>
      <c r="H898">
        <v>16.324300000000001</v>
      </c>
    </row>
    <row r="899" spans="1:8" x14ac:dyDescent="0.2">
      <c r="A899">
        <v>307.13619999999997</v>
      </c>
      <c r="B899">
        <v>1.2569999999999999</v>
      </c>
      <c r="C899">
        <v>26.510999999999999</v>
      </c>
      <c r="D899">
        <v>0</v>
      </c>
      <c r="E899">
        <v>3</v>
      </c>
      <c r="G899">
        <v>1.1800999999999999</v>
      </c>
      <c r="H899">
        <v>16.172899999999998</v>
      </c>
    </row>
    <row r="900" spans="1:8" x14ac:dyDescent="0.2">
      <c r="A900">
        <v>307.50670000000002</v>
      </c>
      <c r="B900">
        <v>1.2569999999999999</v>
      </c>
      <c r="C900">
        <v>26.3569</v>
      </c>
      <c r="D900">
        <v>0</v>
      </c>
      <c r="E900">
        <v>3</v>
      </c>
      <c r="G900">
        <v>1.1787000000000001</v>
      </c>
      <c r="H900">
        <v>16.016400000000001</v>
      </c>
    </row>
    <row r="901" spans="1:8" x14ac:dyDescent="0.2">
      <c r="A901">
        <v>307.87720000000002</v>
      </c>
      <c r="B901">
        <v>1.256</v>
      </c>
      <c r="C901">
        <v>26.2041</v>
      </c>
      <c r="D901">
        <v>0</v>
      </c>
      <c r="E901">
        <v>3</v>
      </c>
      <c r="G901">
        <v>1.1773</v>
      </c>
      <c r="H901">
        <v>15.86</v>
      </c>
    </row>
    <row r="902" spans="1:8" x14ac:dyDescent="0.2">
      <c r="A902">
        <v>308.24770000000001</v>
      </c>
      <c r="B902">
        <v>1.2544999999999999</v>
      </c>
      <c r="C902">
        <v>26.050599999999999</v>
      </c>
      <c r="D902">
        <v>0</v>
      </c>
      <c r="E902">
        <v>3</v>
      </c>
      <c r="G902">
        <v>1.1765000000000001</v>
      </c>
      <c r="H902">
        <v>15.7057</v>
      </c>
    </row>
    <row r="903" spans="1:8" x14ac:dyDescent="0.2">
      <c r="A903">
        <v>308.6182</v>
      </c>
      <c r="B903">
        <v>1.2529999999999999</v>
      </c>
      <c r="C903">
        <v>25.893599999999999</v>
      </c>
      <c r="D903">
        <v>0</v>
      </c>
      <c r="E903">
        <v>3</v>
      </c>
      <c r="G903">
        <v>1.1758</v>
      </c>
      <c r="H903">
        <v>15.545500000000001</v>
      </c>
    </row>
    <row r="904" spans="1:8" x14ac:dyDescent="0.2">
      <c r="A904">
        <v>308.98860000000002</v>
      </c>
      <c r="B904">
        <v>1.252</v>
      </c>
      <c r="C904">
        <v>25.742799999999999</v>
      </c>
      <c r="D904">
        <v>0</v>
      </c>
      <c r="E904">
        <v>3</v>
      </c>
      <c r="G904">
        <v>1.1733</v>
      </c>
      <c r="H904">
        <v>15.4011</v>
      </c>
    </row>
    <row r="905" spans="1:8" x14ac:dyDescent="0.2">
      <c r="A905">
        <v>309.35919999999999</v>
      </c>
      <c r="B905">
        <v>1.2503</v>
      </c>
      <c r="C905">
        <v>25.588100000000001</v>
      </c>
      <c r="D905">
        <v>0</v>
      </c>
      <c r="E905">
        <v>3</v>
      </c>
      <c r="G905">
        <v>1.1738999999999999</v>
      </c>
      <c r="H905">
        <v>15.2438</v>
      </c>
    </row>
    <row r="906" spans="1:8" x14ac:dyDescent="0.2">
      <c r="A906">
        <v>309.7296</v>
      </c>
      <c r="B906">
        <v>1.2502</v>
      </c>
      <c r="C906">
        <v>25.4376</v>
      </c>
      <c r="D906">
        <v>0</v>
      </c>
      <c r="E906">
        <v>3</v>
      </c>
      <c r="G906">
        <v>1.1717</v>
      </c>
      <c r="H906">
        <v>15.0829</v>
      </c>
    </row>
    <row r="907" spans="1:8" x14ac:dyDescent="0.2">
      <c r="A907">
        <v>310.1001</v>
      </c>
      <c r="B907">
        <v>1.2492000000000001</v>
      </c>
      <c r="C907">
        <v>25.273900000000001</v>
      </c>
      <c r="D907">
        <v>0</v>
      </c>
      <c r="E907">
        <v>3</v>
      </c>
      <c r="G907">
        <v>1.1704000000000001</v>
      </c>
      <c r="H907">
        <v>14.9331</v>
      </c>
    </row>
    <row r="908" spans="1:8" x14ac:dyDescent="0.2">
      <c r="A908">
        <v>310.47059999999999</v>
      </c>
      <c r="B908">
        <v>1.2481</v>
      </c>
      <c r="C908">
        <v>25.1251</v>
      </c>
      <c r="D908">
        <v>0</v>
      </c>
      <c r="E908">
        <v>3</v>
      </c>
      <c r="G908">
        <v>1.1685000000000001</v>
      </c>
      <c r="H908">
        <v>14.7814</v>
      </c>
    </row>
    <row r="909" spans="1:8" x14ac:dyDescent="0.2">
      <c r="A909">
        <v>310.84109999999998</v>
      </c>
      <c r="B909">
        <v>1.2464</v>
      </c>
      <c r="C909">
        <v>24.9739</v>
      </c>
      <c r="D909">
        <v>0</v>
      </c>
      <c r="E909">
        <v>3</v>
      </c>
      <c r="G909">
        <v>1.1684000000000001</v>
      </c>
      <c r="H909">
        <v>14.6234</v>
      </c>
    </row>
    <row r="910" spans="1:8" x14ac:dyDescent="0.2">
      <c r="A910">
        <v>311.21159999999998</v>
      </c>
      <c r="B910">
        <v>1.2461</v>
      </c>
      <c r="C910">
        <v>24.818899999999999</v>
      </c>
      <c r="D910">
        <v>0</v>
      </c>
      <c r="E910">
        <v>3</v>
      </c>
      <c r="G910">
        <v>1.1671</v>
      </c>
      <c r="H910">
        <v>14.467599999999999</v>
      </c>
    </row>
    <row r="911" spans="1:8" x14ac:dyDescent="0.2">
      <c r="A911">
        <v>311.58210000000003</v>
      </c>
      <c r="B911">
        <v>1.2450000000000001</v>
      </c>
      <c r="C911">
        <v>24.657800000000002</v>
      </c>
      <c r="D911">
        <v>0</v>
      </c>
      <c r="E911">
        <v>3</v>
      </c>
      <c r="G911">
        <v>1.1654</v>
      </c>
      <c r="H911">
        <v>14.318</v>
      </c>
    </row>
    <row r="912" spans="1:8" x14ac:dyDescent="0.2">
      <c r="A912">
        <v>311.95260000000002</v>
      </c>
      <c r="B912">
        <v>1.2438</v>
      </c>
      <c r="C912">
        <v>24.5076</v>
      </c>
      <c r="D912">
        <v>0</v>
      </c>
      <c r="E912">
        <v>3</v>
      </c>
      <c r="G912">
        <v>1.1648000000000001</v>
      </c>
      <c r="H912">
        <v>14.1609</v>
      </c>
    </row>
    <row r="913" spans="1:8" x14ac:dyDescent="0.2">
      <c r="A913">
        <v>312.32310000000001</v>
      </c>
      <c r="B913">
        <v>1.2431000000000001</v>
      </c>
      <c r="C913">
        <v>24.352399999999999</v>
      </c>
      <c r="D913">
        <v>0</v>
      </c>
      <c r="E913">
        <v>3</v>
      </c>
      <c r="G913">
        <v>1.1637</v>
      </c>
      <c r="H913">
        <v>14.0022</v>
      </c>
    </row>
    <row r="914" spans="1:8" x14ac:dyDescent="0.2">
      <c r="A914">
        <v>312.6936</v>
      </c>
      <c r="B914">
        <v>1.2424999999999999</v>
      </c>
      <c r="C914">
        <v>24.195599999999999</v>
      </c>
      <c r="D914">
        <v>0</v>
      </c>
      <c r="E914">
        <v>3</v>
      </c>
      <c r="G914">
        <v>1.1618999999999999</v>
      </c>
      <c r="H914">
        <v>13.852</v>
      </c>
    </row>
    <row r="915" spans="1:8" x14ac:dyDescent="0.2">
      <c r="A915">
        <v>313.0641</v>
      </c>
      <c r="B915">
        <v>1.2417</v>
      </c>
      <c r="C915">
        <v>24.041799999999999</v>
      </c>
      <c r="D915">
        <v>0</v>
      </c>
      <c r="E915">
        <v>3</v>
      </c>
      <c r="G915">
        <v>1.1614</v>
      </c>
      <c r="H915">
        <v>13.698499999999999</v>
      </c>
    </row>
    <row r="916" spans="1:8" x14ac:dyDescent="0.2">
      <c r="A916">
        <v>313.43450000000001</v>
      </c>
      <c r="B916">
        <v>1.2397</v>
      </c>
      <c r="C916">
        <v>23.891500000000001</v>
      </c>
      <c r="D916">
        <v>0</v>
      </c>
      <c r="E916">
        <v>3</v>
      </c>
      <c r="G916">
        <v>1.1597</v>
      </c>
      <c r="H916">
        <v>13.5419</v>
      </c>
    </row>
    <row r="917" spans="1:8" x14ac:dyDescent="0.2">
      <c r="A917">
        <v>313.80500000000001</v>
      </c>
      <c r="B917">
        <v>1.2382</v>
      </c>
      <c r="C917">
        <v>23.732399999999998</v>
      </c>
      <c r="D917">
        <v>0</v>
      </c>
      <c r="E917">
        <v>3</v>
      </c>
      <c r="G917">
        <v>1.1575</v>
      </c>
      <c r="H917">
        <v>13.3954</v>
      </c>
    </row>
    <row r="918" spans="1:8" x14ac:dyDescent="0.2">
      <c r="A918">
        <v>314.1755</v>
      </c>
      <c r="B918">
        <v>1.2372000000000001</v>
      </c>
      <c r="C918">
        <v>23.578499999999998</v>
      </c>
      <c r="D918">
        <v>0</v>
      </c>
      <c r="E918">
        <v>3</v>
      </c>
      <c r="G918">
        <v>1.1579999999999999</v>
      </c>
      <c r="H918">
        <v>13.2295</v>
      </c>
    </row>
    <row r="919" spans="1:8" x14ac:dyDescent="0.2">
      <c r="A919">
        <v>314.54599999999999</v>
      </c>
      <c r="B919">
        <v>1.2370000000000001</v>
      </c>
      <c r="C919">
        <v>23.4239</v>
      </c>
      <c r="D919">
        <v>0</v>
      </c>
      <c r="E919">
        <v>3</v>
      </c>
      <c r="G919">
        <v>1.1560999999999999</v>
      </c>
      <c r="H919">
        <v>13.0846</v>
      </c>
    </row>
    <row r="920" spans="1:8" x14ac:dyDescent="0.2">
      <c r="A920">
        <v>314.91649999999998</v>
      </c>
      <c r="B920">
        <v>1.2349000000000001</v>
      </c>
      <c r="C920">
        <v>23.270299999999999</v>
      </c>
      <c r="D920">
        <v>0</v>
      </c>
      <c r="E920">
        <v>3</v>
      </c>
      <c r="G920">
        <v>1.1561999999999999</v>
      </c>
      <c r="H920">
        <v>12.9207</v>
      </c>
    </row>
    <row r="921" spans="1:8" x14ac:dyDescent="0.2">
      <c r="A921">
        <v>315.28699999999998</v>
      </c>
      <c r="B921">
        <v>1.2343</v>
      </c>
      <c r="C921">
        <v>23.1159</v>
      </c>
      <c r="D921">
        <v>0</v>
      </c>
      <c r="E921">
        <v>3</v>
      </c>
      <c r="G921">
        <v>1.1529</v>
      </c>
      <c r="H921">
        <v>12.771100000000001</v>
      </c>
    </row>
    <row r="922" spans="1:8" x14ac:dyDescent="0.2">
      <c r="A922">
        <v>315.65750000000003</v>
      </c>
      <c r="B922">
        <v>1.2329000000000001</v>
      </c>
      <c r="C922">
        <v>22.961500000000001</v>
      </c>
      <c r="D922">
        <v>0</v>
      </c>
      <c r="E922">
        <v>3</v>
      </c>
      <c r="G922">
        <v>1.1533</v>
      </c>
      <c r="H922">
        <v>12.6113</v>
      </c>
    </row>
    <row r="923" spans="1:8" x14ac:dyDescent="0.2">
      <c r="A923">
        <v>316.02800000000002</v>
      </c>
      <c r="B923">
        <v>1.2317</v>
      </c>
      <c r="C923">
        <v>22.806999999999999</v>
      </c>
      <c r="D923">
        <v>0</v>
      </c>
      <c r="E923">
        <v>3</v>
      </c>
      <c r="G923">
        <v>1.1515</v>
      </c>
      <c r="H923">
        <v>12.4617</v>
      </c>
    </row>
    <row r="924" spans="1:8" x14ac:dyDescent="0.2">
      <c r="A924">
        <v>316.39850000000001</v>
      </c>
      <c r="B924">
        <v>1.2302999999999999</v>
      </c>
      <c r="C924">
        <v>22.650700000000001</v>
      </c>
      <c r="D924">
        <v>0</v>
      </c>
      <c r="E924">
        <v>3</v>
      </c>
      <c r="G924">
        <v>1.1512</v>
      </c>
      <c r="H924">
        <v>12.309200000000001</v>
      </c>
    </row>
    <row r="925" spans="1:8" x14ac:dyDescent="0.2">
      <c r="A925">
        <v>316.76900000000001</v>
      </c>
      <c r="B925">
        <v>1.2299</v>
      </c>
      <c r="C925">
        <v>22.497299999999999</v>
      </c>
      <c r="D925">
        <v>0</v>
      </c>
      <c r="E925">
        <v>3</v>
      </c>
      <c r="G925">
        <v>1.1485000000000001</v>
      </c>
      <c r="H925">
        <v>12.1541</v>
      </c>
    </row>
    <row r="926" spans="1:8" x14ac:dyDescent="0.2">
      <c r="A926">
        <v>317.13940000000002</v>
      </c>
      <c r="B926">
        <v>1.228</v>
      </c>
      <c r="C926">
        <v>22.3445</v>
      </c>
      <c r="D926">
        <v>0</v>
      </c>
      <c r="E926">
        <v>3</v>
      </c>
      <c r="G926">
        <v>1.1477999999999999</v>
      </c>
      <c r="H926">
        <v>11.9976</v>
      </c>
    </row>
    <row r="927" spans="1:8" x14ac:dyDescent="0.2">
      <c r="A927">
        <v>317.50990000000002</v>
      </c>
      <c r="B927">
        <v>1.2258</v>
      </c>
      <c r="C927">
        <v>22.1907</v>
      </c>
      <c r="D927">
        <v>0</v>
      </c>
      <c r="E927">
        <v>3</v>
      </c>
      <c r="G927">
        <v>1.1466000000000001</v>
      </c>
      <c r="H927">
        <v>11.842700000000001</v>
      </c>
    </row>
    <row r="928" spans="1:8" x14ac:dyDescent="0.2">
      <c r="A928">
        <v>317.88040000000001</v>
      </c>
      <c r="B928">
        <v>1.2245999999999999</v>
      </c>
      <c r="C928">
        <v>22.037199999999999</v>
      </c>
      <c r="D928">
        <v>0</v>
      </c>
      <c r="E928">
        <v>3</v>
      </c>
      <c r="G928">
        <v>1.1458999999999999</v>
      </c>
      <c r="H928">
        <v>11.690200000000001</v>
      </c>
    </row>
    <row r="929" spans="1:8" x14ac:dyDescent="0.2">
      <c r="A929">
        <v>318.2509</v>
      </c>
      <c r="B929">
        <v>1.224</v>
      </c>
      <c r="C929">
        <v>21.879100000000001</v>
      </c>
      <c r="D929">
        <v>0</v>
      </c>
      <c r="E929">
        <v>3</v>
      </c>
      <c r="G929">
        <v>1.1447000000000001</v>
      </c>
      <c r="H929">
        <v>11.5358</v>
      </c>
    </row>
    <row r="930" spans="1:8" x14ac:dyDescent="0.2">
      <c r="A930">
        <v>318.62139999999999</v>
      </c>
      <c r="B930">
        <v>1.2221</v>
      </c>
      <c r="C930">
        <v>21.7319</v>
      </c>
      <c r="D930">
        <v>0</v>
      </c>
      <c r="E930">
        <v>3</v>
      </c>
      <c r="G930">
        <v>1.1438999999999999</v>
      </c>
      <c r="H930">
        <v>11.3775</v>
      </c>
    </row>
    <row r="931" spans="1:8" x14ac:dyDescent="0.2">
      <c r="A931">
        <v>318.99189999999999</v>
      </c>
      <c r="B931">
        <v>1.2212000000000001</v>
      </c>
      <c r="C931">
        <v>21.572900000000001</v>
      </c>
      <c r="D931">
        <v>0</v>
      </c>
      <c r="E931">
        <v>3</v>
      </c>
      <c r="G931">
        <v>1.1415</v>
      </c>
      <c r="H931">
        <v>11.225300000000001</v>
      </c>
    </row>
    <row r="932" spans="1:8" x14ac:dyDescent="0.2">
      <c r="A932">
        <v>319.36239999999998</v>
      </c>
      <c r="B932">
        <v>1.2205999999999999</v>
      </c>
      <c r="C932">
        <v>21.417300000000001</v>
      </c>
      <c r="D932">
        <v>0</v>
      </c>
      <c r="E932">
        <v>3</v>
      </c>
      <c r="G932">
        <v>1.1397999999999999</v>
      </c>
      <c r="H932">
        <v>11.0717</v>
      </c>
    </row>
    <row r="933" spans="1:8" x14ac:dyDescent="0.2">
      <c r="A933">
        <v>319.73289999999997</v>
      </c>
      <c r="B933">
        <v>1.2195</v>
      </c>
      <c r="C933">
        <v>21.2684</v>
      </c>
      <c r="D933">
        <v>0</v>
      </c>
      <c r="E933">
        <v>3</v>
      </c>
      <c r="G933">
        <v>1.1411</v>
      </c>
      <c r="H933">
        <v>10.914199999999999</v>
      </c>
    </row>
    <row r="934" spans="1:8" x14ac:dyDescent="0.2">
      <c r="A934">
        <v>320.10340000000002</v>
      </c>
      <c r="B934">
        <v>1.2181999999999999</v>
      </c>
      <c r="C934">
        <v>21.111999999999998</v>
      </c>
      <c r="D934">
        <v>0</v>
      </c>
      <c r="E934">
        <v>3</v>
      </c>
      <c r="G934">
        <v>1.1374</v>
      </c>
      <c r="H934">
        <v>10.7661</v>
      </c>
    </row>
    <row r="935" spans="1:8" x14ac:dyDescent="0.2">
      <c r="A935">
        <v>320.47379999999998</v>
      </c>
      <c r="B935">
        <v>1.2164999999999999</v>
      </c>
      <c r="C935">
        <v>20.959700000000002</v>
      </c>
      <c r="D935">
        <v>0</v>
      </c>
      <c r="E935">
        <v>3</v>
      </c>
      <c r="G935">
        <v>1.1374</v>
      </c>
      <c r="H935">
        <v>10.6084</v>
      </c>
    </row>
    <row r="936" spans="1:8" x14ac:dyDescent="0.2">
      <c r="A936">
        <v>320.84429999999998</v>
      </c>
      <c r="B936">
        <v>1.216</v>
      </c>
      <c r="C936">
        <v>20.803000000000001</v>
      </c>
      <c r="D936">
        <v>0</v>
      </c>
      <c r="E936">
        <v>3</v>
      </c>
      <c r="G936">
        <v>1.1355</v>
      </c>
      <c r="H936">
        <v>10.456099999999999</v>
      </c>
    </row>
    <row r="937" spans="1:8" x14ac:dyDescent="0.2">
      <c r="A937">
        <v>321.21480000000003</v>
      </c>
      <c r="B937">
        <v>1.2143999999999999</v>
      </c>
      <c r="C937">
        <v>20.645600000000002</v>
      </c>
      <c r="D937">
        <v>0</v>
      </c>
      <c r="E937">
        <v>3</v>
      </c>
      <c r="G937">
        <v>1.1343000000000001</v>
      </c>
      <c r="H937">
        <v>10.298999999999999</v>
      </c>
    </row>
    <row r="938" spans="1:8" x14ac:dyDescent="0.2">
      <c r="A938">
        <v>321.58530000000002</v>
      </c>
      <c r="B938">
        <v>1.2125999999999999</v>
      </c>
      <c r="C938">
        <v>20.4908</v>
      </c>
      <c r="D938">
        <v>0</v>
      </c>
      <c r="E938">
        <v>3</v>
      </c>
      <c r="G938">
        <v>1.1328</v>
      </c>
      <c r="H938">
        <v>10.1502</v>
      </c>
    </row>
    <row r="939" spans="1:8" x14ac:dyDescent="0.2">
      <c r="A939">
        <v>321.95580000000001</v>
      </c>
      <c r="B939">
        <v>1.2118</v>
      </c>
      <c r="C939">
        <v>20.342300000000002</v>
      </c>
      <c r="D939">
        <v>0</v>
      </c>
      <c r="E939">
        <v>3</v>
      </c>
      <c r="G939">
        <v>1.1326000000000001</v>
      </c>
      <c r="H939">
        <v>9.9929000000000006</v>
      </c>
    </row>
    <row r="940" spans="1:8" x14ac:dyDescent="0.2">
      <c r="A940">
        <v>322.3263</v>
      </c>
      <c r="B940">
        <v>1.2109000000000001</v>
      </c>
      <c r="C940">
        <v>20.181100000000001</v>
      </c>
      <c r="D940">
        <v>0</v>
      </c>
      <c r="E940">
        <v>3</v>
      </c>
      <c r="G940">
        <v>1.1315</v>
      </c>
      <c r="H940">
        <v>9.8359000000000005</v>
      </c>
    </row>
    <row r="941" spans="1:8" x14ac:dyDescent="0.2">
      <c r="A941">
        <v>322.6968</v>
      </c>
      <c r="B941">
        <v>1.2096</v>
      </c>
      <c r="C941">
        <v>20.028199999999998</v>
      </c>
      <c r="D941">
        <v>0</v>
      </c>
      <c r="E941">
        <v>3</v>
      </c>
      <c r="G941">
        <v>1.1298999999999999</v>
      </c>
      <c r="H941">
        <v>9.6806999999999999</v>
      </c>
    </row>
    <row r="942" spans="1:8" x14ac:dyDescent="0.2">
      <c r="A942">
        <v>323.06729999999999</v>
      </c>
      <c r="B942">
        <v>1.2083999999999999</v>
      </c>
      <c r="C942">
        <v>19.8751</v>
      </c>
      <c r="D942">
        <v>0</v>
      </c>
      <c r="E942">
        <v>3</v>
      </c>
      <c r="G942">
        <v>1.1281000000000001</v>
      </c>
      <c r="H942">
        <v>9.5282999999999998</v>
      </c>
    </row>
    <row r="943" spans="1:8" x14ac:dyDescent="0.2">
      <c r="A943">
        <v>323.43779999999998</v>
      </c>
      <c r="B943">
        <v>1.2067000000000001</v>
      </c>
      <c r="C943">
        <v>19.720800000000001</v>
      </c>
      <c r="D943">
        <v>0</v>
      </c>
      <c r="E943">
        <v>3</v>
      </c>
      <c r="G943">
        <v>1.1272</v>
      </c>
      <c r="H943">
        <v>9.3728999999999996</v>
      </c>
    </row>
    <row r="944" spans="1:8" x14ac:dyDescent="0.2">
      <c r="A944">
        <v>323.80829999999997</v>
      </c>
      <c r="B944">
        <v>1.2069000000000001</v>
      </c>
      <c r="C944">
        <v>19.564699999999998</v>
      </c>
      <c r="D944">
        <v>0</v>
      </c>
      <c r="E944">
        <v>3</v>
      </c>
      <c r="G944">
        <v>1.1256999999999999</v>
      </c>
      <c r="H944">
        <v>9.2144999999999992</v>
      </c>
    </row>
    <row r="945" spans="1:8" x14ac:dyDescent="0.2">
      <c r="A945">
        <v>324.17869999999999</v>
      </c>
      <c r="B945">
        <v>1.2057</v>
      </c>
      <c r="C945">
        <v>19.411999999999999</v>
      </c>
      <c r="D945">
        <v>0</v>
      </c>
      <c r="E945">
        <v>3</v>
      </c>
      <c r="G945">
        <v>1.1236999999999999</v>
      </c>
      <c r="H945">
        <v>9.0667000000000009</v>
      </c>
    </row>
    <row r="946" spans="1:8" x14ac:dyDescent="0.2">
      <c r="A946">
        <v>324.54919999999998</v>
      </c>
      <c r="B946">
        <v>1.2039</v>
      </c>
      <c r="C946">
        <v>19.257999999999999</v>
      </c>
      <c r="D946">
        <v>0</v>
      </c>
      <c r="E946">
        <v>3</v>
      </c>
      <c r="G946">
        <v>1.123</v>
      </c>
      <c r="H946">
        <v>8.9107000000000003</v>
      </c>
    </row>
    <row r="947" spans="1:8" x14ac:dyDescent="0.2">
      <c r="A947">
        <v>324.91969999999998</v>
      </c>
      <c r="B947">
        <v>1.2022999999999999</v>
      </c>
      <c r="C947">
        <v>19.1008</v>
      </c>
      <c r="D947">
        <v>0</v>
      </c>
      <c r="E947">
        <v>3</v>
      </c>
      <c r="G947">
        <v>1.1224000000000001</v>
      </c>
      <c r="H947">
        <v>8.7530999999999999</v>
      </c>
    </row>
    <row r="948" spans="1:8" x14ac:dyDescent="0.2">
      <c r="A948">
        <v>325.29020000000003</v>
      </c>
      <c r="B948">
        <v>1.2015</v>
      </c>
      <c r="C948">
        <v>18.9482</v>
      </c>
      <c r="D948">
        <v>0</v>
      </c>
      <c r="E948">
        <v>3</v>
      </c>
      <c r="G948">
        <v>1.1193</v>
      </c>
      <c r="H948">
        <v>8.6043000000000003</v>
      </c>
    </row>
    <row r="949" spans="1:8" x14ac:dyDescent="0.2">
      <c r="A949">
        <v>325.66070000000002</v>
      </c>
      <c r="B949">
        <v>1.2</v>
      </c>
      <c r="C949">
        <v>18.7974</v>
      </c>
      <c r="D949">
        <v>0</v>
      </c>
      <c r="E949">
        <v>3</v>
      </c>
      <c r="G949">
        <v>1.1194</v>
      </c>
      <c r="H949">
        <v>8.4422999999999995</v>
      </c>
    </row>
    <row r="950" spans="1:8" x14ac:dyDescent="0.2">
      <c r="A950">
        <v>326.03120000000001</v>
      </c>
      <c r="B950">
        <v>1.1982999999999999</v>
      </c>
      <c r="C950">
        <v>18.6404</v>
      </c>
      <c r="D950">
        <v>0</v>
      </c>
      <c r="E950">
        <v>3</v>
      </c>
      <c r="G950">
        <v>1.1178999999999999</v>
      </c>
      <c r="H950">
        <v>8.2891999999999992</v>
      </c>
    </row>
    <row r="951" spans="1:8" x14ac:dyDescent="0.2">
      <c r="A951">
        <v>326.40170000000001</v>
      </c>
      <c r="B951">
        <v>1.1977</v>
      </c>
      <c r="C951">
        <v>18.482700000000001</v>
      </c>
      <c r="D951">
        <v>0</v>
      </c>
      <c r="E951">
        <v>3</v>
      </c>
      <c r="G951">
        <v>1.1161000000000001</v>
      </c>
      <c r="H951">
        <v>8.1340000000000003</v>
      </c>
    </row>
    <row r="952" spans="1:8" x14ac:dyDescent="0.2">
      <c r="A952">
        <v>326.7722</v>
      </c>
      <c r="B952">
        <v>1.1971000000000001</v>
      </c>
      <c r="C952">
        <v>18.3307</v>
      </c>
      <c r="D952">
        <v>0</v>
      </c>
      <c r="E952">
        <v>3</v>
      </c>
      <c r="G952">
        <v>1.1133999999999999</v>
      </c>
      <c r="H952">
        <v>7.9863999999999997</v>
      </c>
    </row>
    <row r="953" spans="1:8" x14ac:dyDescent="0.2">
      <c r="A953">
        <v>327.14269999999999</v>
      </c>
      <c r="B953">
        <v>1.1952</v>
      </c>
      <c r="C953">
        <v>18.177399999999999</v>
      </c>
      <c r="D953">
        <v>0</v>
      </c>
      <c r="E953">
        <v>3</v>
      </c>
      <c r="G953">
        <v>1.113</v>
      </c>
      <c r="H953">
        <v>7.8292999999999999</v>
      </c>
    </row>
    <row r="954" spans="1:8" x14ac:dyDescent="0.2">
      <c r="A954">
        <v>327.51319999999998</v>
      </c>
      <c r="B954">
        <v>1.1941999999999999</v>
      </c>
      <c r="C954">
        <v>18.017399999999999</v>
      </c>
      <c r="D954">
        <v>0</v>
      </c>
      <c r="E954">
        <v>3</v>
      </c>
      <c r="G954">
        <v>1.1112</v>
      </c>
      <c r="H954">
        <v>7.6756000000000002</v>
      </c>
    </row>
    <row r="955" spans="1:8" x14ac:dyDescent="0.2">
      <c r="A955">
        <v>327.8836</v>
      </c>
      <c r="B955">
        <v>1.1934</v>
      </c>
      <c r="C955">
        <v>17.8626</v>
      </c>
      <c r="D955">
        <v>0</v>
      </c>
      <c r="E955">
        <v>3</v>
      </c>
      <c r="G955">
        <v>1.1093999999999999</v>
      </c>
      <c r="H955">
        <v>7.5172999999999996</v>
      </c>
    </row>
    <row r="956" spans="1:8" x14ac:dyDescent="0.2">
      <c r="A956">
        <v>328.25420000000003</v>
      </c>
      <c r="B956">
        <v>1.1919</v>
      </c>
      <c r="C956">
        <v>17.712800000000001</v>
      </c>
      <c r="D956">
        <v>0</v>
      </c>
      <c r="E956">
        <v>3</v>
      </c>
      <c r="G956">
        <v>1.1081000000000001</v>
      </c>
      <c r="H956">
        <v>7.3655999999999997</v>
      </c>
    </row>
    <row r="957" spans="1:8" x14ac:dyDescent="0.2">
      <c r="A957">
        <v>328.62459999999999</v>
      </c>
      <c r="B957">
        <v>1.1913</v>
      </c>
      <c r="C957">
        <v>17.553599999999999</v>
      </c>
      <c r="D957">
        <v>0</v>
      </c>
      <c r="E957">
        <v>3</v>
      </c>
      <c r="G957">
        <v>1.1062000000000001</v>
      </c>
      <c r="H957">
        <v>7.2149999999999999</v>
      </c>
    </row>
    <row r="958" spans="1:8" x14ac:dyDescent="0.2">
      <c r="A958">
        <v>328.99509999999998</v>
      </c>
      <c r="B958">
        <v>1.1900999999999999</v>
      </c>
      <c r="C958">
        <v>17.401900000000001</v>
      </c>
      <c r="D958">
        <v>0</v>
      </c>
      <c r="E958">
        <v>3</v>
      </c>
      <c r="G958">
        <v>1.1045</v>
      </c>
      <c r="H958">
        <v>7.0559000000000003</v>
      </c>
    </row>
    <row r="959" spans="1:8" x14ac:dyDescent="0.2">
      <c r="A959">
        <v>329.36559999999997</v>
      </c>
      <c r="B959">
        <v>1.1882999999999999</v>
      </c>
      <c r="C959">
        <v>17.2517</v>
      </c>
      <c r="D959">
        <v>0</v>
      </c>
      <c r="E959">
        <v>3</v>
      </c>
      <c r="G959">
        <v>1.1026</v>
      </c>
      <c r="H959">
        <v>6.9032</v>
      </c>
    </row>
    <row r="960" spans="1:8" x14ac:dyDescent="0.2">
      <c r="A960">
        <v>329.73610000000002</v>
      </c>
      <c r="B960">
        <v>1.1876</v>
      </c>
      <c r="C960">
        <v>17.0962</v>
      </c>
      <c r="D960">
        <v>0</v>
      </c>
      <c r="E960">
        <v>3</v>
      </c>
      <c r="G960">
        <v>1.1021000000000001</v>
      </c>
      <c r="H960">
        <v>6.7495000000000003</v>
      </c>
    </row>
    <row r="961" spans="1:8" x14ac:dyDescent="0.2">
      <c r="A961">
        <v>330.10660000000001</v>
      </c>
      <c r="B961">
        <v>1.1860999999999999</v>
      </c>
      <c r="C961">
        <v>16.941400000000002</v>
      </c>
      <c r="D961">
        <v>0</v>
      </c>
      <c r="E961">
        <v>3</v>
      </c>
      <c r="G961">
        <v>1.1006</v>
      </c>
      <c r="H961">
        <v>6.5919999999999996</v>
      </c>
    </row>
    <row r="962" spans="1:8" x14ac:dyDescent="0.2">
      <c r="A962">
        <v>330.47710000000001</v>
      </c>
      <c r="B962">
        <v>1.1859999999999999</v>
      </c>
      <c r="C962">
        <v>16.785699999999999</v>
      </c>
      <c r="D962">
        <v>0</v>
      </c>
      <c r="E962">
        <v>3</v>
      </c>
      <c r="G962">
        <v>1.0994999999999999</v>
      </c>
      <c r="H962">
        <v>6.4394999999999998</v>
      </c>
    </row>
    <row r="963" spans="1:8" x14ac:dyDescent="0.2">
      <c r="A963">
        <v>330.8476</v>
      </c>
      <c r="B963">
        <v>1.1836</v>
      </c>
      <c r="C963">
        <v>16.630400000000002</v>
      </c>
      <c r="D963">
        <v>0</v>
      </c>
      <c r="E963">
        <v>3</v>
      </c>
      <c r="G963">
        <v>1.0966</v>
      </c>
      <c r="H963">
        <v>6.2869000000000002</v>
      </c>
    </row>
    <row r="964" spans="1:8" x14ac:dyDescent="0.2">
      <c r="A964">
        <v>331.21800000000002</v>
      </c>
      <c r="B964">
        <v>1.1829000000000001</v>
      </c>
      <c r="C964">
        <v>16.475300000000001</v>
      </c>
      <c r="D964">
        <v>0</v>
      </c>
      <c r="E964">
        <v>3</v>
      </c>
      <c r="G964">
        <v>1.0962000000000001</v>
      </c>
      <c r="H964">
        <v>6.1289999999999996</v>
      </c>
    </row>
    <row r="965" spans="1:8" x14ac:dyDescent="0.2">
      <c r="A965">
        <v>331.58859999999999</v>
      </c>
      <c r="B965">
        <v>1.1813</v>
      </c>
      <c r="C965">
        <v>16.324300000000001</v>
      </c>
      <c r="D965">
        <v>0</v>
      </c>
      <c r="E965">
        <v>3</v>
      </c>
      <c r="G965">
        <v>1.0942000000000001</v>
      </c>
      <c r="H965">
        <v>5.9747000000000003</v>
      </c>
    </row>
    <row r="966" spans="1:8" x14ac:dyDescent="0.2">
      <c r="A966">
        <v>331.959</v>
      </c>
      <c r="B966">
        <v>1.1800999999999999</v>
      </c>
      <c r="C966">
        <v>16.172899999999998</v>
      </c>
      <c r="D966">
        <v>0</v>
      </c>
      <c r="E966">
        <v>3</v>
      </c>
      <c r="G966">
        <v>1.0926</v>
      </c>
      <c r="H966">
        <v>5.8183999999999996</v>
      </c>
    </row>
    <row r="967" spans="1:8" x14ac:dyDescent="0.2">
      <c r="A967">
        <v>332.3295</v>
      </c>
      <c r="B967">
        <v>1.1787000000000001</v>
      </c>
      <c r="C967">
        <v>16.016400000000001</v>
      </c>
      <c r="D967">
        <v>0</v>
      </c>
      <c r="E967">
        <v>3</v>
      </c>
      <c r="G967">
        <v>1.0911</v>
      </c>
      <c r="H967">
        <v>5.6620999999999997</v>
      </c>
    </row>
    <row r="968" spans="1:8" x14ac:dyDescent="0.2">
      <c r="A968">
        <v>332.7</v>
      </c>
      <c r="B968">
        <v>1.1773</v>
      </c>
      <c r="C968">
        <v>15.86</v>
      </c>
      <c r="D968">
        <v>0</v>
      </c>
      <c r="E968">
        <v>3</v>
      </c>
      <c r="G968">
        <v>1.0894999999999999</v>
      </c>
      <c r="H968">
        <v>5.5121000000000002</v>
      </c>
    </row>
    <row r="969" spans="1:8" x14ac:dyDescent="0.2">
      <c r="A969">
        <v>333.07049999999998</v>
      </c>
      <c r="B969">
        <v>1.1765000000000001</v>
      </c>
      <c r="C969">
        <v>15.7057</v>
      </c>
      <c r="D969">
        <v>0</v>
      </c>
      <c r="E969">
        <v>3</v>
      </c>
      <c r="G969">
        <v>1.0891999999999999</v>
      </c>
      <c r="H969">
        <v>5.3541999999999996</v>
      </c>
    </row>
    <row r="970" spans="1:8" x14ac:dyDescent="0.2">
      <c r="A970">
        <v>333.44099999999997</v>
      </c>
      <c r="B970">
        <v>1.1758</v>
      </c>
      <c r="C970">
        <v>15.545500000000001</v>
      </c>
      <c r="D970">
        <v>0</v>
      </c>
      <c r="E970">
        <v>3</v>
      </c>
      <c r="G970">
        <v>1.0878000000000001</v>
      </c>
      <c r="H970">
        <v>5.2004999999999999</v>
      </c>
    </row>
    <row r="971" spans="1:8" x14ac:dyDescent="0.2">
      <c r="A971">
        <v>333.81150000000002</v>
      </c>
      <c r="B971">
        <v>1.1733</v>
      </c>
      <c r="C971">
        <v>15.4011</v>
      </c>
      <c r="D971">
        <v>0</v>
      </c>
      <c r="E971">
        <v>3</v>
      </c>
      <c r="G971">
        <v>1.0847</v>
      </c>
      <c r="H971">
        <v>5.0492999999999997</v>
      </c>
    </row>
    <row r="972" spans="1:8" x14ac:dyDescent="0.2">
      <c r="A972">
        <v>334.18200000000002</v>
      </c>
      <c r="B972">
        <v>1.1738999999999999</v>
      </c>
      <c r="C972">
        <v>15.2438</v>
      </c>
      <c r="D972">
        <v>0</v>
      </c>
      <c r="E972">
        <v>3</v>
      </c>
      <c r="G972">
        <v>1.0831</v>
      </c>
      <c r="H972">
        <v>4.8944999999999999</v>
      </c>
    </row>
    <row r="973" spans="1:8" x14ac:dyDescent="0.2">
      <c r="A973">
        <v>334.55250000000001</v>
      </c>
      <c r="B973">
        <v>1.1717</v>
      </c>
      <c r="C973">
        <v>15.0829</v>
      </c>
      <c r="D973">
        <v>0</v>
      </c>
      <c r="E973">
        <v>3</v>
      </c>
      <c r="G973">
        <v>1.0819000000000001</v>
      </c>
      <c r="H973">
        <v>4.7385000000000002</v>
      </c>
    </row>
    <row r="974" spans="1:8" x14ac:dyDescent="0.2">
      <c r="A974">
        <v>334.923</v>
      </c>
      <c r="B974">
        <v>1.1704000000000001</v>
      </c>
      <c r="C974">
        <v>14.9331</v>
      </c>
      <c r="D974">
        <v>0</v>
      </c>
      <c r="E974">
        <v>3</v>
      </c>
      <c r="G974">
        <v>1.0790999999999999</v>
      </c>
      <c r="H974">
        <v>4.5879000000000003</v>
      </c>
    </row>
    <row r="975" spans="1:8" x14ac:dyDescent="0.2">
      <c r="A975">
        <v>335.29349999999999</v>
      </c>
      <c r="B975">
        <v>1.1685000000000001</v>
      </c>
      <c r="C975">
        <v>14.7814</v>
      </c>
      <c r="D975">
        <v>0</v>
      </c>
      <c r="E975">
        <v>3</v>
      </c>
      <c r="G975">
        <v>1.0785</v>
      </c>
      <c r="H975">
        <v>4.4298000000000002</v>
      </c>
    </row>
    <row r="976" spans="1:8" x14ac:dyDescent="0.2">
      <c r="A976">
        <v>335.66390000000001</v>
      </c>
      <c r="B976">
        <v>1.1684000000000001</v>
      </c>
      <c r="C976">
        <v>14.6234</v>
      </c>
      <c r="D976">
        <v>0</v>
      </c>
      <c r="E976">
        <v>3</v>
      </c>
      <c r="G976">
        <v>1.0773999999999999</v>
      </c>
      <c r="H976">
        <v>4.2759</v>
      </c>
    </row>
    <row r="977" spans="1:8" x14ac:dyDescent="0.2">
      <c r="A977">
        <v>336.03440000000001</v>
      </c>
      <c r="B977">
        <v>1.1671</v>
      </c>
      <c r="C977">
        <v>14.467599999999999</v>
      </c>
      <c r="D977">
        <v>0</v>
      </c>
      <c r="E977">
        <v>3</v>
      </c>
      <c r="G977">
        <v>1.0753999999999999</v>
      </c>
      <c r="H977">
        <v>4.1181999999999999</v>
      </c>
    </row>
    <row r="978" spans="1:8" x14ac:dyDescent="0.2">
      <c r="A978">
        <v>336.4049</v>
      </c>
      <c r="B978">
        <v>1.1654</v>
      </c>
      <c r="C978">
        <v>14.318</v>
      </c>
      <c r="D978">
        <v>0</v>
      </c>
      <c r="E978">
        <v>3</v>
      </c>
      <c r="G978">
        <v>1.073</v>
      </c>
      <c r="H978">
        <v>3.9683000000000002</v>
      </c>
    </row>
    <row r="979" spans="1:8" x14ac:dyDescent="0.2">
      <c r="A979">
        <v>336.77539999999999</v>
      </c>
      <c r="B979">
        <v>1.1648000000000001</v>
      </c>
      <c r="C979">
        <v>14.1609</v>
      </c>
      <c r="D979">
        <v>0</v>
      </c>
      <c r="E979">
        <v>3</v>
      </c>
      <c r="G979">
        <v>1.0730999999999999</v>
      </c>
      <c r="H979">
        <v>3.8077000000000001</v>
      </c>
    </row>
    <row r="980" spans="1:8" x14ac:dyDescent="0.2">
      <c r="A980">
        <v>337.14589999999998</v>
      </c>
      <c r="B980">
        <v>1.1637</v>
      </c>
      <c r="C980">
        <v>14.0022</v>
      </c>
      <c r="D980">
        <v>0</v>
      </c>
      <c r="E980">
        <v>3</v>
      </c>
      <c r="G980">
        <v>1.0699000000000001</v>
      </c>
      <c r="H980">
        <v>3.6564000000000001</v>
      </c>
    </row>
    <row r="981" spans="1:8" x14ac:dyDescent="0.2">
      <c r="A981">
        <v>337.51639999999998</v>
      </c>
      <c r="B981">
        <v>1.1618999999999999</v>
      </c>
      <c r="C981">
        <v>13.852</v>
      </c>
      <c r="D981">
        <v>0</v>
      </c>
      <c r="E981">
        <v>3</v>
      </c>
      <c r="G981">
        <v>1.0667</v>
      </c>
      <c r="H981">
        <v>3.5032000000000001</v>
      </c>
    </row>
    <row r="982" spans="1:8" x14ac:dyDescent="0.2">
      <c r="A982">
        <v>337.88690000000003</v>
      </c>
      <c r="B982">
        <v>1.1614</v>
      </c>
      <c r="C982">
        <v>13.698499999999999</v>
      </c>
      <c r="D982">
        <v>0</v>
      </c>
      <c r="E982">
        <v>3</v>
      </c>
      <c r="G982">
        <v>1.0660000000000001</v>
      </c>
      <c r="H982">
        <v>3.3500999999999999</v>
      </c>
    </row>
    <row r="983" spans="1:8" x14ac:dyDescent="0.2">
      <c r="A983">
        <v>338.25740000000002</v>
      </c>
      <c r="B983">
        <v>1.1597</v>
      </c>
      <c r="C983">
        <v>13.5419</v>
      </c>
      <c r="D983">
        <v>0</v>
      </c>
      <c r="E983">
        <v>3</v>
      </c>
      <c r="G983">
        <v>1.0644</v>
      </c>
      <c r="H983">
        <v>3.1947999999999999</v>
      </c>
    </row>
    <row r="984" spans="1:8" x14ac:dyDescent="0.2">
      <c r="A984">
        <v>338.62790000000001</v>
      </c>
      <c r="B984">
        <v>1.1575</v>
      </c>
      <c r="C984">
        <v>13.3954</v>
      </c>
      <c r="D984">
        <v>0</v>
      </c>
      <c r="E984">
        <v>3</v>
      </c>
      <c r="G984">
        <v>1.0626</v>
      </c>
      <c r="H984">
        <v>3.0364</v>
      </c>
    </row>
    <row r="985" spans="1:8" x14ac:dyDescent="0.2">
      <c r="A985">
        <v>338.9984</v>
      </c>
      <c r="B985">
        <v>1.1579999999999999</v>
      </c>
      <c r="C985">
        <v>13.2295</v>
      </c>
      <c r="D985">
        <v>0</v>
      </c>
      <c r="E985">
        <v>3</v>
      </c>
      <c r="G985">
        <v>1.0601</v>
      </c>
      <c r="H985">
        <v>2.8847999999999998</v>
      </c>
    </row>
    <row r="986" spans="1:8" x14ac:dyDescent="0.2">
      <c r="A986">
        <v>339.36880000000002</v>
      </c>
      <c r="B986">
        <v>1.1560999999999999</v>
      </c>
      <c r="C986">
        <v>13.0846</v>
      </c>
      <c r="D986">
        <v>0</v>
      </c>
      <c r="E986">
        <v>3</v>
      </c>
      <c r="G986">
        <v>1.0572999999999999</v>
      </c>
      <c r="H986">
        <v>2.7404999999999999</v>
      </c>
    </row>
    <row r="987" spans="1:8" x14ac:dyDescent="0.2">
      <c r="A987">
        <v>339.73930000000001</v>
      </c>
      <c r="B987">
        <v>1.1561999999999999</v>
      </c>
      <c r="C987">
        <v>12.9207</v>
      </c>
      <c r="D987">
        <v>0</v>
      </c>
      <c r="E987">
        <v>3</v>
      </c>
      <c r="G987">
        <v>1.0561</v>
      </c>
      <c r="H987">
        <v>2.5775999999999999</v>
      </c>
    </row>
    <row r="988" spans="1:8" x14ac:dyDescent="0.2">
      <c r="A988">
        <v>340.10980000000001</v>
      </c>
      <c r="B988">
        <v>1.1529</v>
      </c>
      <c r="C988">
        <v>12.771100000000001</v>
      </c>
      <c r="D988">
        <v>0</v>
      </c>
      <c r="E988">
        <v>3</v>
      </c>
      <c r="G988">
        <v>1.0546</v>
      </c>
      <c r="H988">
        <v>2.4201999999999999</v>
      </c>
    </row>
    <row r="989" spans="1:8" x14ac:dyDescent="0.2">
      <c r="A989">
        <v>340.4803</v>
      </c>
      <c r="B989">
        <v>1.1533</v>
      </c>
      <c r="C989">
        <v>12.6113</v>
      </c>
      <c r="D989">
        <v>0</v>
      </c>
      <c r="E989">
        <v>3</v>
      </c>
      <c r="G989">
        <v>1.0521</v>
      </c>
      <c r="H989">
        <v>2.2719</v>
      </c>
    </row>
    <row r="990" spans="1:8" x14ac:dyDescent="0.2">
      <c r="A990">
        <v>340.85079999999999</v>
      </c>
      <c r="B990">
        <v>1.1515</v>
      </c>
      <c r="C990">
        <v>12.4617</v>
      </c>
      <c r="D990">
        <v>0</v>
      </c>
      <c r="E990">
        <v>3</v>
      </c>
      <c r="G990">
        <v>1.0498000000000001</v>
      </c>
      <c r="H990">
        <v>2.1131000000000002</v>
      </c>
    </row>
    <row r="991" spans="1:8" x14ac:dyDescent="0.2">
      <c r="A991">
        <v>341.22129999999999</v>
      </c>
      <c r="B991">
        <v>1.1512</v>
      </c>
      <c r="C991">
        <v>12.309200000000001</v>
      </c>
      <c r="D991">
        <v>0</v>
      </c>
      <c r="E991">
        <v>3</v>
      </c>
      <c r="G991">
        <v>1.0478000000000001</v>
      </c>
      <c r="H991">
        <v>1.9589000000000001</v>
      </c>
    </row>
    <row r="992" spans="1:8" x14ac:dyDescent="0.2">
      <c r="A992">
        <v>341.59179999999998</v>
      </c>
      <c r="B992">
        <v>1.1485000000000001</v>
      </c>
      <c r="C992">
        <v>12.1541</v>
      </c>
      <c r="D992">
        <v>0</v>
      </c>
      <c r="E992">
        <v>3</v>
      </c>
      <c r="G992">
        <v>1.0455000000000001</v>
      </c>
      <c r="H992">
        <v>1.8053999999999999</v>
      </c>
    </row>
    <row r="993" spans="1:8" x14ac:dyDescent="0.2">
      <c r="A993">
        <v>341.96230000000003</v>
      </c>
      <c r="B993">
        <v>1.1477999999999999</v>
      </c>
      <c r="C993">
        <v>11.9976</v>
      </c>
      <c r="D993">
        <v>0</v>
      </c>
      <c r="E993">
        <v>3</v>
      </c>
      <c r="G993">
        <v>1.0426</v>
      </c>
      <c r="H993">
        <v>1.6545000000000001</v>
      </c>
    </row>
    <row r="994" spans="1:8" x14ac:dyDescent="0.2">
      <c r="A994">
        <v>342.33280000000002</v>
      </c>
      <c r="B994">
        <v>1.1466000000000001</v>
      </c>
      <c r="C994">
        <v>11.842700000000001</v>
      </c>
      <c r="D994">
        <v>0</v>
      </c>
      <c r="E994">
        <v>3</v>
      </c>
      <c r="G994">
        <v>1.0396000000000001</v>
      </c>
      <c r="H994">
        <v>1.4974000000000001</v>
      </c>
    </row>
    <row r="995" spans="1:8" x14ac:dyDescent="0.2">
      <c r="A995">
        <v>342.70319999999998</v>
      </c>
      <c r="B995">
        <v>1.1458999999999999</v>
      </c>
      <c r="C995">
        <v>11.690200000000001</v>
      </c>
      <c r="D995">
        <v>0</v>
      </c>
      <c r="E995">
        <v>3</v>
      </c>
      <c r="G995">
        <v>1.0362</v>
      </c>
      <c r="H995">
        <v>1.3415999999999999</v>
      </c>
    </row>
    <row r="996" spans="1:8" x14ac:dyDescent="0.2">
      <c r="A996">
        <v>343.07369999999997</v>
      </c>
      <c r="B996">
        <v>1.1447000000000001</v>
      </c>
      <c r="C996">
        <v>11.5358</v>
      </c>
      <c r="D996">
        <v>0</v>
      </c>
      <c r="E996">
        <v>3</v>
      </c>
      <c r="G996">
        <v>1.0331999999999999</v>
      </c>
      <c r="H996">
        <v>1.1865000000000001</v>
      </c>
    </row>
    <row r="997" spans="1:8" x14ac:dyDescent="0.2">
      <c r="A997">
        <v>343.44420000000002</v>
      </c>
      <c r="B997">
        <v>1.1438999999999999</v>
      </c>
      <c r="C997">
        <v>11.3775</v>
      </c>
      <c r="D997">
        <v>0</v>
      </c>
      <c r="E997">
        <v>3</v>
      </c>
      <c r="G997">
        <v>1.0293000000000001</v>
      </c>
      <c r="H997">
        <v>1.0285</v>
      </c>
    </row>
    <row r="998" spans="1:8" x14ac:dyDescent="0.2">
      <c r="A998">
        <v>343.81470000000002</v>
      </c>
      <c r="B998">
        <v>1.1415</v>
      </c>
      <c r="C998">
        <v>11.225300000000001</v>
      </c>
      <c r="D998">
        <v>0</v>
      </c>
      <c r="E998">
        <v>3</v>
      </c>
      <c r="G998">
        <v>1.0250999999999999</v>
      </c>
      <c r="H998">
        <v>0.88160000000000005</v>
      </c>
    </row>
    <row r="999" spans="1:8" x14ac:dyDescent="0.2">
      <c r="A999">
        <v>344.18520000000001</v>
      </c>
      <c r="B999">
        <v>1.1397999999999999</v>
      </c>
      <c r="C999">
        <v>11.0717</v>
      </c>
      <c r="D999">
        <v>0</v>
      </c>
      <c r="E999">
        <v>3</v>
      </c>
      <c r="G999">
        <v>1.0198</v>
      </c>
      <c r="H999">
        <v>0.72370000000000001</v>
      </c>
    </row>
    <row r="1000" spans="1:8" x14ac:dyDescent="0.2">
      <c r="A1000">
        <v>344.5557</v>
      </c>
      <c r="B1000">
        <v>1.1411</v>
      </c>
      <c r="C1000">
        <v>10.914199999999999</v>
      </c>
      <c r="D1000">
        <v>0</v>
      </c>
      <c r="E1000">
        <v>3</v>
      </c>
      <c r="G1000">
        <v>1.0144</v>
      </c>
      <c r="H1000">
        <v>0.56869999999999998</v>
      </c>
    </row>
    <row r="1001" spans="1:8" x14ac:dyDescent="0.2">
      <c r="A1001">
        <v>344.92619999999999</v>
      </c>
      <c r="B1001">
        <v>1.1374</v>
      </c>
      <c r="C1001">
        <v>10.7661</v>
      </c>
      <c r="D1001">
        <v>0</v>
      </c>
      <c r="E1001">
        <v>3</v>
      </c>
      <c r="G1001">
        <v>1.0064</v>
      </c>
      <c r="H1001">
        <v>0.41610000000000003</v>
      </c>
    </row>
    <row r="1002" spans="1:8" x14ac:dyDescent="0.2">
      <c r="A1002">
        <v>345.29669999999999</v>
      </c>
      <c r="B1002">
        <v>1.1374</v>
      </c>
      <c r="C1002">
        <v>10.6084</v>
      </c>
      <c r="D1002">
        <v>0</v>
      </c>
      <c r="E1002">
        <v>3</v>
      </c>
      <c r="G1002">
        <v>0.99590000000000001</v>
      </c>
      <c r="H1002">
        <v>0.2651</v>
      </c>
    </row>
    <row r="1003" spans="1:8" x14ac:dyDescent="0.2">
      <c r="A1003">
        <v>345.66719999999998</v>
      </c>
      <c r="B1003">
        <v>1.1355</v>
      </c>
      <c r="C1003">
        <v>10.456099999999999</v>
      </c>
      <c r="D1003">
        <v>0</v>
      </c>
      <c r="E1003">
        <v>3</v>
      </c>
    </row>
    <row r="1004" spans="1:8" x14ac:dyDescent="0.2">
      <c r="A1004">
        <v>346.03769999999997</v>
      </c>
      <c r="B1004">
        <v>1.1343000000000001</v>
      </c>
      <c r="C1004">
        <v>10.298999999999999</v>
      </c>
      <c r="D1004">
        <v>0</v>
      </c>
      <c r="E1004">
        <v>3</v>
      </c>
    </row>
    <row r="1005" spans="1:8" x14ac:dyDescent="0.2">
      <c r="A1005">
        <v>346.40809999999999</v>
      </c>
      <c r="B1005">
        <v>1.1328</v>
      </c>
      <c r="C1005">
        <v>10.1502</v>
      </c>
      <c r="D1005">
        <v>0</v>
      </c>
      <c r="E1005">
        <v>3</v>
      </c>
    </row>
    <row r="1006" spans="1:8" x14ac:dyDescent="0.2">
      <c r="A1006">
        <v>346.77859999999998</v>
      </c>
      <c r="B1006">
        <v>1.1326000000000001</v>
      </c>
      <c r="C1006">
        <v>9.9929000000000006</v>
      </c>
      <c r="D1006">
        <v>0</v>
      </c>
      <c r="E1006">
        <v>3</v>
      </c>
    </row>
    <row r="1007" spans="1:8" x14ac:dyDescent="0.2">
      <c r="A1007">
        <v>347.14909999999998</v>
      </c>
      <c r="B1007">
        <v>1.1315</v>
      </c>
      <c r="C1007">
        <v>9.8359000000000005</v>
      </c>
      <c r="D1007">
        <v>0</v>
      </c>
      <c r="E1007">
        <v>3</v>
      </c>
    </row>
    <row r="1008" spans="1:8" x14ac:dyDescent="0.2">
      <c r="A1008">
        <v>347.51960000000003</v>
      </c>
      <c r="B1008">
        <v>1.1298999999999999</v>
      </c>
      <c r="C1008">
        <v>9.6806999999999999</v>
      </c>
      <c r="D1008">
        <v>0</v>
      </c>
      <c r="E1008">
        <v>3</v>
      </c>
    </row>
    <row r="1009" spans="1:5" x14ac:dyDescent="0.2">
      <c r="A1009">
        <v>347.89010000000002</v>
      </c>
      <c r="B1009">
        <v>1.1281000000000001</v>
      </c>
      <c r="C1009">
        <v>9.5282999999999998</v>
      </c>
      <c r="D1009">
        <v>0</v>
      </c>
      <c r="E1009">
        <v>3</v>
      </c>
    </row>
    <row r="1010" spans="1:5" x14ac:dyDescent="0.2">
      <c r="A1010">
        <v>348.26060000000001</v>
      </c>
      <c r="B1010">
        <v>1.1272</v>
      </c>
      <c r="C1010">
        <v>9.3728999999999996</v>
      </c>
      <c r="D1010">
        <v>0</v>
      </c>
      <c r="E1010">
        <v>3</v>
      </c>
    </row>
    <row r="1011" spans="1:5" x14ac:dyDescent="0.2">
      <c r="A1011">
        <v>348.6311</v>
      </c>
      <c r="B1011">
        <v>1.1256999999999999</v>
      </c>
      <c r="C1011">
        <v>9.2144999999999992</v>
      </c>
      <c r="D1011">
        <v>0</v>
      </c>
      <c r="E1011">
        <v>3</v>
      </c>
    </row>
    <row r="1012" spans="1:5" x14ac:dyDescent="0.2">
      <c r="A1012">
        <v>349.0016</v>
      </c>
      <c r="B1012">
        <v>1.1236999999999999</v>
      </c>
      <c r="C1012">
        <v>9.0667000000000009</v>
      </c>
      <c r="D1012">
        <v>0</v>
      </c>
      <c r="E1012">
        <v>3</v>
      </c>
    </row>
    <row r="1013" spans="1:5" x14ac:dyDescent="0.2">
      <c r="A1013">
        <v>349.37209999999999</v>
      </c>
      <c r="B1013">
        <v>1.123</v>
      </c>
      <c r="C1013">
        <v>8.9107000000000003</v>
      </c>
      <c r="D1013">
        <v>0</v>
      </c>
      <c r="E1013">
        <v>3</v>
      </c>
    </row>
    <row r="1014" spans="1:5" x14ac:dyDescent="0.2">
      <c r="A1014">
        <v>349.74259999999998</v>
      </c>
      <c r="B1014">
        <v>1.1224000000000001</v>
      </c>
      <c r="C1014">
        <v>8.7530999999999999</v>
      </c>
      <c r="D1014">
        <v>0</v>
      </c>
      <c r="E1014">
        <v>3</v>
      </c>
    </row>
    <row r="1015" spans="1:5" x14ac:dyDescent="0.2">
      <c r="A1015">
        <v>350.113</v>
      </c>
      <c r="B1015">
        <v>1.1193</v>
      </c>
      <c r="C1015">
        <v>8.6043000000000003</v>
      </c>
      <c r="D1015">
        <v>0</v>
      </c>
      <c r="E1015">
        <v>3</v>
      </c>
    </row>
    <row r="1016" spans="1:5" x14ac:dyDescent="0.2">
      <c r="A1016">
        <v>350.48360000000002</v>
      </c>
      <c r="B1016">
        <v>1.1194</v>
      </c>
      <c r="C1016">
        <v>8.4422999999999995</v>
      </c>
      <c r="D1016">
        <v>0</v>
      </c>
      <c r="E1016">
        <v>3</v>
      </c>
    </row>
    <row r="1017" spans="1:5" x14ac:dyDescent="0.2">
      <c r="A1017">
        <v>350.85399999999998</v>
      </c>
      <c r="B1017">
        <v>1.1178999999999999</v>
      </c>
      <c r="C1017">
        <v>8.2891999999999992</v>
      </c>
      <c r="D1017">
        <v>0</v>
      </c>
      <c r="E1017">
        <v>3</v>
      </c>
    </row>
    <row r="1018" spans="1:5" x14ac:dyDescent="0.2">
      <c r="A1018">
        <v>351.22449999999998</v>
      </c>
      <c r="B1018">
        <v>1.1161000000000001</v>
      </c>
      <c r="C1018">
        <v>8.1340000000000003</v>
      </c>
      <c r="D1018">
        <v>0</v>
      </c>
      <c r="E1018">
        <v>3</v>
      </c>
    </row>
    <row r="1019" spans="1:5" x14ac:dyDescent="0.2">
      <c r="A1019">
        <v>351.59500000000003</v>
      </c>
      <c r="B1019">
        <v>1.1133999999999999</v>
      </c>
      <c r="C1019">
        <v>7.9863999999999997</v>
      </c>
      <c r="D1019">
        <v>0</v>
      </c>
      <c r="E1019">
        <v>3</v>
      </c>
    </row>
    <row r="1020" spans="1:5" x14ac:dyDescent="0.2">
      <c r="A1020">
        <v>351.96550000000002</v>
      </c>
      <c r="B1020">
        <v>1.113</v>
      </c>
      <c r="C1020">
        <v>7.8292999999999999</v>
      </c>
      <c r="D1020">
        <v>0</v>
      </c>
      <c r="E1020">
        <v>3</v>
      </c>
    </row>
    <row r="1021" spans="1:5" x14ac:dyDescent="0.2">
      <c r="A1021">
        <v>352.33600000000001</v>
      </c>
      <c r="B1021">
        <v>1.1112</v>
      </c>
      <c r="C1021">
        <v>7.6756000000000002</v>
      </c>
      <c r="D1021">
        <v>0</v>
      </c>
      <c r="E1021">
        <v>3</v>
      </c>
    </row>
    <row r="1022" spans="1:5" x14ac:dyDescent="0.2">
      <c r="A1022">
        <v>352.70650000000001</v>
      </c>
      <c r="B1022">
        <v>1.1093999999999999</v>
      </c>
      <c r="C1022">
        <v>7.5172999999999996</v>
      </c>
      <c r="D1022">
        <v>0</v>
      </c>
      <c r="E1022">
        <v>3</v>
      </c>
    </row>
    <row r="1023" spans="1:5" x14ac:dyDescent="0.2">
      <c r="A1023">
        <v>353.077</v>
      </c>
      <c r="B1023">
        <v>1.1081000000000001</v>
      </c>
      <c r="C1023">
        <v>7.3655999999999997</v>
      </c>
      <c r="D1023">
        <v>0</v>
      </c>
      <c r="E1023">
        <v>3</v>
      </c>
    </row>
    <row r="1024" spans="1:5" x14ac:dyDescent="0.2">
      <c r="A1024">
        <v>353.44740000000002</v>
      </c>
      <c r="B1024">
        <v>1.1062000000000001</v>
      </c>
      <c r="C1024">
        <v>7.2149999999999999</v>
      </c>
      <c r="D1024">
        <v>0</v>
      </c>
      <c r="E1024">
        <v>3</v>
      </c>
    </row>
    <row r="1025" spans="1:5" x14ac:dyDescent="0.2">
      <c r="A1025">
        <v>353.81799999999998</v>
      </c>
      <c r="B1025">
        <v>1.1045</v>
      </c>
      <c r="C1025">
        <v>7.0559000000000003</v>
      </c>
      <c r="D1025">
        <v>0</v>
      </c>
      <c r="E1025">
        <v>3</v>
      </c>
    </row>
    <row r="1026" spans="1:5" x14ac:dyDescent="0.2">
      <c r="A1026">
        <v>354.1884</v>
      </c>
      <c r="B1026">
        <v>1.1026</v>
      </c>
      <c r="C1026">
        <v>6.9032</v>
      </c>
      <c r="D1026">
        <v>0</v>
      </c>
      <c r="E1026">
        <v>3</v>
      </c>
    </row>
    <row r="1027" spans="1:5" x14ac:dyDescent="0.2">
      <c r="A1027">
        <v>354.55889999999999</v>
      </c>
      <c r="B1027">
        <v>1.1021000000000001</v>
      </c>
      <c r="C1027">
        <v>6.7495000000000003</v>
      </c>
      <c r="D1027">
        <v>0</v>
      </c>
      <c r="E1027">
        <v>3</v>
      </c>
    </row>
    <row r="1028" spans="1:5" x14ac:dyDescent="0.2">
      <c r="A1028">
        <v>354.92939999999999</v>
      </c>
      <c r="B1028">
        <v>1.1006</v>
      </c>
      <c r="C1028">
        <v>6.5919999999999996</v>
      </c>
      <c r="D1028">
        <v>0</v>
      </c>
      <c r="E1028">
        <v>3</v>
      </c>
    </row>
    <row r="1029" spans="1:5" x14ac:dyDescent="0.2">
      <c r="A1029">
        <v>355.29989999999998</v>
      </c>
      <c r="B1029">
        <v>1.0994999999999999</v>
      </c>
      <c r="C1029">
        <v>6.4394999999999998</v>
      </c>
      <c r="D1029">
        <v>0</v>
      </c>
      <c r="E1029">
        <v>3</v>
      </c>
    </row>
    <row r="1030" spans="1:5" x14ac:dyDescent="0.2">
      <c r="A1030">
        <v>355.67039999999997</v>
      </c>
      <c r="B1030">
        <v>1.0966</v>
      </c>
      <c r="C1030">
        <v>6.2869000000000002</v>
      </c>
      <c r="D1030">
        <v>0</v>
      </c>
      <c r="E1030">
        <v>3</v>
      </c>
    </row>
    <row r="1031" spans="1:5" x14ac:dyDescent="0.2">
      <c r="A1031">
        <v>356.04090000000002</v>
      </c>
      <c r="B1031">
        <v>1.0962000000000001</v>
      </c>
      <c r="C1031">
        <v>6.1289999999999996</v>
      </c>
      <c r="D1031">
        <v>0</v>
      </c>
      <c r="E1031">
        <v>3</v>
      </c>
    </row>
    <row r="1032" spans="1:5" x14ac:dyDescent="0.2">
      <c r="A1032">
        <v>356.41140000000001</v>
      </c>
      <c r="B1032">
        <v>1.0942000000000001</v>
      </c>
      <c r="C1032">
        <v>5.9747000000000003</v>
      </c>
      <c r="D1032">
        <v>0</v>
      </c>
      <c r="E1032">
        <v>3</v>
      </c>
    </row>
    <row r="1033" spans="1:5" x14ac:dyDescent="0.2">
      <c r="A1033">
        <v>356.78190000000001</v>
      </c>
      <c r="B1033">
        <v>1.0926</v>
      </c>
      <c r="C1033">
        <v>5.8183999999999996</v>
      </c>
      <c r="D1033">
        <v>0</v>
      </c>
      <c r="E1033">
        <v>3</v>
      </c>
    </row>
    <row r="1034" spans="1:5" x14ac:dyDescent="0.2">
      <c r="A1034">
        <v>357.1524</v>
      </c>
      <c r="B1034">
        <v>1.0911</v>
      </c>
      <c r="C1034">
        <v>5.6620999999999997</v>
      </c>
      <c r="D1034">
        <v>0</v>
      </c>
      <c r="E1034">
        <v>3</v>
      </c>
    </row>
    <row r="1035" spans="1:5" x14ac:dyDescent="0.2">
      <c r="A1035">
        <v>357.52289999999999</v>
      </c>
      <c r="B1035">
        <v>1.0894999999999999</v>
      </c>
      <c r="C1035">
        <v>5.5121000000000002</v>
      </c>
      <c r="D1035">
        <v>0</v>
      </c>
      <c r="E1035">
        <v>3</v>
      </c>
    </row>
    <row r="1036" spans="1:5" x14ac:dyDescent="0.2">
      <c r="A1036">
        <v>357.89330000000001</v>
      </c>
      <c r="B1036">
        <v>1.0891999999999999</v>
      </c>
      <c r="C1036">
        <v>5.3541999999999996</v>
      </c>
      <c r="D1036">
        <v>0</v>
      </c>
      <c r="E1036">
        <v>3</v>
      </c>
    </row>
    <row r="1037" spans="1:5" x14ac:dyDescent="0.2">
      <c r="A1037">
        <v>358.2638</v>
      </c>
      <c r="B1037">
        <v>1.0878000000000001</v>
      </c>
      <c r="C1037">
        <v>5.2004999999999999</v>
      </c>
      <c r="D1037">
        <v>0</v>
      </c>
      <c r="E1037">
        <v>3</v>
      </c>
    </row>
    <row r="1038" spans="1:5" x14ac:dyDescent="0.2">
      <c r="A1038">
        <v>358.6343</v>
      </c>
      <c r="B1038">
        <v>1.0847</v>
      </c>
      <c r="C1038">
        <v>5.0492999999999997</v>
      </c>
      <c r="D1038">
        <v>0</v>
      </c>
      <c r="E1038">
        <v>3</v>
      </c>
    </row>
    <row r="1039" spans="1:5" x14ac:dyDescent="0.2">
      <c r="A1039">
        <v>359.00479999999999</v>
      </c>
      <c r="B1039">
        <v>1.0831</v>
      </c>
      <c r="C1039">
        <v>4.8944999999999999</v>
      </c>
      <c r="D1039">
        <v>0</v>
      </c>
      <c r="E1039">
        <v>3</v>
      </c>
    </row>
    <row r="1040" spans="1:5" x14ac:dyDescent="0.2">
      <c r="A1040">
        <v>359.37529999999998</v>
      </c>
      <c r="B1040">
        <v>1.0819000000000001</v>
      </c>
      <c r="C1040">
        <v>4.7385000000000002</v>
      </c>
      <c r="D1040">
        <v>0</v>
      </c>
      <c r="E1040">
        <v>3</v>
      </c>
    </row>
    <row r="1041" spans="1:5" x14ac:dyDescent="0.2">
      <c r="A1041">
        <v>359.74579999999997</v>
      </c>
      <c r="B1041">
        <v>1.0790999999999999</v>
      </c>
      <c r="C1041">
        <v>4.5879000000000003</v>
      </c>
      <c r="D1041">
        <v>0</v>
      </c>
      <c r="E1041">
        <v>3</v>
      </c>
    </row>
    <row r="1042" spans="1:5" x14ac:dyDescent="0.2">
      <c r="A1042">
        <v>360.11630000000002</v>
      </c>
      <c r="B1042">
        <v>1.0785</v>
      </c>
      <c r="C1042">
        <v>4.4298000000000002</v>
      </c>
      <c r="D1042">
        <v>0</v>
      </c>
      <c r="E1042">
        <v>3</v>
      </c>
    </row>
    <row r="1043" spans="1:5" x14ac:dyDescent="0.2">
      <c r="A1043">
        <v>360.48680000000002</v>
      </c>
      <c r="B1043">
        <v>1.0773999999999999</v>
      </c>
      <c r="C1043">
        <v>4.2759</v>
      </c>
      <c r="D1043">
        <v>0</v>
      </c>
      <c r="E1043">
        <v>3</v>
      </c>
    </row>
    <row r="1044" spans="1:5" x14ac:dyDescent="0.2">
      <c r="A1044">
        <v>360.85730000000001</v>
      </c>
      <c r="B1044">
        <v>1.0753999999999999</v>
      </c>
      <c r="C1044">
        <v>4.1181999999999999</v>
      </c>
      <c r="D1044">
        <v>0</v>
      </c>
      <c r="E1044">
        <v>3</v>
      </c>
    </row>
    <row r="1045" spans="1:5" x14ac:dyDescent="0.2">
      <c r="A1045">
        <v>361.2278</v>
      </c>
      <c r="B1045">
        <v>1.073</v>
      </c>
      <c r="C1045">
        <v>3.9683000000000002</v>
      </c>
      <c r="D1045">
        <v>0</v>
      </c>
      <c r="E1045">
        <v>3</v>
      </c>
    </row>
    <row r="1046" spans="1:5" x14ac:dyDescent="0.2">
      <c r="A1046">
        <v>361.59820000000002</v>
      </c>
      <c r="B1046">
        <v>1.0730999999999999</v>
      </c>
      <c r="C1046">
        <v>3.8077000000000001</v>
      </c>
      <c r="D1046">
        <v>0</v>
      </c>
      <c r="E1046">
        <v>3</v>
      </c>
    </row>
    <row r="1047" spans="1:5" x14ac:dyDescent="0.2">
      <c r="A1047">
        <v>361.96870000000001</v>
      </c>
      <c r="B1047">
        <v>1.0699000000000001</v>
      </c>
      <c r="C1047">
        <v>3.6564000000000001</v>
      </c>
      <c r="D1047">
        <v>0</v>
      </c>
      <c r="E1047">
        <v>3</v>
      </c>
    </row>
    <row r="1048" spans="1:5" x14ac:dyDescent="0.2">
      <c r="A1048">
        <v>362.33920000000001</v>
      </c>
      <c r="B1048">
        <v>1.0667</v>
      </c>
      <c r="C1048">
        <v>3.5032000000000001</v>
      </c>
      <c r="D1048">
        <v>0</v>
      </c>
      <c r="E1048">
        <v>3</v>
      </c>
    </row>
    <row r="1049" spans="1:5" x14ac:dyDescent="0.2">
      <c r="A1049">
        <v>362.7097</v>
      </c>
      <c r="B1049">
        <v>1.0660000000000001</v>
      </c>
      <c r="C1049">
        <v>3.3500999999999999</v>
      </c>
      <c r="D1049">
        <v>0</v>
      </c>
      <c r="E1049">
        <v>3</v>
      </c>
    </row>
    <row r="1050" spans="1:5" x14ac:dyDescent="0.2">
      <c r="A1050">
        <v>363.08019999999999</v>
      </c>
      <c r="B1050">
        <v>1.0644</v>
      </c>
      <c r="C1050">
        <v>3.1947999999999999</v>
      </c>
      <c r="D1050">
        <v>0</v>
      </c>
      <c r="E1050">
        <v>3</v>
      </c>
    </row>
    <row r="1051" spans="1:5" x14ac:dyDescent="0.2">
      <c r="A1051">
        <v>363.45069999999998</v>
      </c>
      <c r="B1051">
        <v>1.0626</v>
      </c>
      <c r="C1051">
        <v>3.0364</v>
      </c>
      <c r="D1051">
        <v>0</v>
      </c>
      <c r="E1051">
        <v>3</v>
      </c>
    </row>
    <row r="1052" spans="1:5" x14ac:dyDescent="0.2">
      <c r="A1052">
        <v>363.82119999999998</v>
      </c>
      <c r="B1052">
        <v>1.0601</v>
      </c>
      <c r="C1052">
        <v>2.8847999999999998</v>
      </c>
      <c r="D1052">
        <v>0</v>
      </c>
      <c r="E1052">
        <v>3</v>
      </c>
    </row>
    <row r="1053" spans="1:5" x14ac:dyDescent="0.2">
      <c r="A1053">
        <v>364.19170000000003</v>
      </c>
      <c r="B1053">
        <v>1.0572999999999999</v>
      </c>
      <c r="C1053">
        <v>2.7404999999999999</v>
      </c>
      <c r="D1053">
        <v>0</v>
      </c>
      <c r="E1053">
        <v>3</v>
      </c>
    </row>
    <row r="1054" spans="1:5" x14ac:dyDescent="0.2">
      <c r="A1054">
        <v>364.56220000000002</v>
      </c>
      <c r="B1054">
        <v>1.0561</v>
      </c>
      <c r="C1054">
        <v>2.5775999999999999</v>
      </c>
      <c r="D1054">
        <v>0</v>
      </c>
      <c r="E1054">
        <v>3</v>
      </c>
    </row>
    <row r="1055" spans="1:5" x14ac:dyDescent="0.2">
      <c r="A1055">
        <v>364.93259999999998</v>
      </c>
      <c r="B1055">
        <v>1.0546</v>
      </c>
      <c r="C1055">
        <v>2.4201999999999999</v>
      </c>
      <c r="D1055">
        <v>0</v>
      </c>
      <c r="E1055">
        <v>3</v>
      </c>
    </row>
    <row r="1056" spans="1:5" x14ac:dyDescent="0.2">
      <c r="A1056">
        <v>365.30309999999997</v>
      </c>
      <c r="B1056">
        <v>1.0521</v>
      </c>
      <c r="C1056">
        <v>2.2719</v>
      </c>
      <c r="D1056">
        <v>0</v>
      </c>
      <c r="E1056">
        <v>3</v>
      </c>
    </row>
    <row r="1057" spans="1:5" x14ac:dyDescent="0.2">
      <c r="A1057">
        <v>365.67360000000002</v>
      </c>
      <c r="B1057">
        <v>1.0498000000000001</v>
      </c>
      <c r="C1057">
        <v>2.1131000000000002</v>
      </c>
      <c r="D1057">
        <v>0</v>
      </c>
      <c r="E1057">
        <v>3</v>
      </c>
    </row>
    <row r="1058" spans="1:5" x14ac:dyDescent="0.2">
      <c r="A1058">
        <v>366.04410000000001</v>
      </c>
      <c r="B1058">
        <v>1.0478000000000001</v>
      </c>
      <c r="C1058">
        <v>1.9589000000000001</v>
      </c>
      <c r="D1058">
        <v>0</v>
      </c>
      <c r="E1058">
        <v>3</v>
      </c>
    </row>
    <row r="1059" spans="1:5" x14ac:dyDescent="0.2">
      <c r="A1059">
        <v>366.41460000000001</v>
      </c>
      <c r="B1059">
        <v>1.0455000000000001</v>
      </c>
      <c r="C1059">
        <v>1.8053999999999999</v>
      </c>
      <c r="D1059">
        <v>0</v>
      </c>
      <c r="E1059">
        <v>3</v>
      </c>
    </row>
    <row r="1060" spans="1:5" x14ac:dyDescent="0.2">
      <c r="A1060">
        <v>366.7851</v>
      </c>
      <c r="B1060">
        <v>1.0426</v>
      </c>
      <c r="C1060">
        <v>1.6545000000000001</v>
      </c>
      <c r="D1060">
        <v>0</v>
      </c>
      <c r="E1060">
        <v>3</v>
      </c>
    </row>
    <row r="1061" spans="1:5" x14ac:dyDescent="0.2">
      <c r="A1061">
        <v>367.15559999999999</v>
      </c>
      <c r="B1061">
        <v>1.0396000000000001</v>
      </c>
      <c r="C1061">
        <v>1.4974000000000001</v>
      </c>
      <c r="D1061">
        <v>0</v>
      </c>
      <c r="E1061">
        <v>3</v>
      </c>
    </row>
    <row r="1062" spans="1:5" x14ac:dyDescent="0.2">
      <c r="A1062">
        <v>367.52609999999999</v>
      </c>
      <c r="B1062">
        <v>1.0362</v>
      </c>
      <c r="C1062">
        <v>1.3415999999999999</v>
      </c>
      <c r="D1062">
        <v>0</v>
      </c>
      <c r="E1062">
        <v>3</v>
      </c>
    </row>
    <row r="1063" spans="1:5" x14ac:dyDescent="0.2">
      <c r="A1063">
        <v>367.89659999999998</v>
      </c>
      <c r="B1063">
        <v>1.0331999999999999</v>
      </c>
      <c r="C1063">
        <v>1.1865000000000001</v>
      </c>
      <c r="D1063">
        <v>0</v>
      </c>
      <c r="E1063">
        <v>3</v>
      </c>
    </row>
    <row r="1064" spans="1:5" x14ac:dyDescent="0.2">
      <c r="A1064">
        <v>368.26710000000003</v>
      </c>
      <c r="B1064">
        <v>1.0293000000000001</v>
      </c>
      <c r="C1064">
        <v>1.0285</v>
      </c>
      <c r="D1064">
        <v>0</v>
      </c>
      <c r="E1064">
        <v>3</v>
      </c>
    </row>
    <row r="1065" spans="1:5" x14ac:dyDescent="0.2">
      <c r="A1065">
        <v>368.63749999999999</v>
      </c>
      <c r="B1065">
        <v>1.0250999999999999</v>
      </c>
      <c r="C1065">
        <v>0.88160000000000005</v>
      </c>
      <c r="D1065">
        <v>0</v>
      </c>
      <c r="E1065">
        <v>3</v>
      </c>
    </row>
    <row r="1066" spans="1:5" x14ac:dyDescent="0.2">
      <c r="A1066">
        <v>369.00799999999998</v>
      </c>
      <c r="B1066">
        <v>1.0198</v>
      </c>
      <c r="C1066">
        <v>0.72370000000000001</v>
      </c>
      <c r="D1066">
        <v>0</v>
      </c>
      <c r="E1066">
        <v>3</v>
      </c>
    </row>
    <row r="1067" spans="1:5" x14ac:dyDescent="0.2">
      <c r="A1067">
        <v>369.37849999999997</v>
      </c>
      <c r="B1067">
        <v>1.0144</v>
      </c>
      <c r="C1067">
        <v>0.56869999999999998</v>
      </c>
      <c r="D1067">
        <v>0</v>
      </c>
      <c r="E1067">
        <v>3</v>
      </c>
    </row>
    <row r="1068" spans="1:5" x14ac:dyDescent="0.2">
      <c r="A1068">
        <v>369.74900000000002</v>
      </c>
      <c r="B1068">
        <v>1.0064</v>
      </c>
      <c r="C1068">
        <v>0.41610000000000003</v>
      </c>
      <c r="D1068">
        <v>0</v>
      </c>
      <c r="E1068">
        <v>3</v>
      </c>
    </row>
    <row r="1069" spans="1:5" x14ac:dyDescent="0.2">
      <c r="A1069">
        <v>370.11950000000002</v>
      </c>
      <c r="B1069">
        <v>0.99590000000000001</v>
      </c>
      <c r="C1069">
        <v>0.2651</v>
      </c>
      <c r="D1069">
        <v>0</v>
      </c>
      <c r="E1069">
        <v>3</v>
      </c>
    </row>
  </sheetData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J1439"/>
  <sheetViews>
    <sheetView workbookViewId="0">
      <selection activeCell="F12" sqref="F12"/>
    </sheetView>
  </sheetViews>
  <sheetFormatPr baseColWidth="10" defaultRowHeight="16" x14ac:dyDescent="0.2"/>
  <sheetData>
    <row r="1" spans="1:10" x14ac:dyDescent="0.2">
      <c r="A1" s="2" t="s">
        <v>71</v>
      </c>
      <c r="B1" s="2" t="s">
        <v>72</v>
      </c>
      <c r="C1" s="2" t="s">
        <v>73</v>
      </c>
      <c r="D1" s="2" t="s">
        <v>74</v>
      </c>
      <c r="E1" s="2" t="s">
        <v>75</v>
      </c>
      <c r="F1" s="2" t="s">
        <v>76</v>
      </c>
      <c r="G1" s="2" t="s">
        <v>77</v>
      </c>
      <c r="H1" s="2" t="s">
        <v>78</v>
      </c>
      <c r="I1" s="2" t="s">
        <v>79</v>
      </c>
      <c r="J1" s="2" t="s">
        <v>80</v>
      </c>
    </row>
    <row r="2" spans="1:10" x14ac:dyDescent="0.2">
      <c r="A2" s="2">
        <v>0</v>
      </c>
      <c r="B2" s="3">
        <v>3.7900000000000004E-9</v>
      </c>
      <c r="C2" s="3">
        <v>5.41E-5</v>
      </c>
      <c r="D2" s="3">
        <v>23700</v>
      </c>
      <c r="E2" s="3">
        <v>153000000000</v>
      </c>
      <c r="F2" s="3">
        <v>134000000000</v>
      </c>
      <c r="G2" s="2">
        <v>0</v>
      </c>
      <c r="H2" s="3">
        <v>2480000000</v>
      </c>
      <c r="I2" s="2">
        <v>-5.3789999999999998E-2</v>
      </c>
      <c r="J2" s="3">
        <v>9.5999999999999995E-14</v>
      </c>
    </row>
    <row r="3" spans="1:10" x14ac:dyDescent="0.2">
      <c r="A3" s="2">
        <v>1</v>
      </c>
      <c r="B3" s="3">
        <v>5.4100000000000001E-9</v>
      </c>
      <c r="C3" s="3">
        <v>8.6000000000000003E-5</v>
      </c>
      <c r="D3" s="3">
        <v>22900</v>
      </c>
      <c r="E3" s="3">
        <v>130000000000</v>
      </c>
      <c r="F3" s="3">
        <v>116000000000</v>
      </c>
      <c r="G3" s="2">
        <v>0</v>
      </c>
      <c r="H3" s="3">
        <v>3170000000</v>
      </c>
      <c r="I3" s="2">
        <v>-8.0070000000000002E-2</v>
      </c>
      <c r="J3" s="3">
        <v>1.6300000000000001E-13</v>
      </c>
    </row>
    <row r="4" spans="1:10" x14ac:dyDescent="0.2">
      <c r="A4" s="2">
        <v>2</v>
      </c>
      <c r="B4" s="3">
        <v>6.7700000000000004E-9</v>
      </c>
      <c r="C4" s="2">
        <v>1.2129999999999999E-4</v>
      </c>
      <c r="D4" s="3">
        <v>27200</v>
      </c>
      <c r="E4" s="3">
        <v>135000000000</v>
      </c>
      <c r="F4" s="3">
        <v>120000000000</v>
      </c>
      <c r="G4" s="2">
        <v>0</v>
      </c>
      <c r="H4" s="3">
        <v>3390000000</v>
      </c>
      <c r="I4" s="2">
        <v>-9.5180000000000004E-3</v>
      </c>
      <c r="J4" s="3">
        <v>1.6400000000000001E-13</v>
      </c>
    </row>
    <row r="5" spans="1:10" x14ac:dyDescent="0.2">
      <c r="A5" s="2">
        <v>3</v>
      </c>
      <c r="B5" s="3">
        <v>8.5799999999999997E-9</v>
      </c>
      <c r="C5" s="2">
        <v>1.682E-4</v>
      </c>
      <c r="D5" s="3">
        <v>34200</v>
      </c>
      <c r="E5" s="3">
        <v>142000000000</v>
      </c>
      <c r="F5" s="3">
        <v>126000000000</v>
      </c>
      <c r="G5" s="2">
        <v>0</v>
      </c>
      <c r="H5" s="3">
        <v>3300000000</v>
      </c>
      <c r="I5" s="2">
        <v>-0.17760000000000001</v>
      </c>
      <c r="J5" s="3">
        <v>1.4399999999999999E-13</v>
      </c>
    </row>
    <row r="6" spans="1:10" x14ac:dyDescent="0.2">
      <c r="A6" s="2">
        <v>4</v>
      </c>
      <c r="B6" s="3">
        <v>9.7499999999999996E-9</v>
      </c>
      <c r="C6" s="2">
        <v>2.1479999999999999E-4</v>
      </c>
      <c r="D6" s="3">
        <v>34800</v>
      </c>
      <c r="E6" s="3">
        <v>141000000000</v>
      </c>
      <c r="F6" s="3">
        <v>125000000000</v>
      </c>
      <c r="G6" s="3">
        <v>1480000000</v>
      </c>
      <c r="H6" s="3">
        <v>4030000000</v>
      </c>
      <c r="I6" s="2">
        <v>1.18E-2</v>
      </c>
      <c r="J6" s="3">
        <v>1.78E-13</v>
      </c>
    </row>
    <row r="7" spans="1:10" x14ac:dyDescent="0.2">
      <c r="A7" s="2">
        <v>5</v>
      </c>
      <c r="B7" s="3">
        <v>1.1199999999999999E-8</v>
      </c>
      <c r="C7" s="2">
        <v>2.6499999999999999E-4</v>
      </c>
      <c r="D7" s="3">
        <v>40000</v>
      </c>
      <c r="E7" s="3">
        <v>149000000000</v>
      </c>
      <c r="F7" s="3">
        <v>131000000000</v>
      </c>
      <c r="G7" s="2">
        <v>0</v>
      </c>
      <c r="H7" s="3">
        <v>4110000000</v>
      </c>
      <c r="I7" s="2">
        <v>-4.0480000000000002E-2</v>
      </c>
      <c r="J7" s="3">
        <v>1.66E-13</v>
      </c>
    </row>
    <row r="8" spans="1:10" x14ac:dyDescent="0.2">
      <c r="A8" s="2">
        <v>6</v>
      </c>
      <c r="B8" s="3">
        <v>1.27E-8</v>
      </c>
      <c r="C8" s="2">
        <v>3.1369999999999998E-4</v>
      </c>
      <c r="D8" s="3">
        <v>38300</v>
      </c>
      <c r="E8" s="3">
        <v>137000000000</v>
      </c>
      <c r="F8" s="3">
        <v>122000000000</v>
      </c>
      <c r="G8" s="3">
        <v>20900000000</v>
      </c>
      <c r="H8" s="3">
        <v>4590000000</v>
      </c>
      <c r="I8" s="2">
        <v>0.17169999999999999</v>
      </c>
      <c r="J8" s="3">
        <v>2.14E-13</v>
      </c>
    </row>
    <row r="9" spans="1:10" x14ac:dyDescent="0.2">
      <c r="A9" s="2">
        <v>7</v>
      </c>
      <c r="B9" s="3">
        <v>1.3599999999999999E-8</v>
      </c>
      <c r="C9" s="2">
        <v>3.6709999999999998E-4</v>
      </c>
      <c r="D9" s="3">
        <v>45700</v>
      </c>
      <c r="E9" s="3">
        <v>155000000000</v>
      </c>
      <c r="F9" s="3">
        <v>135000000000</v>
      </c>
      <c r="G9" s="3">
        <v>18100000000</v>
      </c>
      <c r="H9" s="3">
        <v>4660000000</v>
      </c>
      <c r="I9" s="2">
        <v>0.1333</v>
      </c>
      <c r="J9" s="3">
        <v>1.7600000000000001E-13</v>
      </c>
    </row>
    <row r="10" spans="1:10" x14ac:dyDescent="0.2">
      <c r="A10" s="2">
        <v>8</v>
      </c>
      <c r="B10" s="3">
        <v>1.5399999999999999E-8</v>
      </c>
      <c r="C10" s="2">
        <v>4.1849999999999998E-4</v>
      </c>
      <c r="D10" s="3">
        <v>40700</v>
      </c>
      <c r="E10" s="3">
        <v>134000000000</v>
      </c>
      <c r="F10" s="3">
        <v>119000000000</v>
      </c>
      <c r="G10" s="2">
        <v>0</v>
      </c>
      <c r="H10" s="3">
        <v>5210000000</v>
      </c>
      <c r="I10" s="2">
        <v>-7.8059999999999996E-3</v>
      </c>
      <c r="J10" s="3">
        <v>2.5199999999999999E-13</v>
      </c>
    </row>
    <row r="11" spans="1:10" x14ac:dyDescent="0.2">
      <c r="A11" s="2">
        <v>9</v>
      </c>
      <c r="B11" s="3">
        <v>1.6099999999999999E-8</v>
      </c>
      <c r="C11" s="2">
        <v>4.7019999999999999E-4</v>
      </c>
      <c r="D11" s="3">
        <v>46800</v>
      </c>
      <c r="E11" s="3">
        <v>148000000000</v>
      </c>
      <c r="F11" s="3">
        <v>130000000000</v>
      </c>
      <c r="G11" s="2">
        <v>0</v>
      </c>
      <c r="H11" s="3">
        <v>5280000000</v>
      </c>
      <c r="I11" s="2">
        <v>-3.6949999999999997E-2</v>
      </c>
      <c r="J11" s="3">
        <v>2.1499999999999999E-13</v>
      </c>
    </row>
    <row r="12" spans="1:10" x14ac:dyDescent="0.2">
      <c r="A12" s="2">
        <v>10</v>
      </c>
      <c r="B12" s="3">
        <v>1.7100000000000001E-8</v>
      </c>
      <c r="C12" s="2">
        <v>5.218E-4</v>
      </c>
      <c r="D12" s="3">
        <v>41400</v>
      </c>
      <c r="E12" s="3">
        <v>138000000000</v>
      </c>
      <c r="F12" s="3">
        <v>122000000000</v>
      </c>
      <c r="G12" s="3">
        <v>6180000000</v>
      </c>
      <c r="H12" s="3">
        <v>6550000000</v>
      </c>
      <c r="I12" s="2">
        <v>5.067E-2</v>
      </c>
      <c r="J12" s="3">
        <v>3.0400000000000002E-13</v>
      </c>
    </row>
    <row r="13" spans="1:10" x14ac:dyDescent="0.2">
      <c r="A13" s="2">
        <v>11</v>
      </c>
      <c r="B13" s="3">
        <v>1.8299999999999998E-8</v>
      </c>
      <c r="C13" s="2">
        <v>5.7249999999999998E-4</v>
      </c>
      <c r="D13" s="3">
        <v>59900</v>
      </c>
      <c r="E13" s="3">
        <v>169000000000</v>
      </c>
      <c r="F13" s="3">
        <v>146000000000</v>
      </c>
      <c r="G13" s="2">
        <v>0</v>
      </c>
      <c r="H13" s="3">
        <v>4920000000</v>
      </c>
      <c r="I13" s="2">
        <v>-0.15440000000000001</v>
      </c>
      <c r="J13" s="3">
        <v>1.59E-13</v>
      </c>
    </row>
    <row r="14" spans="1:10" x14ac:dyDescent="0.2">
      <c r="A14" s="2">
        <v>12</v>
      </c>
      <c r="B14" s="3">
        <v>1.96E-8</v>
      </c>
      <c r="C14" s="2">
        <v>6.2370000000000004E-4</v>
      </c>
      <c r="D14" s="3">
        <v>50900</v>
      </c>
      <c r="E14" s="3">
        <v>146000000000</v>
      </c>
      <c r="F14" s="3">
        <v>129000000000</v>
      </c>
      <c r="G14" s="2">
        <v>0</v>
      </c>
      <c r="H14" s="3">
        <v>5750000000</v>
      </c>
      <c r="I14" s="2">
        <v>-5.587E-3</v>
      </c>
      <c r="J14" s="3">
        <v>2.3999999999999999E-13</v>
      </c>
    </row>
    <row r="15" spans="1:10" x14ac:dyDescent="0.2">
      <c r="A15" s="2">
        <v>13</v>
      </c>
      <c r="B15" s="3">
        <v>2.0400000000000001E-8</v>
      </c>
      <c r="C15" s="2">
        <v>6.7659999999999997E-4</v>
      </c>
      <c r="D15" s="3">
        <v>51300</v>
      </c>
      <c r="E15" s="3">
        <v>146000000000</v>
      </c>
      <c r="F15" s="3">
        <v>129000000000</v>
      </c>
      <c r="G15" s="3">
        <v>11200000000</v>
      </c>
      <c r="H15" s="3">
        <v>6160000000</v>
      </c>
      <c r="I15" s="2">
        <v>8.6739999999999998E-2</v>
      </c>
      <c r="J15" s="3">
        <v>2.5700000000000002E-13</v>
      </c>
    </row>
    <row r="16" spans="1:10" x14ac:dyDescent="0.2">
      <c r="A16" s="2">
        <v>14</v>
      </c>
      <c r="B16" s="3">
        <v>2.1699999999999999E-8</v>
      </c>
      <c r="C16" s="2">
        <v>7.3240000000000002E-4</v>
      </c>
      <c r="D16" s="3">
        <v>57300</v>
      </c>
      <c r="E16" s="3">
        <v>153000000000</v>
      </c>
      <c r="F16" s="3">
        <v>134000000000</v>
      </c>
      <c r="G16" s="2">
        <v>0</v>
      </c>
      <c r="H16" s="3">
        <v>5810000000</v>
      </c>
      <c r="I16" s="2">
        <v>-4.4380000000000003E-2</v>
      </c>
      <c r="J16" s="3">
        <v>2.2300000000000001E-13</v>
      </c>
    </row>
    <row r="17" spans="1:10" x14ac:dyDescent="0.2">
      <c r="A17" s="2">
        <v>15</v>
      </c>
      <c r="B17" s="3">
        <v>2.2700000000000001E-8</v>
      </c>
      <c r="C17" s="2">
        <v>7.8490000000000005E-4</v>
      </c>
      <c r="D17" s="3">
        <v>60400</v>
      </c>
      <c r="E17" s="3">
        <v>156000000000</v>
      </c>
      <c r="F17" s="3">
        <v>137000000000</v>
      </c>
      <c r="G17" s="2">
        <v>0</v>
      </c>
      <c r="H17" s="3">
        <v>5800000000</v>
      </c>
      <c r="I17" s="2">
        <v>-6.6369999999999998E-2</v>
      </c>
      <c r="J17" s="3">
        <v>2.1499999999999999E-13</v>
      </c>
    </row>
    <row r="18" spans="1:10" x14ac:dyDescent="0.2">
      <c r="A18" s="2">
        <v>16</v>
      </c>
      <c r="B18" s="3">
        <v>2.3199999999999999E-8</v>
      </c>
      <c r="C18" s="2">
        <v>8.3750000000000003E-4</v>
      </c>
      <c r="D18" s="3">
        <v>49800</v>
      </c>
      <c r="E18" s="3">
        <v>141000000000</v>
      </c>
      <c r="F18" s="3">
        <v>124000000000</v>
      </c>
      <c r="G18" s="2">
        <v>0</v>
      </c>
      <c r="H18" s="3">
        <v>7570000000</v>
      </c>
      <c r="I18" s="2">
        <v>-4.1880000000000001E-2</v>
      </c>
      <c r="J18" s="3">
        <v>3.3800000000000002E-13</v>
      </c>
    </row>
    <row r="19" spans="1:10" x14ac:dyDescent="0.2">
      <c r="A19" s="2">
        <v>17</v>
      </c>
      <c r="B19" s="3">
        <v>2.3899999999999999E-8</v>
      </c>
      <c r="C19" s="2">
        <v>8.8800000000000001E-4</v>
      </c>
      <c r="D19" s="3">
        <v>50200</v>
      </c>
      <c r="E19" s="3">
        <v>142000000000</v>
      </c>
      <c r="F19" s="3">
        <v>125000000000</v>
      </c>
      <c r="G19" s="2">
        <v>0</v>
      </c>
      <c r="H19" s="3">
        <v>7990000000</v>
      </c>
      <c r="I19" s="2">
        <v>-4.095E-2</v>
      </c>
      <c r="J19" s="3">
        <v>3.5200000000000001E-13</v>
      </c>
    </row>
    <row r="20" spans="1:10" x14ac:dyDescent="0.2">
      <c r="A20" s="2">
        <v>18</v>
      </c>
      <c r="B20" s="3">
        <v>2.5399999999999999E-8</v>
      </c>
      <c r="C20" s="2">
        <v>9.3869999999999999E-4</v>
      </c>
      <c r="D20" s="3">
        <v>53100</v>
      </c>
      <c r="E20" s="3">
        <v>140000000000</v>
      </c>
      <c r="F20" s="3">
        <v>124000000000</v>
      </c>
      <c r="G20" s="2">
        <v>0</v>
      </c>
      <c r="H20" s="3">
        <v>7430000000</v>
      </c>
      <c r="I20" s="2">
        <v>-0.30790000000000001</v>
      </c>
      <c r="J20" s="3">
        <v>3.3299999999999999E-13</v>
      </c>
    </row>
    <row r="21" spans="1:10" x14ac:dyDescent="0.2">
      <c r="A21" s="2">
        <v>19</v>
      </c>
      <c r="B21" s="3">
        <v>2.62E-8</v>
      </c>
      <c r="C21" s="2">
        <v>9.921000000000001E-4</v>
      </c>
      <c r="D21" s="3">
        <v>58000</v>
      </c>
      <c r="E21" s="3">
        <v>147000000000</v>
      </c>
      <c r="F21" s="3">
        <v>129000000000</v>
      </c>
      <c r="G21" s="3">
        <v>12900000000</v>
      </c>
      <c r="H21" s="3">
        <v>7120000000</v>
      </c>
      <c r="I21" s="2">
        <v>9.9669999999999995E-2</v>
      </c>
      <c r="J21" s="3">
        <v>2.9500000000000001E-13</v>
      </c>
    </row>
    <row r="22" spans="1:10" x14ac:dyDescent="0.2">
      <c r="A22" s="2">
        <v>20</v>
      </c>
      <c r="B22" s="3">
        <v>2.7199999999999999E-8</v>
      </c>
      <c r="C22" s="2">
        <v>1.042E-3</v>
      </c>
      <c r="D22" s="3">
        <v>63600</v>
      </c>
      <c r="E22" s="3">
        <v>153000000000</v>
      </c>
      <c r="F22" s="3">
        <v>134000000000</v>
      </c>
      <c r="G22" s="2">
        <v>0</v>
      </c>
      <c r="H22" s="3">
        <v>6720000000</v>
      </c>
      <c r="I22" s="2">
        <v>-4.2759999999999999E-2</v>
      </c>
      <c r="J22" s="3">
        <v>2.5800000000000001E-13</v>
      </c>
    </row>
    <row r="23" spans="1:10" x14ac:dyDescent="0.2">
      <c r="A23" s="2">
        <v>21</v>
      </c>
      <c r="B23" s="3">
        <v>2.8600000000000001E-8</v>
      </c>
      <c r="C23" s="2">
        <v>1.0939999999999999E-3</v>
      </c>
      <c r="D23" s="3">
        <v>61500</v>
      </c>
      <c r="E23" s="3">
        <v>146000000000</v>
      </c>
      <c r="F23" s="3">
        <v>129000000000</v>
      </c>
      <c r="G23" s="3">
        <v>15100000000</v>
      </c>
      <c r="H23" s="3">
        <v>6920000000</v>
      </c>
      <c r="I23" s="2">
        <v>0.1171</v>
      </c>
      <c r="J23" s="3">
        <v>2.8899999999999998E-13</v>
      </c>
    </row>
    <row r="24" spans="1:10" x14ac:dyDescent="0.2">
      <c r="A24" s="2">
        <v>22</v>
      </c>
      <c r="B24" s="3">
        <v>2.8900000000000001E-8</v>
      </c>
      <c r="C24" s="2">
        <v>1.147E-3</v>
      </c>
      <c r="D24" s="3">
        <v>66800</v>
      </c>
      <c r="E24" s="3">
        <v>156000000000</v>
      </c>
      <c r="F24" s="3">
        <v>136000000000</v>
      </c>
      <c r="G24" s="2">
        <v>0</v>
      </c>
      <c r="H24" s="3">
        <v>6890000000</v>
      </c>
      <c r="I24" s="2">
        <v>-0.12280000000000001</v>
      </c>
      <c r="J24" s="3">
        <v>2.5700000000000002E-13</v>
      </c>
    </row>
    <row r="25" spans="1:10" x14ac:dyDescent="0.2">
      <c r="A25" s="2">
        <v>23</v>
      </c>
      <c r="B25" s="3">
        <v>3.0099999999999998E-8</v>
      </c>
      <c r="C25" s="2">
        <v>1.1999999999999999E-3</v>
      </c>
      <c r="D25" s="3">
        <v>74200</v>
      </c>
      <c r="E25" s="3">
        <v>164000000000</v>
      </c>
      <c r="F25" s="3">
        <v>142000000000</v>
      </c>
      <c r="G25" s="2">
        <v>0</v>
      </c>
      <c r="H25" s="3">
        <v>6410000000</v>
      </c>
      <c r="I25" s="2">
        <v>-0.14960000000000001</v>
      </c>
      <c r="J25" s="3">
        <v>2.1800000000000001E-13</v>
      </c>
    </row>
    <row r="26" spans="1:10" x14ac:dyDescent="0.2">
      <c r="A26" s="2">
        <v>24</v>
      </c>
      <c r="B26" s="3">
        <v>3.0799999999999998E-8</v>
      </c>
      <c r="C26" s="2">
        <v>1.253E-3</v>
      </c>
      <c r="D26" s="3">
        <v>63900</v>
      </c>
      <c r="E26" s="3">
        <v>148000000000</v>
      </c>
      <c r="F26" s="3">
        <v>130000000000</v>
      </c>
      <c r="G26" s="3">
        <v>11000000000</v>
      </c>
      <c r="H26" s="3">
        <v>7520000000</v>
      </c>
      <c r="I26" s="2">
        <v>8.4849999999999995E-2</v>
      </c>
      <c r="J26" s="3">
        <v>3.07E-13</v>
      </c>
    </row>
    <row r="27" spans="1:10" x14ac:dyDescent="0.2">
      <c r="A27" s="2">
        <v>25</v>
      </c>
      <c r="B27" s="3">
        <v>3.18E-8</v>
      </c>
      <c r="C27" s="2">
        <v>1.304E-3</v>
      </c>
      <c r="D27" s="3">
        <v>85300</v>
      </c>
      <c r="E27" s="3">
        <v>171000000000</v>
      </c>
      <c r="F27" s="3">
        <v>148000000000</v>
      </c>
      <c r="G27" s="3">
        <v>11600000000</v>
      </c>
      <c r="H27" s="3">
        <v>5650000000</v>
      </c>
      <c r="I27" s="2">
        <v>7.8780000000000003E-2</v>
      </c>
      <c r="J27" s="3">
        <v>1.7899999999999999E-13</v>
      </c>
    </row>
    <row r="28" spans="1:10" x14ac:dyDescent="0.2">
      <c r="A28" s="2">
        <v>26</v>
      </c>
      <c r="B28" s="3">
        <v>3.25E-8</v>
      </c>
      <c r="C28" s="2">
        <v>1.356E-3</v>
      </c>
      <c r="D28" s="3">
        <v>73500</v>
      </c>
      <c r="E28" s="3">
        <v>159000000000</v>
      </c>
      <c r="F28" s="3">
        <v>139000000000</v>
      </c>
      <c r="G28" s="3">
        <v>14800000000</v>
      </c>
      <c r="H28" s="3">
        <v>6980000000</v>
      </c>
      <c r="I28" s="2">
        <v>0.1071</v>
      </c>
      <c r="J28" s="3">
        <v>2.5099999999999999E-13</v>
      </c>
    </row>
    <row r="29" spans="1:10" x14ac:dyDescent="0.2">
      <c r="A29" s="2">
        <v>27</v>
      </c>
      <c r="B29" s="3">
        <v>3.33E-8</v>
      </c>
      <c r="C29" s="2">
        <v>1.408E-3</v>
      </c>
      <c r="D29" s="3">
        <v>66700</v>
      </c>
      <c r="E29" s="3">
        <v>148000000000</v>
      </c>
      <c r="F29" s="3">
        <v>130000000000</v>
      </c>
      <c r="G29" s="3">
        <v>13200000000</v>
      </c>
      <c r="H29" s="3">
        <v>7790000000</v>
      </c>
      <c r="I29" s="2">
        <v>0.1011</v>
      </c>
      <c r="J29" s="3">
        <v>3.1600000000000002E-13</v>
      </c>
    </row>
    <row r="30" spans="1:10" x14ac:dyDescent="0.2">
      <c r="A30" s="2">
        <v>28</v>
      </c>
      <c r="B30" s="3">
        <v>3.3899999999999999E-8</v>
      </c>
      <c r="C30" s="2">
        <v>1.462E-3</v>
      </c>
      <c r="D30" s="3">
        <v>56900</v>
      </c>
      <c r="E30" s="3">
        <v>137000000000</v>
      </c>
      <c r="F30" s="3">
        <v>121000000000</v>
      </c>
      <c r="G30" s="2">
        <v>0</v>
      </c>
      <c r="H30" s="3">
        <v>9630000000</v>
      </c>
      <c r="I30" s="2">
        <v>-8.1129999999999994E-2</v>
      </c>
      <c r="J30" s="3">
        <v>4.5199999999999999E-13</v>
      </c>
    </row>
    <row r="31" spans="1:10" x14ac:dyDescent="0.2">
      <c r="A31" s="2">
        <v>29</v>
      </c>
      <c r="B31" s="3">
        <v>3.47E-8</v>
      </c>
      <c r="C31" s="2">
        <v>1.513E-3</v>
      </c>
      <c r="D31" s="3">
        <v>68500</v>
      </c>
      <c r="E31" s="3">
        <v>149000000000</v>
      </c>
      <c r="F31" s="3">
        <v>131000000000</v>
      </c>
      <c r="G31" s="2">
        <v>0</v>
      </c>
      <c r="H31" s="3">
        <v>8030000000</v>
      </c>
      <c r="I31" s="2">
        <v>-0.1996</v>
      </c>
      <c r="J31" s="3">
        <v>3.2199999999999999E-13</v>
      </c>
    </row>
    <row r="32" spans="1:10" x14ac:dyDescent="0.2">
      <c r="A32" s="2">
        <v>30</v>
      </c>
      <c r="B32" s="3">
        <v>3.55E-8</v>
      </c>
      <c r="C32" s="2">
        <v>1.5659999999999999E-3</v>
      </c>
      <c r="D32" s="3">
        <v>69200</v>
      </c>
      <c r="E32" s="3">
        <v>149000000000</v>
      </c>
      <c r="F32" s="3">
        <v>131000000000</v>
      </c>
      <c r="G32" s="3">
        <v>1030000000</v>
      </c>
      <c r="H32" s="3">
        <v>8110000000</v>
      </c>
      <c r="I32" s="2">
        <v>7.8630000000000002E-3</v>
      </c>
      <c r="J32" s="3">
        <v>3.2700000000000002E-13</v>
      </c>
    </row>
    <row r="33" spans="1:10" x14ac:dyDescent="0.2">
      <c r="A33" s="2">
        <v>31</v>
      </c>
      <c r="B33" s="3">
        <v>3.5899999999999997E-8</v>
      </c>
      <c r="C33" s="2">
        <v>1.619E-3</v>
      </c>
      <c r="D33" s="3">
        <v>89500</v>
      </c>
      <c r="E33" s="3">
        <v>176000000000</v>
      </c>
      <c r="F33" s="3">
        <v>151000000000</v>
      </c>
      <c r="G33" s="2">
        <v>0</v>
      </c>
      <c r="H33" s="3">
        <v>6700000000</v>
      </c>
      <c r="I33" s="2">
        <v>-0.18429999999999999</v>
      </c>
      <c r="J33" s="3">
        <v>2.02E-13</v>
      </c>
    </row>
    <row r="34" spans="1:10" x14ac:dyDescent="0.2">
      <c r="A34" s="2">
        <v>32</v>
      </c>
      <c r="B34" s="3">
        <v>3.7100000000000001E-8</v>
      </c>
      <c r="C34" s="2">
        <v>1.6689999999999999E-3</v>
      </c>
      <c r="D34" s="3">
        <v>80200</v>
      </c>
      <c r="E34" s="3">
        <v>154000000000</v>
      </c>
      <c r="F34" s="3">
        <v>135000000000</v>
      </c>
      <c r="G34" s="3">
        <v>21200000000</v>
      </c>
      <c r="H34" s="3">
        <v>6840000000</v>
      </c>
      <c r="I34" s="2">
        <v>0.15740000000000001</v>
      </c>
      <c r="J34" s="3">
        <v>2.5900000000000001E-13</v>
      </c>
    </row>
    <row r="35" spans="1:10" x14ac:dyDescent="0.2">
      <c r="A35" s="2">
        <v>33</v>
      </c>
      <c r="B35" s="3">
        <v>3.7800000000000001E-8</v>
      </c>
      <c r="C35" s="2">
        <v>1.7210000000000001E-3</v>
      </c>
      <c r="D35" s="3">
        <v>66300</v>
      </c>
      <c r="E35" s="3">
        <v>143000000000</v>
      </c>
      <c r="F35" s="3">
        <v>126000000000</v>
      </c>
      <c r="G35" s="3">
        <v>1990000000</v>
      </c>
      <c r="H35" s="3">
        <v>9040000000</v>
      </c>
      <c r="I35" s="2">
        <v>1.5740000000000001E-2</v>
      </c>
      <c r="J35" s="3">
        <v>3.91E-13</v>
      </c>
    </row>
    <row r="36" spans="1:10" x14ac:dyDescent="0.2">
      <c r="A36" s="2">
        <v>34</v>
      </c>
      <c r="B36" s="3">
        <v>3.84E-8</v>
      </c>
      <c r="C36" s="2">
        <v>1.7769999999999999E-3</v>
      </c>
      <c r="D36" s="3">
        <v>71000</v>
      </c>
      <c r="E36" s="3">
        <v>146000000000</v>
      </c>
      <c r="F36" s="3">
        <v>128000000000</v>
      </c>
      <c r="G36" s="2">
        <v>0</v>
      </c>
      <c r="H36" s="3">
        <v>8390000000</v>
      </c>
      <c r="I36" s="2">
        <v>-7.5550000000000006E-2</v>
      </c>
      <c r="J36" s="3">
        <v>3.5300000000000001E-13</v>
      </c>
    </row>
    <row r="37" spans="1:10" x14ac:dyDescent="0.2">
      <c r="A37" s="2">
        <v>35</v>
      </c>
      <c r="B37" s="3">
        <v>3.9300000000000001E-8</v>
      </c>
      <c r="C37" s="2">
        <v>1.8270000000000001E-3</v>
      </c>
      <c r="D37" s="3">
        <v>64400</v>
      </c>
      <c r="E37" s="3">
        <v>140000000000</v>
      </c>
      <c r="F37" s="3">
        <v>124000000000</v>
      </c>
      <c r="G37" s="2">
        <v>0</v>
      </c>
      <c r="H37" s="3">
        <v>9750000000</v>
      </c>
      <c r="I37" s="2">
        <v>-4.6359999999999998E-2</v>
      </c>
      <c r="J37" s="3">
        <v>4.3999999999999999E-13</v>
      </c>
    </row>
    <row r="38" spans="1:10" x14ac:dyDescent="0.2">
      <c r="A38" s="2">
        <v>36</v>
      </c>
      <c r="B38" s="3">
        <v>4.0000000000000001E-8</v>
      </c>
      <c r="C38" s="2">
        <v>1.877E-3</v>
      </c>
      <c r="D38" s="3">
        <v>77300</v>
      </c>
      <c r="E38" s="3">
        <v>148000000000</v>
      </c>
      <c r="F38" s="3">
        <v>130000000000</v>
      </c>
      <c r="G38" s="3">
        <v>2480000000</v>
      </c>
      <c r="H38" s="3">
        <v>7720000000</v>
      </c>
      <c r="I38" s="2">
        <v>1.9E-2</v>
      </c>
      <c r="J38" s="3">
        <v>3.1400000000000003E-13</v>
      </c>
    </row>
    <row r="39" spans="1:10" x14ac:dyDescent="0.2">
      <c r="A39" s="2">
        <v>37</v>
      </c>
      <c r="B39" s="3">
        <v>4.06E-8</v>
      </c>
      <c r="C39" s="2">
        <v>1.9300000000000001E-3</v>
      </c>
      <c r="D39" s="3">
        <v>75600</v>
      </c>
      <c r="E39" s="3">
        <v>144000000000</v>
      </c>
      <c r="F39" s="3">
        <v>127000000000</v>
      </c>
      <c r="G39" s="2">
        <v>0</v>
      </c>
      <c r="H39" s="3">
        <v>7910000000</v>
      </c>
      <c r="I39" s="2">
        <v>-0.16569999999999999</v>
      </c>
      <c r="J39" s="3">
        <v>3.3699999999999998E-13</v>
      </c>
    </row>
    <row r="40" spans="1:10" x14ac:dyDescent="0.2">
      <c r="A40" s="2">
        <v>38</v>
      </c>
      <c r="B40" s="3">
        <v>4.1500000000000001E-8</v>
      </c>
      <c r="C40" s="2">
        <v>1.983E-3</v>
      </c>
      <c r="D40" s="3">
        <v>76200</v>
      </c>
      <c r="E40" s="3">
        <v>146000000000</v>
      </c>
      <c r="F40" s="3">
        <v>129000000000</v>
      </c>
      <c r="G40" s="3">
        <v>8500000000</v>
      </c>
      <c r="H40" s="3">
        <v>8170000000</v>
      </c>
      <c r="I40" s="2">
        <v>6.6170000000000007E-2</v>
      </c>
      <c r="J40" s="3">
        <v>3.4100000000000001E-13</v>
      </c>
    </row>
    <row r="41" spans="1:10" x14ac:dyDescent="0.2">
      <c r="A41" s="2">
        <v>39</v>
      </c>
      <c r="B41" s="3">
        <v>4.2300000000000002E-8</v>
      </c>
      <c r="C41" s="2">
        <v>2.0339999999999998E-3</v>
      </c>
      <c r="D41" s="3">
        <v>80500</v>
      </c>
      <c r="E41" s="3">
        <v>155000000000</v>
      </c>
      <c r="F41" s="3">
        <v>135000000000</v>
      </c>
      <c r="G41" s="2">
        <v>0</v>
      </c>
      <c r="H41" s="3">
        <v>8340000000</v>
      </c>
      <c r="I41" s="2">
        <v>-0.1179</v>
      </c>
      <c r="J41" s="3">
        <v>3.1400000000000003E-13</v>
      </c>
    </row>
    <row r="42" spans="1:10" x14ac:dyDescent="0.2">
      <c r="A42" s="2">
        <v>40</v>
      </c>
      <c r="B42" s="3">
        <v>4.3100000000000002E-8</v>
      </c>
      <c r="C42" s="2">
        <v>2.088E-3</v>
      </c>
      <c r="D42" s="3">
        <v>70300</v>
      </c>
      <c r="E42" s="3">
        <v>133000000000</v>
      </c>
      <c r="F42" s="3">
        <v>119000000000</v>
      </c>
      <c r="G42" s="2">
        <v>0</v>
      </c>
      <c r="H42" s="3">
        <v>8610000000</v>
      </c>
      <c r="I42" s="2">
        <v>-6.5979999999999997E-2</v>
      </c>
      <c r="J42" s="3">
        <v>4.2200000000000002E-13</v>
      </c>
    </row>
    <row r="43" spans="1:10" x14ac:dyDescent="0.2">
      <c r="A43" s="2">
        <v>41</v>
      </c>
      <c r="B43" s="3">
        <v>4.3499999999999999E-8</v>
      </c>
      <c r="C43" s="2">
        <v>2.14E-3</v>
      </c>
      <c r="D43" s="3">
        <v>80700</v>
      </c>
      <c r="E43" s="3">
        <v>155000000000</v>
      </c>
      <c r="F43" s="3">
        <v>135000000000</v>
      </c>
      <c r="G43" s="3">
        <v>1970000000</v>
      </c>
      <c r="H43" s="3">
        <v>8720000000</v>
      </c>
      <c r="I43" s="2">
        <v>1.453E-2</v>
      </c>
      <c r="J43" s="3">
        <v>3.2900000000000001E-13</v>
      </c>
    </row>
    <row r="44" spans="1:10" x14ac:dyDescent="0.2">
      <c r="A44" s="2">
        <v>42</v>
      </c>
      <c r="B44" s="3">
        <v>4.3999999999999997E-8</v>
      </c>
      <c r="C44" s="2">
        <v>2.1909999999999998E-3</v>
      </c>
      <c r="D44" s="3">
        <v>77800</v>
      </c>
      <c r="E44" s="3">
        <v>150000000000</v>
      </c>
      <c r="F44" s="3">
        <v>132000000000</v>
      </c>
      <c r="G44" s="3">
        <v>12200000000</v>
      </c>
      <c r="H44" s="3">
        <v>9100000000</v>
      </c>
      <c r="I44" s="2">
        <v>9.2880000000000004E-2</v>
      </c>
      <c r="J44" s="3">
        <v>3.6200000000000002E-13</v>
      </c>
    </row>
    <row r="45" spans="1:10" x14ac:dyDescent="0.2">
      <c r="A45" s="2">
        <v>43</v>
      </c>
      <c r="B45" s="3">
        <v>4.4899999999999998E-8</v>
      </c>
      <c r="C45" s="2">
        <v>2.245E-3</v>
      </c>
      <c r="D45" s="3">
        <v>85500</v>
      </c>
      <c r="E45" s="3">
        <v>160000000000</v>
      </c>
      <c r="F45" s="3">
        <v>140000000000</v>
      </c>
      <c r="G45" s="3">
        <v>3020000000</v>
      </c>
      <c r="H45" s="3">
        <v>8650000000</v>
      </c>
      <c r="I45" s="2">
        <v>2.1610000000000001E-2</v>
      </c>
      <c r="J45" s="3">
        <v>3.07E-13</v>
      </c>
    </row>
    <row r="46" spans="1:10" x14ac:dyDescent="0.2">
      <c r="A46" s="2">
        <v>44</v>
      </c>
      <c r="B46" s="3">
        <v>4.6000000000000002E-8</v>
      </c>
      <c r="C46" s="2">
        <v>2.2950000000000002E-3</v>
      </c>
      <c r="D46" s="3">
        <v>88700</v>
      </c>
      <c r="E46" s="3">
        <v>163000000000</v>
      </c>
      <c r="F46" s="3">
        <v>141000000000</v>
      </c>
      <c r="G46" s="3">
        <v>3280000000</v>
      </c>
      <c r="H46" s="3">
        <v>8430000000</v>
      </c>
      <c r="I46" s="2">
        <v>2.3230000000000001E-2</v>
      </c>
      <c r="J46" s="3">
        <v>2.9200000000000002E-13</v>
      </c>
    </row>
    <row r="47" spans="1:10" x14ac:dyDescent="0.2">
      <c r="A47" s="2">
        <v>45</v>
      </c>
      <c r="B47" s="3">
        <v>4.6900000000000003E-8</v>
      </c>
      <c r="C47" s="2">
        <v>2.3449999999999999E-3</v>
      </c>
      <c r="D47" s="3">
        <v>67800</v>
      </c>
      <c r="E47" s="3">
        <v>128000000000</v>
      </c>
      <c r="F47" s="3">
        <v>114000000000</v>
      </c>
      <c r="G47" s="3">
        <v>4440000000</v>
      </c>
      <c r="H47" s="3">
        <v>9640000000</v>
      </c>
      <c r="I47" s="2">
        <v>3.8870000000000002E-2</v>
      </c>
      <c r="J47" s="3">
        <v>5.1100000000000004E-13</v>
      </c>
    </row>
    <row r="48" spans="1:10" x14ac:dyDescent="0.2">
      <c r="A48" s="2">
        <v>46</v>
      </c>
      <c r="B48" s="3">
        <v>4.7500000000000002E-8</v>
      </c>
      <c r="C48" s="2">
        <v>2.4030000000000002E-3</v>
      </c>
      <c r="D48" s="3">
        <v>104000</v>
      </c>
      <c r="E48" s="3">
        <v>182000000000</v>
      </c>
      <c r="F48" s="3">
        <v>156000000000</v>
      </c>
      <c r="G48" s="3">
        <v>5060000000</v>
      </c>
      <c r="H48" s="3">
        <v>7780000000</v>
      </c>
      <c r="I48" s="2">
        <v>3.2550000000000003E-2</v>
      </c>
      <c r="J48" s="3">
        <v>2.2199999999999999E-13</v>
      </c>
    </row>
    <row r="49" spans="1:10" x14ac:dyDescent="0.2">
      <c r="A49" s="2">
        <v>47</v>
      </c>
      <c r="B49" s="3">
        <v>4.8E-8</v>
      </c>
      <c r="C49" s="2">
        <v>2.454E-3</v>
      </c>
      <c r="D49" s="3">
        <v>77000</v>
      </c>
      <c r="E49" s="3">
        <v>145000000000</v>
      </c>
      <c r="F49" s="3">
        <v>128000000000</v>
      </c>
      <c r="G49" s="2">
        <v>0</v>
      </c>
      <c r="H49" s="3">
        <v>9820000000</v>
      </c>
      <c r="I49" s="2">
        <v>-0.1067</v>
      </c>
      <c r="J49" s="3">
        <v>4.14E-13</v>
      </c>
    </row>
    <row r="50" spans="1:10" x14ac:dyDescent="0.2">
      <c r="A50" s="2">
        <v>48</v>
      </c>
      <c r="B50" s="3">
        <v>4.8699999999999999E-8</v>
      </c>
      <c r="C50" s="2">
        <v>2.5049999999999998E-3</v>
      </c>
      <c r="D50" s="3">
        <v>93800</v>
      </c>
      <c r="E50" s="3">
        <v>167000000000</v>
      </c>
      <c r="F50" s="3">
        <v>144000000000</v>
      </c>
      <c r="G50" s="2">
        <v>0</v>
      </c>
      <c r="H50" s="3">
        <v>8600000000</v>
      </c>
      <c r="I50" s="2">
        <v>-1.7819999999999999E-2</v>
      </c>
      <c r="J50" s="3">
        <v>2.85E-13</v>
      </c>
    </row>
    <row r="51" spans="1:10" x14ac:dyDescent="0.2">
      <c r="A51" s="2">
        <v>49</v>
      </c>
      <c r="B51" s="3">
        <v>4.9199999999999997E-8</v>
      </c>
      <c r="C51" s="2">
        <v>2.5560000000000001E-3</v>
      </c>
      <c r="D51" s="3">
        <v>79700</v>
      </c>
      <c r="E51" s="3">
        <v>148000000000</v>
      </c>
      <c r="F51" s="3">
        <v>130000000000</v>
      </c>
      <c r="G51" s="3">
        <v>12000000000</v>
      </c>
      <c r="H51" s="3">
        <v>9890000000</v>
      </c>
      <c r="I51" s="2">
        <v>9.239E-2</v>
      </c>
      <c r="J51" s="3">
        <v>4.03E-13</v>
      </c>
    </row>
    <row r="52" spans="1:10" x14ac:dyDescent="0.2">
      <c r="A52" s="2">
        <v>50</v>
      </c>
      <c r="B52" s="3">
        <v>5.0099999999999999E-8</v>
      </c>
      <c r="C52" s="2">
        <v>2.6069999999999999E-3</v>
      </c>
      <c r="D52" s="3">
        <v>73100</v>
      </c>
      <c r="E52" s="3">
        <v>139000000000</v>
      </c>
      <c r="F52" s="3">
        <v>123000000000</v>
      </c>
      <c r="G52" s="3">
        <v>1680000000</v>
      </c>
      <c r="H52" s="3">
        <v>10700000000</v>
      </c>
      <c r="I52" s="2">
        <v>1.363E-2</v>
      </c>
      <c r="J52" s="3">
        <v>4.8800000000000004E-13</v>
      </c>
    </row>
    <row r="53" spans="1:10" x14ac:dyDescent="0.2">
      <c r="A53" s="2">
        <v>51</v>
      </c>
      <c r="B53" s="3">
        <v>5.0799999999999998E-8</v>
      </c>
      <c r="C53" s="2">
        <v>2.6610000000000002E-3</v>
      </c>
      <c r="D53" s="3">
        <v>82800</v>
      </c>
      <c r="E53" s="3">
        <v>150000000000</v>
      </c>
      <c r="F53" s="3">
        <v>132000000000</v>
      </c>
      <c r="G53" s="2">
        <v>0</v>
      </c>
      <c r="H53" s="3">
        <v>9750000000</v>
      </c>
      <c r="I53" s="2">
        <v>-2.0920000000000001E-2</v>
      </c>
      <c r="J53" s="3">
        <v>3.8800000000000001E-13</v>
      </c>
    </row>
    <row r="54" spans="1:10" x14ac:dyDescent="0.2">
      <c r="A54" s="2">
        <v>52</v>
      </c>
      <c r="B54" s="3">
        <v>5.1200000000000002E-8</v>
      </c>
      <c r="C54" s="2">
        <v>2.7130000000000001E-3</v>
      </c>
      <c r="D54" s="3">
        <v>78700</v>
      </c>
      <c r="E54" s="3">
        <v>145000000000</v>
      </c>
      <c r="F54" s="3">
        <v>128000000000</v>
      </c>
      <c r="G54" s="3">
        <v>11000000000</v>
      </c>
      <c r="H54" s="3">
        <v>10400000000</v>
      </c>
      <c r="I54" s="2">
        <v>8.5970000000000005E-2</v>
      </c>
      <c r="J54" s="3">
        <v>4.39E-13</v>
      </c>
    </row>
    <row r="55" spans="1:10" x14ac:dyDescent="0.2">
      <c r="A55" s="2">
        <v>53</v>
      </c>
      <c r="B55" s="3">
        <v>5.2100000000000003E-8</v>
      </c>
      <c r="C55" s="2">
        <v>2.7659999999999998E-3</v>
      </c>
      <c r="D55" s="3">
        <v>74400</v>
      </c>
      <c r="E55" s="3">
        <v>140000000000</v>
      </c>
      <c r="F55" s="3">
        <v>124000000000</v>
      </c>
      <c r="G55" s="2">
        <v>0</v>
      </c>
      <c r="H55" s="3">
        <v>11000000000</v>
      </c>
      <c r="I55" s="2">
        <v>-0.1166</v>
      </c>
      <c r="J55" s="3">
        <v>4.9899999999999999E-13</v>
      </c>
    </row>
    <row r="56" spans="1:10" x14ac:dyDescent="0.2">
      <c r="A56" s="2">
        <v>54</v>
      </c>
      <c r="B56" s="3">
        <v>5.2600000000000001E-8</v>
      </c>
      <c r="C56" s="2">
        <v>2.8180000000000002E-3</v>
      </c>
      <c r="D56" s="3">
        <v>80700</v>
      </c>
      <c r="E56" s="3">
        <v>147000000000</v>
      </c>
      <c r="F56" s="3">
        <v>129000000000</v>
      </c>
      <c r="G56" s="3">
        <v>1910000000</v>
      </c>
      <c r="H56" s="3">
        <v>10400000000</v>
      </c>
      <c r="I56" s="2">
        <v>1.478E-2</v>
      </c>
      <c r="J56" s="3">
        <v>4.3300000000000002E-13</v>
      </c>
    </row>
    <row r="57" spans="1:10" x14ac:dyDescent="0.2">
      <c r="A57" s="2">
        <v>55</v>
      </c>
      <c r="B57" s="3">
        <v>5.3300000000000001E-8</v>
      </c>
      <c r="C57" s="2">
        <v>2.869E-3</v>
      </c>
      <c r="D57" s="3">
        <v>87500</v>
      </c>
      <c r="E57" s="3">
        <v>154000000000</v>
      </c>
      <c r="F57" s="3">
        <v>134000000000</v>
      </c>
      <c r="G57" s="2">
        <v>0</v>
      </c>
      <c r="H57" s="3">
        <v>9790000000</v>
      </c>
      <c r="I57" s="2">
        <v>-4.0529999999999997E-2</v>
      </c>
      <c r="J57" s="3">
        <v>3.7400000000000002E-13</v>
      </c>
    </row>
    <row r="58" spans="1:10" x14ac:dyDescent="0.2">
      <c r="A58" s="2">
        <v>56</v>
      </c>
      <c r="B58" s="3">
        <v>5.39E-8</v>
      </c>
      <c r="C58" s="2">
        <v>2.921E-3</v>
      </c>
      <c r="D58" s="3">
        <v>76700</v>
      </c>
      <c r="E58" s="3">
        <v>141000000000</v>
      </c>
      <c r="F58" s="3">
        <v>125000000000</v>
      </c>
      <c r="G58" s="3">
        <v>808000000</v>
      </c>
      <c r="H58" s="3">
        <v>11200000000</v>
      </c>
      <c r="I58" s="2">
        <v>6.4720000000000003E-3</v>
      </c>
      <c r="J58" s="3">
        <v>4.97E-13</v>
      </c>
    </row>
    <row r="59" spans="1:10" x14ac:dyDescent="0.2">
      <c r="A59" s="2">
        <v>57</v>
      </c>
      <c r="B59" s="3">
        <v>5.4599999999999999E-8</v>
      </c>
      <c r="C59" s="2">
        <v>2.9740000000000001E-3</v>
      </c>
      <c r="D59" s="3">
        <v>76900</v>
      </c>
      <c r="E59" s="3">
        <v>141000000000</v>
      </c>
      <c r="F59" s="3">
        <v>125000000000</v>
      </c>
      <c r="G59" s="3">
        <v>11600000000</v>
      </c>
      <c r="H59" s="3">
        <v>11300000000</v>
      </c>
      <c r="I59" s="2">
        <v>9.2749999999999999E-2</v>
      </c>
      <c r="J59" s="3">
        <v>5.0299999999999998E-13</v>
      </c>
    </row>
    <row r="60" spans="1:10" x14ac:dyDescent="0.2">
      <c r="A60" s="2">
        <v>58</v>
      </c>
      <c r="B60" s="3">
        <v>5.5299999999999999E-8</v>
      </c>
      <c r="C60" s="2">
        <v>3.0240000000000002E-3</v>
      </c>
      <c r="D60" s="3">
        <v>82700</v>
      </c>
      <c r="E60" s="3">
        <v>147000000000</v>
      </c>
      <c r="F60" s="3">
        <v>129000000000</v>
      </c>
      <c r="G60" s="3">
        <v>10900000000</v>
      </c>
      <c r="H60" s="3">
        <v>10700000000</v>
      </c>
      <c r="I60" s="2">
        <v>8.4760000000000002E-2</v>
      </c>
      <c r="J60" s="3">
        <v>4.4299999999999998E-13</v>
      </c>
    </row>
    <row r="61" spans="1:10" x14ac:dyDescent="0.2">
      <c r="A61" s="2">
        <v>59</v>
      </c>
      <c r="B61" s="3">
        <v>5.5899999999999998E-8</v>
      </c>
      <c r="C61" s="2">
        <v>3.0760000000000002E-3</v>
      </c>
      <c r="D61" s="3">
        <v>90300</v>
      </c>
      <c r="E61" s="3">
        <v>154000000000</v>
      </c>
      <c r="F61" s="3">
        <v>134000000000</v>
      </c>
      <c r="G61" s="3">
        <v>26700000000</v>
      </c>
      <c r="H61" s="3">
        <v>9870000000</v>
      </c>
      <c r="I61" s="2">
        <v>0.19850000000000001</v>
      </c>
      <c r="J61" s="3">
        <v>3.7700000000000001E-13</v>
      </c>
    </row>
    <row r="62" spans="1:10" x14ac:dyDescent="0.2">
      <c r="A62" s="2">
        <v>60</v>
      </c>
      <c r="B62" s="3">
        <v>5.6799999999999999E-8</v>
      </c>
      <c r="C62" s="2">
        <v>3.1289999999999998E-3</v>
      </c>
      <c r="D62" s="3">
        <v>86800</v>
      </c>
      <c r="E62" s="3">
        <v>149000000000</v>
      </c>
      <c r="F62" s="3">
        <v>131000000000</v>
      </c>
      <c r="G62" s="2">
        <v>0</v>
      </c>
      <c r="H62" s="3">
        <v>10300000000</v>
      </c>
      <c r="I62" s="2">
        <v>-2.47E-2</v>
      </c>
      <c r="J62" s="3">
        <v>4.15E-13</v>
      </c>
    </row>
    <row r="63" spans="1:10" x14ac:dyDescent="0.2">
      <c r="A63" s="2">
        <v>61</v>
      </c>
      <c r="B63" s="3">
        <v>5.7499999999999999E-8</v>
      </c>
      <c r="C63" s="2">
        <v>3.1870000000000002E-3</v>
      </c>
      <c r="D63" s="3">
        <v>87000</v>
      </c>
      <c r="E63" s="3">
        <v>148000000000</v>
      </c>
      <c r="F63" s="3">
        <v>130000000000</v>
      </c>
      <c r="G63" s="3">
        <v>11800000000</v>
      </c>
      <c r="H63" s="3">
        <v>10400000000</v>
      </c>
      <c r="I63" s="2">
        <v>9.0639999999999998E-2</v>
      </c>
      <c r="J63" s="3">
        <v>4.2100000000000002E-13</v>
      </c>
    </row>
    <row r="64" spans="1:10" x14ac:dyDescent="0.2">
      <c r="A64" s="2">
        <v>62</v>
      </c>
      <c r="B64" s="3">
        <v>5.7800000000000001E-8</v>
      </c>
      <c r="C64" s="2">
        <v>3.2369999999999999E-3</v>
      </c>
      <c r="D64" s="3">
        <v>92900</v>
      </c>
      <c r="E64" s="3">
        <v>154000000000</v>
      </c>
      <c r="F64" s="3">
        <v>135000000000</v>
      </c>
      <c r="G64" s="2">
        <v>0</v>
      </c>
      <c r="H64" s="3">
        <v>9870000000</v>
      </c>
      <c r="I64" s="2">
        <v>-6.9080000000000003E-2</v>
      </c>
      <c r="J64" s="3">
        <v>3.7500000000000002E-13</v>
      </c>
    </row>
    <row r="65" spans="1:10" x14ac:dyDescent="0.2">
      <c r="A65" s="2">
        <v>63</v>
      </c>
      <c r="B65" s="3">
        <v>5.8600000000000002E-8</v>
      </c>
      <c r="C65" s="2">
        <v>3.287E-3</v>
      </c>
      <c r="D65" s="3">
        <v>100000</v>
      </c>
      <c r="E65" s="3">
        <v>160000000000</v>
      </c>
      <c r="F65" s="3">
        <v>139000000000</v>
      </c>
      <c r="G65" s="2">
        <v>0</v>
      </c>
      <c r="H65" s="3">
        <v>9220000000</v>
      </c>
      <c r="I65" s="2">
        <v>-0.14419999999999999</v>
      </c>
      <c r="J65" s="3">
        <v>3.2800000000000002E-13</v>
      </c>
    </row>
    <row r="66" spans="1:10" x14ac:dyDescent="0.2">
      <c r="A66" s="2">
        <v>64</v>
      </c>
      <c r="B66" s="3">
        <v>5.9400000000000003E-8</v>
      </c>
      <c r="C66" s="2">
        <v>3.3379999999999998E-3</v>
      </c>
      <c r="D66" s="3">
        <v>92900</v>
      </c>
      <c r="E66" s="3">
        <v>152000000000</v>
      </c>
      <c r="F66" s="3">
        <v>133000000000</v>
      </c>
      <c r="G66" s="3">
        <v>21700000000</v>
      </c>
      <c r="H66" s="3">
        <v>9900000000</v>
      </c>
      <c r="I66" s="2">
        <v>0.16339999999999999</v>
      </c>
      <c r="J66" s="3">
        <v>3.8700000000000002E-13</v>
      </c>
    </row>
    <row r="67" spans="1:10" x14ac:dyDescent="0.2">
      <c r="A67" s="2">
        <v>65</v>
      </c>
      <c r="B67" s="3">
        <v>5.9800000000000006E-8</v>
      </c>
      <c r="C67" s="2">
        <v>3.392E-3</v>
      </c>
      <c r="D67" s="3">
        <v>113000</v>
      </c>
      <c r="E67" s="3">
        <v>175000000000</v>
      </c>
      <c r="F67" s="3">
        <v>150000000000</v>
      </c>
      <c r="G67" s="2">
        <v>0</v>
      </c>
      <c r="H67" s="3">
        <v>8730000000</v>
      </c>
      <c r="I67" s="2">
        <v>-0.23960000000000001</v>
      </c>
      <c r="J67" s="3">
        <v>2.6700000000000002E-13</v>
      </c>
    </row>
    <row r="68" spans="1:10" x14ac:dyDescent="0.2">
      <c r="A68" s="2">
        <v>66</v>
      </c>
      <c r="B68" s="3">
        <v>6.0699999999999994E-8</v>
      </c>
      <c r="C68" s="2">
        <v>3.4420000000000002E-3</v>
      </c>
      <c r="D68" s="3">
        <v>92600</v>
      </c>
      <c r="E68" s="3">
        <v>150000000000</v>
      </c>
      <c r="F68" s="3">
        <v>132000000000</v>
      </c>
      <c r="G68" s="2">
        <v>0</v>
      </c>
      <c r="H68" s="3">
        <v>10100000000</v>
      </c>
      <c r="I68" s="2">
        <v>-1.8110000000000001E-2</v>
      </c>
      <c r="J68" s="3">
        <v>4.02E-13</v>
      </c>
    </row>
    <row r="69" spans="1:10" x14ac:dyDescent="0.2">
      <c r="A69" s="2">
        <v>67</v>
      </c>
      <c r="B69" s="3">
        <v>6.1399999999999994E-8</v>
      </c>
      <c r="C69" s="2">
        <v>3.4940000000000001E-3</v>
      </c>
      <c r="D69" s="3">
        <v>86900</v>
      </c>
      <c r="E69" s="3">
        <v>144000000000</v>
      </c>
      <c r="F69" s="3">
        <v>127000000000</v>
      </c>
      <c r="G69" s="3">
        <v>18000000000</v>
      </c>
      <c r="H69" s="3">
        <v>10800000000</v>
      </c>
      <c r="I69" s="2">
        <v>0.1419</v>
      </c>
      <c r="J69" s="3">
        <v>4.6300000000000005E-13</v>
      </c>
    </row>
    <row r="70" spans="1:10" x14ac:dyDescent="0.2">
      <c r="A70" s="2">
        <v>68</v>
      </c>
      <c r="B70" s="3">
        <v>6.1999999999999999E-8</v>
      </c>
      <c r="C70" s="2">
        <v>3.5460000000000001E-3</v>
      </c>
      <c r="D70" s="3">
        <v>101000</v>
      </c>
      <c r="E70" s="3">
        <v>158000000000</v>
      </c>
      <c r="F70" s="3">
        <v>138000000000</v>
      </c>
      <c r="G70" s="2">
        <v>0</v>
      </c>
      <c r="H70" s="3">
        <v>9480000000</v>
      </c>
      <c r="I70" s="2">
        <v>-3.5290000000000002E-2</v>
      </c>
      <c r="J70" s="3">
        <v>3.4599999999999999E-13</v>
      </c>
    </row>
    <row r="71" spans="1:10" x14ac:dyDescent="0.2">
      <c r="A71" s="2">
        <v>69</v>
      </c>
      <c r="B71" s="3">
        <v>6.2699999999999999E-8</v>
      </c>
      <c r="C71" s="2">
        <v>3.5990000000000002E-3</v>
      </c>
      <c r="D71" s="3">
        <v>93400</v>
      </c>
      <c r="E71" s="3">
        <v>149000000000</v>
      </c>
      <c r="F71" s="3">
        <v>131000000000</v>
      </c>
      <c r="G71" s="2">
        <v>0</v>
      </c>
      <c r="H71" s="3">
        <v>10200000000</v>
      </c>
      <c r="I71" s="2">
        <v>-0.26429999999999998</v>
      </c>
      <c r="J71" s="3">
        <v>4.1300000000000001E-13</v>
      </c>
    </row>
    <row r="72" spans="1:10" x14ac:dyDescent="0.2">
      <c r="A72" s="2">
        <v>70</v>
      </c>
      <c r="B72" s="3">
        <v>6.3100000000000003E-8</v>
      </c>
      <c r="C72" s="2">
        <v>3.6519999999999999E-3</v>
      </c>
      <c r="D72" s="3">
        <v>78900</v>
      </c>
      <c r="E72" s="3">
        <v>138000000000</v>
      </c>
      <c r="F72" s="3">
        <v>122000000000</v>
      </c>
      <c r="G72" s="3">
        <v>14900000000</v>
      </c>
      <c r="H72" s="3">
        <v>12600000000</v>
      </c>
      <c r="I72" s="2">
        <v>0.12180000000000001</v>
      </c>
      <c r="J72" s="3">
        <v>5.8600000000000003E-13</v>
      </c>
    </row>
    <row r="73" spans="1:10" x14ac:dyDescent="0.2">
      <c r="A73" s="2">
        <v>71</v>
      </c>
      <c r="B73" s="3">
        <v>6.3399999999999999E-8</v>
      </c>
      <c r="C73" s="2">
        <v>3.7030000000000001E-3</v>
      </c>
      <c r="D73" s="3">
        <v>90800</v>
      </c>
      <c r="E73" s="3">
        <v>147000000000</v>
      </c>
      <c r="F73" s="3">
        <v>129000000000</v>
      </c>
      <c r="G73" s="3">
        <v>3440000000</v>
      </c>
      <c r="H73" s="3">
        <v>10800000000</v>
      </c>
      <c r="I73" s="2">
        <v>2.6710000000000001E-2</v>
      </c>
      <c r="J73" s="3">
        <v>4.4900000000000001E-13</v>
      </c>
    </row>
    <row r="74" spans="1:10" x14ac:dyDescent="0.2">
      <c r="A74" s="2">
        <v>72</v>
      </c>
      <c r="B74" s="3">
        <v>6.43E-8</v>
      </c>
      <c r="C74" s="2">
        <v>3.754E-3</v>
      </c>
      <c r="D74" s="3">
        <v>108000</v>
      </c>
      <c r="E74" s="3">
        <v>164000000000</v>
      </c>
      <c r="F74" s="3">
        <v>142000000000</v>
      </c>
      <c r="G74" s="3">
        <v>8480000000</v>
      </c>
      <c r="H74" s="3">
        <v>9430000000</v>
      </c>
      <c r="I74" s="2">
        <v>5.9499999999999997E-2</v>
      </c>
      <c r="J74" s="3">
        <v>3.21E-13</v>
      </c>
    </row>
    <row r="75" spans="1:10" x14ac:dyDescent="0.2">
      <c r="A75" s="2">
        <v>73</v>
      </c>
      <c r="B75" s="3">
        <v>6.5E-8</v>
      </c>
      <c r="C75" s="2">
        <v>3.8080000000000002E-3</v>
      </c>
      <c r="D75" s="3">
        <v>83300</v>
      </c>
      <c r="E75" s="3">
        <v>139000000000</v>
      </c>
      <c r="F75" s="3">
        <v>123000000000</v>
      </c>
      <c r="G75" s="3">
        <v>4170000000</v>
      </c>
      <c r="H75" s="3">
        <v>12100000000</v>
      </c>
      <c r="I75" s="2">
        <v>3.3849999999999998E-2</v>
      </c>
      <c r="J75" s="3">
        <v>5.4899999999999998E-13</v>
      </c>
    </row>
    <row r="76" spans="1:10" x14ac:dyDescent="0.2">
      <c r="A76" s="2">
        <v>74</v>
      </c>
      <c r="B76" s="3">
        <v>6.5099999999999994E-8</v>
      </c>
      <c r="C76" s="2">
        <v>3.8600000000000001E-3</v>
      </c>
      <c r="D76" s="3">
        <v>90300</v>
      </c>
      <c r="E76" s="3">
        <v>145000000000</v>
      </c>
      <c r="F76" s="3">
        <v>128000000000</v>
      </c>
      <c r="G76" s="2">
        <v>0</v>
      </c>
      <c r="H76" s="3">
        <v>11200000000</v>
      </c>
      <c r="I76" s="2">
        <v>-3.687E-2</v>
      </c>
      <c r="J76" s="3">
        <v>4.73E-13</v>
      </c>
    </row>
    <row r="77" spans="1:10" x14ac:dyDescent="0.2">
      <c r="A77" s="2">
        <v>75</v>
      </c>
      <c r="B77" s="3">
        <v>6.5600000000000005E-8</v>
      </c>
      <c r="C77" s="2">
        <v>3.9110000000000004E-3</v>
      </c>
      <c r="D77" s="3">
        <v>92400</v>
      </c>
      <c r="E77" s="3">
        <v>147000000000</v>
      </c>
      <c r="F77" s="3">
        <v>129000000000</v>
      </c>
      <c r="G77" s="2">
        <v>0</v>
      </c>
      <c r="H77" s="3">
        <v>11000000000</v>
      </c>
      <c r="I77" s="2">
        <v>-0.1358</v>
      </c>
      <c r="J77" s="3">
        <v>4.5799999999999997E-13</v>
      </c>
    </row>
    <row r="78" spans="1:10" x14ac:dyDescent="0.2">
      <c r="A78" s="2">
        <v>76</v>
      </c>
      <c r="B78" s="3">
        <v>6.6600000000000001E-8</v>
      </c>
      <c r="C78" s="2">
        <v>3.9639999999999996E-3</v>
      </c>
      <c r="D78" s="3">
        <v>79700</v>
      </c>
      <c r="E78" s="3">
        <v>137000000000</v>
      </c>
      <c r="F78" s="3">
        <v>121000000000</v>
      </c>
      <c r="G78" s="3">
        <v>14100000000</v>
      </c>
      <c r="H78" s="3">
        <v>13300000000</v>
      </c>
      <c r="I78" s="2">
        <v>0.1166</v>
      </c>
      <c r="J78" s="3">
        <v>6.2399999999999997E-13</v>
      </c>
    </row>
    <row r="79" spans="1:10" x14ac:dyDescent="0.2">
      <c r="A79" s="2">
        <v>77</v>
      </c>
      <c r="B79" s="3">
        <v>6.7200000000000006E-8</v>
      </c>
      <c r="C79" s="2">
        <v>4.0150000000000003E-3</v>
      </c>
      <c r="D79" s="3">
        <v>84200</v>
      </c>
      <c r="E79" s="3">
        <v>139000000000</v>
      </c>
      <c r="F79" s="3">
        <v>123000000000</v>
      </c>
      <c r="G79" s="3">
        <v>9340000000</v>
      </c>
      <c r="H79" s="3">
        <v>12400000000</v>
      </c>
      <c r="I79" s="2">
        <v>7.6079999999999995E-2</v>
      </c>
      <c r="J79" s="3">
        <v>5.6700000000000001E-13</v>
      </c>
    </row>
    <row r="80" spans="1:10" x14ac:dyDescent="0.2">
      <c r="A80" s="2">
        <v>78</v>
      </c>
      <c r="B80" s="3">
        <v>6.8099999999999994E-8</v>
      </c>
      <c r="C80" s="2">
        <v>4.0689999999999997E-3</v>
      </c>
      <c r="D80" s="3">
        <v>97600</v>
      </c>
      <c r="E80" s="3">
        <v>149000000000</v>
      </c>
      <c r="F80" s="3">
        <v>131000000000</v>
      </c>
      <c r="G80" s="3">
        <v>6070000000</v>
      </c>
      <c r="H80" s="3">
        <v>10600000000</v>
      </c>
      <c r="I80" s="2">
        <v>4.6379999999999998E-2</v>
      </c>
      <c r="J80" s="3">
        <v>4.27E-13</v>
      </c>
    </row>
    <row r="81" spans="1:10" x14ac:dyDescent="0.2">
      <c r="A81" s="2">
        <v>79</v>
      </c>
      <c r="B81" s="3">
        <v>6.8600000000000005E-8</v>
      </c>
      <c r="C81" s="2">
        <v>4.1190000000000003E-3</v>
      </c>
      <c r="D81" s="3">
        <v>95200</v>
      </c>
      <c r="E81" s="3">
        <v>146000000000</v>
      </c>
      <c r="F81" s="3">
        <v>129000000000</v>
      </c>
      <c r="G81" s="3">
        <v>5060000000</v>
      </c>
      <c r="H81" s="3">
        <v>10900000000</v>
      </c>
      <c r="I81" s="2">
        <v>3.9329999999999997E-2</v>
      </c>
      <c r="J81" s="3">
        <v>4.5399999999999998E-13</v>
      </c>
    </row>
    <row r="82" spans="1:10" x14ac:dyDescent="0.2">
      <c r="A82" s="2">
        <v>80</v>
      </c>
      <c r="B82" s="3">
        <v>6.8900000000000002E-8</v>
      </c>
      <c r="C82" s="2">
        <v>4.1720000000000004E-3</v>
      </c>
      <c r="D82" s="3">
        <v>85000</v>
      </c>
      <c r="E82" s="3">
        <v>138000000000</v>
      </c>
      <c r="F82" s="3">
        <v>122000000000</v>
      </c>
      <c r="G82" s="2">
        <v>0</v>
      </c>
      <c r="H82" s="3">
        <v>12500000000</v>
      </c>
      <c r="I82" s="2">
        <v>-0.20200000000000001</v>
      </c>
      <c r="J82" s="3">
        <v>5.7799999999999996E-13</v>
      </c>
    </row>
    <row r="83" spans="1:10" x14ac:dyDescent="0.2">
      <c r="A83" s="2">
        <v>81</v>
      </c>
      <c r="B83" s="3">
        <v>7.0200000000000007E-8</v>
      </c>
      <c r="C83" s="2">
        <v>4.2220000000000001E-3</v>
      </c>
      <c r="D83" s="3">
        <v>87200</v>
      </c>
      <c r="E83" s="3">
        <v>137000000000</v>
      </c>
      <c r="F83" s="3">
        <v>121000000000</v>
      </c>
      <c r="G83" s="2">
        <v>0</v>
      </c>
      <c r="H83" s="3">
        <v>11900000000</v>
      </c>
      <c r="I83" s="2">
        <v>-0.1416</v>
      </c>
      <c r="J83" s="3">
        <v>5.5599999999999995E-13</v>
      </c>
    </row>
    <row r="84" spans="1:10" x14ac:dyDescent="0.2">
      <c r="A84" s="2">
        <v>82</v>
      </c>
      <c r="B84" s="3">
        <v>7.0799999999999999E-8</v>
      </c>
      <c r="C84" s="2">
        <v>4.2750000000000002E-3</v>
      </c>
      <c r="D84" s="3">
        <v>102000</v>
      </c>
      <c r="E84" s="3">
        <v>151000000000</v>
      </c>
      <c r="F84" s="3">
        <v>133000000000</v>
      </c>
      <c r="G84" s="3">
        <v>3260000000</v>
      </c>
      <c r="H84" s="3">
        <v>10500000000</v>
      </c>
      <c r="I84" s="2">
        <v>2.4549999999999999E-2</v>
      </c>
      <c r="J84" s="3">
        <v>4.1000000000000002E-13</v>
      </c>
    </row>
    <row r="85" spans="1:10" x14ac:dyDescent="0.2">
      <c r="A85" s="2">
        <v>83</v>
      </c>
      <c r="B85" s="3">
        <v>7.1200000000000002E-8</v>
      </c>
      <c r="C85" s="2">
        <v>4.326E-3</v>
      </c>
      <c r="D85" s="3">
        <v>95500</v>
      </c>
      <c r="E85" s="3">
        <v>144000000000</v>
      </c>
      <c r="F85" s="3">
        <v>127000000000</v>
      </c>
      <c r="G85" s="3">
        <v>5300000000</v>
      </c>
      <c r="H85" s="3">
        <v>11100000000</v>
      </c>
      <c r="I85" s="2">
        <v>4.1610000000000001E-2</v>
      </c>
      <c r="J85" s="3">
        <v>4.75E-13</v>
      </c>
    </row>
    <row r="86" spans="1:10" x14ac:dyDescent="0.2">
      <c r="A86" s="2">
        <v>84</v>
      </c>
      <c r="B86" s="3">
        <v>7.17E-8</v>
      </c>
      <c r="C86" s="2">
        <v>4.3800000000000002E-3</v>
      </c>
      <c r="D86" s="3">
        <v>93300</v>
      </c>
      <c r="E86" s="3">
        <v>142000000000</v>
      </c>
      <c r="F86" s="3">
        <v>125000000000</v>
      </c>
      <c r="G86" s="2">
        <v>0</v>
      </c>
      <c r="H86" s="3">
        <v>11500000000</v>
      </c>
      <c r="I86" s="2">
        <v>-6.3289999999999999E-2</v>
      </c>
      <c r="J86" s="3">
        <v>5.0399999999999997E-13</v>
      </c>
    </row>
    <row r="87" spans="1:10" x14ac:dyDescent="0.2">
      <c r="A87" s="2">
        <v>85</v>
      </c>
      <c r="B87" s="3">
        <v>7.2499999999999994E-8</v>
      </c>
      <c r="C87" s="2">
        <v>4.4320000000000002E-3</v>
      </c>
      <c r="D87" s="3">
        <v>101000</v>
      </c>
      <c r="E87" s="3">
        <v>149000000000</v>
      </c>
      <c r="F87" s="3">
        <v>131000000000</v>
      </c>
      <c r="G87" s="3">
        <v>10700000000</v>
      </c>
      <c r="H87" s="3">
        <v>10800000000</v>
      </c>
      <c r="I87" s="2">
        <v>8.1790000000000002E-2</v>
      </c>
      <c r="J87" s="3">
        <v>4.38E-13</v>
      </c>
    </row>
    <row r="88" spans="1:10" x14ac:dyDescent="0.2">
      <c r="A88" s="2">
        <v>86</v>
      </c>
      <c r="B88" s="3">
        <v>7.3199999999999994E-8</v>
      </c>
      <c r="C88" s="2">
        <v>4.4850000000000003E-3</v>
      </c>
      <c r="D88" s="3">
        <v>109000</v>
      </c>
      <c r="E88" s="3">
        <v>157000000000</v>
      </c>
      <c r="F88" s="3">
        <v>137000000000</v>
      </c>
      <c r="G88" s="3">
        <v>10500000000</v>
      </c>
      <c r="H88" s="3">
        <v>10300000000</v>
      </c>
      <c r="I88" s="2">
        <v>7.6569999999999999E-2</v>
      </c>
      <c r="J88" s="3">
        <v>3.8E-13</v>
      </c>
    </row>
    <row r="89" spans="1:10" x14ac:dyDescent="0.2">
      <c r="A89" s="2">
        <v>87</v>
      </c>
      <c r="B89" s="3">
        <v>7.4099999999999995E-8</v>
      </c>
      <c r="C89" s="2">
        <v>4.5380000000000004E-3</v>
      </c>
      <c r="D89" s="3">
        <v>96100</v>
      </c>
      <c r="E89" s="3">
        <v>143000000000</v>
      </c>
      <c r="F89" s="3">
        <v>126000000000</v>
      </c>
      <c r="G89" s="3">
        <v>8140000000</v>
      </c>
      <c r="H89" s="3">
        <v>11300000000</v>
      </c>
      <c r="I89" s="2">
        <v>6.4670000000000005E-2</v>
      </c>
      <c r="J89" s="3">
        <v>4.9200000000000002E-13</v>
      </c>
    </row>
    <row r="90" spans="1:10" x14ac:dyDescent="0.2">
      <c r="A90" s="2">
        <v>88</v>
      </c>
      <c r="B90" s="3">
        <v>7.4400000000000004E-8</v>
      </c>
      <c r="C90" s="2">
        <v>4.5909999999999996E-3</v>
      </c>
      <c r="D90" s="3">
        <v>82100</v>
      </c>
      <c r="E90" s="3">
        <v>132000000000</v>
      </c>
      <c r="F90" s="3">
        <v>117000000000</v>
      </c>
      <c r="G90" s="2">
        <v>0</v>
      </c>
      <c r="H90" s="3">
        <v>13600000000</v>
      </c>
      <c r="I90" s="2">
        <v>-7.7619999999999995E-2</v>
      </c>
      <c r="J90" s="3">
        <v>6.8200000000000002E-13</v>
      </c>
    </row>
    <row r="91" spans="1:10" x14ac:dyDescent="0.2">
      <c r="A91" s="2">
        <v>89</v>
      </c>
      <c r="B91" s="3">
        <v>7.5300000000000006E-8</v>
      </c>
      <c r="C91" s="2">
        <v>4.64E-3</v>
      </c>
      <c r="D91" s="3">
        <v>113000</v>
      </c>
      <c r="E91" s="3">
        <v>161000000000</v>
      </c>
      <c r="F91" s="3">
        <v>140000000000</v>
      </c>
      <c r="G91" s="2">
        <v>0</v>
      </c>
      <c r="H91" s="3">
        <v>10300000000</v>
      </c>
      <c r="I91" s="2">
        <v>-2.1749999999999999E-2</v>
      </c>
      <c r="J91" s="3">
        <v>3.6400000000000001E-13</v>
      </c>
    </row>
    <row r="92" spans="1:10" x14ac:dyDescent="0.2">
      <c r="A92" s="2">
        <v>90</v>
      </c>
      <c r="B92" s="3">
        <v>7.6000000000000006E-8</v>
      </c>
      <c r="C92" s="2">
        <v>4.692E-3</v>
      </c>
      <c r="D92" s="3">
        <v>105000</v>
      </c>
      <c r="E92" s="3">
        <v>150000000000</v>
      </c>
      <c r="F92" s="3">
        <v>132000000000</v>
      </c>
      <c r="G92" s="2">
        <v>0</v>
      </c>
      <c r="H92" s="3">
        <v>10800000000</v>
      </c>
      <c r="I92" s="2">
        <v>-6.3600000000000004E-2</v>
      </c>
      <c r="J92" s="3">
        <v>4.2799999999999999E-13</v>
      </c>
    </row>
    <row r="93" spans="1:10" x14ac:dyDescent="0.2">
      <c r="A93" s="2">
        <v>91</v>
      </c>
      <c r="B93" s="3">
        <v>7.6500000000000003E-8</v>
      </c>
      <c r="C93" s="2">
        <v>4.7450000000000001E-3</v>
      </c>
      <c r="D93" s="3">
        <v>96900</v>
      </c>
      <c r="E93" s="3">
        <v>142000000000</v>
      </c>
      <c r="F93" s="3">
        <v>125000000000</v>
      </c>
      <c r="G93" s="2">
        <v>0</v>
      </c>
      <c r="H93" s="3">
        <v>11500000000</v>
      </c>
      <c r="I93" s="2">
        <v>-0.1258</v>
      </c>
      <c r="J93" s="3">
        <v>5.0499999999999997E-13</v>
      </c>
    </row>
    <row r="94" spans="1:10" x14ac:dyDescent="0.2">
      <c r="A94" s="2">
        <v>92</v>
      </c>
      <c r="B94" s="3">
        <v>7.7299999999999997E-8</v>
      </c>
      <c r="C94" s="2">
        <v>4.797E-3</v>
      </c>
      <c r="D94" s="3">
        <v>116000</v>
      </c>
      <c r="E94" s="3">
        <v>165000000000</v>
      </c>
      <c r="F94" s="3">
        <v>143000000000</v>
      </c>
      <c r="G94" s="3">
        <v>5460000000</v>
      </c>
      <c r="H94" s="3">
        <v>10500000000</v>
      </c>
      <c r="I94" s="2">
        <v>3.8219999999999997E-2</v>
      </c>
      <c r="J94" s="3">
        <v>3.56E-13</v>
      </c>
    </row>
    <row r="95" spans="1:10" x14ac:dyDescent="0.2">
      <c r="A95" s="2">
        <v>93</v>
      </c>
      <c r="B95" s="3">
        <v>7.7799999999999995E-8</v>
      </c>
      <c r="C95" s="2">
        <v>4.849E-3</v>
      </c>
      <c r="D95" s="3">
        <v>93100</v>
      </c>
      <c r="E95" s="3">
        <v>137000000000</v>
      </c>
      <c r="F95" s="3">
        <v>122000000000</v>
      </c>
      <c r="G95" s="3">
        <v>10800000000</v>
      </c>
      <c r="H95" s="3">
        <v>12000000000</v>
      </c>
      <c r="I95" s="2">
        <v>8.8910000000000003E-2</v>
      </c>
      <c r="J95" s="3">
        <v>5.6000000000000004E-13</v>
      </c>
    </row>
    <row r="96" spans="1:10" x14ac:dyDescent="0.2">
      <c r="A96" s="2">
        <v>94</v>
      </c>
      <c r="B96" s="3">
        <v>7.8300000000000006E-8</v>
      </c>
      <c r="C96" s="2">
        <v>4.9020000000000001E-3</v>
      </c>
      <c r="D96" s="3">
        <v>95900</v>
      </c>
      <c r="E96" s="3">
        <v>140000000000</v>
      </c>
      <c r="F96" s="3">
        <v>124000000000</v>
      </c>
      <c r="G96" s="3">
        <v>1250000000</v>
      </c>
      <c r="H96" s="3">
        <v>11800000000</v>
      </c>
      <c r="I96" s="2">
        <v>1.0109999999999999E-2</v>
      </c>
      <c r="J96" s="3">
        <v>5.3299999999999995E-13</v>
      </c>
    </row>
    <row r="97" spans="1:10" x14ac:dyDescent="0.2">
      <c r="A97" s="2">
        <v>95</v>
      </c>
      <c r="B97" s="3">
        <v>7.8800000000000004E-8</v>
      </c>
      <c r="C97" s="2">
        <v>4.9540000000000001E-3</v>
      </c>
      <c r="D97" s="3">
        <v>90000</v>
      </c>
      <c r="E97" s="3">
        <v>135000000000</v>
      </c>
      <c r="F97" s="3">
        <v>120000000000</v>
      </c>
      <c r="G97" s="3">
        <v>9530000000</v>
      </c>
      <c r="H97" s="3">
        <v>12700000000</v>
      </c>
      <c r="I97" s="2">
        <v>7.9699999999999993E-2</v>
      </c>
      <c r="J97" s="3">
        <v>6.1100000000000002E-13</v>
      </c>
    </row>
    <row r="98" spans="1:10" x14ac:dyDescent="0.2">
      <c r="A98" s="2">
        <v>96</v>
      </c>
      <c r="B98" s="3">
        <v>7.9399999999999996E-8</v>
      </c>
      <c r="C98" s="2">
        <v>5.0090000000000004E-3</v>
      </c>
      <c r="D98" s="3">
        <v>116000</v>
      </c>
      <c r="E98" s="3">
        <v>164000000000</v>
      </c>
      <c r="F98" s="3">
        <v>142000000000</v>
      </c>
      <c r="G98" s="3">
        <v>8760000000</v>
      </c>
      <c r="H98" s="3">
        <v>10900000000</v>
      </c>
      <c r="I98" s="2">
        <v>6.1600000000000002E-2</v>
      </c>
      <c r="J98" s="3">
        <v>3.7299999999999998E-13</v>
      </c>
    </row>
    <row r="99" spans="1:10" x14ac:dyDescent="0.2">
      <c r="A99" s="2">
        <v>97</v>
      </c>
      <c r="B99" s="3">
        <v>8.0000000000000002E-8</v>
      </c>
      <c r="C99" s="2">
        <v>5.0619999999999997E-3</v>
      </c>
      <c r="D99" s="3">
        <v>108000</v>
      </c>
      <c r="E99" s="3">
        <v>153000000000</v>
      </c>
      <c r="F99" s="3">
        <v>134000000000</v>
      </c>
      <c r="G99" s="2">
        <v>0</v>
      </c>
      <c r="H99" s="3">
        <v>11200000000</v>
      </c>
      <c r="I99" s="2">
        <v>-9.2180000000000005E-3</v>
      </c>
      <c r="J99" s="3">
        <v>4.3199999999999998E-13</v>
      </c>
    </row>
    <row r="100" spans="1:10" x14ac:dyDescent="0.2">
      <c r="A100" s="2">
        <v>98</v>
      </c>
      <c r="B100" s="3">
        <v>8.2100000000000001E-8</v>
      </c>
      <c r="C100" s="2">
        <v>5.1089999999999998E-3</v>
      </c>
      <c r="D100" s="3">
        <v>106000</v>
      </c>
      <c r="E100" s="3">
        <v>149000000000</v>
      </c>
      <c r="F100" s="3">
        <v>131000000000</v>
      </c>
      <c r="G100" s="3">
        <v>11800000000</v>
      </c>
      <c r="H100" s="3">
        <v>11200000000</v>
      </c>
      <c r="I100" s="2">
        <v>9.0319999999999998E-2</v>
      </c>
      <c r="J100" s="3">
        <v>4.51E-13</v>
      </c>
    </row>
    <row r="101" spans="1:10" x14ac:dyDescent="0.2">
      <c r="A101" s="2">
        <v>99</v>
      </c>
      <c r="B101" s="3">
        <v>8.5199999999999995E-8</v>
      </c>
      <c r="C101" s="2">
        <v>5.1580000000000003E-3</v>
      </c>
      <c r="D101" s="3">
        <v>99300</v>
      </c>
      <c r="E101" s="3">
        <v>138000000000</v>
      </c>
      <c r="F101" s="3">
        <v>122000000000</v>
      </c>
      <c r="G101" s="2">
        <v>0</v>
      </c>
      <c r="H101" s="3">
        <v>11300000000</v>
      </c>
      <c r="I101" s="2">
        <v>-4.0910000000000002E-2</v>
      </c>
      <c r="J101" s="3">
        <v>5.2299999999999999E-13</v>
      </c>
    </row>
    <row r="102" spans="1:10" x14ac:dyDescent="0.2">
      <c r="A102" s="3">
        <v>100</v>
      </c>
      <c r="B102" s="3">
        <v>8.5899999999999995E-8</v>
      </c>
      <c r="C102" s="2">
        <v>5.2119999999999996E-3</v>
      </c>
      <c r="D102" s="3">
        <v>115000</v>
      </c>
      <c r="E102" s="3">
        <v>156000000000</v>
      </c>
      <c r="F102" s="3">
        <v>136000000000</v>
      </c>
      <c r="G102" s="3">
        <v>6530000000</v>
      </c>
      <c r="H102" s="3">
        <v>10700000000</v>
      </c>
      <c r="I102" s="2">
        <v>4.7969999999999999E-2</v>
      </c>
      <c r="J102" s="3">
        <v>3.9800000000000002E-13</v>
      </c>
    </row>
    <row r="103" spans="1:10" x14ac:dyDescent="0.2">
      <c r="A103" s="3">
        <v>100</v>
      </c>
      <c r="B103" s="3">
        <v>8.6900000000000004E-8</v>
      </c>
      <c r="C103" s="2">
        <v>5.2649999999999997E-3</v>
      </c>
      <c r="D103" s="3">
        <v>107000</v>
      </c>
      <c r="E103" s="3">
        <v>147000000000</v>
      </c>
      <c r="F103" s="3">
        <v>129000000000</v>
      </c>
      <c r="G103" s="2">
        <v>0</v>
      </c>
      <c r="H103" s="3">
        <v>11200000000</v>
      </c>
      <c r="I103" s="2">
        <v>-0.1676</v>
      </c>
      <c r="J103" s="3">
        <v>4.6199999999999995E-13</v>
      </c>
    </row>
    <row r="104" spans="1:10" x14ac:dyDescent="0.2">
      <c r="A104" s="3">
        <v>100</v>
      </c>
      <c r="B104" s="3">
        <v>8.7600000000000004E-8</v>
      </c>
      <c r="C104" s="2">
        <v>5.3189999999999999E-3</v>
      </c>
      <c r="D104" s="3">
        <v>106000</v>
      </c>
      <c r="E104" s="3">
        <v>145000000000</v>
      </c>
      <c r="F104" s="3">
        <v>128000000000</v>
      </c>
      <c r="G104" s="2">
        <v>0</v>
      </c>
      <c r="H104" s="3">
        <v>11300000000</v>
      </c>
      <c r="I104" s="2">
        <v>-5.237E-2</v>
      </c>
      <c r="J104" s="3">
        <v>4.7699999999999999E-13</v>
      </c>
    </row>
    <row r="105" spans="1:10" x14ac:dyDescent="0.2">
      <c r="A105" s="3">
        <v>100</v>
      </c>
      <c r="B105" s="3">
        <v>8.79E-8</v>
      </c>
      <c r="C105" s="2">
        <v>5.372E-3</v>
      </c>
      <c r="D105" s="3">
        <v>106000</v>
      </c>
      <c r="E105" s="3">
        <v>145000000000</v>
      </c>
      <c r="F105" s="3">
        <v>128000000000</v>
      </c>
      <c r="G105" s="3">
        <v>15500000000</v>
      </c>
      <c r="H105" s="3">
        <v>11400000000</v>
      </c>
      <c r="I105" s="2">
        <v>0.1212</v>
      </c>
      <c r="J105" s="3">
        <v>4.8099999999999997E-13</v>
      </c>
    </row>
    <row r="106" spans="1:10" x14ac:dyDescent="0.2">
      <c r="A106" s="3">
        <v>100</v>
      </c>
      <c r="B106" s="3">
        <v>8.9200000000000005E-8</v>
      </c>
      <c r="C106" s="2">
        <v>5.4209999999999996E-3</v>
      </c>
      <c r="D106" s="3">
        <v>96000</v>
      </c>
      <c r="E106" s="3">
        <v>132000000000</v>
      </c>
      <c r="F106" s="3">
        <v>118000000000</v>
      </c>
      <c r="G106" s="3">
        <v>3020000000</v>
      </c>
      <c r="H106" s="3">
        <v>11800000000</v>
      </c>
      <c r="I106" s="2">
        <v>2.563E-2</v>
      </c>
      <c r="J106" s="3">
        <v>5.8800000000000002E-13</v>
      </c>
    </row>
    <row r="107" spans="1:10" x14ac:dyDescent="0.2">
      <c r="A107" s="3">
        <v>110</v>
      </c>
      <c r="B107" s="3">
        <v>8.9400000000000006E-8</v>
      </c>
      <c r="C107" s="2">
        <v>5.4739999999999997E-3</v>
      </c>
      <c r="D107" s="3">
        <v>91000</v>
      </c>
      <c r="E107" s="3">
        <v>126000000000</v>
      </c>
      <c r="F107" s="3">
        <v>113000000000</v>
      </c>
      <c r="G107" s="3">
        <v>9100000000</v>
      </c>
      <c r="H107" s="3">
        <v>12200000000</v>
      </c>
      <c r="I107" s="2">
        <v>8.054E-2</v>
      </c>
      <c r="J107" s="3">
        <v>6.6100000000000001E-13</v>
      </c>
    </row>
    <row r="108" spans="1:10" x14ac:dyDescent="0.2">
      <c r="A108" s="3">
        <v>110</v>
      </c>
      <c r="B108" s="3">
        <v>9.0400000000000002E-8</v>
      </c>
      <c r="C108" s="2">
        <v>5.5259999999999997E-3</v>
      </c>
      <c r="D108" s="3">
        <v>107000</v>
      </c>
      <c r="E108" s="3">
        <v>145000000000</v>
      </c>
      <c r="F108" s="3">
        <v>127000000000</v>
      </c>
      <c r="G108" s="2">
        <v>0</v>
      </c>
      <c r="H108" s="3">
        <v>11300000000</v>
      </c>
      <c r="I108" s="2">
        <v>-7.8329999999999997E-2</v>
      </c>
      <c r="J108" s="3">
        <v>4.8199999999999997E-13</v>
      </c>
    </row>
    <row r="109" spans="1:10" x14ac:dyDescent="0.2">
      <c r="A109" s="3">
        <v>110</v>
      </c>
      <c r="B109" s="3">
        <v>9.1100000000000002E-8</v>
      </c>
      <c r="C109" s="2">
        <v>5.5799999999999999E-3</v>
      </c>
      <c r="D109" s="3">
        <v>121000</v>
      </c>
      <c r="E109" s="3">
        <v>158000000000</v>
      </c>
      <c r="F109" s="3">
        <v>138000000000</v>
      </c>
      <c r="G109" s="3">
        <v>11800000000</v>
      </c>
      <c r="H109" s="3">
        <v>10400000000</v>
      </c>
      <c r="I109" s="2">
        <v>8.5980000000000001E-2</v>
      </c>
      <c r="J109" s="3">
        <v>3.79E-13</v>
      </c>
    </row>
    <row r="110" spans="1:10" x14ac:dyDescent="0.2">
      <c r="A110" s="3">
        <v>110</v>
      </c>
      <c r="B110" s="3">
        <v>9.1300000000000004E-8</v>
      </c>
      <c r="C110" s="2">
        <v>5.633E-3</v>
      </c>
      <c r="D110" s="3">
        <v>99100</v>
      </c>
      <c r="E110" s="3">
        <v>136000000000</v>
      </c>
      <c r="F110" s="3">
        <v>121000000000</v>
      </c>
      <c r="G110" s="3">
        <v>22400000000</v>
      </c>
      <c r="H110" s="3">
        <v>12100000000</v>
      </c>
      <c r="I110" s="2">
        <v>0.186</v>
      </c>
      <c r="J110" s="3">
        <v>5.7399999999999998E-13</v>
      </c>
    </row>
    <row r="111" spans="1:10" x14ac:dyDescent="0.2">
      <c r="A111" s="3">
        <v>110</v>
      </c>
      <c r="B111" s="3">
        <v>9.1800000000000001E-8</v>
      </c>
      <c r="C111" s="2">
        <v>5.6839999999999998E-3</v>
      </c>
      <c r="D111" s="3">
        <v>147000</v>
      </c>
      <c r="E111" s="3">
        <v>190000000000</v>
      </c>
      <c r="F111" s="3">
        <v>161000000000</v>
      </c>
      <c r="G111" s="2">
        <v>0</v>
      </c>
      <c r="H111" s="3">
        <v>9850000000</v>
      </c>
      <c r="I111" s="2">
        <v>-1.3390000000000001E-2</v>
      </c>
      <c r="J111" s="3">
        <v>2.6199999999999999E-13</v>
      </c>
    </row>
    <row r="112" spans="1:10" x14ac:dyDescent="0.2">
      <c r="A112" s="3">
        <v>110</v>
      </c>
      <c r="B112" s="3">
        <v>9.2500000000000001E-8</v>
      </c>
      <c r="C112" s="2">
        <v>5.7369999999999999E-3</v>
      </c>
      <c r="D112" s="3">
        <v>112000</v>
      </c>
      <c r="E112" s="3">
        <v>148000000000</v>
      </c>
      <c r="F112" s="3">
        <v>130000000000</v>
      </c>
      <c r="G112" s="3">
        <v>1670000000</v>
      </c>
      <c r="H112" s="3">
        <v>11200000000</v>
      </c>
      <c r="I112" s="2">
        <v>1.2829999999999999E-2</v>
      </c>
      <c r="J112" s="3">
        <v>4.5799999999999997E-13</v>
      </c>
    </row>
    <row r="113" spans="1:10" x14ac:dyDescent="0.2">
      <c r="A113" s="3">
        <v>110</v>
      </c>
      <c r="B113" s="3">
        <v>9.3100000000000006E-8</v>
      </c>
      <c r="C113" s="2">
        <v>5.7860000000000003E-3</v>
      </c>
      <c r="D113" s="3">
        <v>116000</v>
      </c>
      <c r="E113" s="3">
        <v>151000000000</v>
      </c>
      <c r="F113" s="3">
        <v>133000000000</v>
      </c>
      <c r="G113" s="3">
        <v>13000000000</v>
      </c>
      <c r="H113" s="3">
        <v>11000000000</v>
      </c>
      <c r="I113" s="2">
        <v>9.8089999999999997E-2</v>
      </c>
      <c r="J113" s="3">
        <v>4.2999999999999999E-13</v>
      </c>
    </row>
    <row r="114" spans="1:10" x14ac:dyDescent="0.2">
      <c r="A114" s="3">
        <v>110</v>
      </c>
      <c r="B114" s="3">
        <v>9.3600000000000004E-8</v>
      </c>
      <c r="C114" s="2">
        <v>5.8409999999999998E-3</v>
      </c>
      <c r="D114" s="3">
        <v>100000</v>
      </c>
      <c r="E114" s="3">
        <v>136000000000</v>
      </c>
      <c r="F114" s="3">
        <v>121000000000</v>
      </c>
      <c r="G114" s="3">
        <v>13400000000</v>
      </c>
      <c r="H114" s="3">
        <v>12400000000</v>
      </c>
      <c r="I114" s="2">
        <v>0.1106</v>
      </c>
      <c r="J114" s="3">
        <v>5.8500000000000003E-13</v>
      </c>
    </row>
    <row r="115" spans="1:10" x14ac:dyDescent="0.2">
      <c r="A115" s="3">
        <v>110</v>
      </c>
      <c r="B115" s="3">
        <v>9.4399999999999998E-8</v>
      </c>
      <c r="C115" s="2">
        <v>5.8910000000000004E-3</v>
      </c>
      <c r="D115" s="3">
        <v>116000</v>
      </c>
      <c r="E115" s="3">
        <v>151000000000</v>
      </c>
      <c r="F115" s="3">
        <v>132000000000</v>
      </c>
      <c r="G115" s="3">
        <v>1950000000</v>
      </c>
      <c r="H115" s="3">
        <v>11000000000</v>
      </c>
      <c r="I115" s="2">
        <v>1.473E-2</v>
      </c>
      <c r="J115" s="3">
        <v>4.3600000000000001E-13</v>
      </c>
    </row>
    <row r="116" spans="1:10" x14ac:dyDescent="0.2">
      <c r="A116" s="3">
        <v>110</v>
      </c>
      <c r="B116" s="3">
        <v>9.4699999999999994E-8</v>
      </c>
      <c r="C116" s="2">
        <v>5.9430000000000004E-3</v>
      </c>
      <c r="D116" s="3">
        <v>107000</v>
      </c>
      <c r="E116" s="3">
        <v>142000000000</v>
      </c>
      <c r="F116" s="3">
        <v>125000000000</v>
      </c>
      <c r="G116" s="3">
        <v>10300000000</v>
      </c>
      <c r="H116" s="3">
        <v>11900000000</v>
      </c>
      <c r="I116" s="2">
        <v>8.2299999999999998E-2</v>
      </c>
      <c r="J116" s="3">
        <v>5.2399999999999999E-13</v>
      </c>
    </row>
    <row r="117" spans="1:10" x14ac:dyDescent="0.2">
      <c r="A117" s="3">
        <v>120</v>
      </c>
      <c r="B117" s="3">
        <v>9.5500000000000002E-8</v>
      </c>
      <c r="C117" s="2">
        <v>5.9940000000000002E-3</v>
      </c>
      <c r="D117" s="3">
        <v>110000</v>
      </c>
      <c r="E117" s="3">
        <v>144000000000</v>
      </c>
      <c r="F117" s="3">
        <v>127000000000</v>
      </c>
      <c r="G117" s="2">
        <v>0</v>
      </c>
      <c r="H117" s="3">
        <v>11600000000</v>
      </c>
      <c r="I117" s="2">
        <v>-2.051E-2</v>
      </c>
      <c r="J117" s="3">
        <v>4.9999999999999999E-13</v>
      </c>
    </row>
    <row r="118" spans="1:10" x14ac:dyDescent="0.2">
      <c r="A118" s="3">
        <v>120</v>
      </c>
      <c r="B118" s="3">
        <v>9.6400000000000003E-8</v>
      </c>
      <c r="C118" s="2">
        <v>6.0480000000000004E-3</v>
      </c>
      <c r="D118" s="3">
        <v>117000</v>
      </c>
      <c r="E118" s="3">
        <v>150000000000</v>
      </c>
      <c r="F118" s="3">
        <v>131000000000</v>
      </c>
      <c r="G118" s="3">
        <v>939000000</v>
      </c>
      <c r="H118" s="3">
        <v>11100000000</v>
      </c>
      <c r="I118" s="2">
        <v>7.149E-3</v>
      </c>
      <c r="J118" s="3">
        <v>4.4299999999999998E-13</v>
      </c>
    </row>
    <row r="119" spans="1:10" x14ac:dyDescent="0.2">
      <c r="A119" s="3">
        <v>120</v>
      </c>
      <c r="B119" s="3">
        <v>9.6999999999999995E-8</v>
      </c>
      <c r="C119" s="2">
        <v>6.1029999999999999E-3</v>
      </c>
      <c r="D119" s="3">
        <v>110000</v>
      </c>
      <c r="E119" s="3">
        <v>143000000000</v>
      </c>
      <c r="F119" s="3">
        <v>126000000000</v>
      </c>
      <c r="G119" s="3">
        <v>2200000000</v>
      </c>
      <c r="H119" s="3">
        <v>11600000000</v>
      </c>
      <c r="I119" s="2">
        <v>1.738E-2</v>
      </c>
      <c r="J119" s="3">
        <v>5.0299999999999998E-13</v>
      </c>
    </row>
    <row r="120" spans="1:10" x14ac:dyDescent="0.2">
      <c r="A120" s="3">
        <v>120</v>
      </c>
      <c r="B120" s="3">
        <v>9.7399999999999999E-8</v>
      </c>
      <c r="C120" s="2">
        <v>6.1539999999999997E-3</v>
      </c>
      <c r="D120" s="3">
        <v>105000</v>
      </c>
      <c r="E120" s="3">
        <v>138000000000</v>
      </c>
      <c r="F120" s="3">
        <v>123000000000</v>
      </c>
      <c r="G120" s="2">
        <v>0</v>
      </c>
      <c r="H120" s="3">
        <v>12200000000</v>
      </c>
      <c r="I120" s="2">
        <v>-1.285E-2</v>
      </c>
      <c r="J120" s="3">
        <v>5.6100000000000003E-13</v>
      </c>
    </row>
    <row r="121" spans="1:10" x14ac:dyDescent="0.2">
      <c r="A121" s="3">
        <v>120</v>
      </c>
      <c r="B121" s="3">
        <v>9.8599999999999996E-8</v>
      </c>
      <c r="C121" s="2">
        <v>6.2049999999999996E-3</v>
      </c>
      <c r="D121" s="3">
        <v>109000</v>
      </c>
      <c r="E121" s="3">
        <v>140000000000</v>
      </c>
      <c r="F121" s="3">
        <v>124000000000</v>
      </c>
      <c r="G121" s="3">
        <v>7430000000</v>
      </c>
      <c r="H121" s="3">
        <v>11700000000</v>
      </c>
      <c r="I121" s="2">
        <v>5.985E-2</v>
      </c>
      <c r="J121" s="3">
        <v>5.2599999999999998E-13</v>
      </c>
    </row>
    <row r="122" spans="1:10" x14ac:dyDescent="0.2">
      <c r="A122" s="3">
        <v>120</v>
      </c>
      <c r="B122" s="3">
        <v>9.8799999999999998E-8</v>
      </c>
      <c r="C122" s="2">
        <v>6.2560000000000003E-3</v>
      </c>
      <c r="D122" s="3">
        <v>103000</v>
      </c>
      <c r="E122" s="3">
        <v>136000000000</v>
      </c>
      <c r="F122" s="3">
        <v>120000000000</v>
      </c>
      <c r="G122" s="3">
        <v>5660000000</v>
      </c>
      <c r="H122" s="3">
        <v>12500000000</v>
      </c>
      <c r="I122" s="2">
        <v>4.7059999999999998E-2</v>
      </c>
      <c r="J122" s="3">
        <v>5.9599999999999998E-13</v>
      </c>
    </row>
    <row r="123" spans="1:10" x14ac:dyDescent="0.2">
      <c r="A123" s="3">
        <v>120</v>
      </c>
      <c r="B123" s="3">
        <v>9.9400000000000003E-8</v>
      </c>
      <c r="C123" s="2">
        <v>6.3090000000000004E-3</v>
      </c>
      <c r="D123" s="3">
        <v>106000</v>
      </c>
      <c r="E123" s="3">
        <v>138000000000</v>
      </c>
      <c r="F123" s="3">
        <v>122000000000</v>
      </c>
      <c r="G123" s="3">
        <v>13500000000</v>
      </c>
      <c r="H123" s="3">
        <v>12200000000</v>
      </c>
      <c r="I123" s="2">
        <v>0.11</v>
      </c>
      <c r="J123" s="3">
        <v>5.6000000000000004E-13</v>
      </c>
    </row>
    <row r="124" spans="1:10" x14ac:dyDescent="0.2">
      <c r="A124" s="3">
        <v>120</v>
      </c>
      <c r="B124" s="3">
        <v>9.9999999999999995E-8</v>
      </c>
      <c r="C124" s="2">
        <v>6.3610000000000003E-3</v>
      </c>
      <c r="D124" s="3">
        <v>99400</v>
      </c>
      <c r="E124" s="3">
        <v>132000000000</v>
      </c>
      <c r="F124" s="3">
        <v>118000000000</v>
      </c>
      <c r="G124" s="2">
        <v>0</v>
      </c>
      <c r="H124" s="3">
        <v>12900000000</v>
      </c>
      <c r="I124" s="2">
        <v>-1.8499999999999999E-2</v>
      </c>
      <c r="J124" s="3">
        <v>6.4399999999999998E-13</v>
      </c>
    </row>
    <row r="125" spans="1:10" x14ac:dyDescent="0.2">
      <c r="A125" s="3">
        <v>120</v>
      </c>
      <c r="B125" s="3">
        <v>1.01E-7</v>
      </c>
      <c r="C125" s="2">
        <v>6.4130000000000003E-3</v>
      </c>
      <c r="D125" s="3">
        <v>122000</v>
      </c>
      <c r="E125" s="3">
        <v>153000000000</v>
      </c>
      <c r="F125" s="3">
        <v>134000000000</v>
      </c>
      <c r="G125" s="2">
        <v>0</v>
      </c>
      <c r="H125" s="3">
        <v>11200000000</v>
      </c>
      <c r="I125" s="2">
        <v>-1.54E-2</v>
      </c>
      <c r="J125" s="3">
        <v>4.3400000000000002E-13</v>
      </c>
    </row>
    <row r="126" spans="1:10" x14ac:dyDescent="0.2">
      <c r="A126" s="3">
        <v>120</v>
      </c>
      <c r="B126" s="3">
        <v>1.02E-7</v>
      </c>
      <c r="C126" s="2">
        <v>6.4650000000000003E-3</v>
      </c>
      <c r="D126" s="3">
        <v>97700</v>
      </c>
      <c r="E126" s="3">
        <v>130000000000</v>
      </c>
      <c r="F126" s="3">
        <v>116000000000</v>
      </c>
      <c r="G126" s="3">
        <v>24300000000</v>
      </c>
      <c r="H126" s="3">
        <v>13200000000</v>
      </c>
      <c r="I126" s="2">
        <v>0.20960000000000001</v>
      </c>
      <c r="J126" s="3">
        <v>6.7700000000000004E-13</v>
      </c>
    </row>
    <row r="127" spans="1:10" x14ac:dyDescent="0.2">
      <c r="A127" s="3">
        <v>130</v>
      </c>
      <c r="B127" s="3">
        <v>1.02E-7</v>
      </c>
      <c r="C127" s="2">
        <v>6.5180000000000004E-3</v>
      </c>
      <c r="D127" s="3">
        <v>105000</v>
      </c>
      <c r="E127" s="3">
        <v>135000000000</v>
      </c>
      <c r="F127" s="3">
        <v>120000000000</v>
      </c>
      <c r="G127" s="3">
        <v>22800000000</v>
      </c>
      <c r="H127" s="3">
        <v>12300000000</v>
      </c>
      <c r="I127" s="2">
        <v>0.19009999999999999</v>
      </c>
      <c r="J127" s="3">
        <v>5.93E-13</v>
      </c>
    </row>
    <row r="128" spans="1:10" x14ac:dyDescent="0.2">
      <c r="A128" s="3">
        <v>130</v>
      </c>
      <c r="B128" s="3">
        <v>1.03E-7</v>
      </c>
      <c r="C128" s="2">
        <v>6.5700000000000003E-3</v>
      </c>
      <c r="D128" s="3">
        <v>122000</v>
      </c>
      <c r="E128" s="3">
        <v>152000000000</v>
      </c>
      <c r="F128" s="3">
        <v>133000000000</v>
      </c>
      <c r="G128" s="2">
        <v>0</v>
      </c>
      <c r="H128" s="3">
        <v>11400000000</v>
      </c>
      <c r="I128" s="2">
        <v>-1.6379999999999999E-2</v>
      </c>
      <c r="J128" s="3">
        <v>4.4299999999999998E-13</v>
      </c>
    </row>
    <row r="129" spans="1:10" x14ac:dyDescent="0.2">
      <c r="A129" s="3">
        <v>130</v>
      </c>
      <c r="B129" s="3">
        <v>1.03E-7</v>
      </c>
      <c r="C129" s="2">
        <v>6.6210000000000001E-3</v>
      </c>
      <c r="D129" s="3">
        <v>115000</v>
      </c>
      <c r="E129" s="3">
        <v>145000000000</v>
      </c>
      <c r="F129" s="3">
        <v>128000000000</v>
      </c>
      <c r="G129" s="2">
        <v>0</v>
      </c>
      <c r="H129" s="3">
        <v>11800000000</v>
      </c>
      <c r="I129" s="2">
        <v>-1.7520000000000001E-2</v>
      </c>
      <c r="J129" s="3">
        <v>5.0099999999999999E-13</v>
      </c>
    </row>
    <row r="130" spans="1:10" x14ac:dyDescent="0.2">
      <c r="A130" s="3">
        <v>130</v>
      </c>
      <c r="B130" s="3">
        <v>1.04E-7</v>
      </c>
      <c r="C130" s="2">
        <v>6.6750000000000004E-3</v>
      </c>
      <c r="D130" s="3">
        <v>95900</v>
      </c>
      <c r="E130" s="3">
        <v>128000000000</v>
      </c>
      <c r="F130" s="3">
        <v>114000000000</v>
      </c>
      <c r="G130" s="2">
        <v>0</v>
      </c>
      <c r="H130" s="3">
        <v>13700000000</v>
      </c>
      <c r="I130" s="2">
        <v>-3.7760000000000002E-2</v>
      </c>
      <c r="J130" s="3">
        <v>7.2500000000000004E-13</v>
      </c>
    </row>
    <row r="131" spans="1:10" x14ac:dyDescent="0.2">
      <c r="A131" s="3">
        <v>130</v>
      </c>
      <c r="B131" s="3">
        <v>1.05E-7</v>
      </c>
      <c r="C131" s="2">
        <v>6.7270000000000003E-3</v>
      </c>
      <c r="D131" s="3">
        <v>118000</v>
      </c>
      <c r="E131" s="3">
        <v>147000000000</v>
      </c>
      <c r="F131" s="3">
        <v>129000000000</v>
      </c>
      <c r="G131" s="3">
        <v>7250000000</v>
      </c>
      <c r="H131" s="3">
        <v>11800000000</v>
      </c>
      <c r="I131" s="2">
        <v>5.6030000000000003E-2</v>
      </c>
      <c r="J131" s="3">
        <v>4.8600000000000005E-13</v>
      </c>
    </row>
    <row r="132" spans="1:10" x14ac:dyDescent="0.2">
      <c r="A132" s="3">
        <v>130</v>
      </c>
      <c r="B132" s="3">
        <v>1.05E-7</v>
      </c>
      <c r="C132" s="2">
        <v>6.7790000000000003E-3</v>
      </c>
      <c r="D132" s="3">
        <v>110000</v>
      </c>
      <c r="E132" s="3">
        <v>138000000000</v>
      </c>
      <c r="F132" s="3">
        <v>122000000000</v>
      </c>
      <c r="G132" s="2">
        <v>0</v>
      </c>
      <c r="H132" s="3">
        <v>12200000000</v>
      </c>
      <c r="I132" s="2">
        <v>-0.1043</v>
      </c>
      <c r="J132" s="3">
        <v>5.6000000000000004E-13</v>
      </c>
    </row>
    <row r="133" spans="1:10" x14ac:dyDescent="0.2">
      <c r="A133" s="3">
        <v>130</v>
      </c>
      <c r="B133" s="3">
        <v>1.06E-7</v>
      </c>
      <c r="C133" s="2">
        <v>6.8310000000000003E-3</v>
      </c>
      <c r="D133" s="3">
        <v>104000</v>
      </c>
      <c r="E133" s="3">
        <v>133000000000</v>
      </c>
      <c r="F133" s="3">
        <v>118000000000</v>
      </c>
      <c r="G133" s="3">
        <v>7630000000</v>
      </c>
      <c r="H133" s="3">
        <v>12800000000</v>
      </c>
      <c r="I133" s="2">
        <v>6.4479999999999996E-2</v>
      </c>
      <c r="J133" s="3">
        <v>6.2900000000000005E-13</v>
      </c>
    </row>
    <row r="134" spans="1:10" x14ac:dyDescent="0.2">
      <c r="A134" s="3">
        <v>130</v>
      </c>
      <c r="B134" s="3">
        <v>1.0700000000000001E-7</v>
      </c>
      <c r="C134" s="2">
        <v>6.8830000000000002E-3</v>
      </c>
      <c r="D134" s="3">
        <v>110000</v>
      </c>
      <c r="E134" s="3">
        <v>138000000000</v>
      </c>
      <c r="F134" s="3">
        <v>122000000000</v>
      </c>
      <c r="G134" s="3">
        <v>2290000000</v>
      </c>
      <c r="H134" s="3">
        <v>12300000000</v>
      </c>
      <c r="I134" s="2">
        <v>1.8780000000000002E-2</v>
      </c>
      <c r="J134" s="3">
        <v>5.7099999999999999E-13</v>
      </c>
    </row>
    <row r="135" spans="1:10" x14ac:dyDescent="0.2">
      <c r="A135" s="3">
        <v>130</v>
      </c>
      <c r="B135" s="3">
        <v>1.0700000000000001E-7</v>
      </c>
      <c r="C135" s="2">
        <v>6.9340000000000001E-3</v>
      </c>
      <c r="D135" s="3">
        <v>111000</v>
      </c>
      <c r="E135" s="3">
        <v>139000000000</v>
      </c>
      <c r="F135" s="3">
        <v>123000000000</v>
      </c>
      <c r="G135" s="3">
        <v>12900000000</v>
      </c>
      <c r="H135" s="3">
        <v>12300000000</v>
      </c>
      <c r="I135" s="2">
        <v>0.1051</v>
      </c>
      <c r="J135" s="3">
        <v>5.6300000000000002E-13</v>
      </c>
    </row>
    <row r="136" spans="1:10" x14ac:dyDescent="0.2">
      <c r="A136" s="3">
        <v>130</v>
      </c>
      <c r="B136" s="3">
        <v>1.08E-7</v>
      </c>
      <c r="C136" s="2">
        <v>6.9870000000000002E-3</v>
      </c>
      <c r="D136" s="3">
        <v>98700</v>
      </c>
      <c r="E136" s="3">
        <v>127000000000</v>
      </c>
      <c r="F136" s="3">
        <v>114000000000</v>
      </c>
      <c r="G136" s="3">
        <v>18100000000</v>
      </c>
      <c r="H136" s="3">
        <v>13400000000</v>
      </c>
      <c r="I136" s="2">
        <v>0.15909999999999999</v>
      </c>
      <c r="J136" s="3">
        <v>7.1699999999999997E-13</v>
      </c>
    </row>
    <row r="137" spans="1:10" x14ac:dyDescent="0.2">
      <c r="A137" s="3">
        <v>140</v>
      </c>
      <c r="B137" s="3">
        <v>1.09E-7</v>
      </c>
      <c r="C137" s="2">
        <v>7.038E-3</v>
      </c>
      <c r="D137" s="3">
        <v>107000</v>
      </c>
      <c r="E137" s="3">
        <v>134000000000</v>
      </c>
      <c r="F137" s="3">
        <v>119000000000</v>
      </c>
      <c r="G137" s="2">
        <v>0</v>
      </c>
      <c r="H137" s="3">
        <v>12600000000</v>
      </c>
      <c r="I137" s="2">
        <v>-4.4540000000000003E-2</v>
      </c>
      <c r="J137" s="3">
        <v>6.1100000000000002E-13</v>
      </c>
    </row>
    <row r="138" spans="1:10" x14ac:dyDescent="0.2">
      <c r="A138" s="3">
        <v>140</v>
      </c>
      <c r="B138" s="3">
        <v>1.09E-7</v>
      </c>
      <c r="C138" s="2">
        <v>7.0910000000000001E-3</v>
      </c>
      <c r="D138" s="3">
        <v>110000</v>
      </c>
      <c r="E138" s="3">
        <v>137000000000</v>
      </c>
      <c r="F138" s="3">
        <v>122000000000</v>
      </c>
      <c r="G138" s="3">
        <v>3450000000</v>
      </c>
      <c r="H138" s="3">
        <v>12500000000</v>
      </c>
      <c r="I138" s="2">
        <v>2.8369999999999999E-2</v>
      </c>
      <c r="J138" s="3">
        <v>5.8400000000000004E-13</v>
      </c>
    </row>
    <row r="139" spans="1:10" x14ac:dyDescent="0.2">
      <c r="A139" s="3">
        <v>140</v>
      </c>
      <c r="B139" s="3">
        <v>1.1000000000000001E-7</v>
      </c>
      <c r="C139" s="2">
        <v>7.1419999999999999E-3</v>
      </c>
      <c r="D139" s="3">
        <v>116000</v>
      </c>
      <c r="E139" s="3">
        <v>144000000000</v>
      </c>
      <c r="F139" s="3">
        <v>127000000000</v>
      </c>
      <c r="G139" s="3">
        <v>22300000000</v>
      </c>
      <c r="H139" s="3">
        <v>12300000000</v>
      </c>
      <c r="I139" s="2">
        <v>0.1762</v>
      </c>
      <c r="J139" s="3">
        <v>5.2899999999999997E-13</v>
      </c>
    </row>
    <row r="140" spans="1:10" x14ac:dyDescent="0.2">
      <c r="A140" s="3">
        <v>140</v>
      </c>
      <c r="B140" s="3">
        <v>1.1000000000000001E-7</v>
      </c>
      <c r="C140" s="2">
        <v>7.1939999999999999E-3</v>
      </c>
      <c r="D140" s="3">
        <v>124000</v>
      </c>
      <c r="E140" s="3">
        <v>152000000000</v>
      </c>
      <c r="F140" s="3">
        <v>133000000000</v>
      </c>
      <c r="G140" s="3">
        <v>1920000000</v>
      </c>
      <c r="H140" s="3">
        <v>12100000000</v>
      </c>
      <c r="I140" s="2">
        <v>1.439E-2</v>
      </c>
      <c r="J140" s="3">
        <v>4.6900000000000002E-13</v>
      </c>
    </row>
    <row r="141" spans="1:10" x14ac:dyDescent="0.2">
      <c r="A141" s="3">
        <v>140</v>
      </c>
      <c r="B141" s="3">
        <v>1.11E-7</v>
      </c>
      <c r="C141" s="2">
        <v>7.2459999999999998E-3</v>
      </c>
      <c r="D141" s="3">
        <v>130000</v>
      </c>
      <c r="E141" s="3">
        <v>159000000000</v>
      </c>
      <c r="F141" s="3">
        <v>139000000000</v>
      </c>
      <c r="G141" s="2">
        <v>0</v>
      </c>
      <c r="H141" s="3">
        <v>11900000000</v>
      </c>
      <c r="I141" s="2">
        <v>-1.694E-2</v>
      </c>
      <c r="J141" s="3">
        <v>4.2799999999999999E-13</v>
      </c>
    </row>
    <row r="142" spans="1:10" x14ac:dyDescent="0.2">
      <c r="A142" s="3">
        <v>140</v>
      </c>
      <c r="B142" s="3">
        <v>1.12E-7</v>
      </c>
      <c r="C142" s="2">
        <v>7.3029999999999996E-3</v>
      </c>
      <c r="D142" s="3">
        <v>117000</v>
      </c>
      <c r="E142" s="3">
        <v>144000000000</v>
      </c>
      <c r="F142" s="3">
        <v>127000000000</v>
      </c>
      <c r="G142" s="2">
        <v>0</v>
      </c>
      <c r="H142" s="3">
        <v>12400000000</v>
      </c>
      <c r="I142" s="2">
        <v>-0.1215</v>
      </c>
      <c r="J142" s="3">
        <v>5.3500000000000004E-13</v>
      </c>
    </row>
    <row r="143" spans="1:10" x14ac:dyDescent="0.2">
      <c r="A143" s="3">
        <v>140</v>
      </c>
      <c r="B143" s="3">
        <v>1.12E-7</v>
      </c>
      <c r="C143" s="2">
        <v>7.3530000000000002E-3</v>
      </c>
      <c r="D143" s="3">
        <v>110000</v>
      </c>
      <c r="E143" s="3">
        <v>136000000000</v>
      </c>
      <c r="F143" s="3">
        <v>121000000000</v>
      </c>
      <c r="G143" s="3">
        <v>9390000000</v>
      </c>
      <c r="H143" s="3">
        <v>12800000000</v>
      </c>
      <c r="I143" s="2">
        <v>7.7859999999999999E-2</v>
      </c>
      <c r="J143" s="3">
        <v>6.0900000000000003E-13</v>
      </c>
    </row>
    <row r="144" spans="1:10" x14ac:dyDescent="0.2">
      <c r="A144" s="3">
        <v>140</v>
      </c>
      <c r="B144" s="3">
        <v>1.1300000000000001E-7</v>
      </c>
      <c r="C144" s="2">
        <v>7.404E-3</v>
      </c>
      <c r="D144" s="3">
        <v>113000</v>
      </c>
      <c r="E144" s="3">
        <v>139000000000</v>
      </c>
      <c r="F144" s="3">
        <v>123000000000</v>
      </c>
      <c r="G144" s="3">
        <v>6390000000</v>
      </c>
      <c r="H144" s="3">
        <v>12700000000</v>
      </c>
      <c r="I144" s="2">
        <v>5.212E-2</v>
      </c>
      <c r="J144" s="3">
        <v>5.8500000000000003E-13</v>
      </c>
    </row>
    <row r="145" spans="1:10" x14ac:dyDescent="0.2">
      <c r="A145" s="3">
        <v>140</v>
      </c>
      <c r="B145" s="3">
        <v>1.14E-7</v>
      </c>
      <c r="C145" s="2">
        <v>7.4549999999999998E-3</v>
      </c>
      <c r="D145" s="3">
        <v>115000</v>
      </c>
      <c r="E145" s="3">
        <v>141000000000</v>
      </c>
      <c r="F145" s="3">
        <v>124000000000</v>
      </c>
      <c r="G145" s="3">
        <v>5720000000</v>
      </c>
      <c r="H145" s="3">
        <v>12700000000</v>
      </c>
      <c r="I145" s="2">
        <v>4.598E-2</v>
      </c>
      <c r="J145" s="3">
        <v>5.68E-13</v>
      </c>
    </row>
    <row r="146" spans="1:10" x14ac:dyDescent="0.2">
      <c r="A146" s="3">
        <v>140</v>
      </c>
      <c r="B146" s="3">
        <v>1.14E-7</v>
      </c>
      <c r="C146" s="2">
        <v>7.5069999999999998E-3</v>
      </c>
      <c r="D146" s="3">
        <v>108000</v>
      </c>
      <c r="E146" s="3">
        <v>133000000000</v>
      </c>
      <c r="F146" s="3">
        <v>118000000000</v>
      </c>
      <c r="G146" s="2">
        <v>0</v>
      </c>
      <c r="H146" s="3">
        <v>13100000000</v>
      </c>
      <c r="I146" s="2">
        <v>-3.1710000000000002E-2</v>
      </c>
      <c r="J146" s="3">
        <v>6.4899999999999996E-13</v>
      </c>
    </row>
    <row r="147" spans="1:10" x14ac:dyDescent="0.2">
      <c r="A147" s="3">
        <v>150</v>
      </c>
      <c r="B147" s="3">
        <v>1.14E-7</v>
      </c>
      <c r="C147" s="2">
        <v>7.561E-3</v>
      </c>
      <c r="D147" s="3">
        <v>123000</v>
      </c>
      <c r="E147" s="3">
        <v>150000000000</v>
      </c>
      <c r="F147" s="3">
        <v>132000000000</v>
      </c>
      <c r="G147" s="3">
        <v>6680000000</v>
      </c>
      <c r="H147" s="3">
        <v>12500000000</v>
      </c>
      <c r="I147" s="2">
        <v>5.0799999999999998E-2</v>
      </c>
      <c r="J147" s="3">
        <v>4.9999999999999999E-13</v>
      </c>
    </row>
    <row r="148" spans="1:10" x14ac:dyDescent="0.2">
      <c r="A148" s="3">
        <v>150</v>
      </c>
      <c r="B148" s="3">
        <v>1.15E-7</v>
      </c>
      <c r="C148" s="2">
        <v>7.613E-3</v>
      </c>
      <c r="D148" s="3">
        <v>102000</v>
      </c>
      <c r="E148" s="3">
        <v>127000000000</v>
      </c>
      <c r="F148" s="3">
        <v>113000000000</v>
      </c>
      <c r="G148" s="3">
        <v>20500000000</v>
      </c>
      <c r="H148" s="3">
        <v>13700000000</v>
      </c>
      <c r="I148" s="2">
        <v>0.18090000000000001</v>
      </c>
      <c r="J148" s="3">
        <v>7.3699999999999999E-13</v>
      </c>
    </row>
    <row r="149" spans="1:10" x14ac:dyDescent="0.2">
      <c r="A149" s="3">
        <v>150</v>
      </c>
      <c r="B149" s="3">
        <v>1.15E-7</v>
      </c>
      <c r="C149" s="2">
        <v>7.6639999999999998E-3</v>
      </c>
      <c r="D149" s="3">
        <v>121000</v>
      </c>
      <c r="E149" s="3">
        <v>147000000000</v>
      </c>
      <c r="F149" s="3">
        <v>130000000000</v>
      </c>
      <c r="G149" s="3">
        <v>21200000000</v>
      </c>
      <c r="H149" s="3">
        <v>12800000000</v>
      </c>
      <c r="I149" s="2">
        <v>0.16389999999999999</v>
      </c>
      <c r="J149" s="3">
        <v>5.2599999999999998E-13</v>
      </c>
    </row>
    <row r="150" spans="1:10" x14ac:dyDescent="0.2">
      <c r="A150" s="3">
        <v>150</v>
      </c>
      <c r="B150" s="3">
        <v>1.1600000000000001E-7</v>
      </c>
      <c r="C150" s="2">
        <v>7.7159999999999998E-3</v>
      </c>
      <c r="D150" s="3">
        <v>121000</v>
      </c>
      <c r="E150" s="3">
        <v>147000000000</v>
      </c>
      <c r="F150" s="3">
        <v>130000000000</v>
      </c>
      <c r="G150" s="2">
        <v>0</v>
      </c>
      <c r="H150" s="3">
        <v>12800000000</v>
      </c>
      <c r="I150" s="2">
        <v>-0.1474</v>
      </c>
      <c r="J150" s="3">
        <v>5.2599999999999998E-13</v>
      </c>
    </row>
    <row r="151" spans="1:10" x14ac:dyDescent="0.2">
      <c r="A151" s="3">
        <v>150</v>
      </c>
      <c r="B151" s="3">
        <v>1.17E-7</v>
      </c>
      <c r="C151" s="2">
        <v>7.7689999999999999E-3</v>
      </c>
      <c r="D151" s="3">
        <v>123000</v>
      </c>
      <c r="E151" s="3">
        <v>149000000000</v>
      </c>
      <c r="F151" s="3">
        <v>131000000000</v>
      </c>
      <c r="G151" s="2">
        <v>0</v>
      </c>
      <c r="H151" s="3">
        <v>12800000000</v>
      </c>
      <c r="I151" s="2">
        <v>-6.3560000000000005E-2</v>
      </c>
      <c r="J151" s="3">
        <v>5.1600000000000002E-13</v>
      </c>
    </row>
    <row r="152" spans="1:10" x14ac:dyDescent="0.2">
      <c r="A152" s="3">
        <v>150</v>
      </c>
      <c r="B152" s="3">
        <v>1.17E-7</v>
      </c>
      <c r="C152" s="2">
        <v>7.8200000000000006E-3</v>
      </c>
      <c r="D152" s="3">
        <v>117000</v>
      </c>
      <c r="E152" s="3">
        <v>143000000000</v>
      </c>
      <c r="F152" s="3">
        <v>126000000000</v>
      </c>
      <c r="G152" s="3">
        <v>1140000000</v>
      </c>
      <c r="H152" s="3">
        <v>13100000000</v>
      </c>
      <c r="I152" s="2">
        <v>9.0589999999999993E-3</v>
      </c>
      <c r="J152" s="3">
        <v>5.69E-13</v>
      </c>
    </row>
    <row r="153" spans="1:10" x14ac:dyDescent="0.2">
      <c r="A153" s="3">
        <v>150</v>
      </c>
      <c r="B153" s="3">
        <v>1.18E-7</v>
      </c>
      <c r="C153" s="2">
        <v>7.8740000000000008E-3</v>
      </c>
      <c r="D153" s="3">
        <v>124000</v>
      </c>
      <c r="E153" s="3">
        <v>149000000000</v>
      </c>
      <c r="F153" s="3">
        <v>131000000000</v>
      </c>
      <c r="G153" s="3">
        <v>5690000000</v>
      </c>
      <c r="H153" s="3">
        <v>12900000000</v>
      </c>
      <c r="I153" s="2">
        <v>4.3409999999999997E-2</v>
      </c>
      <c r="J153" s="3">
        <v>5.1700000000000002E-13</v>
      </c>
    </row>
    <row r="154" spans="1:10" x14ac:dyDescent="0.2">
      <c r="A154" s="3">
        <v>150</v>
      </c>
      <c r="B154" s="3">
        <v>1.18E-7</v>
      </c>
      <c r="C154" s="2">
        <v>7.927E-3</v>
      </c>
      <c r="D154" s="3">
        <v>109000</v>
      </c>
      <c r="E154" s="3">
        <v>133000000000</v>
      </c>
      <c r="F154" s="3">
        <v>118000000000</v>
      </c>
      <c r="G154" s="3">
        <v>12300000000</v>
      </c>
      <c r="H154" s="3">
        <v>13700000000</v>
      </c>
      <c r="I154" s="2">
        <v>0.1036</v>
      </c>
      <c r="J154" s="3">
        <v>6.7199999999999996E-13</v>
      </c>
    </row>
    <row r="155" spans="1:10" x14ac:dyDescent="0.2">
      <c r="A155" s="3">
        <v>150</v>
      </c>
      <c r="B155" s="3">
        <v>1.1999999999999999E-7</v>
      </c>
      <c r="C155" s="2">
        <v>7.9749999999999995E-3</v>
      </c>
      <c r="D155" s="3">
        <v>118000</v>
      </c>
      <c r="E155" s="3">
        <v>142000000000</v>
      </c>
      <c r="F155" s="3">
        <v>126000000000</v>
      </c>
      <c r="G155" s="3">
        <v>9940000000</v>
      </c>
      <c r="H155" s="3">
        <v>13100000000</v>
      </c>
      <c r="I155" s="2">
        <v>7.9070000000000001E-2</v>
      </c>
      <c r="J155" s="3">
        <v>5.7099999999999999E-13</v>
      </c>
    </row>
    <row r="156" spans="1:10" x14ac:dyDescent="0.2">
      <c r="A156" s="3">
        <v>150</v>
      </c>
      <c r="B156" s="3">
        <v>1.2200000000000001E-7</v>
      </c>
      <c r="C156" s="2">
        <v>8.0269999999999994E-3</v>
      </c>
      <c r="D156" s="3">
        <v>119000</v>
      </c>
      <c r="E156" s="3">
        <v>143000000000</v>
      </c>
      <c r="F156" s="3">
        <v>126000000000</v>
      </c>
      <c r="G156" s="2">
        <v>0</v>
      </c>
      <c r="H156" s="3">
        <v>13000000000</v>
      </c>
      <c r="I156" s="2">
        <v>-3.3079999999999998E-2</v>
      </c>
      <c r="J156" s="3">
        <v>5.6400000000000002E-13</v>
      </c>
    </row>
    <row r="157" spans="1:10" x14ac:dyDescent="0.2">
      <c r="A157" s="3">
        <v>160</v>
      </c>
      <c r="B157" s="3">
        <v>1.2200000000000001E-7</v>
      </c>
      <c r="C157" s="2">
        <v>8.0800000000000004E-3</v>
      </c>
      <c r="D157" s="3">
        <v>112000</v>
      </c>
      <c r="E157" s="3">
        <v>135000000000</v>
      </c>
      <c r="F157" s="3">
        <v>120000000000</v>
      </c>
      <c r="G157" s="3">
        <v>1160000000</v>
      </c>
      <c r="H157" s="3">
        <v>13400000000</v>
      </c>
      <c r="I157" s="2">
        <v>9.6410000000000003E-3</v>
      </c>
      <c r="J157" s="3">
        <v>6.4399999999999998E-13</v>
      </c>
    </row>
    <row r="158" spans="1:10" x14ac:dyDescent="0.2">
      <c r="A158" s="3">
        <v>160</v>
      </c>
      <c r="B158" s="3">
        <v>1.23E-7</v>
      </c>
      <c r="C158" s="2">
        <v>8.1329999999999996E-3</v>
      </c>
      <c r="D158" s="3">
        <v>106000</v>
      </c>
      <c r="E158" s="3">
        <v>128000000000</v>
      </c>
      <c r="F158" s="3">
        <v>114000000000</v>
      </c>
      <c r="G158" s="3">
        <v>7390000000</v>
      </c>
      <c r="H158" s="3">
        <v>13800000000</v>
      </c>
      <c r="I158" s="2">
        <v>6.4640000000000003E-2</v>
      </c>
      <c r="J158" s="3">
        <v>7.2700000000000003E-13</v>
      </c>
    </row>
    <row r="159" spans="1:10" x14ac:dyDescent="0.2">
      <c r="A159" s="3">
        <v>160</v>
      </c>
      <c r="B159" s="3">
        <v>1.23E-7</v>
      </c>
      <c r="C159" s="2">
        <v>8.1849999999999996E-3</v>
      </c>
      <c r="D159" s="3">
        <v>125000</v>
      </c>
      <c r="E159" s="3">
        <v>148000000000</v>
      </c>
      <c r="F159" s="3">
        <v>130000000000</v>
      </c>
      <c r="G159" s="3">
        <v>7190000000</v>
      </c>
      <c r="H159" s="3">
        <v>12900000000</v>
      </c>
      <c r="I159" s="2">
        <v>5.5199999999999999E-2</v>
      </c>
      <c r="J159" s="3">
        <v>5.2499999999999998E-13</v>
      </c>
    </row>
    <row r="160" spans="1:10" x14ac:dyDescent="0.2">
      <c r="A160" s="3">
        <v>160</v>
      </c>
      <c r="B160" s="3">
        <v>1.24E-7</v>
      </c>
      <c r="C160" s="2">
        <v>8.2389999999999998E-3</v>
      </c>
      <c r="D160" s="3">
        <v>135000</v>
      </c>
      <c r="E160" s="3">
        <v>158000000000</v>
      </c>
      <c r="F160" s="3">
        <v>138000000000</v>
      </c>
      <c r="G160" s="3">
        <v>1590000000</v>
      </c>
      <c r="H160" s="3">
        <v>12400000000</v>
      </c>
      <c r="I160" s="2">
        <v>1.157E-2</v>
      </c>
      <c r="J160" s="3">
        <v>4.5299999999999999E-13</v>
      </c>
    </row>
    <row r="161" spans="1:10" x14ac:dyDescent="0.2">
      <c r="A161" s="3">
        <v>160</v>
      </c>
      <c r="B161" s="3">
        <v>1.2499999999999999E-7</v>
      </c>
      <c r="C161" s="2">
        <v>8.2900000000000005E-3</v>
      </c>
      <c r="D161" s="3">
        <v>113000</v>
      </c>
      <c r="E161" s="3">
        <v>135000000000</v>
      </c>
      <c r="F161" s="3">
        <v>120000000000</v>
      </c>
      <c r="G161" s="3">
        <v>11000000000</v>
      </c>
      <c r="H161" s="3">
        <v>13600000000</v>
      </c>
      <c r="I161" s="2">
        <v>9.1619999999999993E-2</v>
      </c>
      <c r="J161" s="3">
        <v>6.5400000000000004E-13</v>
      </c>
    </row>
    <row r="162" spans="1:10" x14ac:dyDescent="0.2">
      <c r="A162" s="3">
        <v>160</v>
      </c>
      <c r="B162" s="3">
        <v>1.2499999999999999E-7</v>
      </c>
      <c r="C162" s="2">
        <v>8.3409999999999995E-3</v>
      </c>
      <c r="D162" s="3">
        <v>122000</v>
      </c>
      <c r="E162" s="3">
        <v>145000000000</v>
      </c>
      <c r="F162" s="3">
        <v>128000000000</v>
      </c>
      <c r="G162" s="3">
        <v>9190000000</v>
      </c>
      <c r="H162" s="3">
        <v>13200000000</v>
      </c>
      <c r="I162" s="2">
        <v>7.195E-2</v>
      </c>
      <c r="J162" s="3">
        <v>5.5800000000000005E-13</v>
      </c>
    </row>
    <row r="163" spans="1:10" x14ac:dyDescent="0.2">
      <c r="A163" s="3">
        <v>160</v>
      </c>
      <c r="B163" s="3">
        <v>1.2499999999999999E-7</v>
      </c>
      <c r="C163" s="2">
        <v>8.3940000000000004E-3</v>
      </c>
      <c r="D163" s="3">
        <v>130000</v>
      </c>
      <c r="E163" s="3">
        <v>152000000000</v>
      </c>
      <c r="F163" s="3">
        <v>133000000000</v>
      </c>
      <c r="G163" s="3">
        <v>12600000000</v>
      </c>
      <c r="H163" s="3">
        <v>12900000000</v>
      </c>
      <c r="I163" s="2">
        <v>9.4450000000000006E-2</v>
      </c>
      <c r="J163" s="3">
        <v>4.9999999999999999E-13</v>
      </c>
    </row>
    <row r="164" spans="1:10" x14ac:dyDescent="0.2">
      <c r="A164" s="3">
        <v>160</v>
      </c>
      <c r="B164" s="3">
        <v>1.2599999999999999E-7</v>
      </c>
      <c r="C164" s="2">
        <v>8.4460000000000004E-3</v>
      </c>
      <c r="D164" s="3">
        <v>141000</v>
      </c>
      <c r="E164" s="3">
        <v>162000000000</v>
      </c>
      <c r="F164" s="3">
        <v>141000000000</v>
      </c>
      <c r="G164" s="3">
        <v>4440000000</v>
      </c>
      <c r="H164" s="3">
        <v>12200000000</v>
      </c>
      <c r="I164" s="2">
        <v>3.1559999999999998E-2</v>
      </c>
      <c r="J164" s="3">
        <v>4.2500000000000001E-13</v>
      </c>
    </row>
    <row r="165" spans="1:10" x14ac:dyDescent="0.2">
      <c r="A165" s="3">
        <v>160</v>
      </c>
      <c r="B165" s="3">
        <v>1.2599999999999999E-7</v>
      </c>
      <c r="C165" s="2">
        <v>8.4980000000000003E-3</v>
      </c>
      <c r="D165" s="3">
        <v>111000</v>
      </c>
      <c r="E165" s="3">
        <v>133000000000</v>
      </c>
      <c r="F165" s="3">
        <v>118000000000</v>
      </c>
      <c r="G165" s="2">
        <v>0</v>
      </c>
      <c r="H165" s="3">
        <v>14000000000</v>
      </c>
      <c r="I165" s="2">
        <v>-3.3230000000000003E-2</v>
      </c>
      <c r="J165" s="3">
        <v>6.9499999999999997E-13</v>
      </c>
    </row>
    <row r="166" spans="1:10" x14ac:dyDescent="0.2">
      <c r="A166" s="3">
        <v>160</v>
      </c>
      <c r="B166" s="3">
        <v>1.2700000000000001E-7</v>
      </c>
      <c r="C166" s="2">
        <v>8.5509999999999996E-3</v>
      </c>
      <c r="D166" s="3">
        <v>137000</v>
      </c>
      <c r="E166" s="3">
        <v>158000000000</v>
      </c>
      <c r="F166" s="3">
        <v>138000000000</v>
      </c>
      <c r="G166" s="2">
        <v>0</v>
      </c>
      <c r="H166" s="3">
        <v>12500000000</v>
      </c>
      <c r="I166" s="2">
        <v>-6.2350000000000003E-2</v>
      </c>
      <c r="J166" s="3">
        <v>4.5399999999999998E-13</v>
      </c>
    </row>
    <row r="167" spans="1:10" x14ac:dyDescent="0.2">
      <c r="A167" s="3">
        <v>170</v>
      </c>
      <c r="B167" s="3">
        <v>1.2800000000000001E-7</v>
      </c>
      <c r="C167" s="2">
        <v>8.6060000000000008E-3</v>
      </c>
      <c r="D167" s="3">
        <v>156000</v>
      </c>
      <c r="E167" s="3">
        <v>175000000000</v>
      </c>
      <c r="F167" s="3">
        <v>151000000000</v>
      </c>
      <c r="G167" s="2">
        <v>0</v>
      </c>
      <c r="H167" s="3">
        <v>11600000000</v>
      </c>
      <c r="I167" s="2">
        <v>-7.9189999999999997E-2</v>
      </c>
      <c r="J167" s="3">
        <v>3.5400000000000001E-13</v>
      </c>
    </row>
    <row r="168" spans="1:10" x14ac:dyDescent="0.2">
      <c r="A168" s="3">
        <v>170</v>
      </c>
      <c r="B168" s="3">
        <v>1.2800000000000001E-7</v>
      </c>
      <c r="C168" s="2">
        <v>8.6560000000000005E-3</v>
      </c>
      <c r="D168" s="3">
        <v>121000</v>
      </c>
      <c r="E168" s="3">
        <v>143000000000</v>
      </c>
      <c r="F168" s="3">
        <v>126000000000</v>
      </c>
      <c r="G168" s="3">
        <v>12600000000</v>
      </c>
      <c r="H168" s="3">
        <v>13700000000</v>
      </c>
      <c r="I168" s="2">
        <v>0.1004</v>
      </c>
      <c r="J168" s="3">
        <v>5.9599999999999998E-13</v>
      </c>
    </row>
    <row r="169" spans="1:10" x14ac:dyDescent="0.2">
      <c r="A169" s="3">
        <v>170</v>
      </c>
      <c r="B169" s="3">
        <v>1.29E-7</v>
      </c>
      <c r="C169" s="2">
        <v>8.7069999999999995E-3</v>
      </c>
      <c r="D169" s="3">
        <v>114000</v>
      </c>
      <c r="E169" s="3">
        <v>136000000000</v>
      </c>
      <c r="F169" s="3">
        <v>120000000000</v>
      </c>
      <c r="G169" s="2">
        <v>0</v>
      </c>
      <c r="H169" s="3">
        <v>14100000000</v>
      </c>
      <c r="I169" s="2">
        <v>-2.3369999999999998E-2</v>
      </c>
      <c r="J169" s="3">
        <v>6.7099999999999997E-13</v>
      </c>
    </row>
    <row r="170" spans="1:10" x14ac:dyDescent="0.2">
      <c r="A170" s="3">
        <v>170</v>
      </c>
      <c r="B170" s="3">
        <v>1.29E-7</v>
      </c>
      <c r="C170" s="2">
        <v>8.7580000000000002E-3</v>
      </c>
      <c r="D170" s="3">
        <v>132000</v>
      </c>
      <c r="E170" s="3">
        <v>152000000000</v>
      </c>
      <c r="F170" s="3">
        <v>133000000000</v>
      </c>
      <c r="G170" s="3">
        <v>3570000000</v>
      </c>
      <c r="H170" s="3">
        <v>12900000000</v>
      </c>
      <c r="I170" s="2">
        <v>2.6759999999999999E-2</v>
      </c>
      <c r="J170" s="3">
        <v>5.0199999999999998E-13</v>
      </c>
    </row>
    <row r="171" spans="1:10" x14ac:dyDescent="0.2">
      <c r="A171" s="3">
        <v>170</v>
      </c>
      <c r="B171" s="3">
        <v>1.3E-7</v>
      </c>
      <c r="C171" s="2">
        <v>8.8100000000000001E-3</v>
      </c>
      <c r="D171" s="3">
        <v>125000</v>
      </c>
      <c r="E171" s="3">
        <v>146000000000</v>
      </c>
      <c r="F171" s="3">
        <v>129000000000</v>
      </c>
      <c r="G171" s="3">
        <v>12400000000</v>
      </c>
      <c r="H171" s="3">
        <v>13500000000</v>
      </c>
      <c r="I171" s="2">
        <v>9.6390000000000003E-2</v>
      </c>
      <c r="J171" s="3">
        <v>5.6300000000000002E-13</v>
      </c>
    </row>
    <row r="172" spans="1:10" x14ac:dyDescent="0.2">
      <c r="A172" s="3">
        <v>170</v>
      </c>
      <c r="B172" s="3">
        <v>1.31E-7</v>
      </c>
      <c r="C172" s="2">
        <v>8.8610000000000008E-3</v>
      </c>
      <c r="D172" s="3">
        <v>114000</v>
      </c>
      <c r="E172" s="3">
        <v>135000000000</v>
      </c>
      <c r="F172" s="3">
        <v>120000000000</v>
      </c>
      <c r="G172" s="3">
        <v>17300000000</v>
      </c>
      <c r="H172" s="3">
        <v>14200000000</v>
      </c>
      <c r="I172" s="2">
        <v>0.14399999999999999</v>
      </c>
      <c r="J172" s="3">
        <v>6.8400000000000001E-13</v>
      </c>
    </row>
    <row r="173" spans="1:10" x14ac:dyDescent="0.2">
      <c r="A173" s="3">
        <v>170</v>
      </c>
      <c r="B173" s="3">
        <v>1.31E-7</v>
      </c>
      <c r="C173" s="2">
        <v>8.9149999999999993E-3</v>
      </c>
      <c r="D173" s="3">
        <v>112000</v>
      </c>
      <c r="E173" s="3">
        <v>133000000000</v>
      </c>
      <c r="F173" s="3">
        <v>118000000000</v>
      </c>
      <c r="G173" s="3">
        <v>2550000000</v>
      </c>
      <c r="H173" s="3">
        <v>14400000000</v>
      </c>
      <c r="I173" s="2">
        <v>2.1520000000000001E-2</v>
      </c>
      <c r="J173" s="3">
        <v>7.0800000000000001E-13</v>
      </c>
    </row>
    <row r="174" spans="1:10" x14ac:dyDescent="0.2">
      <c r="A174" s="3">
        <v>170</v>
      </c>
      <c r="B174" s="3">
        <v>1.3300000000000001E-7</v>
      </c>
      <c r="C174" s="2">
        <v>8.9650000000000007E-3</v>
      </c>
      <c r="D174" s="3">
        <v>128000</v>
      </c>
      <c r="E174" s="3">
        <v>146000000000</v>
      </c>
      <c r="F174" s="3">
        <v>129000000000</v>
      </c>
      <c r="G174" s="3">
        <v>2360000000</v>
      </c>
      <c r="H174" s="3">
        <v>13000000000</v>
      </c>
      <c r="I174" s="2">
        <v>1.8319999999999999E-2</v>
      </c>
      <c r="J174" s="3">
        <v>5.44E-13</v>
      </c>
    </row>
    <row r="175" spans="1:10" x14ac:dyDescent="0.2">
      <c r="A175" s="3">
        <v>170</v>
      </c>
      <c r="B175" s="3">
        <v>1.3400000000000001E-7</v>
      </c>
      <c r="C175" s="2">
        <v>9.018E-3</v>
      </c>
      <c r="D175" s="3">
        <v>140000</v>
      </c>
      <c r="E175" s="3">
        <v>155000000000</v>
      </c>
      <c r="F175" s="3">
        <v>136000000000</v>
      </c>
      <c r="G175" s="3">
        <v>384000000</v>
      </c>
      <c r="H175" s="3">
        <v>12300000000</v>
      </c>
      <c r="I175" s="2">
        <v>2.8349999999999998E-3</v>
      </c>
      <c r="J175" s="3">
        <v>4.6199999999999995E-13</v>
      </c>
    </row>
    <row r="176" spans="1:10" x14ac:dyDescent="0.2">
      <c r="A176" s="3">
        <v>170</v>
      </c>
      <c r="B176" s="3">
        <v>1.35E-7</v>
      </c>
      <c r="C176" s="2">
        <v>9.0709999999999992E-3</v>
      </c>
      <c r="D176" s="3">
        <v>121000</v>
      </c>
      <c r="E176" s="3">
        <v>139000000000</v>
      </c>
      <c r="F176" s="3">
        <v>123000000000</v>
      </c>
      <c r="G176" s="3">
        <v>15700000000</v>
      </c>
      <c r="H176" s="3">
        <v>13600000000</v>
      </c>
      <c r="I176" s="2">
        <v>0.12790000000000001</v>
      </c>
      <c r="J176" s="3">
        <v>6.1999999999999998E-13</v>
      </c>
    </row>
    <row r="177" spans="1:10" x14ac:dyDescent="0.2">
      <c r="A177" s="3">
        <v>180</v>
      </c>
      <c r="B177" s="3">
        <v>1.35E-7</v>
      </c>
      <c r="C177" s="2">
        <v>9.1229999999999992E-3</v>
      </c>
      <c r="D177" s="3">
        <v>107000</v>
      </c>
      <c r="E177" s="3">
        <v>127000000000</v>
      </c>
      <c r="F177" s="3">
        <v>113000000000</v>
      </c>
      <c r="G177" s="3">
        <v>20200000000</v>
      </c>
      <c r="H177" s="3">
        <v>14800000000</v>
      </c>
      <c r="I177" s="2">
        <v>0.1787</v>
      </c>
      <c r="J177" s="3">
        <v>7.9400000000000005E-13</v>
      </c>
    </row>
    <row r="178" spans="1:10" x14ac:dyDescent="0.2">
      <c r="A178" s="3">
        <v>180</v>
      </c>
      <c r="B178" s="3">
        <v>1.36E-7</v>
      </c>
      <c r="C178" s="2">
        <v>9.1750000000000009E-3</v>
      </c>
      <c r="D178" s="3">
        <v>147000</v>
      </c>
      <c r="E178" s="3">
        <v>160000000000</v>
      </c>
      <c r="F178" s="3">
        <v>139000000000</v>
      </c>
      <c r="G178" s="3">
        <v>17800000000</v>
      </c>
      <c r="H178" s="3">
        <v>11900000000</v>
      </c>
      <c r="I178" s="2">
        <v>0.128</v>
      </c>
      <c r="J178" s="3">
        <v>4.26E-13</v>
      </c>
    </row>
    <row r="179" spans="1:10" x14ac:dyDescent="0.2">
      <c r="A179" s="3">
        <v>180</v>
      </c>
      <c r="B179" s="3">
        <v>1.37E-7</v>
      </c>
      <c r="C179" s="2">
        <v>9.2289999999999994E-3</v>
      </c>
      <c r="D179" s="3">
        <v>128000</v>
      </c>
      <c r="E179" s="3">
        <v>143000000000</v>
      </c>
      <c r="F179" s="3">
        <v>127000000000</v>
      </c>
      <c r="G179" s="2">
        <v>0</v>
      </c>
      <c r="H179" s="3">
        <v>13100000000</v>
      </c>
      <c r="I179" s="2">
        <v>-0.13089999999999999</v>
      </c>
      <c r="J179" s="3">
        <v>5.6600000000000001E-13</v>
      </c>
    </row>
    <row r="180" spans="1:10" x14ac:dyDescent="0.2">
      <c r="A180" s="3">
        <v>180</v>
      </c>
      <c r="B180" s="3">
        <v>1.37E-7</v>
      </c>
      <c r="C180" s="2">
        <v>9.2820000000000003E-3</v>
      </c>
      <c r="D180" s="3">
        <v>128000</v>
      </c>
      <c r="E180" s="3">
        <v>143000000000</v>
      </c>
      <c r="F180" s="3">
        <v>127000000000</v>
      </c>
      <c r="G180" s="3">
        <v>9180000000</v>
      </c>
      <c r="H180" s="3">
        <v>13100000000</v>
      </c>
      <c r="I180" s="2">
        <v>7.2550000000000003E-2</v>
      </c>
      <c r="J180" s="3">
        <v>5.6600000000000001E-13</v>
      </c>
    </row>
    <row r="181" spans="1:10" x14ac:dyDescent="0.2">
      <c r="A181" s="3">
        <v>180</v>
      </c>
      <c r="B181" s="3">
        <v>1.3799999999999999E-7</v>
      </c>
      <c r="C181" s="2">
        <v>9.332E-3</v>
      </c>
      <c r="D181" s="3">
        <v>134000</v>
      </c>
      <c r="E181" s="3">
        <v>148000000000</v>
      </c>
      <c r="F181" s="3">
        <v>130000000000</v>
      </c>
      <c r="G181" s="3">
        <v>5940000000</v>
      </c>
      <c r="H181" s="3">
        <v>12700000000</v>
      </c>
      <c r="I181" s="2">
        <v>4.5719999999999997E-2</v>
      </c>
      <c r="J181" s="3">
        <v>5.2000000000000001E-13</v>
      </c>
    </row>
    <row r="182" spans="1:10" x14ac:dyDescent="0.2">
      <c r="A182" s="3">
        <v>180</v>
      </c>
      <c r="B182" s="3">
        <v>1.3899999999999999E-7</v>
      </c>
      <c r="C182" s="2">
        <v>9.384E-3</v>
      </c>
      <c r="D182" s="3">
        <v>115000</v>
      </c>
      <c r="E182" s="3">
        <v>132000000000</v>
      </c>
      <c r="F182" s="3">
        <v>118000000000</v>
      </c>
      <c r="G182" s="2">
        <v>0</v>
      </c>
      <c r="H182" s="3">
        <v>14300000000</v>
      </c>
      <c r="I182" s="2">
        <v>-0.16020000000000001</v>
      </c>
      <c r="J182" s="3">
        <v>7.0800000000000001E-13</v>
      </c>
    </row>
    <row r="183" spans="1:10" x14ac:dyDescent="0.2">
      <c r="A183" s="3">
        <v>180</v>
      </c>
      <c r="B183" s="3">
        <v>1.3899999999999999E-7</v>
      </c>
      <c r="C183" s="2">
        <v>9.4369999999999992E-3</v>
      </c>
      <c r="D183" s="3">
        <v>116000</v>
      </c>
      <c r="E183" s="3">
        <v>133000000000</v>
      </c>
      <c r="F183" s="3">
        <v>118000000000</v>
      </c>
      <c r="G183" s="3">
        <v>1730000000</v>
      </c>
      <c r="H183" s="3">
        <v>14300000000</v>
      </c>
      <c r="I183" s="2">
        <v>1.4619999999999999E-2</v>
      </c>
      <c r="J183" s="3">
        <v>7.0600000000000002E-13</v>
      </c>
    </row>
    <row r="184" spans="1:10" x14ac:dyDescent="0.2">
      <c r="A184" s="3">
        <v>180</v>
      </c>
      <c r="B184" s="3">
        <v>1.3899999999999999E-7</v>
      </c>
      <c r="C184" s="2">
        <v>9.4889999999999992E-3</v>
      </c>
      <c r="D184" s="3">
        <v>124000</v>
      </c>
      <c r="E184" s="3">
        <v>139000000000</v>
      </c>
      <c r="F184" s="3">
        <v>123000000000</v>
      </c>
      <c r="G184" s="3">
        <v>10900000000</v>
      </c>
      <c r="H184" s="3">
        <v>13500000000</v>
      </c>
      <c r="I184" s="2">
        <v>8.838E-2</v>
      </c>
      <c r="J184" s="3">
        <v>6.1300000000000001E-13</v>
      </c>
    </row>
    <row r="185" spans="1:10" x14ac:dyDescent="0.2">
      <c r="A185" s="3">
        <v>180</v>
      </c>
      <c r="B185" s="3">
        <v>1.4000000000000001E-7</v>
      </c>
      <c r="C185" s="2">
        <v>9.5399999999999999E-3</v>
      </c>
      <c r="D185" s="3">
        <v>114000</v>
      </c>
      <c r="E185" s="3">
        <v>131000000000</v>
      </c>
      <c r="F185" s="3">
        <v>117000000000</v>
      </c>
      <c r="G185" s="3">
        <v>13700000000</v>
      </c>
      <c r="H185" s="3">
        <v>14600000000</v>
      </c>
      <c r="I185" s="2">
        <v>0.1176</v>
      </c>
      <c r="J185" s="3">
        <v>7.4099999999999997E-13</v>
      </c>
    </row>
    <row r="186" spans="1:10" x14ac:dyDescent="0.2">
      <c r="A186" s="3">
        <v>180</v>
      </c>
      <c r="B186" s="3">
        <v>1.4100000000000001E-7</v>
      </c>
      <c r="C186" s="2">
        <v>9.5940000000000001E-3</v>
      </c>
      <c r="D186" s="3">
        <v>134000</v>
      </c>
      <c r="E186" s="3">
        <v>146000000000</v>
      </c>
      <c r="F186" s="3">
        <v>129000000000</v>
      </c>
      <c r="G186" s="3">
        <v>19100000000</v>
      </c>
      <c r="H186" s="3">
        <v>12800000000</v>
      </c>
      <c r="I186" s="2">
        <v>0.1487</v>
      </c>
      <c r="J186" s="3">
        <v>5.3500000000000004E-13</v>
      </c>
    </row>
    <row r="187" spans="1:10" x14ac:dyDescent="0.2">
      <c r="A187" s="3">
        <v>190</v>
      </c>
      <c r="B187" s="3">
        <v>1.4100000000000001E-7</v>
      </c>
      <c r="C187" s="2">
        <v>9.6469999999999993E-3</v>
      </c>
      <c r="D187" s="3">
        <v>141000</v>
      </c>
      <c r="E187" s="3">
        <v>152000000000</v>
      </c>
      <c r="F187" s="3">
        <v>133000000000</v>
      </c>
      <c r="G187" s="3">
        <v>2300000000</v>
      </c>
      <c r="H187" s="3">
        <v>12400000000</v>
      </c>
      <c r="I187" s="2">
        <v>1.729E-2</v>
      </c>
      <c r="J187" s="3">
        <v>4.8299999999999996E-13</v>
      </c>
    </row>
    <row r="188" spans="1:10" x14ac:dyDescent="0.2">
      <c r="A188" s="3">
        <v>190</v>
      </c>
      <c r="B188" s="3">
        <v>1.4100000000000001E-7</v>
      </c>
      <c r="C188" s="2">
        <v>9.6959999999999998E-3</v>
      </c>
      <c r="D188" s="3">
        <v>145000</v>
      </c>
      <c r="E188" s="3">
        <v>155000000000</v>
      </c>
      <c r="F188" s="3">
        <v>136000000000</v>
      </c>
      <c r="G188" s="3">
        <v>65200000</v>
      </c>
      <c r="H188" s="3">
        <v>12300000000</v>
      </c>
      <c r="I188" s="2">
        <v>4.8069999999999997E-4</v>
      </c>
      <c r="J188" s="3">
        <v>4.6099999999999995E-13</v>
      </c>
    </row>
    <row r="189" spans="1:10" x14ac:dyDescent="0.2">
      <c r="A189" s="3">
        <v>190</v>
      </c>
      <c r="B189" s="3">
        <v>1.43E-7</v>
      </c>
      <c r="C189" s="2">
        <v>9.7479999999999997E-3</v>
      </c>
      <c r="D189" s="3">
        <v>137000</v>
      </c>
      <c r="E189" s="3">
        <v>148000000000</v>
      </c>
      <c r="F189" s="3">
        <v>130000000000</v>
      </c>
      <c r="G189" s="2">
        <v>0</v>
      </c>
      <c r="H189" s="3">
        <v>12600000000</v>
      </c>
      <c r="I189" s="2">
        <v>-4.2439999999999999E-2</v>
      </c>
      <c r="J189" s="3">
        <v>5.1600000000000002E-13</v>
      </c>
    </row>
    <row r="190" spans="1:10" x14ac:dyDescent="0.2">
      <c r="A190" s="3">
        <v>190</v>
      </c>
      <c r="B190" s="3">
        <v>1.4399999999999999E-7</v>
      </c>
      <c r="C190" s="2">
        <v>9.8019999999999999E-3</v>
      </c>
      <c r="D190" s="3">
        <v>156000</v>
      </c>
      <c r="E190" s="3">
        <v>163000000000</v>
      </c>
      <c r="F190" s="3">
        <v>141000000000</v>
      </c>
      <c r="G190" s="3">
        <v>12500000000</v>
      </c>
      <c r="H190" s="3">
        <v>11700000000</v>
      </c>
      <c r="I190" s="2">
        <v>8.8760000000000006E-2</v>
      </c>
      <c r="J190" s="3">
        <v>4.04E-13</v>
      </c>
    </row>
    <row r="191" spans="1:10" x14ac:dyDescent="0.2">
      <c r="A191" s="3">
        <v>190</v>
      </c>
      <c r="B191" s="3">
        <v>1.4499999999999999E-7</v>
      </c>
      <c r="C191" s="2">
        <v>9.8519999999999996E-3</v>
      </c>
      <c r="D191" s="3">
        <v>134000</v>
      </c>
      <c r="E191" s="3">
        <v>144000000000</v>
      </c>
      <c r="F191" s="3">
        <v>127000000000</v>
      </c>
      <c r="G191" s="2">
        <v>0</v>
      </c>
      <c r="H191" s="3">
        <v>12800000000</v>
      </c>
      <c r="I191" s="2">
        <v>-0.14299999999999999</v>
      </c>
      <c r="J191" s="3">
        <v>5.4999999999999998E-13</v>
      </c>
    </row>
    <row r="192" spans="1:10" x14ac:dyDescent="0.2">
      <c r="A192" s="3">
        <v>190</v>
      </c>
      <c r="B192" s="3">
        <v>1.4499999999999999E-7</v>
      </c>
      <c r="C192" s="2">
        <v>9.9050000000000006E-3</v>
      </c>
      <c r="D192" s="3">
        <v>121000</v>
      </c>
      <c r="E192" s="3">
        <v>134000000000</v>
      </c>
      <c r="F192" s="3">
        <v>119000000000</v>
      </c>
      <c r="G192" s="3">
        <v>502000000</v>
      </c>
      <c r="H192" s="3">
        <v>13900000000</v>
      </c>
      <c r="I192" s="2">
        <v>4.2209999999999999E-3</v>
      </c>
      <c r="J192" s="3">
        <v>6.7900000000000004E-13</v>
      </c>
    </row>
    <row r="193" spans="1:10" x14ac:dyDescent="0.2">
      <c r="A193" s="3">
        <v>190</v>
      </c>
      <c r="B193" s="3">
        <v>1.4600000000000001E-7</v>
      </c>
      <c r="C193" s="2">
        <v>9.9600000000000001E-3</v>
      </c>
      <c r="D193" s="3">
        <v>130000</v>
      </c>
      <c r="E193" s="3">
        <v>140000000000</v>
      </c>
      <c r="F193" s="3">
        <v>124000000000</v>
      </c>
      <c r="G193" s="3">
        <v>1040000000</v>
      </c>
      <c r="H193" s="3">
        <v>13100000000</v>
      </c>
      <c r="I193" s="2">
        <v>8.3829999999999998E-3</v>
      </c>
      <c r="J193" s="3">
        <v>5.8600000000000003E-13</v>
      </c>
    </row>
    <row r="194" spans="1:10" x14ac:dyDescent="0.2">
      <c r="A194" s="3">
        <v>190</v>
      </c>
      <c r="B194" s="3">
        <v>1.4600000000000001E-7</v>
      </c>
      <c r="C194" s="2">
        <v>1.001E-2</v>
      </c>
      <c r="D194" s="3">
        <v>128000</v>
      </c>
      <c r="E194" s="3">
        <v>139000000000</v>
      </c>
      <c r="F194" s="3">
        <v>123000000000</v>
      </c>
      <c r="G194" s="3">
        <v>6810000000</v>
      </c>
      <c r="H194" s="3">
        <v>13300000000</v>
      </c>
      <c r="I194" s="2">
        <v>5.5500000000000001E-2</v>
      </c>
      <c r="J194" s="3">
        <v>6.0900000000000003E-13</v>
      </c>
    </row>
    <row r="195" spans="1:10" x14ac:dyDescent="0.2">
      <c r="A195" s="3">
        <v>190</v>
      </c>
      <c r="B195" s="3">
        <v>1.4700000000000001E-7</v>
      </c>
      <c r="C195" s="2">
        <v>1.0059999999999999E-2</v>
      </c>
      <c r="D195" s="3">
        <v>136000</v>
      </c>
      <c r="E195" s="3">
        <v>144000000000</v>
      </c>
      <c r="F195" s="3">
        <v>127000000000</v>
      </c>
      <c r="G195" s="3">
        <v>11100000000</v>
      </c>
      <c r="H195" s="3">
        <v>12800000000</v>
      </c>
      <c r="I195" s="2">
        <v>8.7190000000000004E-2</v>
      </c>
      <c r="J195" s="3">
        <v>5.4799999999999999E-13</v>
      </c>
    </row>
    <row r="196" spans="1:10" x14ac:dyDescent="0.2">
      <c r="A196" s="3">
        <v>190</v>
      </c>
      <c r="B196" s="3">
        <v>1.48E-7</v>
      </c>
      <c r="C196" s="2">
        <v>1.0109999999999999E-2</v>
      </c>
      <c r="D196" s="3">
        <v>114000</v>
      </c>
      <c r="E196" s="3">
        <v>128000000000</v>
      </c>
      <c r="F196" s="3">
        <v>114000000000</v>
      </c>
      <c r="G196" s="3">
        <v>7440000000</v>
      </c>
      <c r="H196" s="3">
        <v>14600000000</v>
      </c>
      <c r="I196" s="2">
        <v>6.5110000000000001E-2</v>
      </c>
      <c r="J196" s="3">
        <v>7.7300000000000004E-13</v>
      </c>
    </row>
    <row r="197" spans="1:10" x14ac:dyDescent="0.2">
      <c r="A197" s="3">
        <v>200</v>
      </c>
      <c r="B197" s="3">
        <v>1.48E-7</v>
      </c>
      <c r="C197" s="2">
        <v>1.017E-2</v>
      </c>
      <c r="D197" s="3">
        <v>133000</v>
      </c>
      <c r="E197" s="3">
        <v>142000000000</v>
      </c>
      <c r="F197" s="3">
        <v>125000000000</v>
      </c>
      <c r="G197" s="2">
        <v>0</v>
      </c>
      <c r="H197" s="3">
        <v>13100000000</v>
      </c>
      <c r="I197" s="2">
        <v>-6.8739999999999999E-3</v>
      </c>
      <c r="J197" s="3">
        <v>5.7599999999999997E-13</v>
      </c>
    </row>
    <row r="198" spans="1:10" x14ac:dyDescent="0.2">
      <c r="A198" s="3">
        <v>200</v>
      </c>
      <c r="B198" s="3">
        <v>1.48E-7</v>
      </c>
      <c r="C198" s="2">
        <v>1.022E-2</v>
      </c>
      <c r="D198" s="3">
        <v>141000</v>
      </c>
      <c r="E198" s="3">
        <v>148000000000</v>
      </c>
      <c r="F198" s="3">
        <v>130000000000</v>
      </c>
      <c r="G198" s="3">
        <v>3830000000</v>
      </c>
      <c r="H198" s="3">
        <v>12500000000</v>
      </c>
      <c r="I198" s="2">
        <v>2.9499999999999998E-2</v>
      </c>
      <c r="J198" s="3">
        <v>5.1200000000000004E-13</v>
      </c>
    </row>
    <row r="199" spans="1:10" x14ac:dyDescent="0.2">
      <c r="A199" s="3">
        <v>200</v>
      </c>
      <c r="B199" s="3">
        <v>1.49E-7</v>
      </c>
      <c r="C199" s="2">
        <v>1.027E-2</v>
      </c>
      <c r="D199" s="3">
        <v>139000</v>
      </c>
      <c r="E199" s="3">
        <v>145000000000</v>
      </c>
      <c r="F199" s="3">
        <v>128000000000</v>
      </c>
      <c r="G199" s="3">
        <v>3180000000</v>
      </c>
      <c r="H199" s="3">
        <v>12600000000</v>
      </c>
      <c r="I199" s="2">
        <v>2.4889999999999999E-2</v>
      </c>
      <c r="J199" s="3">
        <v>5.3299999999999995E-13</v>
      </c>
    </row>
    <row r="200" spans="1:10" x14ac:dyDescent="0.2">
      <c r="A200" s="3">
        <v>200</v>
      </c>
      <c r="B200" s="3">
        <v>1.4999999999999999E-7</v>
      </c>
      <c r="C200" s="2">
        <v>1.0319999999999999E-2</v>
      </c>
      <c r="D200" s="3">
        <v>133000</v>
      </c>
      <c r="E200" s="3">
        <v>140000000000</v>
      </c>
      <c r="F200" s="3">
        <v>124000000000</v>
      </c>
      <c r="G200" s="3">
        <v>25400000000</v>
      </c>
      <c r="H200" s="3">
        <v>13000000000</v>
      </c>
      <c r="I200" s="2">
        <v>0.20480000000000001</v>
      </c>
      <c r="J200" s="3">
        <v>5.8700000000000002E-13</v>
      </c>
    </row>
    <row r="201" spans="1:10" x14ac:dyDescent="0.2">
      <c r="A201" s="3">
        <v>200</v>
      </c>
      <c r="B201" s="3">
        <v>1.4999999999999999E-7</v>
      </c>
      <c r="C201" s="2">
        <v>1.038E-2</v>
      </c>
      <c r="D201" s="3">
        <v>129000</v>
      </c>
      <c r="E201" s="3">
        <v>137000000000</v>
      </c>
      <c r="F201" s="3">
        <v>121000000000</v>
      </c>
      <c r="G201" s="3">
        <v>2270000000</v>
      </c>
      <c r="H201" s="3">
        <v>13400000000</v>
      </c>
      <c r="I201" s="2">
        <v>1.8689999999999998E-2</v>
      </c>
      <c r="J201" s="3">
        <v>6.2800000000000005E-13</v>
      </c>
    </row>
    <row r="202" spans="1:10" x14ac:dyDescent="0.2">
      <c r="A202" s="3">
        <v>200</v>
      </c>
      <c r="B202" s="3">
        <v>1.5099999999999999E-7</v>
      </c>
      <c r="C202" s="2">
        <v>1.043E-2</v>
      </c>
      <c r="D202" s="3">
        <v>117000</v>
      </c>
      <c r="E202" s="3">
        <v>128000000000</v>
      </c>
      <c r="F202" s="3">
        <v>115000000000</v>
      </c>
      <c r="G202" s="3">
        <v>632000000</v>
      </c>
      <c r="H202" s="3">
        <v>14400000000</v>
      </c>
      <c r="I202" s="2">
        <v>5.5139999999999998E-3</v>
      </c>
      <c r="J202" s="3">
        <v>7.58E-13</v>
      </c>
    </row>
    <row r="203" spans="1:10" x14ac:dyDescent="0.2">
      <c r="A203" s="3">
        <v>200</v>
      </c>
      <c r="B203" s="3">
        <v>1.5200000000000001E-7</v>
      </c>
      <c r="C203" s="2">
        <v>1.048E-2</v>
      </c>
      <c r="D203" s="3">
        <v>168000</v>
      </c>
      <c r="E203" s="3">
        <v>168000000000</v>
      </c>
      <c r="F203" s="3">
        <v>145000000000</v>
      </c>
      <c r="G203" s="2">
        <v>0</v>
      </c>
      <c r="H203" s="3">
        <v>11300000000</v>
      </c>
      <c r="I203" s="2">
        <v>-3.4750000000000003E-2</v>
      </c>
      <c r="J203" s="3">
        <v>3.6999999999999999E-13</v>
      </c>
    </row>
    <row r="204" spans="1:10" x14ac:dyDescent="0.2">
      <c r="A204" s="3">
        <v>200</v>
      </c>
      <c r="B204" s="3">
        <v>1.5300000000000001E-7</v>
      </c>
      <c r="C204" s="2">
        <v>1.0529999999999999E-2</v>
      </c>
      <c r="D204" s="3">
        <v>122000</v>
      </c>
      <c r="E204" s="3">
        <v>131000000000</v>
      </c>
      <c r="F204" s="3">
        <v>116000000000</v>
      </c>
      <c r="G204" s="2">
        <v>0</v>
      </c>
      <c r="H204" s="3">
        <v>13900000000</v>
      </c>
      <c r="I204" s="2">
        <v>-0.16020000000000001</v>
      </c>
      <c r="J204" s="3">
        <v>7.0500000000000003E-13</v>
      </c>
    </row>
    <row r="205" spans="1:10" x14ac:dyDescent="0.2">
      <c r="A205" s="3">
        <v>200</v>
      </c>
      <c r="B205" s="3">
        <v>1.54E-7</v>
      </c>
      <c r="C205" s="2">
        <v>1.0580000000000001E-2</v>
      </c>
      <c r="D205" s="3">
        <v>124000</v>
      </c>
      <c r="E205" s="3">
        <v>131000000000</v>
      </c>
      <c r="F205" s="3">
        <v>117000000000</v>
      </c>
      <c r="G205" s="2">
        <v>0</v>
      </c>
      <c r="H205" s="3">
        <v>13700000000</v>
      </c>
      <c r="I205" s="2">
        <v>-4.1259999999999998E-2</v>
      </c>
      <c r="J205" s="3">
        <v>6.8999999999999999E-13</v>
      </c>
    </row>
    <row r="206" spans="1:10" x14ac:dyDescent="0.2">
      <c r="A206" s="3">
        <v>200</v>
      </c>
      <c r="B206" s="3">
        <v>1.55E-7</v>
      </c>
      <c r="C206" s="2">
        <v>1.0630000000000001E-2</v>
      </c>
      <c r="D206" s="3">
        <v>136000</v>
      </c>
      <c r="E206" s="3">
        <v>140000000000</v>
      </c>
      <c r="F206" s="3">
        <v>124000000000</v>
      </c>
      <c r="G206" s="2">
        <v>0</v>
      </c>
      <c r="H206" s="3">
        <v>12800000000</v>
      </c>
      <c r="I206" s="2">
        <v>-7.6020000000000004E-2</v>
      </c>
      <c r="J206" s="3">
        <v>5.7699999999999996E-13</v>
      </c>
    </row>
    <row r="207" spans="1:10" x14ac:dyDescent="0.2">
      <c r="A207" s="3">
        <v>210</v>
      </c>
      <c r="B207" s="3">
        <v>1.55E-7</v>
      </c>
      <c r="C207" s="2">
        <v>1.069E-2</v>
      </c>
      <c r="D207" s="3">
        <v>126000</v>
      </c>
      <c r="E207" s="3">
        <v>132000000000</v>
      </c>
      <c r="F207" s="3">
        <v>118000000000</v>
      </c>
      <c r="G207" s="3">
        <v>12600000000</v>
      </c>
      <c r="H207" s="3">
        <v>13500000000</v>
      </c>
      <c r="I207" s="2">
        <v>0.107</v>
      </c>
      <c r="J207" s="3">
        <v>6.7199999999999996E-13</v>
      </c>
    </row>
    <row r="208" spans="1:10" x14ac:dyDescent="0.2">
      <c r="A208" s="3">
        <v>210</v>
      </c>
      <c r="B208" s="3">
        <v>1.5599999999999999E-7</v>
      </c>
      <c r="C208" s="2">
        <v>1.074E-2</v>
      </c>
      <c r="D208" s="3">
        <v>137000</v>
      </c>
      <c r="E208" s="3">
        <v>140000000000</v>
      </c>
      <c r="F208" s="3">
        <v>124000000000</v>
      </c>
      <c r="G208" s="3">
        <v>11500000000</v>
      </c>
      <c r="H208" s="3">
        <v>12800000000</v>
      </c>
      <c r="I208" s="2">
        <v>9.3210000000000001E-2</v>
      </c>
      <c r="J208" s="3">
        <v>5.7399999999999998E-13</v>
      </c>
    </row>
    <row r="209" spans="1:10" x14ac:dyDescent="0.2">
      <c r="A209" s="3">
        <v>210</v>
      </c>
      <c r="B209" s="3">
        <v>1.5599999999999999E-7</v>
      </c>
      <c r="C209" s="2">
        <v>1.0789999999999999E-2</v>
      </c>
      <c r="D209" s="3">
        <v>125000</v>
      </c>
      <c r="E209" s="3">
        <v>131000000000</v>
      </c>
      <c r="F209" s="3">
        <v>117000000000</v>
      </c>
      <c r="G209" s="3">
        <v>1650000000</v>
      </c>
      <c r="H209" s="3">
        <v>13600000000</v>
      </c>
      <c r="I209" s="2">
        <v>1.414E-2</v>
      </c>
      <c r="J209" s="3">
        <v>6.9199999999999998E-13</v>
      </c>
    </row>
    <row r="210" spans="1:10" x14ac:dyDescent="0.2">
      <c r="A210" s="3">
        <v>210</v>
      </c>
      <c r="B210" s="3">
        <v>1.5699999999999999E-7</v>
      </c>
      <c r="C210" s="2">
        <v>1.0840000000000001E-2</v>
      </c>
      <c r="D210" s="3">
        <v>138000</v>
      </c>
      <c r="E210" s="3">
        <v>140000000000</v>
      </c>
      <c r="F210" s="3">
        <v>124000000000</v>
      </c>
      <c r="G210" s="3">
        <v>6730000000</v>
      </c>
      <c r="H210" s="3">
        <v>12700000000</v>
      </c>
      <c r="I210" s="2">
        <v>5.4289999999999998E-2</v>
      </c>
      <c r="J210" s="3">
        <v>5.6999999999999999E-13</v>
      </c>
    </row>
    <row r="211" spans="1:10" x14ac:dyDescent="0.2">
      <c r="A211" s="3">
        <v>210</v>
      </c>
      <c r="B211" s="3">
        <v>1.5699999999999999E-7</v>
      </c>
      <c r="C211" s="2">
        <v>1.09E-2</v>
      </c>
      <c r="D211" s="3">
        <v>115000</v>
      </c>
      <c r="E211" s="3">
        <v>124000000000</v>
      </c>
      <c r="F211" s="3">
        <v>111000000000</v>
      </c>
      <c r="G211" s="2">
        <v>0</v>
      </c>
      <c r="H211" s="3">
        <v>14800000000</v>
      </c>
      <c r="I211" s="2">
        <v>-3.4079999999999999E-2</v>
      </c>
      <c r="J211" s="3">
        <v>8.2100000000000004E-13</v>
      </c>
    </row>
    <row r="212" spans="1:10" x14ac:dyDescent="0.2">
      <c r="A212" s="3">
        <v>210</v>
      </c>
      <c r="B212" s="3">
        <v>1.5800000000000001E-7</v>
      </c>
      <c r="C212" s="2">
        <v>1.095E-2</v>
      </c>
      <c r="D212" s="3">
        <v>152000</v>
      </c>
      <c r="E212" s="3">
        <v>151000000000</v>
      </c>
      <c r="F212" s="3">
        <v>132000000000</v>
      </c>
      <c r="G212" s="2">
        <v>0</v>
      </c>
      <c r="H212" s="3">
        <v>12000000000</v>
      </c>
      <c r="I212" s="2">
        <v>-8.0990000000000006E-2</v>
      </c>
      <c r="J212" s="3">
        <v>4.73E-13</v>
      </c>
    </row>
    <row r="213" spans="1:10" x14ac:dyDescent="0.2">
      <c r="A213" s="3">
        <v>210</v>
      </c>
      <c r="B213" s="3">
        <v>1.5800000000000001E-7</v>
      </c>
      <c r="C213" s="2">
        <v>1.0999999999999999E-2</v>
      </c>
      <c r="D213" s="3">
        <v>149000</v>
      </c>
      <c r="E213" s="3">
        <v>148000000000</v>
      </c>
      <c r="F213" s="3">
        <v>130000000000</v>
      </c>
      <c r="G213" s="3">
        <v>1810000000</v>
      </c>
      <c r="H213" s="3">
        <v>12200000000</v>
      </c>
      <c r="I213" s="2">
        <v>1.3899999999999999E-2</v>
      </c>
      <c r="J213" s="3">
        <v>4.9500000000000001E-13</v>
      </c>
    </row>
    <row r="214" spans="1:10" x14ac:dyDescent="0.2">
      <c r="A214" s="3">
        <v>210</v>
      </c>
      <c r="B214" s="3">
        <v>1.5900000000000001E-7</v>
      </c>
      <c r="C214" s="2">
        <v>1.1050000000000001E-2</v>
      </c>
      <c r="D214" s="3">
        <v>133000</v>
      </c>
      <c r="E214" s="3">
        <v>136000000000</v>
      </c>
      <c r="F214" s="3">
        <v>121000000000</v>
      </c>
      <c r="G214" s="3">
        <v>18700000000</v>
      </c>
      <c r="H214" s="3">
        <v>13100000000</v>
      </c>
      <c r="I214" s="2">
        <v>0.155</v>
      </c>
      <c r="J214" s="3">
        <v>6.2299999999999997E-13</v>
      </c>
    </row>
    <row r="215" spans="1:10" x14ac:dyDescent="0.2">
      <c r="A215" s="3">
        <v>210</v>
      </c>
      <c r="B215" s="3">
        <v>1.6E-7</v>
      </c>
      <c r="C215" s="2">
        <v>1.111E-2</v>
      </c>
      <c r="D215" s="3">
        <v>153000</v>
      </c>
      <c r="E215" s="3">
        <v>151000000000</v>
      </c>
      <c r="F215" s="3">
        <v>132000000000</v>
      </c>
      <c r="G215" s="3">
        <v>16600000000</v>
      </c>
      <c r="H215" s="3">
        <v>12000000000</v>
      </c>
      <c r="I215" s="2">
        <v>0.12559999999999999</v>
      </c>
      <c r="J215" s="3">
        <v>4.73E-13</v>
      </c>
    </row>
    <row r="216" spans="1:10" x14ac:dyDescent="0.2">
      <c r="A216" s="3">
        <v>210</v>
      </c>
      <c r="B216" s="3">
        <v>1.6E-7</v>
      </c>
      <c r="C216" s="2">
        <v>1.115E-2</v>
      </c>
      <c r="D216" s="3">
        <v>130000</v>
      </c>
      <c r="E216" s="3">
        <v>133000000000</v>
      </c>
      <c r="F216" s="3">
        <v>118000000000</v>
      </c>
      <c r="G216" s="2">
        <v>0</v>
      </c>
      <c r="H216" s="3">
        <v>13400000000</v>
      </c>
      <c r="I216" s="2">
        <v>-2.2370000000000001E-2</v>
      </c>
      <c r="J216" s="3">
        <v>6.6000000000000001E-13</v>
      </c>
    </row>
    <row r="217" spans="1:10" x14ac:dyDescent="0.2">
      <c r="A217" s="3">
        <v>220</v>
      </c>
      <c r="B217" s="3">
        <v>1.61E-7</v>
      </c>
      <c r="C217" s="2">
        <v>1.1209999999999999E-2</v>
      </c>
      <c r="D217" s="3">
        <v>164000</v>
      </c>
      <c r="E217" s="3">
        <v>159000000000</v>
      </c>
      <c r="F217" s="3">
        <v>139000000000</v>
      </c>
      <c r="G217" s="3">
        <v>2230000000</v>
      </c>
      <c r="H217" s="3">
        <v>11600000000</v>
      </c>
      <c r="I217" s="2">
        <v>1.61E-2</v>
      </c>
      <c r="J217" s="3">
        <v>4.1799999999999999E-13</v>
      </c>
    </row>
    <row r="218" spans="1:10" x14ac:dyDescent="0.2">
      <c r="A218" s="3">
        <v>220</v>
      </c>
      <c r="B218" s="3">
        <v>1.61E-7</v>
      </c>
      <c r="C218" s="2">
        <v>1.1259999999999999E-2</v>
      </c>
      <c r="D218" s="3">
        <v>123000</v>
      </c>
      <c r="E218" s="3">
        <v>128000000000</v>
      </c>
      <c r="F218" s="3">
        <v>114000000000</v>
      </c>
      <c r="G218" s="3">
        <v>2180000000</v>
      </c>
      <c r="H218" s="3">
        <v>14200000000</v>
      </c>
      <c r="I218" s="2">
        <v>1.9109999999999999E-2</v>
      </c>
      <c r="J218" s="3">
        <v>7.5000000000000004E-13</v>
      </c>
    </row>
    <row r="219" spans="1:10" x14ac:dyDescent="0.2">
      <c r="A219" s="3">
        <v>220</v>
      </c>
      <c r="B219" s="3">
        <v>1.6199999999999999E-7</v>
      </c>
      <c r="C219" s="2">
        <v>1.1310000000000001E-2</v>
      </c>
      <c r="D219" s="3">
        <v>125000</v>
      </c>
      <c r="E219" s="3">
        <v>129000000000</v>
      </c>
      <c r="F219" s="3">
        <v>115000000000</v>
      </c>
      <c r="G219" s="2">
        <v>0</v>
      </c>
      <c r="H219" s="3">
        <v>14000000000</v>
      </c>
      <c r="I219" s="2">
        <v>-7.6160000000000005E-2</v>
      </c>
      <c r="J219" s="3">
        <v>7.2800000000000003E-13</v>
      </c>
    </row>
    <row r="220" spans="1:10" x14ac:dyDescent="0.2">
      <c r="A220" s="3">
        <v>220</v>
      </c>
      <c r="B220" s="3">
        <v>1.6199999999999999E-7</v>
      </c>
      <c r="C220" s="2">
        <v>1.137E-2</v>
      </c>
      <c r="D220" s="3">
        <v>118000</v>
      </c>
      <c r="E220" s="3">
        <v>124000000000</v>
      </c>
      <c r="F220" s="3">
        <v>111000000000</v>
      </c>
      <c r="G220" s="3">
        <v>13500000000</v>
      </c>
      <c r="H220" s="3">
        <v>14700000000</v>
      </c>
      <c r="I220" s="2">
        <v>0.12130000000000001</v>
      </c>
      <c r="J220" s="3">
        <v>8.2200000000000003E-13</v>
      </c>
    </row>
    <row r="221" spans="1:10" x14ac:dyDescent="0.2">
      <c r="A221" s="3">
        <v>220</v>
      </c>
      <c r="B221" s="3">
        <v>1.6299999999999999E-7</v>
      </c>
      <c r="C221" s="2">
        <v>1.142E-2</v>
      </c>
      <c r="D221" s="3">
        <v>147000</v>
      </c>
      <c r="E221" s="3">
        <v>144000000000</v>
      </c>
      <c r="F221" s="3">
        <v>127000000000</v>
      </c>
      <c r="G221" s="2">
        <v>0</v>
      </c>
      <c r="H221" s="3">
        <v>12400000000</v>
      </c>
      <c r="I221" s="2">
        <v>-7.5270000000000004E-2</v>
      </c>
      <c r="J221" s="3">
        <v>5.3099999999999996E-13</v>
      </c>
    </row>
    <row r="222" spans="1:10" x14ac:dyDescent="0.2">
      <c r="A222" s="3">
        <v>220</v>
      </c>
      <c r="B222" s="3">
        <v>1.6400000000000001E-7</v>
      </c>
      <c r="C222" s="2">
        <v>1.1469999999999999E-2</v>
      </c>
      <c r="D222" s="3">
        <v>122000</v>
      </c>
      <c r="E222" s="3">
        <v>126000000000</v>
      </c>
      <c r="F222" s="3">
        <v>113000000000</v>
      </c>
      <c r="G222" s="3">
        <v>14800000000</v>
      </c>
      <c r="H222" s="3">
        <v>14200000000</v>
      </c>
      <c r="I222" s="2">
        <v>0.13189999999999999</v>
      </c>
      <c r="J222" s="3">
        <v>7.7500000000000003E-13</v>
      </c>
    </row>
    <row r="223" spans="1:10" x14ac:dyDescent="0.2">
      <c r="A223" s="3">
        <v>220</v>
      </c>
      <c r="B223" s="3">
        <v>1.6500000000000001E-7</v>
      </c>
      <c r="C223" s="2">
        <v>1.1520000000000001E-2</v>
      </c>
      <c r="D223" s="3">
        <v>128000</v>
      </c>
      <c r="E223" s="3">
        <v>130000000000</v>
      </c>
      <c r="F223" s="3">
        <v>116000000000</v>
      </c>
      <c r="G223" s="2">
        <v>0</v>
      </c>
      <c r="H223" s="3">
        <v>13600000000</v>
      </c>
      <c r="I223" s="2">
        <v>-7.9450000000000007E-3</v>
      </c>
      <c r="J223" s="3">
        <v>7.0200000000000004E-13</v>
      </c>
    </row>
    <row r="224" spans="1:10" x14ac:dyDescent="0.2">
      <c r="A224" s="3">
        <v>220</v>
      </c>
      <c r="B224" s="3">
        <v>1.6500000000000001E-7</v>
      </c>
      <c r="C224" s="2">
        <v>1.157E-2</v>
      </c>
      <c r="D224" s="3">
        <v>144000</v>
      </c>
      <c r="E224" s="3">
        <v>141000000000</v>
      </c>
      <c r="F224" s="3">
        <v>124000000000</v>
      </c>
      <c r="G224" s="2">
        <v>0</v>
      </c>
      <c r="H224" s="3">
        <v>12600000000</v>
      </c>
      <c r="I224" s="2">
        <v>-7.9060000000000005E-2</v>
      </c>
      <c r="J224" s="3">
        <v>5.6200000000000003E-13</v>
      </c>
    </row>
    <row r="225" spans="1:10" x14ac:dyDescent="0.2">
      <c r="A225" s="3">
        <v>220</v>
      </c>
      <c r="B225" s="3">
        <v>1.66E-7</v>
      </c>
      <c r="C225" s="2">
        <v>1.163E-2</v>
      </c>
      <c r="D225" s="3">
        <v>132000</v>
      </c>
      <c r="E225" s="3">
        <v>132000000000</v>
      </c>
      <c r="F225" s="3">
        <v>117000000000</v>
      </c>
      <c r="G225" s="3">
        <v>1570000000</v>
      </c>
      <c r="H225" s="3">
        <v>13400000000</v>
      </c>
      <c r="I225" s="2">
        <v>1.3339999999999999E-2</v>
      </c>
      <c r="J225" s="3">
        <v>6.7199999999999996E-13</v>
      </c>
    </row>
    <row r="226" spans="1:10" x14ac:dyDescent="0.2">
      <c r="A226" s="3">
        <v>220</v>
      </c>
      <c r="B226" s="3">
        <v>1.66E-7</v>
      </c>
      <c r="C226" s="2">
        <v>1.1679999999999999E-2</v>
      </c>
      <c r="D226" s="3">
        <v>135000</v>
      </c>
      <c r="E226" s="3">
        <v>134000000000</v>
      </c>
      <c r="F226" s="3">
        <v>119000000000</v>
      </c>
      <c r="G226" s="3">
        <v>14200000000</v>
      </c>
      <c r="H226" s="3">
        <v>13200000000</v>
      </c>
      <c r="I226" s="2">
        <v>0.1195</v>
      </c>
      <c r="J226" s="3">
        <v>6.4499999999999998E-13</v>
      </c>
    </row>
    <row r="227" spans="1:10" x14ac:dyDescent="0.2">
      <c r="A227" s="3">
        <v>230</v>
      </c>
      <c r="B227" s="3">
        <v>1.66E-7</v>
      </c>
      <c r="C227" s="2">
        <v>1.1730000000000001E-2</v>
      </c>
      <c r="D227" s="3">
        <v>136000</v>
      </c>
      <c r="E227" s="3">
        <v>134000000000</v>
      </c>
      <c r="F227" s="3">
        <v>120000000000</v>
      </c>
      <c r="G227" s="3">
        <v>15400000000</v>
      </c>
      <c r="H227" s="3">
        <v>13200000000</v>
      </c>
      <c r="I227" s="2">
        <v>0.1288</v>
      </c>
      <c r="J227" s="3">
        <v>6.3700000000000001E-13</v>
      </c>
    </row>
    <row r="228" spans="1:10" x14ac:dyDescent="0.2">
      <c r="A228" s="3">
        <v>230</v>
      </c>
      <c r="B228" s="3">
        <v>1.67E-7</v>
      </c>
      <c r="C228" s="2">
        <v>1.1780000000000001E-2</v>
      </c>
      <c r="D228" s="3">
        <v>135000</v>
      </c>
      <c r="E228" s="3">
        <v>134000000000</v>
      </c>
      <c r="F228" s="3">
        <v>119000000000</v>
      </c>
      <c r="G228" s="3">
        <v>7810000000</v>
      </c>
      <c r="H228" s="3">
        <v>13200000000</v>
      </c>
      <c r="I228" s="2">
        <v>6.5740000000000007E-2</v>
      </c>
      <c r="J228" s="3">
        <v>6.4799999999999997E-13</v>
      </c>
    </row>
    <row r="229" spans="1:10" x14ac:dyDescent="0.2">
      <c r="A229" s="3">
        <v>230</v>
      </c>
      <c r="B229" s="3">
        <v>1.68E-7</v>
      </c>
      <c r="C229" s="2">
        <v>1.183E-2</v>
      </c>
      <c r="D229" s="3">
        <v>131000</v>
      </c>
      <c r="E229" s="3">
        <v>130000000000</v>
      </c>
      <c r="F229" s="3">
        <v>116000000000</v>
      </c>
      <c r="G229" s="2">
        <v>0</v>
      </c>
      <c r="H229" s="3">
        <v>13500000000</v>
      </c>
      <c r="I229" s="2">
        <v>-4.6370000000000001E-2</v>
      </c>
      <c r="J229" s="3">
        <v>6.9199999999999998E-13</v>
      </c>
    </row>
    <row r="230" spans="1:10" x14ac:dyDescent="0.2">
      <c r="A230" s="3">
        <v>230</v>
      </c>
      <c r="B230" s="3">
        <v>1.68E-7</v>
      </c>
      <c r="C230" s="2">
        <v>1.189E-2</v>
      </c>
      <c r="D230" s="3">
        <v>146000</v>
      </c>
      <c r="E230" s="3">
        <v>141000000000</v>
      </c>
      <c r="F230" s="3">
        <v>125000000000</v>
      </c>
      <c r="G230" s="3">
        <v>3940000000</v>
      </c>
      <c r="H230" s="3">
        <v>12600000000</v>
      </c>
      <c r="I230" s="2">
        <v>3.1669999999999997E-2</v>
      </c>
      <c r="J230" s="3">
        <v>5.6100000000000003E-13</v>
      </c>
    </row>
    <row r="231" spans="1:10" x14ac:dyDescent="0.2">
      <c r="A231" s="3">
        <v>230</v>
      </c>
      <c r="B231" s="3">
        <v>1.6899999999999999E-7</v>
      </c>
      <c r="C231" s="2">
        <v>1.1939999999999999E-2</v>
      </c>
      <c r="D231" s="3">
        <v>135000</v>
      </c>
      <c r="E231" s="3">
        <v>133000000000</v>
      </c>
      <c r="F231" s="3">
        <v>118000000000</v>
      </c>
      <c r="G231" s="2">
        <v>0</v>
      </c>
      <c r="H231" s="3">
        <v>13300000000</v>
      </c>
      <c r="I231" s="2">
        <v>-2.6509999999999999E-2</v>
      </c>
      <c r="J231" s="3">
        <v>6.6000000000000001E-13</v>
      </c>
    </row>
    <row r="232" spans="1:10" x14ac:dyDescent="0.2">
      <c r="A232" s="3">
        <v>230</v>
      </c>
      <c r="B232" s="3">
        <v>1.6899999999999999E-7</v>
      </c>
      <c r="C232" s="2">
        <v>1.1990000000000001E-2</v>
      </c>
      <c r="D232" s="3">
        <v>137000</v>
      </c>
      <c r="E232" s="3">
        <v>134000000000</v>
      </c>
      <c r="F232" s="3">
        <v>119000000000</v>
      </c>
      <c r="G232" s="3">
        <v>12900000000</v>
      </c>
      <c r="H232" s="3">
        <v>13200000000</v>
      </c>
      <c r="I232" s="2">
        <v>0.1087</v>
      </c>
      <c r="J232" s="3">
        <v>6.4299999999999999E-13</v>
      </c>
    </row>
    <row r="233" spans="1:10" x14ac:dyDescent="0.2">
      <c r="A233" s="3">
        <v>230</v>
      </c>
      <c r="B233" s="3">
        <v>1.6999999999999999E-7</v>
      </c>
      <c r="C233" s="2">
        <v>1.204E-2</v>
      </c>
      <c r="D233" s="3">
        <v>144000</v>
      </c>
      <c r="E233" s="3">
        <v>139000000000</v>
      </c>
      <c r="F233" s="3">
        <v>123000000000</v>
      </c>
      <c r="G233" s="3">
        <v>11600000000</v>
      </c>
      <c r="H233" s="3">
        <v>12800000000</v>
      </c>
      <c r="I233" s="2">
        <v>9.3909999999999993E-2</v>
      </c>
      <c r="J233" s="3">
        <v>5.8300000000000004E-13</v>
      </c>
    </row>
    <row r="234" spans="1:10" x14ac:dyDescent="0.2">
      <c r="A234" s="3">
        <v>230</v>
      </c>
      <c r="B234" s="3">
        <v>1.6999999999999999E-7</v>
      </c>
      <c r="C234" s="2">
        <v>1.209E-2</v>
      </c>
      <c r="D234" s="3">
        <v>140000</v>
      </c>
      <c r="E234" s="3">
        <v>136000000000</v>
      </c>
      <c r="F234" s="3">
        <v>121000000000</v>
      </c>
      <c r="G234" s="3">
        <v>13500000000</v>
      </c>
      <c r="H234" s="3">
        <v>13000000000</v>
      </c>
      <c r="I234" s="2">
        <v>0.11169999999999999</v>
      </c>
      <c r="J234" s="3">
        <v>6.1799999999999999E-13</v>
      </c>
    </row>
    <row r="235" spans="1:10" x14ac:dyDescent="0.2">
      <c r="A235" s="3">
        <v>230</v>
      </c>
      <c r="B235" s="3">
        <v>1.7100000000000001E-7</v>
      </c>
      <c r="C235" s="2">
        <v>1.2149999999999999E-2</v>
      </c>
      <c r="D235" s="3">
        <v>132000</v>
      </c>
      <c r="E235" s="3">
        <v>130000000000</v>
      </c>
      <c r="F235" s="3">
        <v>116000000000</v>
      </c>
      <c r="G235" s="2">
        <v>0</v>
      </c>
      <c r="H235" s="3">
        <v>13600000000</v>
      </c>
      <c r="I235" s="2">
        <v>-0.108</v>
      </c>
      <c r="J235" s="3">
        <v>7.0100000000000004E-13</v>
      </c>
    </row>
    <row r="236" spans="1:10" x14ac:dyDescent="0.2">
      <c r="A236" s="3">
        <v>230</v>
      </c>
      <c r="B236" s="3">
        <v>1.72E-7</v>
      </c>
      <c r="C236" s="2">
        <v>1.2200000000000001E-2</v>
      </c>
      <c r="D236" s="3">
        <v>142000</v>
      </c>
      <c r="E236" s="3">
        <v>137000000000</v>
      </c>
      <c r="F236" s="3">
        <v>121000000000</v>
      </c>
      <c r="G236" s="3">
        <v>2820000000</v>
      </c>
      <c r="H236" s="3">
        <v>12800000000</v>
      </c>
      <c r="I236" s="2">
        <v>2.3199999999999998E-2</v>
      </c>
      <c r="J236" s="3">
        <v>6.0199999999999996E-13</v>
      </c>
    </row>
    <row r="237" spans="1:10" x14ac:dyDescent="0.2">
      <c r="A237" s="3">
        <v>240</v>
      </c>
      <c r="B237" s="3">
        <v>1.72E-7</v>
      </c>
      <c r="C237" s="2">
        <v>1.225E-2</v>
      </c>
      <c r="D237" s="3">
        <v>127000</v>
      </c>
      <c r="E237" s="3">
        <v>126000000000</v>
      </c>
      <c r="F237" s="3">
        <v>113000000000</v>
      </c>
      <c r="G237" s="3">
        <v>12600000000</v>
      </c>
      <c r="H237" s="3">
        <v>14100000000</v>
      </c>
      <c r="I237" s="2">
        <v>0.1119</v>
      </c>
      <c r="J237" s="3">
        <v>7.6399999999999998E-13</v>
      </c>
    </row>
    <row r="238" spans="1:10" x14ac:dyDescent="0.2">
      <c r="A238" s="3">
        <v>240</v>
      </c>
      <c r="B238" s="3">
        <v>1.73E-7</v>
      </c>
      <c r="C238" s="2">
        <v>1.23E-2</v>
      </c>
      <c r="D238" s="3">
        <v>130000</v>
      </c>
      <c r="E238" s="3">
        <v>128000000000</v>
      </c>
      <c r="F238" s="3">
        <v>114000000000</v>
      </c>
      <c r="G238" s="3">
        <v>2570000000</v>
      </c>
      <c r="H238" s="3">
        <v>13800000000</v>
      </c>
      <c r="I238" s="2">
        <v>2.2519999999999998E-2</v>
      </c>
      <c r="J238" s="3">
        <v>7.2900000000000002E-13</v>
      </c>
    </row>
    <row r="239" spans="1:10" x14ac:dyDescent="0.2">
      <c r="A239" s="3">
        <v>240</v>
      </c>
      <c r="B239" s="3">
        <v>1.74E-7</v>
      </c>
      <c r="C239" s="2">
        <v>1.235E-2</v>
      </c>
      <c r="D239" s="3">
        <v>143000</v>
      </c>
      <c r="E239" s="3">
        <v>136000000000</v>
      </c>
      <c r="F239" s="3">
        <v>121000000000</v>
      </c>
      <c r="G239" s="3">
        <v>12600000000</v>
      </c>
      <c r="H239" s="3">
        <v>12900000000</v>
      </c>
      <c r="I239" s="2">
        <v>0.1042</v>
      </c>
      <c r="J239" s="3">
        <v>6.0800000000000003E-13</v>
      </c>
    </row>
    <row r="240" spans="1:10" x14ac:dyDescent="0.2">
      <c r="A240" s="3">
        <v>240</v>
      </c>
      <c r="B240" s="3">
        <v>1.74E-7</v>
      </c>
      <c r="C240" s="2">
        <v>1.2409999999999999E-2</v>
      </c>
      <c r="D240" s="3">
        <v>153000</v>
      </c>
      <c r="E240" s="3">
        <v>144000000000</v>
      </c>
      <c r="F240" s="3">
        <v>127000000000</v>
      </c>
      <c r="G240" s="2">
        <v>0</v>
      </c>
      <c r="H240" s="3">
        <v>12400000000</v>
      </c>
      <c r="I240" s="2">
        <v>-0.10390000000000001</v>
      </c>
      <c r="J240" s="3">
        <v>5.3199999999999995E-13</v>
      </c>
    </row>
    <row r="241" spans="1:10" x14ac:dyDescent="0.2">
      <c r="A241" s="3">
        <v>240</v>
      </c>
      <c r="B241" s="3">
        <v>1.7499999999999999E-7</v>
      </c>
      <c r="C241" s="2">
        <v>1.2460000000000001E-2</v>
      </c>
      <c r="D241" s="3">
        <v>130000</v>
      </c>
      <c r="E241" s="3">
        <v>127000000000</v>
      </c>
      <c r="F241" s="3">
        <v>114000000000</v>
      </c>
      <c r="G241" s="2">
        <v>0</v>
      </c>
      <c r="H241" s="3">
        <v>13800000000</v>
      </c>
      <c r="I241" s="2">
        <v>-0.1038</v>
      </c>
      <c r="J241" s="3">
        <v>7.3799999999999999E-13</v>
      </c>
    </row>
    <row r="242" spans="1:10" x14ac:dyDescent="0.2">
      <c r="A242" s="3">
        <v>240</v>
      </c>
      <c r="B242" s="3">
        <v>1.7499999999999999E-7</v>
      </c>
      <c r="C242" s="2">
        <v>1.251E-2</v>
      </c>
      <c r="D242" s="3">
        <v>150000</v>
      </c>
      <c r="E242" s="3">
        <v>141000000000</v>
      </c>
      <c r="F242" s="3">
        <v>125000000000</v>
      </c>
      <c r="G242" s="3">
        <v>4200000000</v>
      </c>
      <c r="H242" s="3">
        <v>12600000000</v>
      </c>
      <c r="I242" s="2">
        <v>3.3730000000000003E-2</v>
      </c>
      <c r="J242" s="3">
        <v>5.5800000000000005E-13</v>
      </c>
    </row>
    <row r="243" spans="1:10" x14ac:dyDescent="0.2">
      <c r="A243" s="3">
        <v>240</v>
      </c>
      <c r="B243" s="3">
        <v>1.7599999999999999E-7</v>
      </c>
      <c r="C243" s="2">
        <v>1.256E-2</v>
      </c>
      <c r="D243" s="3">
        <v>152000</v>
      </c>
      <c r="E243" s="3">
        <v>143000000000</v>
      </c>
      <c r="F243" s="3">
        <v>126000000000</v>
      </c>
      <c r="G243" s="3">
        <v>16500000000</v>
      </c>
      <c r="H243" s="3">
        <v>12500000000</v>
      </c>
      <c r="I243" s="2">
        <v>0.1305</v>
      </c>
      <c r="J243" s="3">
        <v>5.4200000000000001E-13</v>
      </c>
    </row>
    <row r="244" spans="1:10" x14ac:dyDescent="0.2">
      <c r="A244" s="3">
        <v>240</v>
      </c>
      <c r="B244" s="3">
        <v>1.7599999999999999E-7</v>
      </c>
      <c r="C244" s="2">
        <v>1.2619999999999999E-2</v>
      </c>
      <c r="D244" s="3">
        <v>147000</v>
      </c>
      <c r="E244" s="3">
        <v>138000000000</v>
      </c>
      <c r="F244" s="3">
        <v>123000000000</v>
      </c>
      <c r="G244" s="3">
        <v>3680000000</v>
      </c>
      <c r="H244" s="3">
        <v>12800000000</v>
      </c>
      <c r="I244" s="2">
        <v>3.0040000000000001E-2</v>
      </c>
      <c r="J244" s="3">
        <v>5.8600000000000003E-13</v>
      </c>
    </row>
    <row r="245" spans="1:10" x14ac:dyDescent="0.2">
      <c r="A245" s="3">
        <v>240</v>
      </c>
      <c r="B245" s="3">
        <v>1.7700000000000001E-7</v>
      </c>
      <c r="C245" s="2">
        <v>1.2670000000000001E-2</v>
      </c>
      <c r="D245" s="3">
        <v>139000</v>
      </c>
      <c r="E245" s="3">
        <v>132000000000</v>
      </c>
      <c r="F245" s="3">
        <v>118000000000</v>
      </c>
      <c r="G245" s="3">
        <v>1770000000</v>
      </c>
      <c r="H245" s="3">
        <v>13300000000</v>
      </c>
      <c r="I245" s="2">
        <v>1.499E-2</v>
      </c>
      <c r="J245" s="3">
        <v>6.6000000000000001E-13</v>
      </c>
    </row>
    <row r="246" spans="1:10" x14ac:dyDescent="0.2">
      <c r="A246" s="3">
        <v>240</v>
      </c>
      <c r="B246" s="3">
        <v>1.7700000000000001E-7</v>
      </c>
      <c r="C246" s="2">
        <v>1.272E-2</v>
      </c>
      <c r="D246" s="3">
        <v>152000</v>
      </c>
      <c r="E246" s="3">
        <v>142000000000</v>
      </c>
      <c r="F246" s="3">
        <v>126000000000</v>
      </c>
      <c r="G246" s="3">
        <v>30500000000</v>
      </c>
      <c r="H246" s="3">
        <v>12600000000</v>
      </c>
      <c r="I246" s="2">
        <v>0.24310000000000001</v>
      </c>
      <c r="J246" s="3">
        <v>5.4999999999999998E-13</v>
      </c>
    </row>
    <row r="247" spans="1:10" x14ac:dyDescent="0.2">
      <c r="A247" s="3">
        <v>250</v>
      </c>
      <c r="B247" s="3">
        <v>1.7800000000000001E-7</v>
      </c>
      <c r="C247" s="2">
        <v>1.277E-2</v>
      </c>
      <c r="D247" s="3">
        <v>138000</v>
      </c>
      <c r="E247" s="3">
        <v>132000000000</v>
      </c>
      <c r="F247" s="3">
        <v>117000000000</v>
      </c>
      <c r="G247" s="2">
        <v>0</v>
      </c>
      <c r="H247" s="3">
        <v>13400000000</v>
      </c>
      <c r="I247" s="2">
        <v>-3.2039999999999999E-2</v>
      </c>
      <c r="J247" s="3">
        <v>6.7199999999999996E-13</v>
      </c>
    </row>
    <row r="248" spans="1:10" x14ac:dyDescent="0.2">
      <c r="A248" s="3">
        <v>250</v>
      </c>
      <c r="B248" s="3">
        <v>1.79E-7</v>
      </c>
      <c r="C248" s="2">
        <v>1.282E-2</v>
      </c>
      <c r="D248" s="3">
        <v>137000</v>
      </c>
      <c r="E248" s="3">
        <v>130000000000</v>
      </c>
      <c r="F248" s="3">
        <v>116000000000</v>
      </c>
      <c r="G248" s="2">
        <v>0</v>
      </c>
      <c r="H248" s="3">
        <v>13500000000</v>
      </c>
      <c r="I248" s="2">
        <v>-4.8030000000000003E-2</v>
      </c>
      <c r="J248" s="3">
        <v>6.87E-13</v>
      </c>
    </row>
    <row r="249" spans="1:10" x14ac:dyDescent="0.2">
      <c r="A249" s="3">
        <v>250</v>
      </c>
      <c r="B249" s="3">
        <v>1.79E-7</v>
      </c>
      <c r="C249" s="2">
        <v>1.2880000000000001E-2</v>
      </c>
      <c r="D249" s="3">
        <v>155000</v>
      </c>
      <c r="E249" s="3">
        <v>143000000000</v>
      </c>
      <c r="F249" s="3">
        <v>126000000000</v>
      </c>
      <c r="G249" s="2">
        <v>0</v>
      </c>
      <c r="H249" s="3">
        <v>12500000000</v>
      </c>
      <c r="I249" s="2">
        <v>-7.4569999999999997E-2</v>
      </c>
      <c r="J249" s="3">
        <v>5.3900000000000003E-13</v>
      </c>
    </row>
    <row r="250" spans="1:10" x14ac:dyDescent="0.2">
      <c r="A250" s="3">
        <v>250</v>
      </c>
      <c r="B250" s="3">
        <v>1.8E-7</v>
      </c>
      <c r="C250" s="2">
        <v>1.2930000000000001E-2</v>
      </c>
      <c r="D250" s="3">
        <v>149000</v>
      </c>
      <c r="E250" s="3">
        <v>139000000000</v>
      </c>
      <c r="F250" s="3">
        <v>123000000000</v>
      </c>
      <c r="G250" s="2">
        <v>0</v>
      </c>
      <c r="H250" s="3">
        <v>12700000000</v>
      </c>
      <c r="I250" s="2">
        <v>-3.4639999999999997E-2</v>
      </c>
      <c r="J250" s="3">
        <v>5.8100000000000005E-13</v>
      </c>
    </row>
    <row r="251" spans="1:10" x14ac:dyDescent="0.2">
      <c r="A251" s="3">
        <v>250</v>
      </c>
      <c r="B251" s="3">
        <v>1.8E-7</v>
      </c>
      <c r="C251" s="2">
        <v>1.299E-2</v>
      </c>
      <c r="D251" s="3">
        <v>164000</v>
      </c>
      <c r="E251" s="3">
        <v>150000000000</v>
      </c>
      <c r="F251" s="3">
        <v>132000000000</v>
      </c>
      <c r="G251" s="3">
        <v>7230000000</v>
      </c>
      <c r="H251" s="3">
        <v>12100000000</v>
      </c>
      <c r="I251" s="2">
        <v>5.4859999999999999E-2</v>
      </c>
      <c r="J251" s="3">
        <v>4.8099999999999997E-13</v>
      </c>
    </row>
    <row r="252" spans="1:10" x14ac:dyDescent="0.2">
      <c r="A252" s="3">
        <v>250</v>
      </c>
      <c r="B252" s="3">
        <v>1.8099999999999999E-7</v>
      </c>
      <c r="C252" s="2">
        <v>1.304E-2</v>
      </c>
      <c r="D252" s="3">
        <v>151000</v>
      </c>
      <c r="E252" s="3">
        <v>140000000000</v>
      </c>
      <c r="F252" s="3">
        <v>124000000000</v>
      </c>
      <c r="G252" s="2">
        <v>0</v>
      </c>
      <c r="H252" s="3">
        <v>12600000000</v>
      </c>
      <c r="I252" s="2">
        <v>-0.1125</v>
      </c>
      <c r="J252" s="3">
        <v>5.69E-13</v>
      </c>
    </row>
    <row r="253" spans="1:10" x14ac:dyDescent="0.2">
      <c r="A253" s="3">
        <v>250</v>
      </c>
      <c r="B253" s="3">
        <v>1.8099999999999999E-7</v>
      </c>
      <c r="C253" s="2">
        <v>1.3089999999999999E-2</v>
      </c>
      <c r="D253" s="3">
        <v>146000</v>
      </c>
      <c r="E253" s="3">
        <v>136000000000</v>
      </c>
      <c r="F253" s="3">
        <v>121000000000</v>
      </c>
      <c r="G253" s="3">
        <v>9590000000</v>
      </c>
      <c r="H253" s="3">
        <v>13000000000</v>
      </c>
      <c r="I253" s="2">
        <v>7.9530000000000003E-2</v>
      </c>
      <c r="J253" s="3">
        <v>6.15E-13</v>
      </c>
    </row>
    <row r="254" spans="1:10" x14ac:dyDescent="0.2">
      <c r="A254" s="3">
        <v>250</v>
      </c>
      <c r="B254" s="3">
        <v>1.8199999999999999E-7</v>
      </c>
      <c r="C254" s="2">
        <v>1.3140000000000001E-2</v>
      </c>
      <c r="D254" s="3">
        <v>133000</v>
      </c>
      <c r="E254" s="3">
        <v>126000000000</v>
      </c>
      <c r="F254" s="3">
        <v>113000000000</v>
      </c>
      <c r="G254" s="3">
        <v>13500000000</v>
      </c>
      <c r="H254" s="3">
        <v>13800000000</v>
      </c>
      <c r="I254" s="2">
        <v>0.1198</v>
      </c>
      <c r="J254" s="3">
        <v>7.4800000000000004E-13</v>
      </c>
    </row>
    <row r="255" spans="1:10" x14ac:dyDescent="0.2">
      <c r="A255" s="3">
        <v>250</v>
      </c>
      <c r="B255" s="3">
        <v>1.8300000000000001E-7</v>
      </c>
      <c r="C255" s="2">
        <v>1.319E-2</v>
      </c>
      <c r="D255" s="3">
        <v>160000</v>
      </c>
      <c r="E255" s="3">
        <v>146000000000</v>
      </c>
      <c r="F255" s="3">
        <v>128000000000</v>
      </c>
      <c r="G255" s="2">
        <v>0</v>
      </c>
      <c r="H255" s="3">
        <v>12300000000</v>
      </c>
      <c r="I255" s="2">
        <v>-1.093E-2</v>
      </c>
      <c r="J255" s="3">
        <v>5.1400000000000003E-13</v>
      </c>
    </row>
    <row r="256" spans="1:10" x14ac:dyDescent="0.2">
      <c r="A256" s="3">
        <v>250</v>
      </c>
      <c r="B256" s="3">
        <v>1.8300000000000001E-7</v>
      </c>
      <c r="C256" s="2">
        <v>1.324E-2</v>
      </c>
      <c r="D256" s="3">
        <v>127000</v>
      </c>
      <c r="E256" s="3">
        <v>122000000000</v>
      </c>
      <c r="F256" s="3">
        <v>110000000000</v>
      </c>
      <c r="G256" s="3">
        <v>7550000000</v>
      </c>
      <c r="H256" s="3">
        <v>14400000000</v>
      </c>
      <c r="I256" s="2">
        <v>6.8790000000000004E-2</v>
      </c>
      <c r="J256" s="3">
        <v>8.2200000000000003E-13</v>
      </c>
    </row>
    <row r="257" spans="1:10" x14ac:dyDescent="0.2">
      <c r="A257" s="3">
        <v>260</v>
      </c>
      <c r="B257" s="3">
        <v>1.8400000000000001E-7</v>
      </c>
      <c r="C257" s="2">
        <v>1.329E-2</v>
      </c>
      <c r="D257" s="3">
        <v>127000</v>
      </c>
      <c r="E257" s="3">
        <v>122000000000</v>
      </c>
      <c r="F257" s="3">
        <v>110000000000</v>
      </c>
      <c r="G257" s="2">
        <v>0</v>
      </c>
      <c r="H257" s="3">
        <v>14300000000</v>
      </c>
      <c r="I257" s="2">
        <v>-4.0620000000000003E-2</v>
      </c>
      <c r="J257" s="3">
        <v>8.2500000000000002E-13</v>
      </c>
    </row>
    <row r="258" spans="1:10" x14ac:dyDescent="0.2">
      <c r="A258" s="3">
        <v>260</v>
      </c>
      <c r="B258" s="3">
        <v>1.85E-7</v>
      </c>
      <c r="C258" s="2">
        <v>1.3339999999999999E-2</v>
      </c>
      <c r="D258" s="3">
        <v>131000</v>
      </c>
      <c r="E258" s="3">
        <v>124000000000</v>
      </c>
      <c r="F258" s="3">
        <v>111000000000</v>
      </c>
      <c r="G258" s="3">
        <v>6150000000</v>
      </c>
      <c r="H258" s="3">
        <v>14000000000</v>
      </c>
      <c r="I258" s="2">
        <v>5.525E-2</v>
      </c>
      <c r="J258" s="3">
        <v>7.7900000000000001E-13</v>
      </c>
    </row>
    <row r="259" spans="1:10" x14ac:dyDescent="0.2">
      <c r="A259" s="3">
        <v>260</v>
      </c>
      <c r="B259" s="3">
        <v>1.85E-7</v>
      </c>
      <c r="C259" s="2">
        <v>1.34E-2</v>
      </c>
      <c r="D259" s="3">
        <v>130000</v>
      </c>
      <c r="E259" s="3">
        <v>124000000000</v>
      </c>
      <c r="F259" s="3">
        <v>111000000000</v>
      </c>
      <c r="G259" s="2">
        <v>0</v>
      </c>
      <c r="H259" s="3">
        <v>14100000000</v>
      </c>
      <c r="I259" s="2">
        <v>-0.12740000000000001</v>
      </c>
      <c r="J259" s="3">
        <v>7.8899999999999997E-13</v>
      </c>
    </row>
    <row r="260" spans="1:10" x14ac:dyDescent="0.2">
      <c r="A260" s="3">
        <v>260</v>
      </c>
      <c r="B260" s="3">
        <v>1.86E-7</v>
      </c>
      <c r="C260" s="2">
        <v>1.345E-2</v>
      </c>
      <c r="D260" s="3">
        <v>150000</v>
      </c>
      <c r="E260" s="3">
        <v>137000000000</v>
      </c>
      <c r="F260" s="3">
        <v>121000000000</v>
      </c>
      <c r="G260" s="2">
        <v>0</v>
      </c>
      <c r="H260" s="3">
        <v>12700000000</v>
      </c>
      <c r="I260" s="2">
        <v>-2.707E-2</v>
      </c>
      <c r="J260" s="3">
        <v>5.9699999999999998E-13</v>
      </c>
    </row>
    <row r="261" spans="1:10" x14ac:dyDescent="0.2">
      <c r="A261" s="3">
        <v>260</v>
      </c>
      <c r="B261" s="3">
        <v>1.8699999999999999E-7</v>
      </c>
      <c r="C261" s="2">
        <v>1.35E-2</v>
      </c>
      <c r="D261" s="3">
        <v>138000</v>
      </c>
      <c r="E261" s="3">
        <v>127000000000</v>
      </c>
      <c r="F261" s="3">
        <v>114000000000</v>
      </c>
      <c r="G261" s="2">
        <v>0</v>
      </c>
      <c r="H261" s="3">
        <v>13400000000</v>
      </c>
      <c r="I261" s="2">
        <v>-8.9980000000000004E-2</v>
      </c>
      <c r="J261" s="3">
        <v>7.1399999999999999E-13</v>
      </c>
    </row>
    <row r="262" spans="1:10" x14ac:dyDescent="0.2">
      <c r="A262" s="3">
        <v>260</v>
      </c>
      <c r="B262" s="3">
        <v>1.9000000000000001E-7</v>
      </c>
      <c r="C262" s="2">
        <v>1.355E-2</v>
      </c>
      <c r="D262" s="3">
        <v>161000</v>
      </c>
      <c r="E262" s="3">
        <v>142000000000</v>
      </c>
      <c r="F262" s="3">
        <v>126000000000</v>
      </c>
      <c r="G262" s="3">
        <v>12300000000</v>
      </c>
      <c r="H262" s="3">
        <v>12000000000</v>
      </c>
      <c r="I262" s="2">
        <v>9.7470000000000001E-2</v>
      </c>
      <c r="J262" s="3">
        <v>5.2499999999999998E-13</v>
      </c>
    </row>
    <row r="263" spans="1:10" x14ac:dyDescent="0.2">
      <c r="A263" s="3">
        <v>260</v>
      </c>
      <c r="B263" s="3">
        <v>1.91E-7</v>
      </c>
      <c r="C263" s="2">
        <v>1.3599999999999999E-2</v>
      </c>
      <c r="D263" s="3">
        <v>148000</v>
      </c>
      <c r="E263" s="3">
        <v>133000000000</v>
      </c>
      <c r="F263" s="3">
        <v>118000000000</v>
      </c>
      <c r="G263" s="2">
        <v>0</v>
      </c>
      <c r="H263" s="3">
        <v>12600000000</v>
      </c>
      <c r="I263" s="2">
        <v>-2.9510000000000002E-2</v>
      </c>
      <c r="J263" s="3">
        <v>6.1999999999999998E-13</v>
      </c>
    </row>
    <row r="264" spans="1:10" x14ac:dyDescent="0.2">
      <c r="A264" s="3">
        <v>260</v>
      </c>
      <c r="B264" s="3">
        <v>1.91E-7</v>
      </c>
      <c r="C264" s="2">
        <v>1.366E-2</v>
      </c>
      <c r="D264" s="3">
        <v>150000</v>
      </c>
      <c r="E264" s="3">
        <v>134000000000</v>
      </c>
      <c r="F264" s="3">
        <v>119000000000</v>
      </c>
      <c r="G264" s="3">
        <v>5120000000</v>
      </c>
      <c r="H264" s="3">
        <v>12500000000</v>
      </c>
      <c r="I264" s="2">
        <v>4.3090000000000003E-2</v>
      </c>
      <c r="J264" s="3">
        <v>6.1000000000000003E-13</v>
      </c>
    </row>
    <row r="265" spans="1:10" x14ac:dyDescent="0.2">
      <c r="A265" s="3">
        <v>260</v>
      </c>
      <c r="B265" s="3">
        <v>1.92E-7</v>
      </c>
      <c r="C265" s="2">
        <v>1.371E-2</v>
      </c>
      <c r="D265" s="3">
        <v>139000</v>
      </c>
      <c r="E265" s="3">
        <v>126000000000</v>
      </c>
      <c r="F265" s="3">
        <v>113000000000</v>
      </c>
      <c r="G265" s="2">
        <v>0</v>
      </c>
      <c r="H265" s="3">
        <v>13100000000</v>
      </c>
      <c r="I265" s="2">
        <v>-2.5119999999999999E-3</v>
      </c>
      <c r="J265" s="3">
        <v>7.0800000000000001E-13</v>
      </c>
    </row>
    <row r="266" spans="1:10" x14ac:dyDescent="0.2">
      <c r="A266" s="3">
        <v>260</v>
      </c>
      <c r="B266" s="3">
        <v>1.9299999999999999E-7</v>
      </c>
      <c r="C266" s="2">
        <v>1.376E-2</v>
      </c>
      <c r="D266" s="3">
        <v>170000</v>
      </c>
      <c r="E266" s="3">
        <v>148000000000</v>
      </c>
      <c r="F266" s="3">
        <v>130000000000</v>
      </c>
      <c r="G266" s="2">
        <v>0</v>
      </c>
      <c r="H266" s="3">
        <v>11700000000</v>
      </c>
      <c r="I266" s="2">
        <v>-0.11700000000000001</v>
      </c>
      <c r="J266" s="3">
        <v>4.7799999999999998E-13</v>
      </c>
    </row>
    <row r="267" spans="1:10" x14ac:dyDescent="0.2">
      <c r="A267" s="3">
        <v>270</v>
      </c>
      <c r="B267" s="3">
        <v>1.9399999999999999E-7</v>
      </c>
      <c r="C267" s="2">
        <v>1.3820000000000001E-2</v>
      </c>
      <c r="D267" s="3">
        <v>129000</v>
      </c>
      <c r="E267" s="3">
        <v>119000000000</v>
      </c>
      <c r="F267" s="3">
        <v>107000000000</v>
      </c>
      <c r="G267" s="2">
        <v>0</v>
      </c>
      <c r="H267" s="3">
        <v>13800000000</v>
      </c>
      <c r="I267" s="2">
        <v>-0.1313</v>
      </c>
      <c r="J267" s="3">
        <v>8.29E-13</v>
      </c>
    </row>
    <row r="268" spans="1:10" x14ac:dyDescent="0.2">
      <c r="A268" s="3">
        <v>270</v>
      </c>
      <c r="B268" s="3">
        <v>1.9399999999999999E-7</v>
      </c>
      <c r="C268" s="2">
        <v>1.387E-2</v>
      </c>
      <c r="D268" s="3">
        <v>136000</v>
      </c>
      <c r="E268" s="3">
        <v>123000000000</v>
      </c>
      <c r="F268" s="3">
        <v>110000000000</v>
      </c>
      <c r="G268" s="2">
        <v>0</v>
      </c>
      <c r="H268" s="3">
        <v>13200000000</v>
      </c>
      <c r="I268" s="2">
        <v>-8.9359999999999995E-2</v>
      </c>
      <c r="J268" s="3">
        <v>7.5000000000000004E-13</v>
      </c>
    </row>
    <row r="269" spans="1:10" x14ac:dyDescent="0.2">
      <c r="A269" s="3">
        <v>270</v>
      </c>
      <c r="B269" s="3">
        <v>1.9500000000000001E-7</v>
      </c>
      <c r="C269" s="2">
        <v>1.392E-2</v>
      </c>
      <c r="D269" s="3">
        <v>145000</v>
      </c>
      <c r="E269" s="3">
        <v>128000000000</v>
      </c>
      <c r="F269" s="3">
        <v>115000000000</v>
      </c>
      <c r="G269" s="2">
        <v>0</v>
      </c>
      <c r="H269" s="3">
        <v>12700000000</v>
      </c>
      <c r="I269" s="2">
        <v>-1.9239999999999999E-3</v>
      </c>
      <c r="J269" s="3">
        <v>6.6599999999999999E-13</v>
      </c>
    </row>
    <row r="270" spans="1:10" x14ac:dyDescent="0.2">
      <c r="A270" s="3">
        <v>270</v>
      </c>
      <c r="B270" s="3">
        <v>1.9600000000000001E-7</v>
      </c>
      <c r="C270" s="2">
        <v>1.397E-2</v>
      </c>
      <c r="D270" s="3">
        <v>136000</v>
      </c>
      <c r="E270" s="3">
        <v>122000000000</v>
      </c>
      <c r="F270" s="3">
        <v>110000000000</v>
      </c>
      <c r="G270" s="2">
        <v>0</v>
      </c>
      <c r="H270" s="3">
        <v>13300000000</v>
      </c>
      <c r="I270" s="2">
        <v>-2.8070000000000001E-2</v>
      </c>
      <c r="J270" s="3">
        <v>7.6099999999999999E-13</v>
      </c>
    </row>
    <row r="271" spans="1:10" x14ac:dyDescent="0.2">
      <c r="A271" s="3">
        <v>270</v>
      </c>
      <c r="B271" s="3">
        <v>1.97E-7</v>
      </c>
      <c r="C271" s="2">
        <v>1.4019999999999999E-2</v>
      </c>
      <c r="D271" s="3">
        <v>132000</v>
      </c>
      <c r="E271" s="3">
        <v>120000000000</v>
      </c>
      <c r="F271" s="3">
        <v>108000000000</v>
      </c>
      <c r="G271" s="3">
        <v>8180000000</v>
      </c>
      <c r="H271" s="3">
        <v>13500000000</v>
      </c>
      <c r="I271" s="2">
        <v>7.603E-2</v>
      </c>
      <c r="J271" s="3">
        <v>8.0799999999999999E-13</v>
      </c>
    </row>
    <row r="272" spans="1:10" x14ac:dyDescent="0.2">
      <c r="A272" s="3">
        <v>270</v>
      </c>
      <c r="B272" s="3">
        <v>1.97E-7</v>
      </c>
      <c r="C272" s="2">
        <v>1.4080000000000001E-2</v>
      </c>
      <c r="D272" s="3">
        <v>142000</v>
      </c>
      <c r="E272" s="3">
        <v>126000000000</v>
      </c>
      <c r="F272" s="3">
        <v>113000000000</v>
      </c>
      <c r="G272" s="2">
        <v>0</v>
      </c>
      <c r="H272" s="3">
        <v>12900000000</v>
      </c>
      <c r="I272" s="2">
        <v>-2.1489999999999999E-2</v>
      </c>
      <c r="J272" s="3">
        <v>6.9899999999999995E-13</v>
      </c>
    </row>
    <row r="273" spans="1:10" x14ac:dyDescent="0.2">
      <c r="A273" s="3">
        <v>270</v>
      </c>
      <c r="B273" s="3">
        <v>1.97E-7</v>
      </c>
      <c r="C273" s="2">
        <v>1.413E-2</v>
      </c>
      <c r="D273" s="3">
        <v>148000</v>
      </c>
      <c r="E273" s="3">
        <v>130000000000</v>
      </c>
      <c r="F273" s="3">
        <v>116000000000</v>
      </c>
      <c r="G273" s="3">
        <v>2630000000</v>
      </c>
      <c r="H273" s="3">
        <v>12600000000</v>
      </c>
      <c r="I273" s="2">
        <v>2.2679999999999999E-2</v>
      </c>
      <c r="J273" s="3">
        <v>6.4799999999999997E-13</v>
      </c>
    </row>
    <row r="274" spans="1:10" x14ac:dyDescent="0.2">
      <c r="A274" s="3">
        <v>270</v>
      </c>
      <c r="B274" s="3">
        <v>1.98E-7</v>
      </c>
      <c r="C274" s="2">
        <v>1.418E-2</v>
      </c>
      <c r="D274" s="3">
        <v>133000</v>
      </c>
      <c r="E274" s="3">
        <v>120000000000</v>
      </c>
      <c r="F274" s="3">
        <v>108000000000</v>
      </c>
      <c r="G274" s="3">
        <v>16900000000</v>
      </c>
      <c r="H274" s="3">
        <v>13500000000</v>
      </c>
      <c r="I274" s="2">
        <v>0.15640000000000001</v>
      </c>
      <c r="J274" s="3">
        <v>7.9700000000000004E-13</v>
      </c>
    </row>
    <row r="275" spans="1:10" x14ac:dyDescent="0.2">
      <c r="A275" s="3">
        <v>270</v>
      </c>
      <c r="B275" s="3">
        <v>1.99E-7</v>
      </c>
      <c r="C275" s="2">
        <v>1.423E-2</v>
      </c>
      <c r="D275" s="3">
        <v>149000</v>
      </c>
      <c r="E275" s="3">
        <v>130000000000</v>
      </c>
      <c r="F275" s="3">
        <v>116000000000</v>
      </c>
      <c r="G275" s="3">
        <v>6100000000</v>
      </c>
      <c r="H275" s="3">
        <v>12500000000</v>
      </c>
      <c r="I275" s="2">
        <v>5.2449999999999997E-2</v>
      </c>
      <c r="J275" s="3">
        <v>6.3800000000000001E-13</v>
      </c>
    </row>
    <row r="276" spans="1:10" x14ac:dyDescent="0.2">
      <c r="A276" s="3">
        <v>270</v>
      </c>
      <c r="B276" s="3">
        <v>1.9999999999999999E-7</v>
      </c>
      <c r="C276" s="2">
        <v>1.4290000000000001E-2</v>
      </c>
      <c r="D276" s="3">
        <v>148000</v>
      </c>
      <c r="E276" s="3">
        <v>129000000000</v>
      </c>
      <c r="F276" s="3">
        <v>115000000000</v>
      </c>
      <c r="G276" s="3">
        <v>10300000000</v>
      </c>
      <c r="H276" s="3">
        <v>12600000000</v>
      </c>
      <c r="I276" s="2">
        <v>8.9010000000000006E-2</v>
      </c>
      <c r="J276" s="3">
        <v>6.5300000000000004E-13</v>
      </c>
    </row>
    <row r="277" spans="1:10" x14ac:dyDescent="0.2">
      <c r="A277" s="3">
        <v>280</v>
      </c>
      <c r="B277" s="3">
        <v>1.9999999999999999E-7</v>
      </c>
      <c r="C277" s="2">
        <v>1.434E-2</v>
      </c>
      <c r="D277" s="3">
        <v>184000</v>
      </c>
      <c r="E277" s="3">
        <v>155000000000</v>
      </c>
      <c r="F277" s="3">
        <v>136000000000</v>
      </c>
      <c r="G277" s="2">
        <v>0</v>
      </c>
      <c r="H277" s="3">
        <v>11300000000</v>
      </c>
      <c r="I277" s="2">
        <v>-6.6979999999999998E-2</v>
      </c>
      <c r="J277" s="3">
        <v>4.2300000000000002E-13</v>
      </c>
    </row>
    <row r="278" spans="1:10" x14ac:dyDescent="0.2">
      <c r="A278" s="3">
        <v>280</v>
      </c>
      <c r="B278" s="3">
        <v>1.9999999999999999E-7</v>
      </c>
      <c r="C278" s="2">
        <v>1.439E-2</v>
      </c>
      <c r="D278" s="3">
        <v>137000</v>
      </c>
      <c r="E278" s="3">
        <v>122000000000</v>
      </c>
      <c r="F278" s="3">
        <v>109000000000</v>
      </c>
      <c r="G278" s="3">
        <v>1280000000</v>
      </c>
      <c r="H278" s="3">
        <v>13300000000</v>
      </c>
      <c r="I278" s="2">
        <v>1.1690000000000001E-2</v>
      </c>
      <c r="J278" s="3">
        <v>7.6799999999999996E-13</v>
      </c>
    </row>
    <row r="279" spans="1:10" x14ac:dyDescent="0.2">
      <c r="A279" s="3">
        <v>280</v>
      </c>
      <c r="B279" s="3">
        <v>2.0100000000000001E-7</v>
      </c>
      <c r="C279" s="2">
        <v>1.444E-2</v>
      </c>
      <c r="D279" s="3">
        <v>148000</v>
      </c>
      <c r="E279" s="3">
        <v>129000000000</v>
      </c>
      <c r="F279" s="3">
        <v>115000000000</v>
      </c>
      <c r="G279" s="3">
        <v>19600000000</v>
      </c>
      <c r="H279" s="3">
        <v>12600000000</v>
      </c>
      <c r="I279" s="2">
        <v>0.17030000000000001</v>
      </c>
      <c r="J279" s="3">
        <v>6.5800000000000002E-13</v>
      </c>
    </row>
    <row r="280" spans="1:10" x14ac:dyDescent="0.2">
      <c r="A280" s="3">
        <v>280</v>
      </c>
      <c r="B280" s="3">
        <v>2.0200000000000001E-7</v>
      </c>
      <c r="C280" s="2">
        <v>1.4489999999999999E-2</v>
      </c>
      <c r="D280" s="3">
        <v>151000</v>
      </c>
      <c r="E280" s="3">
        <v>131000000000</v>
      </c>
      <c r="F280" s="3">
        <v>116000000000</v>
      </c>
      <c r="G280" s="2">
        <v>0</v>
      </c>
      <c r="H280" s="3">
        <v>12500000000</v>
      </c>
      <c r="I280" s="2">
        <v>-5.7599999999999998E-2</v>
      </c>
      <c r="J280" s="3">
        <v>6.3500000000000002E-13</v>
      </c>
    </row>
    <row r="281" spans="1:10" x14ac:dyDescent="0.2">
      <c r="A281" s="3">
        <v>280</v>
      </c>
      <c r="B281" s="3">
        <v>2.03E-7</v>
      </c>
      <c r="C281" s="2">
        <v>1.4540000000000001E-2</v>
      </c>
      <c r="D281" s="3">
        <v>168000</v>
      </c>
      <c r="E281" s="3">
        <v>142000000000</v>
      </c>
      <c r="F281" s="3">
        <v>126000000000</v>
      </c>
      <c r="G281" s="3">
        <v>9070000000</v>
      </c>
      <c r="H281" s="3">
        <v>11700000000</v>
      </c>
      <c r="I281" s="2">
        <v>7.2330000000000005E-2</v>
      </c>
      <c r="J281" s="3">
        <v>5.1500000000000003E-13</v>
      </c>
    </row>
    <row r="282" spans="1:10" x14ac:dyDescent="0.2">
      <c r="A282" s="3">
        <v>280</v>
      </c>
      <c r="B282" s="3">
        <v>2.04E-7</v>
      </c>
      <c r="C282" s="2">
        <v>1.4590000000000001E-2</v>
      </c>
      <c r="D282" s="3">
        <v>176000</v>
      </c>
      <c r="E282" s="3">
        <v>147000000000</v>
      </c>
      <c r="F282" s="3">
        <v>130000000000</v>
      </c>
      <c r="G282" s="3">
        <v>9820000000</v>
      </c>
      <c r="H282" s="3">
        <v>11500000000</v>
      </c>
      <c r="I282" s="2">
        <v>7.5770000000000004E-2</v>
      </c>
      <c r="J282" s="3">
        <v>4.7200000000000001E-13</v>
      </c>
    </row>
    <row r="283" spans="1:10" x14ac:dyDescent="0.2">
      <c r="A283" s="3">
        <v>280</v>
      </c>
      <c r="B283" s="3">
        <v>2.04E-7</v>
      </c>
      <c r="C283" s="2">
        <v>1.465E-2</v>
      </c>
      <c r="D283" s="3">
        <v>166000</v>
      </c>
      <c r="E283" s="3">
        <v>140000000000</v>
      </c>
      <c r="F283" s="3">
        <v>124000000000</v>
      </c>
      <c r="G283" s="3">
        <v>10300000000</v>
      </c>
      <c r="H283" s="3">
        <v>11800000000</v>
      </c>
      <c r="I283" s="2">
        <v>8.3180000000000004E-2</v>
      </c>
      <c r="J283" s="3">
        <v>5.2899999999999997E-13</v>
      </c>
    </row>
    <row r="284" spans="1:10" x14ac:dyDescent="0.2">
      <c r="A284" s="3">
        <v>280</v>
      </c>
      <c r="B284" s="3">
        <v>2.05E-7</v>
      </c>
      <c r="C284" s="2">
        <v>1.47E-2</v>
      </c>
      <c r="D284" s="3">
        <v>146000</v>
      </c>
      <c r="E284" s="3">
        <v>126000000000</v>
      </c>
      <c r="F284" s="3">
        <v>113000000000</v>
      </c>
      <c r="G284" s="3">
        <v>12200000000</v>
      </c>
      <c r="H284" s="3">
        <v>12700000000</v>
      </c>
      <c r="I284" s="2">
        <v>0.1082</v>
      </c>
      <c r="J284" s="3">
        <v>6.8999999999999999E-13</v>
      </c>
    </row>
    <row r="285" spans="1:10" x14ac:dyDescent="0.2">
      <c r="A285" s="3">
        <v>280</v>
      </c>
      <c r="B285" s="3">
        <v>2.0599999999999999E-7</v>
      </c>
      <c r="C285" s="2">
        <v>1.4749999999999999E-2</v>
      </c>
      <c r="D285" s="3">
        <v>158000</v>
      </c>
      <c r="E285" s="3">
        <v>134000000000</v>
      </c>
      <c r="F285" s="3">
        <v>119000000000</v>
      </c>
      <c r="G285" s="2">
        <v>0</v>
      </c>
      <c r="H285" s="3">
        <v>12100000000</v>
      </c>
      <c r="I285" s="2">
        <v>-0.17050000000000001</v>
      </c>
      <c r="J285" s="3">
        <v>5.8900000000000001E-13</v>
      </c>
    </row>
    <row r="286" spans="1:10" x14ac:dyDescent="0.2">
      <c r="A286" s="3">
        <v>280</v>
      </c>
      <c r="B286" s="3">
        <v>2.0599999999999999E-7</v>
      </c>
      <c r="C286" s="2">
        <v>1.4800000000000001E-2</v>
      </c>
      <c r="D286" s="3">
        <v>134000</v>
      </c>
      <c r="E286" s="3">
        <v>118000000000</v>
      </c>
      <c r="F286" s="3">
        <v>106000000000</v>
      </c>
      <c r="G286" s="2">
        <v>0</v>
      </c>
      <c r="H286" s="3">
        <v>13500000000</v>
      </c>
      <c r="I286" s="2">
        <v>-0.1111</v>
      </c>
      <c r="J286" s="3">
        <v>8.2500000000000002E-13</v>
      </c>
    </row>
    <row r="287" spans="1:10" x14ac:dyDescent="0.2">
      <c r="A287" s="3">
        <v>290</v>
      </c>
      <c r="B287" s="3">
        <v>2.0699999999999999E-7</v>
      </c>
      <c r="C287" s="2">
        <v>1.486E-2</v>
      </c>
      <c r="D287" s="3">
        <v>142000</v>
      </c>
      <c r="E287" s="3">
        <v>123000000000</v>
      </c>
      <c r="F287" s="3">
        <v>110000000000</v>
      </c>
      <c r="G287" s="2">
        <v>0</v>
      </c>
      <c r="H287" s="3">
        <v>13000000000</v>
      </c>
      <c r="I287" s="2">
        <v>-9.6479999999999996E-2</v>
      </c>
      <c r="J287" s="3">
        <v>7.3999999999999998E-13</v>
      </c>
    </row>
    <row r="288" spans="1:10" x14ac:dyDescent="0.2">
      <c r="A288" s="3">
        <v>290</v>
      </c>
      <c r="B288" s="3">
        <v>2.0800000000000001E-7</v>
      </c>
      <c r="C288" s="2">
        <v>1.491E-2</v>
      </c>
      <c r="D288" s="3">
        <v>155000</v>
      </c>
      <c r="E288" s="3">
        <v>131000000000</v>
      </c>
      <c r="F288" s="3">
        <v>117000000000</v>
      </c>
      <c r="G288" s="3">
        <v>9900000000</v>
      </c>
      <c r="H288" s="3">
        <v>12300000000</v>
      </c>
      <c r="I288" s="2">
        <v>8.473E-2</v>
      </c>
      <c r="J288" s="3">
        <v>6.2199999999999997E-13</v>
      </c>
    </row>
    <row r="289" spans="1:10" x14ac:dyDescent="0.2">
      <c r="A289" s="3">
        <v>290</v>
      </c>
      <c r="B289" s="3">
        <v>2.0800000000000001E-7</v>
      </c>
      <c r="C289" s="2">
        <v>1.4959999999999999E-2</v>
      </c>
      <c r="D289" s="3">
        <v>153000</v>
      </c>
      <c r="E289" s="3">
        <v>129000000000</v>
      </c>
      <c r="F289" s="3">
        <v>115000000000</v>
      </c>
      <c r="G289" s="3">
        <v>11400000000</v>
      </c>
      <c r="H289" s="3">
        <v>12400000000</v>
      </c>
      <c r="I289" s="2">
        <v>9.9099999999999994E-2</v>
      </c>
      <c r="J289" s="3">
        <v>6.4299999999999999E-13</v>
      </c>
    </row>
    <row r="290" spans="1:10" x14ac:dyDescent="0.2">
      <c r="A290" s="3">
        <v>290</v>
      </c>
      <c r="B290" s="3">
        <v>2.0900000000000001E-7</v>
      </c>
      <c r="C290" s="2">
        <v>1.5010000000000001E-2</v>
      </c>
      <c r="D290" s="3">
        <v>139000</v>
      </c>
      <c r="E290" s="3">
        <v>120000000000</v>
      </c>
      <c r="F290" s="3">
        <v>108000000000</v>
      </c>
      <c r="G290" s="3">
        <v>4940000000</v>
      </c>
      <c r="H290" s="3">
        <v>13100000000</v>
      </c>
      <c r="I290" s="2">
        <v>4.5870000000000001E-2</v>
      </c>
      <c r="J290" s="3">
        <v>7.82E-13</v>
      </c>
    </row>
    <row r="291" spans="1:10" x14ac:dyDescent="0.2">
      <c r="A291" s="3">
        <v>290</v>
      </c>
      <c r="B291" s="3">
        <v>2.1E-7</v>
      </c>
      <c r="C291" s="2">
        <v>1.506E-2</v>
      </c>
      <c r="D291" s="3">
        <v>135000</v>
      </c>
      <c r="E291" s="3">
        <v>117000000000</v>
      </c>
      <c r="F291" s="3">
        <v>106000000000</v>
      </c>
      <c r="G291" s="3">
        <v>5500000000</v>
      </c>
      <c r="H291" s="3">
        <v>13400000000</v>
      </c>
      <c r="I291" s="2">
        <v>5.2109999999999997E-2</v>
      </c>
      <c r="J291" s="3">
        <v>8.3099999999999999E-13</v>
      </c>
    </row>
    <row r="292" spans="1:10" x14ac:dyDescent="0.2">
      <c r="A292" s="3">
        <v>290</v>
      </c>
      <c r="B292" s="3">
        <v>2.11E-7</v>
      </c>
      <c r="C292" s="2">
        <v>1.512E-2</v>
      </c>
      <c r="D292" s="3">
        <v>142000</v>
      </c>
      <c r="E292" s="3">
        <v>121000000000</v>
      </c>
      <c r="F292" s="3">
        <v>109000000000</v>
      </c>
      <c r="G292" s="3">
        <v>231000000</v>
      </c>
      <c r="H292" s="3">
        <v>13000000000</v>
      </c>
      <c r="I292" s="2">
        <v>2.124E-3</v>
      </c>
      <c r="J292" s="3">
        <v>7.5500000000000001E-13</v>
      </c>
    </row>
    <row r="293" spans="1:10" x14ac:dyDescent="0.2">
      <c r="A293" s="3">
        <v>290</v>
      </c>
      <c r="B293" s="3">
        <v>2.11E-7</v>
      </c>
      <c r="C293" s="2">
        <v>1.5169999999999999E-2</v>
      </c>
      <c r="D293" s="3">
        <v>147000</v>
      </c>
      <c r="E293" s="3">
        <v>124000000000</v>
      </c>
      <c r="F293" s="3">
        <v>111000000000</v>
      </c>
      <c r="G293" s="3">
        <v>6200000000</v>
      </c>
      <c r="H293" s="3">
        <v>12700000000</v>
      </c>
      <c r="I293" s="2">
        <v>5.5640000000000002E-2</v>
      </c>
      <c r="J293" s="3">
        <v>7.0500000000000003E-13</v>
      </c>
    </row>
    <row r="294" spans="1:10" x14ac:dyDescent="0.2">
      <c r="A294" s="3">
        <v>290</v>
      </c>
      <c r="B294" s="3">
        <v>2.1199999999999999E-7</v>
      </c>
      <c r="C294" s="2">
        <v>1.5219999999999999E-2</v>
      </c>
      <c r="D294" s="3">
        <v>138000</v>
      </c>
      <c r="E294" s="3">
        <v>118000000000</v>
      </c>
      <c r="F294" s="3">
        <v>106000000000</v>
      </c>
      <c r="G294" s="2">
        <v>0</v>
      </c>
      <c r="H294" s="3">
        <v>13200000000</v>
      </c>
      <c r="I294" s="2">
        <v>-4.981E-2</v>
      </c>
      <c r="J294" s="3">
        <v>8.0200000000000002E-13</v>
      </c>
    </row>
    <row r="295" spans="1:10" x14ac:dyDescent="0.2">
      <c r="A295" s="3">
        <v>290</v>
      </c>
      <c r="B295" s="3">
        <v>2.1299999999999999E-7</v>
      </c>
      <c r="C295" s="2">
        <v>1.5270000000000001E-2</v>
      </c>
      <c r="D295" s="3">
        <v>143000</v>
      </c>
      <c r="E295" s="3">
        <v>121000000000</v>
      </c>
      <c r="F295" s="3">
        <v>109000000000</v>
      </c>
      <c r="G295" s="2">
        <v>0</v>
      </c>
      <c r="H295" s="3">
        <v>12900000000</v>
      </c>
      <c r="I295" s="2">
        <v>-2.8459999999999999E-2</v>
      </c>
      <c r="J295" s="3">
        <v>7.5000000000000004E-13</v>
      </c>
    </row>
    <row r="296" spans="1:10" x14ac:dyDescent="0.2">
      <c r="A296" s="3">
        <v>290</v>
      </c>
      <c r="B296" s="3">
        <v>2.1400000000000001E-7</v>
      </c>
      <c r="C296" s="2">
        <v>1.532E-2</v>
      </c>
      <c r="D296" s="3">
        <v>152000</v>
      </c>
      <c r="E296" s="3">
        <v>127000000000</v>
      </c>
      <c r="F296" s="3">
        <v>113000000000</v>
      </c>
      <c r="G296" s="3">
        <v>3060000000</v>
      </c>
      <c r="H296" s="3">
        <v>12400000000</v>
      </c>
      <c r="I296" s="2">
        <v>2.7060000000000001E-2</v>
      </c>
      <c r="J296" s="3">
        <v>6.6799999999999998E-13</v>
      </c>
    </row>
    <row r="297" spans="1:10" x14ac:dyDescent="0.2">
      <c r="A297" s="3">
        <v>300</v>
      </c>
      <c r="B297" s="3">
        <v>2.1500000000000001E-7</v>
      </c>
      <c r="C297" s="2">
        <v>1.538E-2</v>
      </c>
      <c r="D297" s="3">
        <v>147000</v>
      </c>
      <c r="E297" s="3">
        <v>124000000000</v>
      </c>
      <c r="F297" s="3">
        <v>111000000000</v>
      </c>
      <c r="G297" s="2">
        <v>0</v>
      </c>
      <c r="H297" s="3">
        <v>12600000000</v>
      </c>
      <c r="I297" s="2">
        <v>-4.7029999999999997E-3</v>
      </c>
      <c r="J297" s="3">
        <v>7.0900000000000001E-13</v>
      </c>
    </row>
    <row r="298" spans="1:10" x14ac:dyDescent="0.2">
      <c r="A298" s="3">
        <v>300</v>
      </c>
      <c r="B298" s="3">
        <v>2.1500000000000001E-7</v>
      </c>
      <c r="C298" s="2">
        <v>1.5429999999999999E-2</v>
      </c>
      <c r="D298" s="3">
        <v>152000</v>
      </c>
      <c r="E298" s="3">
        <v>126000000000</v>
      </c>
      <c r="F298" s="3">
        <v>113000000000</v>
      </c>
      <c r="G298" s="3">
        <v>11100000000</v>
      </c>
      <c r="H298" s="3">
        <v>12400000000</v>
      </c>
      <c r="I298" s="2">
        <v>9.8460000000000006E-2</v>
      </c>
      <c r="J298" s="3">
        <v>6.6899999999999998E-13</v>
      </c>
    </row>
    <row r="299" spans="1:10" x14ac:dyDescent="0.2">
      <c r="A299" s="3">
        <v>300</v>
      </c>
      <c r="B299" s="3">
        <v>2.16E-7</v>
      </c>
      <c r="C299" s="2">
        <v>1.5480000000000001E-2</v>
      </c>
      <c r="D299" s="3">
        <v>147000</v>
      </c>
      <c r="E299" s="3">
        <v>123000000000</v>
      </c>
      <c r="F299" s="3">
        <v>110000000000</v>
      </c>
      <c r="G299" s="3">
        <v>9580000000</v>
      </c>
      <c r="H299" s="3">
        <v>12600000000</v>
      </c>
      <c r="I299" s="2">
        <v>8.6819999999999994E-2</v>
      </c>
      <c r="J299" s="3">
        <v>7.1599999999999998E-13</v>
      </c>
    </row>
    <row r="300" spans="1:10" x14ac:dyDescent="0.2">
      <c r="A300" s="3">
        <v>300</v>
      </c>
      <c r="B300" s="3">
        <v>2.16E-7</v>
      </c>
      <c r="C300" s="2">
        <v>1.553E-2</v>
      </c>
      <c r="D300" s="3">
        <v>151000</v>
      </c>
      <c r="E300" s="3">
        <v>125000000000</v>
      </c>
      <c r="F300" s="3">
        <v>112000000000</v>
      </c>
      <c r="G300" s="3">
        <v>23400000000</v>
      </c>
      <c r="H300" s="3">
        <v>12500000000</v>
      </c>
      <c r="I300" s="2">
        <v>0.2087</v>
      </c>
      <c r="J300" s="3">
        <v>6.8400000000000001E-13</v>
      </c>
    </row>
    <row r="301" spans="1:10" x14ac:dyDescent="0.2">
      <c r="A301" s="3">
        <v>300</v>
      </c>
      <c r="B301" s="3">
        <v>2.17E-7</v>
      </c>
      <c r="C301" s="2">
        <v>1.559E-2</v>
      </c>
      <c r="D301" s="3">
        <v>141000</v>
      </c>
      <c r="E301" s="3">
        <v>119000000000</v>
      </c>
      <c r="F301" s="3">
        <v>107000000000</v>
      </c>
      <c r="G301" s="3">
        <v>16600000000</v>
      </c>
      <c r="H301" s="3">
        <v>13000000000</v>
      </c>
      <c r="I301" s="2">
        <v>0.1552</v>
      </c>
      <c r="J301" s="3">
        <v>7.8499999999999999E-13</v>
      </c>
    </row>
    <row r="302" spans="1:10" x14ac:dyDescent="0.2">
      <c r="A302" s="3">
        <v>300</v>
      </c>
      <c r="B302" s="3">
        <v>2.17E-7</v>
      </c>
      <c r="C302" s="2">
        <v>1.5640000000000001E-2</v>
      </c>
      <c r="D302" s="3">
        <v>137000</v>
      </c>
      <c r="E302" s="3">
        <v>116000000000</v>
      </c>
      <c r="F302" s="3">
        <v>105000000000</v>
      </c>
      <c r="G302" s="3">
        <v>17600000000</v>
      </c>
      <c r="H302" s="3">
        <v>13300000000</v>
      </c>
      <c r="I302" s="2">
        <v>0.1681</v>
      </c>
      <c r="J302" s="3">
        <v>8.3999999999999995E-13</v>
      </c>
    </row>
    <row r="303" spans="1:10" x14ac:dyDescent="0.2">
      <c r="A303" s="3">
        <v>300</v>
      </c>
      <c r="B303" s="3">
        <v>2.1799999999999999E-7</v>
      </c>
      <c r="C303" s="2">
        <v>1.5689999999999999E-2</v>
      </c>
      <c r="D303" s="3">
        <v>143000</v>
      </c>
      <c r="E303" s="3">
        <v>120000000000</v>
      </c>
      <c r="F303" s="3">
        <v>108000000000</v>
      </c>
      <c r="G303" s="3">
        <v>6410000000</v>
      </c>
      <c r="H303" s="3">
        <v>12900000000</v>
      </c>
      <c r="I303" s="2">
        <v>5.9339999999999997E-2</v>
      </c>
      <c r="J303" s="3">
        <v>7.6499999999999997E-13</v>
      </c>
    </row>
    <row r="304" spans="1:10" x14ac:dyDescent="0.2">
      <c r="A304" s="3">
        <v>300</v>
      </c>
      <c r="B304" s="3">
        <v>2.1799999999999999E-7</v>
      </c>
      <c r="C304" s="2">
        <v>1.5740000000000001E-2</v>
      </c>
      <c r="D304" s="3">
        <v>163000</v>
      </c>
      <c r="E304" s="3">
        <v>133000000000</v>
      </c>
      <c r="F304" s="3">
        <v>118000000000</v>
      </c>
      <c r="G304" s="3">
        <v>2520000000</v>
      </c>
      <c r="H304" s="3">
        <v>12000000000</v>
      </c>
      <c r="I304" s="2">
        <v>2.128E-2</v>
      </c>
      <c r="J304" s="3">
        <v>5.9000000000000001E-13</v>
      </c>
    </row>
    <row r="305" spans="1:10" x14ac:dyDescent="0.2">
      <c r="A305" s="3">
        <v>300</v>
      </c>
      <c r="B305" s="3">
        <v>2.1899999999999999E-7</v>
      </c>
      <c r="C305" s="2">
        <v>1.5789999999999998E-2</v>
      </c>
      <c r="D305" s="3">
        <v>149000</v>
      </c>
      <c r="E305" s="3">
        <v>124000000000</v>
      </c>
      <c r="F305" s="3">
        <v>111000000000</v>
      </c>
      <c r="G305" s="3">
        <v>7680000000</v>
      </c>
      <c r="H305" s="3">
        <v>12600000000</v>
      </c>
      <c r="I305" s="2">
        <v>6.9379999999999997E-2</v>
      </c>
      <c r="J305" s="3">
        <v>7.0900000000000001E-13</v>
      </c>
    </row>
    <row r="306" spans="1:10" x14ac:dyDescent="0.2">
      <c r="A306" s="3">
        <v>300</v>
      </c>
      <c r="B306" s="3">
        <v>2.1899999999999999E-7</v>
      </c>
      <c r="C306" s="2">
        <v>1.585E-2</v>
      </c>
      <c r="D306" s="3">
        <v>142000</v>
      </c>
      <c r="E306" s="3">
        <v>119000000000</v>
      </c>
      <c r="F306" s="3">
        <v>107000000000</v>
      </c>
      <c r="G306" s="3">
        <v>6000000000</v>
      </c>
      <c r="H306" s="3">
        <v>13000000000</v>
      </c>
      <c r="I306" s="2">
        <v>5.6000000000000001E-2</v>
      </c>
      <c r="J306" s="3">
        <v>7.82E-13</v>
      </c>
    </row>
    <row r="307" spans="1:10" x14ac:dyDescent="0.2">
      <c r="A307" s="3">
        <v>310</v>
      </c>
      <c r="B307" s="3">
        <v>2.2000000000000001E-7</v>
      </c>
      <c r="C307" s="2">
        <v>1.5900000000000001E-2</v>
      </c>
      <c r="D307" s="3">
        <v>169000</v>
      </c>
      <c r="E307" s="3">
        <v>136000000000</v>
      </c>
      <c r="F307" s="3">
        <v>121000000000</v>
      </c>
      <c r="G307" s="3">
        <v>11300000000</v>
      </c>
      <c r="H307" s="3">
        <v>11800000000</v>
      </c>
      <c r="I307" s="2">
        <v>9.3170000000000003E-2</v>
      </c>
      <c r="J307" s="3">
        <v>5.5599999999999995E-13</v>
      </c>
    </row>
    <row r="308" spans="1:10" x14ac:dyDescent="0.2">
      <c r="A308" s="3">
        <v>310</v>
      </c>
      <c r="B308" s="3">
        <v>2.2100000000000001E-7</v>
      </c>
      <c r="C308" s="2">
        <v>1.5949999999999999E-2</v>
      </c>
      <c r="D308" s="3">
        <v>148000</v>
      </c>
      <c r="E308" s="3">
        <v>122000000000</v>
      </c>
      <c r="F308" s="3">
        <v>110000000000</v>
      </c>
      <c r="G308" s="3">
        <v>2750000000</v>
      </c>
      <c r="H308" s="3">
        <v>12700000000</v>
      </c>
      <c r="I308" s="2">
        <v>2.5069999999999999E-2</v>
      </c>
      <c r="J308" s="3">
        <v>7.2800000000000003E-13</v>
      </c>
    </row>
    <row r="309" spans="1:10" x14ac:dyDescent="0.2">
      <c r="A309" s="3">
        <v>310</v>
      </c>
      <c r="B309" s="3">
        <v>2.2100000000000001E-7</v>
      </c>
      <c r="C309" s="2">
        <v>1.6E-2</v>
      </c>
      <c r="D309" s="3">
        <v>194000</v>
      </c>
      <c r="E309" s="3">
        <v>153000000000</v>
      </c>
      <c r="F309" s="3">
        <v>134000000000</v>
      </c>
      <c r="G309" s="2">
        <v>0</v>
      </c>
      <c r="H309" s="3">
        <v>11100000000</v>
      </c>
      <c r="I309" s="2">
        <v>-4.901E-3</v>
      </c>
      <c r="J309" s="3">
        <v>4.26E-13</v>
      </c>
    </row>
    <row r="310" spans="1:10" x14ac:dyDescent="0.2">
      <c r="A310" s="3">
        <v>310</v>
      </c>
      <c r="B310" s="3">
        <v>2.2100000000000001E-7</v>
      </c>
      <c r="C310" s="2">
        <v>1.6049999999999998E-2</v>
      </c>
      <c r="D310" s="3">
        <v>145000</v>
      </c>
      <c r="E310" s="3">
        <v>120000000000</v>
      </c>
      <c r="F310" s="3">
        <v>108000000000</v>
      </c>
      <c r="G310" s="3">
        <v>5470000000</v>
      </c>
      <c r="H310" s="3">
        <v>13000000000</v>
      </c>
      <c r="I310" s="2">
        <v>5.0619999999999998E-2</v>
      </c>
      <c r="J310" s="3">
        <v>7.6699999999999996E-13</v>
      </c>
    </row>
    <row r="311" spans="1:10" x14ac:dyDescent="0.2">
      <c r="A311" s="3">
        <v>310</v>
      </c>
      <c r="B311" s="3">
        <v>2.23E-7</v>
      </c>
      <c r="C311" s="2">
        <v>1.6109999999999999E-2</v>
      </c>
      <c r="D311" s="3">
        <v>140000</v>
      </c>
      <c r="E311" s="3">
        <v>117000000000</v>
      </c>
      <c r="F311" s="3">
        <v>105000000000</v>
      </c>
      <c r="G311" s="3">
        <v>11000000000</v>
      </c>
      <c r="H311" s="3">
        <v>13200000000</v>
      </c>
      <c r="I311" s="2">
        <v>0.105</v>
      </c>
      <c r="J311" s="3">
        <v>8.2400000000000002E-13</v>
      </c>
    </row>
    <row r="312" spans="1:10" x14ac:dyDescent="0.2">
      <c r="A312" s="3">
        <v>310</v>
      </c>
      <c r="B312" s="3">
        <v>2.23E-7</v>
      </c>
      <c r="C312" s="2">
        <v>1.6160000000000001E-2</v>
      </c>
      <c r="D312" s="3">
        <v>146000</v>
      </c>
      <c r="E312" s="3">
        <v>120000000000</v>
      </c>
      <c r="F312" s="3">
        <v>108000000000</v>
      </c>
      <c r="G312" s="2">
        <v>0</v>
      </c>
      <c r="H312" s="3">
        <v>12900000000</v>
      </c>
      <c r="I312" s="2">
        <v>-4.9110000000000001E-2</v>
      </c>
      <c r="J312" s="3">
        <v>7.5700000000000001E-13</v>
      </c>
    </row>
    <row r="313" spans="1:10" x14ac:dyDescent="0.2">
      <c r="A313" s="3">
        <v>310</v>
      </c>
      <c r="B313" s="3">
        <v>2.2399999999999999E-7</v>
      </c>
      <c r="C313" s="2">
        <v>1.6209999999999999E-2</v>
      </c>
      <c r="D313" s="3">
        <v>146000</v>
      </c>
      <c r="E313" s="3">
        <v>120000000000</v>
      </c>
      <c r="F313" s="3">
        <v>108000000000</v>
      </c>
      <c r="G313" s="2">
        <v>0</v>
      </c>
      <c r="H313" s="3">
        <v>12900000000</v>
      </c>
      <c r="I313" s="2">
        <v>-0.1217</v>
      </c>
      <c r="J313" s="3">
        <v>7.6199999999999998E-13</v>
      </c>
    </row>
    <row r="314" spans="1:10" x14ac:dyDescent="0.2">
      <c r="A314" s="3">
        <v>310</v>
      </c>
      <c r="B314" s="3">
        <v>2.2399999999999999E-7</v>
      </c>
      <c r="C314" s="2">
        <v>1.626E-2</v>
      </c>
      <c r="D314" s="3">
        <v>150000</v>
      </c>
      <c r="E314" s="3">
        <v>122000000000</v>
      </c>
      <c r="F314" s="3">
        <v>110000000000</v>
      </c>
      <c r="G314" s="3">
        <v>198000000</v>
      </c>
      <c r="H314" s="3">
        <v>12600000000</v>
      </c>
      <c r="I314" s="2">
        <v>1.802E-3</v>
      </c>
      <c r="J314" s="3">
        <v>7.2300000000000005E-13</v>
      </c>
    </row>
    <row r="315" spans="1:10" x14ac:dyDescent="0.2">
      <c r="A315" s="3">
        <v>310</v>
      </c>
      <c r="B315" s="3">
        <v>2.2499999999999999E-7</v>
      </c>
      <c r="C315" s="2">
        <v>1.6320000000000001E-2</v>
      </c>
      <c r="D315" s="3">
        <v>145000</v>
      </c>
      <c r="E315" s="3">
        <v>119000000000</v>
      </c>
      <c r="F315" s="3">
        <v>107000000000</v>
      </c>
      <c r="G315" s="3">
        <v>8670000000</v>
      </c>
      <c r="H315" s="3">
        <v>12900000000</v>
      </c>
      <c r="I315" s="2">
        <v>8.1009999999999999E-2</v>
      </c>
      <c r="J315" s="3">
        <v>7.7900000000000001E-13</v>
      </c>
    </row>
    <row r="316" spans="1:10" x14ac:dyDescent="0.2">
      <c r="A316" s="3">
        <v>310</v>
      </c>
      <c r="B316" s="3">
        <v>2.2700000000000001E-7</v>
      </c>
      <c r="C316" s="2">
        <v>1.6369999999999999E-2</v>
      </c>
      <c r="D316" s="3">
        <v>147000</v>
      </c>
      <c r="E316" s="3">
        <v>120000000000</v>
      </c>
      <c r="F316" s="3">
        <v>108000000000</v>
      </c>
      <c r="G316" s="2">
        <v>0</v>
      </c>
      <c r="H316" s="3">
        <v>12700000000</v>
      </c>
      <c r="I316" s="2">
        <v>-5.6259999999999998E-2</v>
      </c>
      <c r="J316" s="3">
        <v>7.5999999999999999E-13</v>
      </c>
    </row>
    <row r="317" spans="1:10" x14ac:dyDescent="0.2">
      <c r="A317" s="3">
        <v>320</v>
      </c>
      <c r="B317" s="3">
        <v>2.29E-7</v>
      </c>
      <c r="C317" s="2">
        <v>1.6420000000000001E-2</v>
      </c>
      <c r="D317" s="3">
        <v>144000</v>
      </c>
      <c r="E317" s="3">
        <v>117000000000</v>
      </c>
      <c r="F317" s="3">
        <v>105000000000</v>
      </c>
      <c r="G317" s="3">
        <v>1580000000</v>
      </c>
      <c r="H317" s="3">
        <v>12700000000</v>
      </c>
      <c r="I317" s="2">
        <v>1.4970000000000001E-2</v>
      </c>
      <c r="J317" s="3">
        <v>7.9199999999999996E-13</v>
      </c>
    </row>
    <row r="318" spans="1:10" x14ac:dyDescent="0.2">
      <c r="A318" s="3">
        <v>320</v>
      </c>
      <c r="B318" s="3">
        <v>2.2999999999999999E-7</v>
      </c>
      <c r="C318" s="2">
        <v>1.6469999999999999E-2</v>
      </c>
      <c r="D318" s="3">
        <v>154000</v>
      </c>
      <c r="E318" s="3">
        <v>123000000000</v>
      </c>
      <c r="F318" s="3">
        <v>110000000000</v>
      </c>
      <c r="G318" s="3">
        <v>3240000000</v>
      </c>
      <c r="H318" s="3">
        <v>12200000000</v>
      </c>
      <c r="I318" s="2">
        <v>2.945E-2</v>
      </c>
      <c r="J318" s="3">
        <v>6.9499999999999997E-13</v>
      </c>
    </row>
    <row r="319" spans="1:10" x14ac:dyDescent="0.2">
      <c r="A319" s="3">
        <v>320</v>
      </c>
      <c r="B319" s="3">
        <v>2.3099999999999999E-7</v>
      </c>
      <c r="C319" s="2">
        <v>1.652E-2</v>
      </c>
      <c r="D319" s="3">
        <v>150000</v>
      </c>
      <c r="E319" s="3">
        <v>120000000000</v>
      </c>
      <c r="F319" s="3">
        <v>108000000000</v>
      </c>
      <c r="G319" s="3">
        <v>6530000000</v>
      </c>
      <c r="H319" s="3">
        <v>12300000000</v>
      </c>
      <c r="I319" s="2">
        <v>6.0679999999999998E-2</v>
      </c>
      <c r="J319" s="3">
        <v>7.35E-13</v>
      </c>
    </row>
    <row r="320" spans="1:10" x14ac:dyDescent="0.2">
      <c r="A320" s="3">
        <v>320</v>
      </c>
      <c r="B320" s="3">
        <v>2.3200000000000001E-7</v>
      </c>
      <c r="C320" s="2">
        <v>1.6580000000000001E-2</v>
      </c>
      <c r="D320" s="3">
        <v>146000</v>
      </c>
      <c r="E320" s="3">
        <v>117000000000</v>
      </c>
      <c r="F320" s="3">
        <v>105000000000</v>
      </c>
      <c r="G320" s="3">
        <v>10500000000</v>
      </c>
      <c r="H320" s="3">
        <v>12500000000</v>
      </c>
      <c r="I320" s="2">
        <v>9.9379999999999996E-2</v>
      </c>
      <c r="J320" s="3">
        <v>7.82E-13</v>
      </c>
    </row>
    <row r="321" spans="1:10" x14ac:dyDescent="0.2">
      <c r="A321" s="3">
        <v>320</v>
      </c>
      <c r="B321" s="3">
        <v>2.3300000000000001E-7</v>
      </c>
      <c r="C321" s="2">
        <v>1.6629999999999999E-2</v>
      </c>
      <c r="D321" s="3">
        <v>156000</v>
      </c>
      <c r="E321" s="3">
        <v>123000000000</v>
      </c>
      <c r="F321" s="3">
        <v>110000000000</v>
      </c>
      <c r="G321" s="3">
        <v>4090000000</v>
      </c>
      <c r="H321" s="3">
        <v>12100000000</v>
      </c>
      <c r="I321" s="2">
        <v>3.7060000000000003E-2</v>
      </c>
      <c r="J321" s="3">
        <v>6.8400000000000001E-13</v>
      </c>
    </row>
    <row r="322" spans="1:10" x14ac:dyDescent="0.2">
      <c r="A322" s="3">
        <v>320</v>
      </c>
      <c r="B322" s="3">
        <v>2.3300000000000001E-7</v>
      </c>
      <c r="C322" s="2">
        <v>1.668E-2</v>
      </c>
      <c r="D322" s="3">
        <v>148000</v>
      </c>
      <c r="E322" s="3">
        <v>118000000000</v>
      </c>
      <c r="F322" s="3">
        <v>106000000000</v>
      </c>
      <c r="G322" s="3">
        <v>5700000000</v>
      </c>
      <c r="H322" s="3">
        <v>12500000000</v>
      </c>
      <c r="I322" s="2">
        <v>5.3769999999999998E-2</v>
      </c>
      <c r="J322" s="3">
        <v>7.6699999999999996E-13</v>
      </c>
    </row>
    <row r="323" spans="1:10" x14ac:dyDescent="0.2">
      <c r="A323" s="3">
        <v>320</v>
      </c>
      <c r="B323" s="3">
        <v>2.34E-7</v>
      </c>
      <c r="C323" s="2">
        <v>1.6729999999999998E-2</v>
      </c>
      <c r="D323" s="3">
        <v>140000</v>
      </c>
      <c r="E323" s="3">
        <v>113000000000</v>
      </c>
      <c r="F323" s="3">
        <v>102000000000</v>
      </c>
      <c r="G323" s="3">
        <v>4650000000</v>
      </c>
      <c r="H323" s="3">
        <v>12900000000</v>
      </c>
      <c r="I323" s="2">
        <v>4.5569999999999999E-2</v>
      </c>
      <c r="J323" s="3">
        <v>8.5599999999999999E-13</v>
      </c>
    </row>
    <row r="324" spans="1:10" x14ac:dyDescent="0.2">
      <c r="A324" s="3">
        <v>320</v>
      </c>
      <c r="B324" s="3">
        <v>2.35E-7</v>
      </c>
      <c r="C324" s="2">
        <v>1.6789999999999999E-2</v>
      </c>
      <c r="D324" s="3">
        <v>144000</v>
      </c>
      <c r="E324" s="3">
        <v>115000000000</v>
      </c>
      <c r="F324" s="3">
        <v>104000000000</v>
      </c>
      <c r="G324" s="2">
        <v>0</v>
      </c>
      <c r="H324" s="3">
        <v>12700000000</v>
      </c>
      <c r="I324" s="2">
        <v>-8.3779999999999993E-2</v>
      </c>
      <c r="J324" s="3">
        <v>8.0999999999999998E-13</v>
      </c>
    </row>
    <row r="325" spans="1:10" x14ac:dyDescent="0.2">
      <c r="A325" s="3">
        <v>320</v>
      </c>
      <c r="B325" s="3">
        <v>2.35E-7</v>
      </c>
      <c r="C325" s="2">
        <v>1.6840000000000001E-2</v>
      </c>
      <c r="D325" s="3">
        <v>151000</v>
      </c>
      <c r="E325" s="3">
        <v>119000000000</v>
      </c>
      <c r="F325" s="3">
        <v>107000000000</v>
      </c>
      <c r="G325" s="2">
        <v>0</v>
      </c>
      <c r="H325" s="3">
        <v>12400000000</v>
      </c>
      <c r="I325" s="2">
        <v>-1.651E-2</v>
      </c>
      <c r="J325" s="3">
        <v>7.4199999999999997E-13</v>
      </c>
    </row>
    <row r="326" spans="1:10" x14ac:dyDescent="0.2">
      <c r="A326" s="3">
        <v>320</v>
      </c>
      <c r="B326" s="3">
        <v>2.36E-7</v>
      </c>
      <c r="C326" s="2">
        <v>1.6889999999999999E-2</v>
      </c>
      <c r="D326" s="3">
        <v>161000</v>
      </c>
      <c r="E326" s="3">
        <v>125000000000</v>
      </c>
      <c r="F326" s="3">
        <v>112000000000</v>
      </c>
      <c r="G326" s="3">
        <v>16800000</v>
      </c>
      <c r="H326" s="3">
        <v>11900000000</v>
      </c>
      <c r="I326" s="2">
        <v>1.4919999999999999E-4</v>
      </c>
      <c r="J326" s="3">
        <v>6.5200000000000005E-13</v>
      </c>
    </row>
    <row r="327" spans="1:10" x14ac:dyDescent="0.2">
      <c r="A327" s="3">
        <v>330</v>
      </c>
      <c r="B327" s="3">
        <v>2.36E-7</v>
      </c>
      <c r="C327" s="2">
        <v>1.694E-2</v>
      </c>
      <c r="D327" s="3">
        <v>151000</v>
      </c>
      <c r="E327" s="3">
        <v>119000000000</v>
      </c>
      <c r="F327" s="3">
        <v>107000000000</v>
      </c>
      <c r="G327" s="2">
        <v>0</v>
      </c>
      <c r="H327" s="3">
        <v>12400000000</v>
      </c>
      <c r="I327" s="2">
        <v>-2.2590000000000002E-3</v>
      </c>
      <c r="J327" s="3">
        <v>7.4599999999999995E-13</v>
      </c>
    </row>
    <row r="328" spans="1:10" x14ac:dyDescent="0.2">
      <c r="A328" s="3">
        <v>330</v>
      </c>
      <c r="B328" s="3">
        <v>2.3699999999999999E-7</v>
      </c>
      <c r="C328" s="2">
        <v>1.6990000000000002E-2</v>
      </c>
      <c r="D328" s="3">
        <v>148000</v>
      </c>
      <c r="E328" s="3">
        <v>117000000000</v>
      </c>
      <c r="F328" s="3">
        <v>106000000000</v>
      </c>
      <c r="G328" s="3">
        <v>2190000000</v>
      </c>
      <c r="H328" s="3">
        <v>12500000000</v>
      </c>
      <c r="I328" s="2">
        <v>2.0729999999999998E-2</v>
      </c>
      <c r="J328" s="3">
        <v>7.7500000000000003E-13</v>
      </c>
    </row>
    <row r="329" spans="1:10" x14ac:dyDescent="0.2">
      <c r="A329" s="3">
        <v>330</v>
      </c>
      <c r="B329" s="3">
        <v>2.3699999999999999E-7</v>
      </c>
      <c r="C329" s="2">
        <v>1.7049999999999999E-2</v>
      </c>
      <c r="D329" s="3">
        <v>162000</v>
      </c>
      <c r="E329" s="3">
        <v>126000000000</v>
      </c>
      <c r="F329" s="3">
        <v>112000000000</v>
      </c>
      <c r="G329" s="2">
        <v>0</v>
      </c>
      <c r="H329" s="3">
        <v>11900000000</v>
      </c>
      <c r="I329" s="2">
        <v>-9.8729999999999998E-4</v>
      </c>
      <c r="J329" s="3">
        <v>6.5099999999999995E-13</v>
      </c>
    </row>
    <row r="330" spans="1:10" x14ac:dyDescent="0.2">
      <c r="A330" s="3">
        <v>330</v>
      </c>
      <c r="B330" s="3">
        <v>2.3799999999999999E-7</v>
      </c>
      <c r="C330" s="2">
        <v>1.7100000000000001E-2</v>
      </c>
      <c r="D330" s="3">
        <v>144000</v>
      </c>
      <c r="E330" s="3">
        <v>114000000000</v>
      </c>
      <c r="F330" s="3">
        <v>103000000000</v>
      </c>
      <c r="G330" s="3">
        <v>15500000000</v>
      </c>
      <c r="H330" s="3">
        <v>12700000000</v>
      </c>
      <c r="I330" s="2">
        <v>0.1497</v>
      </c>
      <c r="J330" s="3">
        <v>8.2300000000000003E-13</v>
      </c>
    </row>
    <row r="331" spans="1:10" x14ac:dyDescent="0.2">
      <c r="A331" s="3">
        <v>330</v>
      </c>
      <c r="B331" s="3">
        <v>2.3799999999999999E-7</v>
      </c>
      <c r="C331" s="2">
        <v>1.7149999999999999E-2</v>
      </c>
      <c r="D331" s="3">
        <v>135000</v>
      </c>
      <c r="E331" s="3">
        <v>109000000000</v>
      </c>
      <c r="F331" s="3">
        <v>99000000000</v>
      </c>
      <c r="G331" s="2">
        <v>0</v>
      </c>
      <c r="H331" s="3">
        <v>13300000000</v>
      </c>
      <c r="I331" s="2">
        <v>-8.0440000000000008E-3</v>
      </c>
      <c r="J331" s="3">
        <v>9.3800000000000004E-13</v>
      </c>
    </row>
    <row r="332" spans="1:10" x14ac:dyDescent="0.2">
      <c r="A332" s="3">
        <v>330</v>
      </c>
      <c r="B332" s="3">
        <v>2.3900000000000001E-7</v>
      </c>
      <c r="C332" s="2">
        <v>1.72E-2</v>
      </c>
      <c r="D332" s="3">
        <v>154000</v>
      </c>
      <c r="E332" s="3">
        <v>120000000000</v>
      </c>
      <c r="F332" s="3">
        <v>108000000000</v>
      </c>
      <c r="G332" s="2">
        <v>0</v>
      </c>
      <c r="H332" s="3">
        <v>12300000000</v>
      </c>
      <c r="I332" s="2">
        <v>-6.5199999999999994E-2</v>
      </c>
      <c r="J332" s="3">
        <v>7.2400000000000005E-13</v>
      </c>
    </row>
    <row r="333" spans="1:10" x14ac:dyDescent="0.2">
      <c r="A333" s="3">
        <v>330</v>
      </c>
      <c r="B333" s="3">
        <v>2.3900000000000001E-7</v>
      </c>
      <c r="C333" s="2">
        <v>1.7260000000000001E-2</v>
      </c>
      <c r="D333" s="3">
        <v>140000</v>
      </c>
      <c r="E333" s="3">
        <v>112000000000</v>
      </c>
      <c r="F333" s="3">
        <v>101000000000</v>
      </c>
      <c r="G333" s="2">
        <v>0</v>
      </c>
      <c r="H333" s="3">
        <v>13100000000</v>
      </c>
      <c r="I333" s="2">
        <v>-5.5590000000000001E-2</v>
      </c>
      <c r="J333" s="3">
        <v>8.8499999999999997E-13</v>
      </c>
    </row>
    <row r="334" spans="1:10" x14ac:dyDescent="0.2">
      <c r="A334" s="3">
        <v>330</v>
      </c>
      <c r="B334" s="3">
        <v>2.3999999999999998E-7</v>
      </c>
      <c r="C334" s="2">
        <v>1.7309999999999999E-2</v>
      </c>
      <c r="D334" s="3">
        <v>156000</v>
      </c>
      <c r="E334" s="3">
        <v>121000000000</v>
      </c>
      <c r="F334" s="3">
        <v>109000000000</v>
      </c>
      <c r="G334" s="3">
        <v>12400000000</v>
      </c>
      <c r="H334" s="3">
        <v>12200000000</v>
      </c>
      <c r="I334" s="2">
        <v>0.11360000000000001</v>
      </c>
      <c r="J334" s="3">
        <v>7.1E-13</v>
      </c>
    </row>
    <row r="335" spans="1:10" x14ac:dyDescent="0.2">
      <c r="A335" s="3">
        <v>330</v>
      </c>
      <c r="B335" s="3">
        <v>2.41E-7</v>
      </c>
      <c r="C335" s="2">
        <v>1.736E-2</v>
      </c>
      <c r="D335" s="3">
        <v>159000</v>
      </c>
      <c r="E335" s="3">
        <v>123000000000</v>
      </c>
      <c r="F335" s="3">
        <v>110000000000</v>
      </c>
      <c r="G335" s="3">
        <v>8620000000</v>
      </c>
      <c r="H335" s="3">
        <v>12100000000</v>
      </c>
      <c r="I335" s="2">
        <v>7.8070000000000001E-2</v>
      </c>
      <c r="J335" s="3">
        <v>6.8400000000000001E-13</v>
      </c>
    </row>
    <row r="336" spans="1:10" x14ac:dyDescent="0.2">
      <c r="A336" s="3">
        <v>330</v>
      </c>
      <c r="B336" s="3">
        <v>2.41E-7</v>
      </c>
      <c r="C336" s="2">
        <v>1.7409999999999998E-2</v>
      </c>
      <c r="D336" s="3">
        <v>142000</v>
      </c>
      <c r="E336" s="3">
        <v>112000000000</v>
      </c>
      <c r="F336" s="3">
        <v>102000000000</v>
      </c>
      <c r="G336" s="2">
        <v>0</v>
      </c>
      <c r="H336" s="3">
        <v>13000000000</v>
      </c>
      <c r="I336" s="2">
        <v>-1.9949999999999999E-2</v>
      </c>
      <c r="J336" s="3">
        <v>8.6600000000000005E-13</v>
      </c>
    </row>
    <row r="337" spans="1:10" x14ac:dyDescent="0.2">
      <c r="A337" s="3">
        <v>340</v>
      </c>
      <c r="B337" s="3">
        <v>2.4200000000000002E-7</v>
      </c>
      <c r="C337" s="2">
        <v>1.746E-2</v>
      </c>
      <c r="D337" s="3">
        <v>151000</v>
      </c>
      <c r="E337" s="3">
        <v>118000000000</v>
      </c>
      <c r="F337" s="3">
        <v>106000000000</v>
      </c>
      <c r="G337" s="2">
        <v>0</v>
      </c>
      <c r="H337" s="3">
        <v>12500000000</v>
      </c>
      <c r="I337" s="2">
        <v>-4.1829999999999999E-2</v>
      </c>
      <c r="J337" s="3">
        <v>7.6899999999999995E-13</v>
      </c>
    </row>
    <row r="338" spans="1:10" x14ac:dyDescent="0.2">
      <c r="A338" s="3">
        <v>340</v>
      </c>
      <c r="B338" s="3">
        <v>2.4299999999999999E-7</v>
      </c>
      <c r="C338" s="2">
        <v>1.7520000000000001E-2</v>
      </c>
      <c r="D338" s="3">
        <v>150000</v>
      </c>
      <c r="E338" s="3">
        <v>117000000000</v>
      </c>
      <c r="F338" s="3">
        <v>105000000000</v>
      </c>
      <c r="G338" s="2">
        <v>0</v>
      </c>
      <c r="H338" s="3">
        <v>12500000000</v>
      </c>
      <c r="I338" s="2">
        <v>-3.2219999999999999E-2</v>
      </c>
      <c r="J338" s="3">
        <v>7.8000000000000001E-13</v>
      </c>
    </row>
    <row r="339" spans="1:10" x14ac:dyDescent="0.2">
      <c r="A339" s="3">
        <v>340</v>
      </c>
      <c r="B339" s="3">
        <v>2.4400000000000001E-7</v>
      </c>
      <c r="C339" s="2">
        <v>1.7569999999999999E-2</v>
      </c>
      <c r="D339" s="3">
        <v>157000</v>
      </c>
      <c r="E339" s="3">
        <v>121000000000</v>
      </c>
      <c r="F339" s="3">
        <v>109000000000</v>
      </c>
      <c r="G339" s="3">
        <v>168000000</v>
      </c>
      <c r="H339" s="3">
        <v>12200000000</v>
      </c>
      <c r="I339" s="2">
        <v>1.544E-3</v>
      </c>
      <c r="J339" s="3">
        <v>7.0900000000000001E-13</v>
      </c>
    </row>
    <row r="340" spans="1:10" x14ac:dyDescent="0.2">
      <c r="A340" s="3">
        <v>340</v>
      </c>
      <c r="B340" s="3">
        <v>2.4400000000000001E-7</v>
      </c>
      <c r="C340" s="2">
        <v>1.762E-2</v>
      </c>
      <c r="D340" s="3">
        <v>164000</v>
      </c>
      <c r="E340" s="3">
        <v>125000000000</v>
      </c>
      <c r="F340" s="3">
        <v>112000000000</v>
      </c>
      <c r="G340" s="3">
        <v>11700000000</v>
      </c>
      <c r="H340" s="3">
        <v>11900000000</v>
      </c>
      <c r="I340" s="2">
        <v>0.1043</v>
      </c>
      <c r="J340" s="3">
        <v>6.5800000000000002E-13</v>
      </c>
    </row>
    <row r="341" spans="1:10" x14ac:dyDescent="0.2">
      <c r="A341" s="3">
        <v>340</v>
      </c>
      <c r="B341" s="3">
        <v>2.4499999999999998E-7</v>
      </c>
      <c r="C341" s="2">
        <v>1.7670000000000002E-2</v>
      </c>
      <c r="D341" s="3">
        <v>150000</v>
      </c>
      <c r="E341" s="3">
        <v>116000000000</v>
      </c>
      <c r="F341" s="3">
        <v>105000000000</v>
      </c>
      <c r="G341" s="2">
        <v>0</v>
      </c>
      <c r="H341" s="3">
        <v>12600000000</v>
      </c>
      <c r="I341" s="2">
        <v>-6.3870000000000003E-3</v>
      </c>
      <c r="J341" s="3">
        <v>7.8999999999999997E-13</v>
      </c>
    </row>
    <row r="342" spans="1:10" x14ac:dyDescent="0.2">
      <c r="A342" s="3">
        <v>340</v>
      </c>
      <c r="B342" s="3">
        <v>2.4499999999999998E-7</v>
      </c>
      <c r="C342" s="2">
        <v>1.772E-2</v>
      </c>
      <c r="D342" s="3">
        <v>176000</v>
      </c>
      <c r="E342" s="3">
        <v>132000000000</v>
      </c>
      <c r="F342" s="3">
        <v>118000000000</v>
      </c>
      <c r="G342" s="2">
        <v>0</v>
      </c>
      <c r="H342" s="3">
        <v>11500000000</v>
      </c>
      <c r="I342" s="2">
        <v>-1.6480000000000002E-2</v>
      </c>
      <c r="J342" s="3">
        <v>5.7199999999999999E-13</v>
      </c>
    </row>
    <row r="343" spans="1:10" x14ac:dyDescent="0.2">
      <c r="A343" s="3">
        <v>340</v>
      </c>
      <c r="B343" s="3">
        <v>2.4600000000000001E-7</v>
      </c>
      <c r="C343" s="2">
        <v>1.7780000000000001E-2</v>
      </c>
      <c r="D343" s="3">
        <v>143000</v>
      </c>
      <c r="E343" s="3">
        <v>112000000000</v>
      </c>
      <c r="F343" s="3">
        <v>101000000000</v>
      </c>
      <c r="G343" s="3">
        <v>3810000000</v>
      </c>
      <c r="H343" s="3">
        <v>12900000000</v>
      </c>
      <c r="I343" s="2">
        <v>3.7719999999999997E-2</v>
      </c>
      <c r="J343" s="3">
        <v>8.7400000000000001E-13</v>
      </c>
    </row>
    <row r="344" spans="1:10" x14ac:dyDescent="0.2">
      <c r="A344" s="3">
        <v>340</v>
      </c>
      <c r="B344" s="3">
        <v>2.4600000000000001E-7</v>
      </c>
      <c r="C344" s="2">
        <v>1.7829999999999999E-2</v>
      </c>
      <c r="D344" s="3">
        <v>152000</v>
      </c>
      <c r="E344" s="3">
        <v>117000000000</v>
      </c>
      <c r="F344" s="3">
        <v>106000000000</v>
      </c>
      <c r="G344" s="3">
        <v>4790000000</v>
      </c>
      <c r="H344" s="3">
        <v>12500000000</v>
      </c>
      <c r="I344" s="2">
        <v>4.5379999999999997E-2</v>
      </c>
      <c r="J344" s="3">
        <v>7.7400000000000003E-13</v>
      </c>
    </row>
    <row r="345" spans="1:10" x14ac:dyDescent="0.2">
      <c r="A345" s="3">
        <v>340</v>
      </c>
      <c r="B345" s="3">
        <v>2.4699999999999998E-7</v>
      </c>
      <c r="C345" s="2">
        <v>1.788E-2</v>
      </c>
      <c r="D345" s="3">
        <v>166000</v>
      </c>
      <c r="E345" s="3">
        <v>126000000000</v>
      </c>
      <c r="F345" s="3">
        <v>112000000000</v>
      </c>
      <c r="G345" s="2">
        <v>0</v>
      </c>
      <c r="H345" s="3">
        <v>11900000000</v>
      </c>
      <c r="I345" s="2">
        <v>-5.4690000000000003E-2</v>
      </c>
      <c r="J345" s="3">
        <v>6.5099999999999995E-13</v>
      </c>
    </row>
    <row r="346" spans="1:10" x14ac:dyDescent="0.2">
      <c r="A346" s="3">
        <v>340</v>
      </c>
      <c r="B346" s="3">
        <v>2.4699999999999998E-7</v>
      </c>
      <c r="C346" s="2">
        <v>1.7930000000000001E-2</v>
      </c>
      <c r="D346" s="3">
        <v>150000</v>
      </c>
      <c r="E346" s="3">
        <v>116000000000</v>
      </c>
      <c r="F346" s="3">
        <v>105000000000</v>
      </c>
      <c r="G346" s="2">
        <v>0</v>
      </c>
      <c r="H346" s="3">
        <v>12600000000</v>
      </c>
      <c r="I346" s="2">
        <v>-0.1421</v>
      </c>
      <c r="J346" s="3">
        <v>7.9400000000000005E-13</v>
      </c>
    </row>
    <row r="347" spans="1:10" x14ac:dyDescent="0.2">
      <c r="A347" s="3">
        <v>350</v>
      </c>
      <c r="B347" s="3">
        <v>2.48E-7</v>
      </c>
      <c r="C347" s="2">
        <v>1.7979999999999999E-2</v>
      </c>
      <c r="D347" s="3">
        <v>151000</v>
      </c>
      <c r="E347" s="3">
        <v>116000000000</v>
      </c>
      <c r="F347" s="3">
        <v>105000000000</v>
      </c>
      <c r="G347" s="3">
        <v>4310000000</v>
      </c>
      <c r="H347" s="3">
        <v>12600000000</v>
      </c>
      <c r="I347" s="2">
        <v>4.1140000000000003E-2</v>
      </c>
      <c r="J347" s="3">
        <v>7.8899999999999997E-13</v>
      </c>
    </row>
    <row r="348" spans="1:10" x14ac:dyDescent="0.2">
      <c r="A348" s="3">
        <v>350</v>
      </c>
      <c r="B348" s="3">
        <v>2.4900000000000002E-7</v>
      </c>
      <c r="C348" s="2">
        <v>1.804E-2</v>
      </c>
      <c r="D348" s="3">
        <v>168000</v>
      </c>
      <c r="E348" s="3">
        <v>126000000000</v>
      </c>
      <c r="F348" s="3">
        <v>113000000000</v>
      </c>
      <c r="G348" s="3">
        <v>6530000000</v>
      </c>
      <c r="H348" s="3">
        <v>11800000000</v>
      </c>
      <c r="I348" s="2">
        <v>5.7770000000000002E-2</v>
      </c>
      <c r="J348" s="3">
        <v>6.4E-13</v>
      </c>
    </row>
    <row r="349" spans="1:10" x14ac:dyDescent="0.2">
      <c r="A349" s="3">
        <v>350</v>
      </c>
      <c r="B349" s="3">
        <v>2.4999999999999999E-7</v>
      </c>
      <c r="C349" s="2">
        <v>1.8089999999999998E-2</v>
      </c>
      <c r="D349" s="3">
        <v>165000</v>
      </c>
      <c r="E349" s="3">
        <v>124000000000</v>
      </c>
      <c r="F349" s="3">
        <v>111000000000</v>
      </c>
      <c r="G349" s="3">
        <v>9210000000</v>
      </c>
      <c r="H349" s="3">
        <v>11900000000</v>
      </c>
      <c r="I349" s="2">
        <v>8.2970000000000002E-2</v>
      </c>
      <c r="J349" s="3">
        <v>6.6799999999999998E-13</v>
      </c>
    </row>
    <row r="350" spans="1:10" x14ac:dyDescent="0.2">
      <c r="A350" s="3">
        <v>350</v>
      </c>
      <c r="B350" s="3">
        <v>2.4999999999999999E-7</v>
      </c>
      <c r="C350" s="2">
        <v>1.814E-2</v>
      </c>
      <c r="D350" s="3">
        <v>163000</v>
      </c>
      <c r="E350" s="3">
        <v>123000000000</v>
      </c>
      <c r="F350" s="3">
        <v>110000000000</v>
      </c>
      <c r="G350" s="3">
        <v>4160000000</v>
      </c>
      <c r="H350" s="3">
        <v>12000000000</v>
      </c>
      <c r="I350" s="2">
        <v>3.7749999999999999E-2</v>
      </c>
      <c r="J350" s="3">
        <v>6.8200000000000002E-13</v>
      </c>
    </row>
    <row r="351" spans="1:10" x14ac:dyDescent="0.2">
      <c r="A351" s="3">
        <v>350</v>
      </c>
      <c r="B351" s="3">
        <v>2.5100000000000001E-7</v>
      </c>
      <c r="C351" s="2">
        <v>1.8190000000000001E-2</v>
      </c>
      <c r="D351" s="3">
        <v>161000</v>
      </c>
      <c r="E351" s="3">
        <v>122000000000</v>
      </c>
      <c r="F351" s="3">
        <v>109000000000</v>
      </c>
      <c r="G351" s="2">
        <v>0</v>
      </c>
      <c r="H351" s="3">
        <v>12100000000</v>
      </c>
      <c r="I351" s="2">
        <v>-2.5659999999999999E-2</v>
      </c>
      <c r="J351" s="3">
        <v>6.9899999999999995E-13</v>
      </c>
    </row>
    <row r="352" spans="1:10" x14ac:dyDescent="0.2">
      <c r="A352" s="3">
        <v>350</v>
      </c>
      <c r="B352" s="3">
        <v>2.5100000000000001E-7</v>
      </c>
      <c r="C352" s="2">
        <v>1.8249999999999999E-2</v>
      </c>
      <c r="D352" s="3">
        <v>146000</v>
      </c>
      <c r="E352" s="3">
        <v>113000000000</v>
      </c>
      <c r="F352" s="3">
        <v>102000000000</v>
      </c>
      <c r="G352" s="3">
        <v>2470000000</v>
      </c>
      <c r="H352" s="3">
        <v>12800000000</v>
      </c>
      <c r="I352" s="2">
        <v>2.4230000000000002E-2</v>
      </c>
      <c r="J352" s="3">
        <v>8.5100000000000001E-13</v>
      </c>
    </row>
    <row r="353" spans="1:10" x14ac:dyDescent="0.2">
      <c r="A353" s="3">
        <v>350</v>
      </c>
      <c r="B353" s="3">
        <v>2.5199999999999998E-7</v>
      </c>
      <c r="C353" s="2">
        <v>1.83E-2</v>
      </c>
      <c r="D353" s="3">
        <v>164000</v>
      </c>
      <c r="E353" s="3">
        <v>123000000000</v>
      </c>
      <c r="F353" s="3">
        <v>110000000000</v>
      </c>
      <c r="G353" s="3">
        <v>4360000000</v>
      </c>
      <c r="H353" s="3">
        <v>12000000000</v>
      </c>
      <c r="I353" s="2">
        <v>3.943E-2</v>
      </c>
      <c r="J353" s="3">
        <v>6.7900000000000004E-13</v>
      </c>
    </row>
    <row r="354" spans="1:10" x14ac:dyDescent="0.2">
      <c r="A354" s="3">
        <v>350</v>
      </c>
      <c r="B354" s="3">
        <v>2.53E-7</v>
      </c>
      <c r="C354" s="2">
        <v>1.8350000000000002E-2</v>
      </c>
      <c r="D354" s="3">
        <v>151000</v>
      </c>
      <c r="E354" s="3">
        <v>115000000000</v>
      </c>
      <c r="F354" s="3">
        <v>104000000000</v>
      </c>
      <c r="G354" s="3">
        <v>4960000000</v>
      </c>
      <c r="H354" s="3">
        <v>12600000000</v>
      </c>
      <c r="I354" s="2">
        <v>4.7800000000000002E-2</v>
      </c>
      <c r="J354" s="3">
        <v>8.0899999999999999E-13</v>
      </c>
    </row>
    <row r="355" spans="1:10" x14ac:dyDescent="0.2">
      <c r="A355" s="3">
        <v>350</v>
      </c>
      <c r="B355" s="3">
        <v>2.53E-7</v>
      </c>
      <c r="C355" s="2">
        <v>1.84E-2</v>
      </c>
      <c r="D355" s="3">
        <v>172000</v>
      </c>
      <c r="E355" s="3">
        <v>128000000000</v>
      </c>
      <c r="F355" s="3">
        <v>114000000000</v>
      </c>
      <c r="G355" s="3">
        <v>3530000000</v>
      </c>
      <c r="H355" s="3">
        <v>11700000000</v>
      </c>
      <c r="I355" s="2">
        <v>3.091E-2</v>
      </c>
      <c r="J355" s="3">
        <v>6.2099999999999998E-13</v>
      </c>
    </row>
    <row r="356" spans="1:10" x14ac:dyDescent="0.2">
      <c r="A356" s="3">
        <v>350</v>
      </c>
      <c r="B356" s="3">
        <v>2.5400000000000002E-7</v>
      </c>
      <c r="C356" s="2">
        <v>1.8450000000000001E-2</v>
      </c>
      <c r="D356" s="3">
        <v>147000</v>
      </c>
      <c r="E356" s="3">
        <v>112000000000</v>
      </c>
      <c r="F356" s="3">
        <v>102000000000</v>
      </c>
      <c r="G356" s="3">
        <v>5460000000</v>
      </c>
      <c r="H356" s="3">
        <v>12800000000</v>
      </c>
      <c r="I356" s="2">
        <v>5.3690000000000002E-2</v>
      </c>
      <c r="J356" s="3">
        <v>8.5100000000000001E-13</v>
      </c>
    </row>
    <row r="357" spans="1:10" x14ac:dyDescent="0.2">
      <c r="A357" s="3">
        <v>360</v>
      </c>
      <c r="B357" s="3">
        <v>2.5499999999999999E-7</v>
      </c>
      <c r="C357" s="2">
        <v>1.8499999999999999E-2</v>
      </c>
      <c r="D357" s="3">
        <v>170000</v>
      </c>
      <c r="E357" s="3">
        <v>126000000000</v>
      </c>
      <c r="F357" s="3">
        <v>113000000000</v>
      </c>
      <c r="G357" s="3">
        <v>3480000000</v>
      </c>
      <c r="H357" s="3">
        <v>11800000000</v>
      </c>
      <c r="I357" s="2">
        <v>3.09E-2</v>
      </c>
      <c r="J357" s="3">
        <v>6.4199999999999999E-13</v>
      </c>
    </row>
    <row r="358" spans="1:10" x14ac:dyDescent="0.2">
      <c r="A358" s="3">
        <v>360</v>
      </c>
      <c r="B358" s="3">
        <v>2.5499999999999999E-7</v>
      </c>
      <c r="C358" s="2">
        <v>1.856E-2</v>
      </c>
      <c r="D358" s="3">
        <v>147000</v>
      </c>
      <c r="E358" s="3">
        <v>112000000000</v>
      </c>
      <c r="F358" s="3">
        <v>101000000000</v>
      </c>
      <c r="G358" s="3">
        <v>1530000000</v>
      </c>
      <c r="H358" s="3">
        <v>12800000000</v>
      </c>
      <c r="I358" s="2">
        <v>1.512E-2</v>
      </c>
      <c r="J358" s="3">
        <v>8.6099999999999997E-13</v>
      </c>
    </row>
    <row r="359" spans="1:10" x14ac:dyDescent="0.2">
      <c r="A359" s="3">
        <v>360</v>
      </c>
      <c r="B359" s="3">
        <v>2.5600000000000002E-7</v>
      </c>
      <c r="C359" s="2">
        <v>1.8610000000000002E-2</v>
      </c>
      <c r="D359" s="3">
        <v>154000</v>
      </c>
      <c r="E359" s="3">
        <v>116000000000</v>
      </c>
      <c r="F359" s="3">
        <v>105000000000</v>
      </c>
      <c r="G359" s="3">
        <v>9190000000</v>
      </c>
      <c r="H359" s="3">
        <v>12400000000</v>
      </c>
      <c r="I359" s="2">
        <v>8.7870000000000004E-2</v>
      </c>
      <c r="J359" s="3">
        <v>7.83E-13</v>
      </c>
    </row>
    <row r="360" spans="1:10" x14ac:dyDescent="0.2">
      <c r="A360" s="3">
        <v>360</v>
      </c>
      <c r="B360" s="3">
        <v>2.5600000000000002E-7</v>
      </c>
      <c r="C360" s="2">
        <v>1.866E-2</v>
      </c>
      <c r="D360" s="3">
        <v>166000</v>
      </c>
      <c r="E360" s="3">
        <v>123000000000</v>
      </c>
      <c r="F360" s="3">
        <v>111000000000</v>
      </c>
      <c r="G360" s="3">
        <v>16400000000</v>
      </c>
      <c r="H360" s="3">
        <v>12000000000</v>
      </c>
      <c r="I360" s="2">
        <v>0.1477</v>
      </c>
      <c r="J360" s="3">
        <v>6.7499999999999995E-13</v>
      </c>
    </row>
    <row r="361" spans="1:10" x14ac:dyDescent="0.2">
      <c r="A361" s="3">
        <v>360</v>
      </c>
      <c r="B361" s="3">
        <v>2.5699999999999999E-7</v>
      </c>
      <c r="C361" s="2">
        <v>1.8710000000000001E-2</v>
      </c>
      <c r="D361" s="3">
        <v>154000</v>
      </c>
      <c r="E361" s="3">
        <v>116000000000</v>
      </c>
      <c r="F361" s="3">
        <v>105000000000</v>
      </c>
      <c r="G361" s="2">
        <v>0</v>
      </c>
      <c r="H361" s="3">
        <v>12500000000</v>
      </c>
      <c r="I361" s="2">
        <v>-2.7140000000000001E-2</v>
      </c>
      <c r="J361" s="3">
        <v>7.8799999999999997E-13</v>
      </c>
    </row>
    <row r="362" spans="1:10" x14ac:dyDescent="0.2">
      <c r="A362" s="3">
        <v>360</v>
      </c>
      <c r="B362" s="3">
        <v>2.5699999999999999E-7</v>
      </c>
      <c r="C362" s="2">
        <v>1.8769999999999998E-2</v>
      </c>
      <c r="D362" s="3">
        <v>171000</v>
      </c>
      <c r="E362" s="3">
        <v>126000000000</v>
      </c>
      <c r="F362" s="3">
        <v>113000000000</v>
      </c>
      <c r="G362" s="3">
        <v>14300000000</v>
      </c>
      <c r="H362" s="3">
        <v>11800000000</v>
      </c>
      <c r="I362" s="2">
        <v>0.127</v>
      </c>
      <c r="J362" s="3">
        <v>6.4199999999999999E-13</v>
      </c>
    </row>
    <row r="363" spans="1:10" x14ac:dyDescent="0.2">
      <c r="A363" s="3">
        <v>360</v>
      </c>
      <c r="B363" s="3">
        <v>2.5800000000000001E-7</v>
      </c>
      <c r="C363" s="2">
        <v>1.882E-2</v>
      </c>
      <c r="D363" s="3">
        <v>168000</v>
      </c>
      <c r="E363" s="3">
        <v>124000000000</v>
      </c>
      <c r="F363" s="3">
        <v>111000000000</v>
      </c>
      <c r="G363" s="2">
        <v>0</v>
      </c>
      <c r="H363" s="3">
        <v>11900000000</v>
      </c>
      <c r="I363" s="2">
        <v>-1.6459999999999999E-2</v>
      </c>
      <c r="J363" s="3">
        <v>6.6599999999999999E-13</v>
      </c>
    </row>
    <row r="364" spans="1:10" x14ac:dyDescent="0.2">
      <c r="A364" s="3">
        <v>360</v>
      </c>
      <c r="B364" s="3">
        <v>2.5800000000000001E-7</v>
      </c>
      <c r="C364" s="2">
        <v>1.8870000000000001E-2</v>
      </c>
      <c r="D364" s="3">
        <v>166000</v>
      </c>
      <c r="E364" s="3">
        <v>123000000000</v>
      </c>
      <c r="F364" s="3">
        <v>110000000000</v>
      </c>
      <c r="G364" s="2">
        <v>0</v>
      </c>
      <c r="H364" s="3">
        <v>12000000000</v>
      </c>
      <c r="I364" s="2">
        <v>-1.234E-2</v>
      </c>
      <c r="J364" s="3">
        <v>6.8300000000000002E-13</v>
      </c>
    </row>
    <row r="365" spans="1:10" x14ac:dyDescent="0.2">
      <c r="A365" s="3">
        <v>360</v>
      </c>
      <c r="B365" s="3">
        <v>2.5899999999999998E-7</v>
      </c>
      <c r="C365" s="2">
        <v>1.8919999999999999E-2</v>
      </c>
      <c r="D365" s="3">
        <v>151000</v>
      </c>
      <c r="E365" s="3">
        <v>113000000000</v>
      </c>
      <c r="F365" s="3">
        <v>103000000000</v>
      </c>
      <c r="G365" s="2">
        <v>0</v>
      </c>
      <c r="H365" s="3">
        <v>12700000000</v>
      </c>
      <c r="I365" s="2">
        <v>-5.5039999999999999E-2</v>
      </c>
      <c r="J365" s="3">
        <v>8.3299999999999998E-13</v>
      </c>
    </row>
    <row r="366" spans="1:10" x14ac:dyDescent="0.2">
      <c r="A366" s="3">
        <v>360</v>
      </c>
      <c r="B366" s="3">
        <v>2.5899999999999998E-7</v>
      </c>
      <c r="C366" s="2">
        <v>1.8970000000000001E-2</v>
      </c>
      <c r="D366" s="3">
        <v>161000</v>
      </c>
      <c r="E366" s="3">
        <v>119000000000</v>
      </c>
      <c r="F366" s="3">
        <v>107000000000</v>
      </c>
      <c r="G366" s="2">
        <v>0</v>
      </c>
      <c r="H366" s="3">
        <v>12300000000</v>
      </c>
      <c r="I366" s="2">
        <v>-2.2329999999999999E-2</v>
      </c>
      <c r="J366" s="3">
        <v>7.34E-13</v>
      </c>
    </row>
    <row r="367" spans="1:10" x14ac:dyDescent="0.2">
      <c r="A367" s="3">
        <v>370</v>
      </c>
      <c r="B367" s="3">
        <v>2.6E-7</v>
      </c>
      <c r="C367" s="2">
        <v>1.9029999999999998E-2</v>
      </c>
      <c r="D367" s="3">
        <v>156000</v>
      </c>
      <c r="E367" s="3">
        <v>116000000000</v>
      </c>
      <c r="F367" s="3">
        <v>105000000000</v>
      </c>
      <c r="G367" s="3">
        <v>1770000000</v>
      </c>
      <c r="H367" s="3">
        <v>12400000000</v>
      </c>
      <c r="I367" s="2">
        <v>1.685E-2</v>
      </c>
      <c r="J367" s="3">
        <v>7.7900000000000001E-13</v>
      </c>
    </row>
    <row r="368" spans="1:10" x14ac:dyDescent="0.2">
      <c r="A368" s="3">
        <v>370</v>
      </c>
      <c r="B368" s="3">
        <v>2.6100000000000002E-7</v>
      </c>
      <c r="C368" s="2">
        <v>1.908E-2</v>
      </c>
      <c r="D368" s="3">
        <v>150000</v>
      </c>
      <c r="E368" s="3">
        <v>112000000000</v>
      </c>
      <c r="F368" s="3">
        <v>102000000000</v>
      </c>
      <c r="G368" s="2">
        <v>0</v>
      </c>
      <c r="H368" s="3">
        <v>12700000000</v>
      </c>
      <c r="I368" s="2">
        <v>-3.9669999999999997E-2</v>
      </c>
      <c r="J368" s="3">
        <v>8.4800000000000002E-13</v>
      </c>
    </row>
    <row r="369" spans="1:10" x14ac:dyDescent="0.2">
      <c r="A369" s="3">
        <v>370</v>
      </c>
      <c r="B369" s="3">
        <v>2.6199999999999999E-7</v>
      </c>
      <c r="C369" s="2">
        <v>1.9130000000000001E-2</v>
      </c>
      <c r="D369" s="3">
        <v>173000</v>
      </c>
      <c r="E369" s="3">
        <v>126000000000</v>
      </c>
      <c r="F369" s="3">
        <v>112000000000</v>
      </c>
      <c r="G369" s="2">
        <v>0</v>
      </c>
      <c r="H369" s="3">
        <v>11700000000</v>
      </c>
      <c r="I369" s="2">
        <v>-0.13500000000000001</v>
      </c>
      <c r="J369" s="3">
        <v>6.4199999999999999E-13</v>
      </c>
    </row>
    <row r="370" spans="1:10" x14ac:dyDescent="0.2">
      <c r="A370" s="3">
        <v>370</v>
      </c>
      <c r="B370" s="3">
        <v>2.6300000000000001E-7</v>
      </c>
      <c r="C370" s="2">
        <v>1.9179999999999999E-2</v>
      </c>
      <c r="D370" s="3">
        <v>165000</v>
      </c>
      <c r="E370" s="3">
        <v>121000000000</v>
      </c>
      <c r="F370" s="3">
        <v>108000000000</v>
      </c>
      <c r="G370" s="3">
        <v>10400000000</v>
      </c>
      <c r="H370" s="3">
        <v>12000000000</v>
      </c>
      <c r="I370" s="2">
        <v>9.5509999999999998E-2</v>
      </c>
      <c r="J370" s="3">
        <v>7.0500000000000003E-13</v>
      </c>
    </row>
    <row r="371" spans="1:10" x14ac:dyDescent="0.2">
      <c r="A371" s="3">
        <v>370</v>
      </c>
      <c r="B371" s="3">
        <v>2.6399999999999998E-7</v>
      </c>
      <c r="C371" s="2">
        <v>1.924E-2</v>
      </c>
      <c r="D371" s="3">
        <v>155000</v>
      </c>
      <c r="E371" s="3">
        <v>114000000000</v>
      </c>
      <c r="F371" s="3">
        <v>103000000000</v>
      </c>
      <c r="G371" s="3">
        <v>191000000</v>
      </c>
      <c r="H371" s="3">
        <v>12400000000</v>
      </c>
      <c r="I371" s="2">
        <v>1.8489999999999999E-3</v>
      </c>
      <c r="J371" s="3">
        <v>8.0400000000000001E-13</v>
      </c>
    </row>
    <row r="372" spans="1:10" x14ac:dyDescent="0.2">
      <c r="A372" s="3">
        <v>370</v>
      </c>
      <c r="B372" s="3">
        <v>2.65E-7</v>
      </c>
      <c r="C372" s="2">
        <v>1.9290000000000002E-2</v>
      </c>
      <c r="D372" s="3">
        <v>152000</v>
      </c>
      <c r="E372" s="3">
        <v>112000000000</v>
      </c>
      <c r="F372" s="3">
        <v>102000000000</v>
      </c>
      <c r="G372" s="3">
        <v>3430000000</v>
      </c>
      <c r="H372" s="3">
        <v>12600000000</v>
      </c>
      <c r="I372" s="2">
        <v>3.3709999999999997E-2</v>
      </c>
      <c r="J372" s="3">
        <v>8.3799999999999996E-13</v>
      </c>
    </row>
    <row r="373" spans="1:10" x14ac:dyDescent="0.2">
      <c r="A373" s="3">
        <v>370</v>
      </c>
      <c r="B373" s="3">
        <v>2.65E-7</v>
      </c>
      <c r="C373" s="2">
        <v>1.934E-2</v>
      </c>
      <c r="D373" s="3">
        <v>174000</v>
      </c>
      <c r="E373" s="3">
        <v>125000000000</v>
      </c>
      <c r="F373" s="3">
        <v>112000000000</v>
      </c>
      <c r="G373" s="3">
        <v>11700000000</v>
      </c>
      <c r="H373" s="3">
        <v>11700000000</v>
      </c>
      <c r="I373" s="2">
        <v>0.10390000000000001</v>
      </c>
      <c r="J373" s="3">
        <v>6.4099999999999999E-13</v>
      </c>
    </row>
    <row r="374" spans="1:10" x14ac:dyDescent="0.2">
      <c r="A374" s="3">
        <v>370</v>
      </c>
      <c r="B374" s="3">
        <v>2.6600000000000003E-7</v>
      </c>
      <c r="C374" s="2">
        <v>1.9390000000000001E-2</v>
      </c>
      <c r="D374" s="3">
        <v>171000</v>
      </c>
      <c r="E374" s="3">
        <v>124000000000</v>
      </c>
      <c r="F374" s="3">
        <v>111000000000</v>
      </c>
      <c r="G374" s="3">
        <v>1970000000</v>
      </c>
      <c r="H374" s="3">
        <v>11800000000</v>
      </c>
      <c r="I374" s="2">
        <v>1.77E-2</v>
      </c>
      <c r="J374" s="3">
        <v>6.6000000000000001E-13</v>
      </c>
    </row>
    <row r="375" spans="1:10" x14ac:dyDescent="0.2">
      <c r="A375" s="3">
        <v>370</v>
      </c>
      <c r="B375" s="3">
        <v>2.6600000000000003E-7</v>
      </c>
      <c r="C375" s="2">
        <v>1.9439999999999999E-2</v>
      </c>
      <c r="D375" s="3">
        <v>169000</v>
      </c>
      <c r="E375" s="3">
        <v>122000000000</v>
      </c>
      <c r="F375" s="3">
        <v>110000000000</v>
      </c>
      <c r="G375" s="3">
        <v>16000000000</v>
      </c>
      <c r="H375" s="3">
        <v>11900000000</v>
      </c>
      <c r="I375" s="2">
        <v>0.1454</v>
      </c>
      <c r="J375" s="3">
        <v>6.7900000000000004E-13</v>
      </c>
    </row>
    <row r="376" spans="1:10" x14ac:dyDescent="0.2">
      <c r="A376" s="3">
        <v>370</v>
      </c>
      <c r="B376" s="3">
        <v>2.67E-7</v>
      </c>
      <c r="C376" s="2">
        <v>1.95E-2</v>
      </c>
      <c r="D376" s="3">
        <v>149000</v>
      </c>
      <c r="E376" s="3">
        <v>110000000000</v>
      </c>
      <c r="F376" s="3">
        <v>100000000000</v>
      </c>
      <c r="G376" s="3">
        <v>12400000000</v>
      </c>
      <c r="H376" s="3">
        <v>12700000000</v>
      </c>
      <c r="I376" s="2">
        <v>0.1239</v>
      </c>
      <c r="J376" s="3">
        <v>8.76E-13</v>
      </c>
    </row>
    <row r="377" spans="1:10" x14ac:dyDescent="0.2">
      <c r="A377" s="3">
        <v>380</v>
      </c>
      <c r="B377" s="3">
        <v>2.6800000000000002E-7</v>
      </c>
      <c r="C377" s="2">
        <v>1.9550000000000001E-2</v>
      </c>
      <c r="D377" s="3">
        <v>154000</v>
      </c>
      <c r="E377" s="3">
        <v>113000000000</v>
      </c>
      <c r="F377" s="3">
        <v>102000000000</v>
      </c>
      <c r="G377" s="2">
        <v>0</v>
      </c>
      <c r="H377" s="3">
        <v>12400000000</v>
      </c>
      <c r="I377" s="2">
        <v>-9.9279999999999993E-2</v>
      </c>
      <c r="J377" s="3">
        <v>8.2300000000000003E-13</v>
      </c>
    </row>
    <row r="378" spans="1:10" x14ac:dyDescent="0.2">
      <c r="A378" s="3">
        <v>380</v>
      </c>
      <c r="B378" s="3">
        <v>2.6800000000000002E-7</v>
      </c>
      <c r="C378" s="2">
        <v>1.9599999999999999E-2</v>
      </c>
      <c r="D378" s="3">
        <v>155000</v>
      </c>
      <c r="E378" s="3">
        <v>113000000000</v>
      </c>
      <c r="F378" s="3">
        <v>102000000000</v>
      </c>
      <c r="G378" s="2">
        <v>0</v>
      </c>
      <c r="H378" s="3">
        <v>12500000000</v>
      </c>
      <c r="I378" s="2">
        <v>-4.6210000000000001E-2</v>
      </c>
      <c r="J378" s="3">
        <v>8.2100000000000004E-13</v>
      </c>
    </row>
    <row r="379" spans="1:10" x14ac:dyDescent="0.2">
      <c r="A379" s="3">
        <v>380</v>
      </c>
      <c r="B379" s="3">
        <v>2.6899999999999999E-7</v>
      </c>
      <c r="C379" s="2">
        <v>1.9650000000000001E-2</v>
      </c>
      <c r="D379" s="3">
        <v>170000</v>
      </c>
      <c r="E379" s="3">
        <v>122000000000</v>
      </c>
      <c r="F379" s="3">
        <v>110000000000</v>
      </c>
      <c r="G379" s="3">
        <v>12600000000</v>
      </c>
      <c r="H379" s="3">
        <v>11800000000</v>
      </c>
      <c r="I379" s="2">
        <v>0.1148</v>
      </c>
      <c r="J379" s="3">
        <v>6.7900000000000004E-13</v>
      </c>
    </row>
    <row r="380" spans="1:10" x14ac:dyDescent="0.2">
      <c r="A380" s="3">
        <v>380</v>
      </c>
      <c r="B380" s="3">
        <v>2.7000000000000001E-7</v>
      </c>
      <c r="C380" s="2">
        <v>1.9709999999999998E-2</v>
      </c>
      <c r="D380" s="3">
        <v>169000</v>
      </c>
      <c r="E380" s="3">
        <v>121000000000</v>
      </c>
      <c r="F380" s="3">
        <v>109000000000</v>
      </c>
      <c r="G380" s="3">
        <v>5620000000</v>
      </c>
      <c r="H380" s="3">
        <v>11900000000</v>
      </c>
      <c r="I380" s="2">
        <v>5.1569999999999998E-2</v>
      </c>
      <c r="J380" s="3">
        <v>6.8899999999999999E-13</v>
      </c>
    </row>
    <row r="381" spans="1:10" x14ac:dyDescent="0.2">
      <c r="A381" s="3">
        <v>380</v>
      </c>
      <c r="B381" s="3">
        <v>2.7099999999999998E-7</v>
      </c>
      <c r="C381" s="2">
        <v>1.976E-2</v>
      </c>
      <c r="D381" s="3">
        <v>161000</v>
      </c>
      <c r="E381" s="3">
        <v>116000000000</v>
      </c>
      <c r="F381" s="3">
        <v>105000000000</v>
      </c>
      <c r="G381" s="2">
        <v>0</v>
      </c>
      <c r="H381" s="3">
        <v>12200000000</v>
      </c>
      <c r="I381" s="2">
        <v>-4.0629999999999999E-2</v>
      </c>
      <c r="J381" s="3">
        <v>7.5999999999999999E-13</v>
      </c>
    </row>
    <row r="382" spans="1:10" x14ac:dyDescent="0.2">
      <c r="A382" s="3">
        <v>380</v>
      </c>
      <c r="B382" s="3">
        <v>2.7099999999999998E-7</v>
      </c>
      <c r="C382" s="2">
        <v>1.9810000000000001E-2</v>
      </c>
      <c r="D382" s="3">
        <v>157000</v>
      </c>
      <c r="E382" s="3">
        <v>114000000000</v>
      </c>
      <c r="F382" s="3">
        <v>103000000000</v>
      </c>
      <c r="G382" s="3">
        <v>2830000000</v>
      </c>
      <c r="H382" s="3">
        <v>12300000000</v>
      </c>
      <c r="I382" s="2">
        <v>2.7480000000000001E-2</v>
      </c>
      <c r="J382" s="3">
        <v>8.0000000000000002E-13</v>
      </c>
    </row>
    <row r="383" spans="1:10" x14ac:dyDescent="0.2">
      <c r="A383" s="3">
        <v>380</v>
      </c>
      <c r="B383" s="3">
        <v>2.72E-7</v>
      </c>
      <c r="C383" s="2">
        <v>1.9859999999999999E-2</v>
      </c>
      <c r="D383" s="3">
        <v>163000</v>
      </c>
      <c r="E383" s="3">
        <v>117000000000</v>
      </c>
      <c r="F383" s="3">
        <v>105000000000</v>
      </c>
      <c r="G383" s="2">
        <v>0</v>
      </c>
      <c r="H383" s="3">
        <v>12100000000</v>
      </c>
      <c r="I383" s="2">
        <v>-3.8649999999999997E-2</v>
      </c>
      <c r="J383" s="3">
        <v>7.5200000000000003E-13</v>
      </c>
    </row>
    <row r="384" spans="1:10" x14ac:dyDescent="0.2">
      <c r="A384" s="3">
        <v>380</v>
      </c>
      <c r="B384" s="3">
        <v>2.7300000000000002E-7</v>
      </c>
      <c r="C384" s="2">
        <v>1.9910000000000001E-2</v>
      </c>
      <c r="D384" s="3">
        <v>170000</v>
      </c>
      <c r="E384" s="3">
        <v>121000000000</v>
      </c>
      <c r="F384" s="3">
        <v>109000000000</v>
      </c>
      <c r="G384" s="3">
        <v>24100000000</v>
      </c>
      <c r="H384" s="3">
        <v>11800000000</v>
      </c>
      <c r="I384" s="2">
        <v>0.22170000000000001</v>
      </c>
      <c r="J384" s="3">
        <v>6.9199999999999998E-13</v>
      </c>
    </row>
    <row r="385" spans="1:10" x14ac:dyDescent="0.2">
      <c r="A385" s="3">
        <v>380</v>
      </c>
      <c r="B385" s="3">
        <v>2.7300000000000002E-7</v>
      </c>
      <c r="C385" s="2">
        <v>1.9959999999999999E-2</v>
      </c>
      <c r="D385" s="3">
        <v>153000</v>
      </c>
      <c r="E385" s="3">
        <v>111000000000</v>
      </c>
      <c r="F385" s="3">
        <v>101000000000</v>
      </c>
      <c r="G385" s="3">
        <v>10800000000</v>
      </c>
      <c r="H385" s="3">
        <v>12600000000</v>
      </c>
      <c r="I385" s="2">
        <v>0.1074</v>
      </c>
      <c r="J385" s="3">
        <v>8.54E-13</v>
      </c>
    </row>
    <row r="386" spans="1:10" x14ac:dyDescent="0.2">
      <c r="A386" s="3">
        <v>380</v>
      </c>
      <c r="B386" s="3">
        <v>2.7399999999999999E-7</v>
      </c>
      <c r="C386" s="2">
        <v>2.002E-2</v>
      </c>
      <c r="D386" s="3">
        <v>151000</v>
      </c>
      <c r="E386" s="3">
        <v>110000000000</v>
      </c>
      <c r="F386" s="3">
        <v>99600000000</v>
      </c>
      <c r="G386" s="2">
        <v>0</v>
      </c>
      <c r="H386" s="3">
        <v>12600000000</v>
      </c>
      <c r="I386" s="2">
        <v>-0.1225</v>
      </c>
      <c r="J386" s="3">
        <v>8.7899999999999999E-13</v>
      </c>
    </row>
    <row r="387" spans="1:10" x14ac:dyDescent="0.2">
      <c r="A387" s="3">
        <v>390</v>
      </c>
      <c r="B387" s="3">
        <v>2.7500000000000001E-7</v>
      </c>
      <c r="C387" s="2">
        <v>2.0070000000000001E-2</v>
      </c>
      <c r="D387" s="3">
        <v>155000</v>
      </c>
      <c r="E387" s="3">
        <v>112000000000</v>
      </c>
      <c r="F387" s="3">
        <v>102000000000</v>
      </c>
      <c r="G387" s="3">
        <v>10900000000</v>
      </c>
      <c r="H387" s="3">
        <v>12400000000</v>
      </c>
      <c r="I387" s="2">
        <v>0.1075</v>
      </c>
      <c r="J387" s="3">
        <v>8.3299999999999998E-13</v>
      </c>
    </row>
    <row r="388" spans="1:10" x14ac:dyDescent="0.2">
      <c r="A388" s="3">
        <v>390</v>
      </c>
      <c r="B388" s="3">
        <v>2.7500000000000001E-7</v>
      </c>
      <c r="C388" s="2">
        <v>2.0119999999999999E-2</v>
      </c>
      <c r="D388" s="3">
        <v>180000</v>
      </c>
      <c r="E388" s="3">
        <v>126000000000</v>
      </c>
      <c r="F388" s="3">
        <v>113000000000</v>
      </c>
      <c r="G388" s="3">
        <v>11300000000</v>
      </c>
      <c r="H388" s="3">
        <v>11500000000</v>
      </c>
      <c r="I388" s="2">
        <v>0.1002</v>
      </c>
      <c r="J388" s="3">
        <v>6.2199999999999997E-13</v>
      </c>
    </row>
    <row r="389" spans="1:10" x14ac:dyDescent="0.2">
      <c r="A389" s="3">
        <v>390</v>
      </c>
      <c r="B389" s="3">
        <v>2.7599999999999998E-7</v>
      </c>
      <c r="C389" s="2">
        <v>2.017E-2</v>
      </c>
      <c r="D389" s="3">
        <v>132000</v>
      </c>
      <c r="E389" s="3">
        <v>99300000000</v>
      </c>
      <c r="F389" s="3">
        <v>90900000000</v>
      </c>
      <c r="G389" s="3">
        <v>6500000000</v>
      </c>
      <c r="H389" s="3">
        <v>13800000000</v>
      </c>
      <c r="I389" s="2">
        <v>7.1540000000000006E-2</v>
      </c>
      <c r="J389" s="3">
        <v>1.1599999999999999E-12</v>
      </c>
    </row>
    <row r="390" spans="1:10" x14ac:dyDescent="0.2">
      <c r="A390" s="3">
        <v>390</v>
      </c>
      <c r="B390" s="3">
        <v>2.7599999999999998E-7</v>
      </c>
      <c r="C390" s="2">
        <v>2.0230000000000001E-2</v>
      </c>
      <c r="D390" s="3">
        <v>187000</v>
      </c>
      <c r="E390" s="3">
        <v>130000000000</v>
      </c>
      <c r="F390" s="3">
        <v>116000000000</v>
      </c>
      <c r="G390" s="3">
        <v>6620000000</v>
      </c>
      <c r="H390" s="3">
        <v>11400000000</v>
      </c>
      <c r="I390" s="2">
        <v>5.6950000000000001E-2</v>
      </c>
      <c r="J390" s="3">
        <v>5.7999999999999995E-13</v>
      </c>
    </row>
    <row r="391" spans="1:10" x14ac:dyDescent="0.2">
      <c r="A391" s="3">
        <v>390</v>
      </c>
      <c r="B391" s="3">
        <v>2.7700000000000001E-7</v>
      </c>
      <c r="C391" s="2">
        <v>2.0279999999999999E-2</v>
      </c>
      <c r="D391" s="3">
        <v>155000</v>
      </c>
      <c r="E391" s="3">
        <v>112000000000</v>
      </c>
      <c r="F391" s="3">
        <v>101000000000</v>
      </c>
      <c r="G391" s="3">
        <v>11900000000</v>
      </c>
      <c r="H391" s="3">
        <v>12500000000</v>
      </c>
      <c r="I391" s="2">
        <v>0.1176</v>
      </c>
      <c r="J391" s="3">
        <v>8.4400000000000004E-13</v>
      </c>
    </row>
    <row r="392" spans="1:10" x14ac:dyDescent="0.2">
      <c r="A392" s="3">
        <v>390</v>
      </c>
      <c r="B392" s="3">
        <v>2.7799999999999997E-7</v>
      </c>
      <c r="C392" s="2">
        <v>2.0330000000000001E-2</v>
      </c>
      <c r="D392" s="3">
        <v>157000</v>
      </c>
      <c r="E392" s="3">
        <v>112000000000</v>
      </c>
      <c r="F392" s="3">
        <v>102000000000</v>
      </c>
      <c r="G392" s="2">
        <v>0</v>
      </c>
      <c r="H392" s="3">
        <v>12400000000</v>
      </c>
      <c r="I392" s="2">
        <v>-1.8880000000000001E-2</v>
      </c>
      <c r="J392" s="3">
        <v>8.3099999999999999E-13</v>
      </c>
    </row>
    <row r="393" spans="1:10" x14ac:dyDescent="0.2">
      <c r="A393" s="3">
        <v>390</v>
      </c>
      <c r="B393" s="3">
        <v>2.7799999999999997E-7</v>
      </c>
      <c r="C393" s="2">
        <v>2.0379999999999999E-2</v>
      </c>
      <c r="D393" s="3">
        <v>173000</v>
      </c>
      <c r="E393" s="3">
        <v>122000000000</v>
      </c>
      <c r="F393" s="3">
        <v>109000000000</v>
      </c>
      <c r="G393" s="2">
        <v>0</v>
      </c>
      <c r="H393" s="3">
        <v>11800000000</v>
      </c>
      <c r="I393" s="2">
        <v>-7.3999999999999999E-4</v>
      </c>
      <c r="J393" s="3">
        <v>6.8000000000000003E-13</v>
      </c>
    </row>
    <row r="394" spans="1:10" x14ac:dyDescent="0.2">
      <c r="A394" s="3">
        <v>390</v>
      </c>
      <c r="B394" s="3">
        <v>2.79E-7</v>
      </c>
      <c r="C394" s="2">
        <v>2.043E-2</v>
      </c>
      <c r="D394" s="3">
        <v>186000</v>
      </c>
      <c r="E394" s="3">
        <v>129000000000</v>
      </c>
      <c r="F394" s="3">
        <v>115000000000</v>
      </c>
      <c r="G394" s="3">
        <v>4500000000</v>
      </c>
      <c r="H394" s="3">
        <v>11400000000</v>
      </c>
      <c r="I394" s="2">
        <v>3.8980000000000001E-2</v>
      </c>
      <c r="J394" s="3">
        <v>5.8900000000000001E-13</v>
      </c>
    </row>
    <row r="395" spans="1:10" x14ac:dyDescent="0.2">
      <c r="A395" s="3">
        <v>390</v>
      </c>
      <c r="B395" s="3">
        <v>2.8000000000000002E-7</v>
      </c>
      <c r="C395" s="2">
        <v>2.0490000000000001E-2</v>
      </c>
      <c r="D395" s="3">
        <v>183000</v>
      </c>
      <c r="E395" s="3">
        <v>127000000000</v>
      </c>
      <c r="F395" s="3">
        <v>114000000000</v>
      </c>
      <c r="G395" s="2">
        <v>0</v>
      </c>
      <c r="H395" s="3">
        <v>11500000000</v>
      </c>
      <c r="I395" s="2">
        <v>-3.9570000000000001E-2</v>
      </c>
      <c r="J395" s="3">
        <v>6.1400000000000001E-13</v>
      </c>
    </row>
    <row r="396" spans="1:10" x14ac:dyDescent="0.2">
      <c r="A396" s="3">
        <v>390</v>
      </c>
      <c r="B396" s="3">
        <v>2.8000000000000002E-7</v>
      </c>
      <c r="C396" s="2">
        <v>2.0539999999999999E-2</v>
      </c>
      <c r="D396" s="3">
        <v>167000</v>
      </c>
      <c r="E396" s="3">
        <v>118000000000</v>
      </c>
      <c r="F396" s="3">
        <v>106000000000</v>
      </c>
      <c r="G396" s="2">
        <v>0</v>
      </c>
      <c r="H396" s="3">
        <v>12100000000</v>
      </c>
      <c r="I396" s="2">
        <v>-1.6789999999999999E-2</v>
      </c>
      <c r="J396" s="3">
        <v>7.4099999999999997E-13</v>
      </c>
    </row>
    <row r="397" spans="1:10" x14ac:dyDescent="0.2">
      <c r="A397" s="3">
        <v>400</v>
      </c>
      <c r="B397" s="3">
        <v>2.8099999999999999E-7</v>
      </c>
      <c r="C397" s="2">
        <v>2.0590000000000001E-2</v>
      </c>
      <c r="D397" s="3">
        <v>163000</v>
      </c>
      <c r="E397" s="3">
        <v>115000000000</v>
      </c>
      <c r="F397" s="3">
        <v>104000000000</v>
      </c>
      <c r="G397" s="3">
        <v>18200000000</v>
      </c>
      <c r="H397" s="3">
        <v>12200000000</v>
      </c>
      <c r="I397" s="2">
        <v>0.17530000000000001</v>
      </c>
      <c r="J397" s="3">
        <v>7.7800000000000002E-13</v>
      </c>
    </row>
    <row r="398" spans="1:10" x14ac:dyDescent="0.2">
      <c r="A398" s="3">
        <v>400</v>
      </c>
      <c r="B398" s="3">
        <v>2.8200000000000001E-7</v>
      </c>
      <c r="C398" s="2">
        <v>2.0639999999999999E-2</v>
      </c>
      <c r="D398" s="3">
        <v>178000</v>
      </c>
      <c r="E398" s="3">
        <v>124000000000</v>
      </c>
      <c r="F398" s="3">
        <v>111000000000</v>
      </c>
      <c r="G398" s="2">
        <v>0</v>
      </c>
      <c r="H398" s="3">
        <v>11600000000</v>
      </c>
      <c r="I398" s="2">
        <v>-0.20499999999999999</v>
      </c>
      <c r="J398" s="3">
        <v>6.5300000000000004E-13</v>
      </c>
    </row>
    <row r="399" spans="1:10" x14ac:dyDescent="0.2">
      <c r="A399" s="3">
        <v>400</v>
      </c>
      <c r="B399" s="3">
        <v>2.8200000000000001E-7</v>
      </c>
      <c r="C399" s="2">
        <v>2.069E-2</v>
      </c>
      <c r="D399" s="3">
        <v>185000</v>
      </c>
      <c r="E399" s="3">
        <v>128000000000</v>
      </c>
      <c r="F399" s="3">
        <v>114000000000</v>
      </c>
      <c r="G399" s="3">
        <v>751000000</v>
      </c>
      <c r="H399" s="3">
        <v>11400000000</v>
      </c>
      <c r="I399" s="2">
        <v>6.5690000000000002E-3</v>
      </c>
      <c r="J399" s="3">
        <v>6.0199999999999996E-13</v>
      </c>
    </row>
    <row r="400" spans="1:10" x14ac:dyDescent="0.2">
      <c r="A400" s="3">
        <v>400</v>
      </c>
      <c r="B400" s="3">
        <v>2.8299999999999998E-7</v>
      </c>
      <c r="C400" s="2">
        <v>2.0750000000000001E-2</v>
      </c>
      <c r="D400" s="3">
        <v>157000</v>
      </c>
      <c r="E400" s="3">
        <v>111000000000</v>
      </c>
      <c r="F400" s="3">
        <v>101000000000</v>
      </c>
      <c r="G400" s="2">
        <v>0</v>
      </c>
      <c r="H400" s="3">
        <v>12400000000</v>
      </c>
      <c r="I400" s="2">
        <v>-1.061E-2</v>
      </c>
      <c r="J400" s="3">
        <v>8.4400000000000004E-13</v>
      </c>
    </row>
    <row r="401" spans="1:10" x14ac:dyDescent="0.2">
      <c r="A401" s="3">
        <v>400</v>
      </c>
      <c r="B401" s="3">
        <v>2.8299999999999998E-7</v>
      </c>
      <c r="C401" s="2">
        <v>2.0799999999999999E-2</v>
      </c>
      <c r="D401" s="3">
        <v>157000</v>
      </c>
      <c r="E401" s="3">
        <v>111000000000</v>
      </c>
      <c r="F401" s="3">
        <v>101000000000</v>
      </c>
      <c r="G401" s="2">
        <v>0</v>
      </c>
      <c r="H401" s="3">
        <v>12500000000</v>
      </c>
      <c r="I401" s="2">
        <v>-4.444E-2</v>
      </c>
      <c r="J401" s="3">
        <v>8.4700000000000003E-13</v>
      </c>
    </row>
    <row r="402" spans="1:10" x14ac:dyDescent="0.2">
      <c r="A402" s="3">
        <v>400</v>
      </c>
      <c r="B402" s="3">
        <v>2.84E-7</v>
      </c>
      <c r="C402" s="2">
        <v>2.085E-2</v>
      </c>
      <c r="D402" s="3">
        <v>178000</v>
      </c>
      <c r="E402" s="3">
        <v>123000000000</v>
      </c>
      <c r="F402" s="3">
        <v>110000000000</v>
      </c>
      <c r="G402" s="3">
        <v>7060000000</v>
      </c>
      <c r="H402" s="3">
        <v>11700000000</v>
      </c>
      <c r="I402" s="2">
        <v>6.3930000000000001E-2</v>
      </c>
      <c r="J402" s="3">
        <v>6.6200000000000001E-13</v>
      </c>
    </row>
    <row r="403" spans="1:10" x14ac:dyDescent="0.2">
      <c r="A403" s="3">
        <v>400</v>
      </c>
      <c r="B403" s="3">
        <v>2.84E-7</v>
      </c>
      <c r="C403" s="2">
        <v>2.0899999999999998E-2</v>
      </c>
      <c r="D403" s="3">
        <v>165000</v>
      </c>
      <c r="E403" s="3">
        <v>116000000000</v>
      </c>
      <c r="F403" s="3">
        <v>105000000000</v>
      </c>
      <c r="G403" s="3">
        <v>11900000000</v>
      </c>
      <c r="H403" s="3">
        <v>12100000000</v>
      </c>
      <c r="I403" s="2">
        <v>0.114</v>
      </c>
      <c r="J403" s="3">
        <v>7.6499999999999997E-13</v>
      </c>
    </row>
    <row r="404" spans="1:10" x14ac:dyDescent="0.2">
      <c r="A404" s="3">
        <v>400</v>
      </c>
      <c r="B404" s="3">
        <v>2.8500000000000002E-7</v>
      </c>
      <c r="C404" s="2">
        <v>2.095E-2</v>
      </c>
      <c r="D404" s="3">
        <v>154000</v>
      </c>
      <c r="E404" s="3">
        <v>110000000000</v>
      </c>
      <c r="F404" s="3">
        <v>99400000000</v>
      </c>
      <c r="G404" s="2">
        <v>0</v>
      </c>
      <c r="H404" s="3">
        <v>12600000000</v>
      </c>
      <c r="I404" s="2">
        <v>-2.7799999999999998E-2</v>
      </c>
      <c r="J404" s="3">
        <v>8.7799999999999999E-13</v>
      </c>
    </row>
    <row r="405" spans="1:10" x14ac:dyDescent="0.2">
      <c r="A405" s="3">
        <v>400</v>
      </c>
      <c r="B405" s="3">
        <v>2.8500000000000002E-7</v>
      </c>
      <c r="C405" s="2">
        <v>2.1010000000000001E-2</v>
      </c>
      <c r="D405" s="3">
        <v>162000</v>
      </c>
      <c r="E405" s="3">
        <v>114000000000</v>
      </c>
      <c r="F405" s="3">
        <v>103000000000</v>
      </c>
      <c r="G405" s="2">
        <v>0</v>
      </c>
      <c r="H405" s="3">
        <v>12200000000</v>
      </c>
      <c r="I405" s="2">
        <v>-4.65E-2</v>
      </c>
      <c r="J405" s="3">
        <v>7.9700000000000004E-13</v>
      </c>
    </row>
    <row r="406" spans="1:10" x14ac:dyDescent="0.2">
      <c r="A406" s="3">
        <v>400</v>
      </c>
      <c r="B406" s="3">
        <v>2.8599999999999999E-7</v>
      </c>
      <c r="C406" s="2">
        <v>2.1059999999999999E-2</v>
      </c>
      <c r="D406" s="3">
        <v>160000</v>
      </c>
      <c r="E406" s="3">
        <v>112000000000</v>
      </c>
      <c r="F406" s="3">
        <v>102000000000</v>
      </c>
      <c r="G406" s="3">
        <v>5790000000</v>
      </c>
      <c r="H406" s="3">
        <v>12300000000</v>
      </c>
      <c r="I406" s="2">
        <v>5.7020000000000001E-2</v>
      </c>
      <c r="J406" s="3">
        <v>8.2600000000000001E-13</v>
      </c>
    </row>
    <row r="407" spans="1:10" x14ac:dyDescent="0.2">
      <c r="A407" s="3">
        <v>410</v>
      </c>
      <c r="B407" s="3">
        <v>2.8700000000000002E-7</v>
      </c>
      <c r="C407" s="2">
        <v>2.111E-2</v>
      </c>
      <c r="D407" s="3">
        <v>162000</v>
      </c>
      <c r="E407" s="3">
        <v>113000000000</v>
      </c>
      <c r="F407" s="3">
        <v>103000000000</v>
      </c>
      <c r="G407" s="3">
        <v>2510000000</v>
      </c>
      <c r="H407" s="3">
        <v>12300000000</v>
      </c>
      <c r="I407" s="2">
        <v>2.453E-2</v>
      </c>
      <c r="J407" s="3">
        <v>8.05E-13</v>
      </c>
    </row>
    <row r="408" spans="1:10" x14ac:dyDescent="0.2">
      <c r="A408" s="3">
        <v>410</v>
      </c>
      <c r="B408" s="3">
        <v>2.8700000000000002E-7</v>
      </c>
      <c r="C408" s="2">
        <v>2.1160000000000002E-2</v>
      </c>
      <c r="D408" s="3">
        <v>156000</v>
      </c>
      <c r="E408" s="3">
        <v>110000000000</v>
      </c>
      <c r="F408" s="3">
        <v>99800000000</v>
      </c>
      <c r="G408" s="3">
        <v>1260000000</v>
      </c>
      <c r="H408" s="3">
        <v>12500000000</v>
      </c>
      <c r="I408" s="2">
        <v>1.264E-2</v>
      </c>
      <c r="J408" s="3">
        <v>8.6800000000000004E-13</v>
      </c>
    </row>
    <row r="409" spans="1:10" x14ac:dyDescent="0.2">
      <c r="A409" s="3">
        <v>410</v>
      </c>
      <c r="B409" s="3">
        <v>2.8799999999999998E-7</v>
      </c>
      <c r="C409" s="2">
        <v>2.1219999999999999E-2</v>
      </c>
      <c r="D409" s="3">
        <v>205000</v>
      </c>
      <c r="E409" s="3">
        <v>138000000000</v>
      </c>
      <c r="F409" s="3">
        <v>123000000000</v>
      </c>
      <c r="G409" s="3">
        <v>9620000000</v>
      </c>
      <c r="H409" s="3">
        <v>11000000000</v>
      </c>
      <c r="I409" s="2">
        <v>7.8509999999999996E-2</v>
      </c>
      <c r="J409" s="3">
        <v>5.0699999999999996E-13</v>
      </c>
    </row>
    <row r="410" spans="1:10" x14ac:dyDescent="0.2">
      <c r="A410" s="3">
        <v>410</v>
      </c>
      <c r="B410" s="3">
        <v>2.8799999999999998E-7</v>
      </c>
      <c r="C410" s="2">
        <v>2.1270000000000001E-2</v>
      </c>
      <c r="D410" s="3">
        <v>155000</v>
      </c>
      <c r="E410" s="3">
        <v>109000000000</v>
      </c>
      <c r="F410" s="3">
        <v>99300000000</v>
      </c>
      <c r="G410" s="2">
        <v>0</v>
      </c>
      <c r="H410" s="3">
        <v>12600000000</v>
      </c>
      <c r="I410" s="2">
        <v>-2.0080000000000001E-2</v>
      </c>
      <c r="J410" s="3">
        <v>8.8299999999999997E-13</v>
      </c>
    </row>
    <row r="411" spans="1:10" x14ac:dyDescent="0.2">
      <c r="A411" s="3">
        <v>410</v>
      </c>
      <c r="B411" s="3">
        <v>2.8900000000000001E-7</v>
      </c>
      <c r="C411" s="2">
        <v>2.1319999999999999E-2</v>
      </c>
      <c r="D411" s="3">
        <v>180000</v>
      </c>
      <c r="E411" s="3">
        <v>123000000000</v>
      </c>
      <c r="F411" s="3">
        <v>110000000000</v>
      </c>
      <c r="G411" s="3">
        <v>15800000000</v>
      </c>
      <c r="H411" s="3">
        <v>11700000000</v>
      </c>
      <c r="I411" s="2">
        <v>0.14349999999999999</v>
      </c>
      <c r="J411" s="3">
        <v>6.6200000000000001E-13</v>
      </c>
    </row>
    <row r="412" spans="1:10" x14ac:dyDescent="0.2">
      <c r="A412" s="3">
        <v>410</v>
      </c>
      <c r="B412" s="3">
        <v>2.8999999999999998E-7</v>
      </c>
      <c r="C412" s="2">
        <v>2.137E-2</v>
      </c>
      <c r="D412" s="3">
        <v>172000</v>
      </c>
      <c r="E412" s="3">
        <v>118000000000</v>
      </c>
      <c r="F412" s="3">
        <v>107000000000</v>
      </c>
      <c r="G412" s="2">
        <v>0</v>
      </c>
      <c r="H412" s="3">
        <v>11900000000</v>
      </c>
      <c r="I412" s="2">
        <v>-3.7699999999999997E-2</v>
      </c>
      <c r="J412" s="3">
        <v>7.2600000000000004E-13</v>
      </c>
    </row>
    <row r="413" spans="1:10" x14ac:dyDescent="0.2">
      <c r="A413" s="3">
        <v>410</v>
      </c>
      <c r="B413" s="3">
        <v>2.8999999999999998E-7</v>
      </c>
      <c r="C413" s="2">
        <v>2.1420000000000002E-2</v>
      </c>
      <c r="D413" s="3">
        <v>159000</v>
      </c>
      <c r="E413" s="3">
        <v>111000000000</v>
      </c>
      <c r="F413" s="3">
        <v>101000000000</v>
      </c>
      <c r="G413" s="3">
        <v>9710000000</v>
      </c>
      <c r="H413" s="3">
        <v>12400000000</v>
      </c>
      <c r="I413" s="2">
        <v>9.6369999999999997E-2</v>
      </c>
      <c r="J413" s="3">
        <v>8.4400000000000004E-13</v>
      </c>
    </row>
    <row r="414" spans="1:10" x14ac:dyDescent="0.2">
      <c r="A414" s="3">
        <v>410</v>
      </c>
      <c r="B414" s="3">
        <v>2.91E-7</v>
      </c>
      <c r="C414" s="2">
        <v>2.1479999999999999E-2</v>
      </c>
      <c r="D414" s="3">
        <v>172000</v>
      </c>
      <c r="E414" s="3">
        <v>118000000000</v>
      </c>
      <c r="F414" s="3">
        <v>107000000000</v>
      </c>
      <c r="G414" s="3">
        <v>4280000000</v>
      </c>
      <c r="H414" s="3">
        <v>11900000000</v>
      </c>
      <c r="I414" s="2">
        <v>4.0120000000000003E-2</v>
      </c>
      <c r="J414" s="3">
        <v>7.2300000000000005E-13</v>
      </c>
    </row>
    <row r="415" spans="1:10" x14ac:dyDescent="0.2">
      <c r="A415" s="3">
        <v>410</v>
      </c>
      <c r="B415" s="3">
        <v>2.91E-7</v>
      </c>
      <c r="C415" s="2">
        <v>2.1530000000000001E-2</v>
      </c>
      <c r="D415" s="3">
        <v>176000</v>
      </c>
      <c r="E415" s="3">
        <v>120000000000</v>
      </c>
      <c r="F415" s="3">
        <v>108000000000</v>
      </c>
      <c r="G415" s="3">
        <v>4360000000</v>
      </c>
      <c r="H415" s="3">
        <v>11800000000</v>
      </c>
      <c r="I415" s="2">
        <v>4.0340000000000001E-2</v>
      </c>
      <c r="J415" s="3">
        <v>6.9799999999999995E-13</v>
      </c>
    </row>
    <row r="416" spans="1:10" x14ac:dyDescent="0.2">
      <c r="A416" s="3">
        <v>410</v>
      </c>
      <c r="B416" s="3">
        <v>2.9200000000000002E-7</v>
      </c>
      <c r="C416" s="2">
        <v>2.1579999999999998E-2</v>
      </c>
      <c r="D416" s="3">
        <v>166000</v>
      </c>
      <c r="E416" s="3">
        <v>115000000000</v>
      </c>
      <c r="F416" s="3">
        <v>104000000000</v>
      </c>
      <c r="G416" s="3">
        <v>9880000000</v>
      </c>
      <c r="H416" s="3">
        <v>12200000000</v>
      </c>
      <c r="I416" s="2">
        <v>9.5519999999999994E-2</v>
      </c>
      <c r="J416" s="3">
        <v>7.8599999999999998E-13</v>
      </c>
    </row>
    <row r="417" spans="1:10" x14ac:dyDescent="0.2">
      <c r="A417" s="3">
        <v>420</v>
      </c>
      <c r="B417" s="3">
        <v>2.9299999999999999E-7</v>
      </c>
      <c r="C417" s="2">
        <v>2.163E-2</v>
      </c>
      <c r="D417" s="3">
        <v>173000</v>
      </c>
      <c r="E417" s="3">
        <v>118000000000</v>
      </c>
      <c r="F417" s="3">
        <v>107000000000</v>
      </c>
      <c r="G417" s="3">
        <v>8580000000</v>
      </c>
      <c r="H417" s="3">
        <v>11900000000</v>
      </c>
      <c r="I417" s="2">
        <v>8.047E-2</v>
      </c>
      <c r="J417" s="3">
        <v>7.2199999999999995E-13</v>
      </c>
    </row>
    <row r="418" spans="1:10" x14ac:dyDescent="0.2">
      <c r="A418" s="3">
        <v>420</v>
      </c>
      <c r="B418" s="3">
        <v>2.9299999999999999E-7</v>
      </c>
      <c r="C418" s="2">
        <v>2.1680000000000001E-2</v>
      </c>
      <c r="D418" s="3">
        <v>165000</v>
      </c>
      <c r="E418" s="3">
        <v>114000000000</v>
      </c>
      <c r="F418" s="3">
        <v>103000000000</v>
      </c>
      <c r="G418" s="2">
        <v>0</v>
      </c>
      <c r="H418" s="3">
        <v>12200000000</v>
      </c>
      <c r="I418" s="2">
        <v>-6.1499999999999999E-2</v>
      </c>
      <c r="J418" s="3">
        <v>7.9299999999999995E-13</v>
      </c>
    </row>
    <row r="419" spans="1:10" x14ac:dyDescent="0.2">
      <c r="A419" s="3">
        <v>420</v>
      </c>
      <c r="B419" s="3">
        <v>2.9400000000000001E-7</v>
      </c>
      <c r="C419" s="2">
        <v>2.1729999999999999E-2</v>
      </c>
      <c r="D419" s="3">
        <v>164000</v>
      </c>
      <c r="E419" s="3">
        <v>113000000000</v>
      </c>
      <c r="F419" s="3">
        <v>102000000000</v>
      </c>
      <c r="G419" s="2">
        <v>0</v>
      </c>
      <c r="H419" s="3">
        <v>12200000000</v>
      </c>
      <c r="I419" s="2">
        <v>-9.2859999999999998E-2</v>
      </c>
      <c r="J419" s="3">
        <v>8.06E-13</v>
      </c>
    </row>
    <row r="420" spans="1:10" x14ac:dyDescent="0.2">
      <c r="A420" s="3">
        <v>420</v>
      </c>
      <c r="B420" s="3">
        <v>2.9400000000000001E-7</v>
      </c>
      <c r="C420" s="2">
        <v>2.179E-2</v>
      </c>
      <c r="D420" s="3">
        <v>168000</v>
      </c>
      <c r="E420" s="3">
        <v>115000000000</v>
      </c>
      <c r="F420" s="3">
        <v>104000000000</v>
      </c>
      <c r="G420" s="3">
        <v>7300000000</v>
      </c>
      <c r="H420" s="3">
        <v>12100000000</v>
      </c>
      <c r="I420" s="2">
        <v>7.0309999999999997E-2</v>
      </c>
      <c r="J420" s="3">
        <v>7.7700000000000002E-13</v>
      </c>
    </row>
    <row r="421" spans="1:10" x14ac:dyDescent="0.2">
      <c r="A421" s="3">
        <v>420</v>
      </c>
      <c r="B421" s="3">
        <v>2.9499999999999998E-7</v>
      </c>
      <c r="C421" s="2">
        <v>2.1839999999999998E-2</v>
      </c>
      <c r="D421" s="3">
        <v>168000</v>
      </c>
      <c r="E421" s="3">
        <v>115000000000</v>
      </c>
      <c r="F421" s="3">
        <v>104000000000</v>
      </c>
      <c r="G421" s="2">
        <v>0</v>
      </c>
      <c r="H421" s="3">
        <v>12100000000</v>
      </c>
      <c r="I421" s="2">
        <v>-0.1027</v>
      </c>
      <c r="J421" s="3">
        <v>7.7400000000000003E-13</v>
      </c>
    </row>
    <row r="422" spans="1:10" x14ac:dyDescent="0.2">
      <c r="A422" s="3">
        <v>420</v>
      </c>
      <c r="B422" s="3">
        <v>2.96E-7</v>
      </c>
      <c r="C422" s="2">
        <v>2.189E-2</v>
      </c>
      <c r="D422" s="3">
        <v>163000</v>
      </c>
      <c r="E422" s="3">
        <v>112000000000</v>
      </c>
      <c r="F422" s="3">
        <v>101000000000</v>
      </c>
      <c r="G422" s="2">
        <v>0</v>
      </c>
      <c r="H422" s="3">
        <v>12300000000</v>
      </c>
      <c r="I422" s="2">
        <v>-3.4200000000000001E-2</v>
      </c>
      <c r="J422" s="3">
        <v>8.2800000000000001E-13</v>
      </c>
    </row>
    <row r="423" spans="1:10" x14ac:dyDescent="0.2">
      <c r="A423" s="3">
        <v>420</v>
      </c>
      <c r="B423" s="3">
        <v>2.9700000000000003E-7</v>
      </c>
      <c r="C423" s="2">
        <v>2.1940000000000001E-2</v>
      </c>
      <c r="D423" s="3">
        <v>172000</v>
      </c>
      <c r="E423" s="3">
        <v>117000000000</v>
      </c>
      <c r="F423" s="3">
        <v>106000000000</v>
      </c>
      <c r="G423" s="2">
        <v>0</v>
      </c>
      <c r="H423" s="3">
        <v>11900000000</v>
      </c>
      <c r="I423" s="2">
        <v>-9.0070000000000005E-4</v>
      </c>
      <c r="J423" s="3">
        <v>7.3999999999999998E-13</v>
      </c>
    </row>
    <row r="424" spans="1:10" x14ac:dyDescent="0.2">
      <c r="A424" s="3">
        <v>420</v>
      </c>
      <c r="B424" s="3">
        <v>2.9799999999999999E-7</v>
      </c>
      <c r="C424" s="2">
        <v>2.1999999999999999E-2</v>
      </c>
      <c r="D424" s="3">
        <v>177000</v>
      </c>
      <c r="E424" s="3">
        <v>119000000000</v>
      </c>
      <c r="F424" s="3">
        <v>107000000000</v>
      </c>
      <c r="G424" s="2">
        <v>0</v>
      </c>
      <c r="H424" s="3">
        <v>11800000000</v>
      </c>
      <c r="I424" s="2">
        <v>-5.9560000000000004E-3</v>
      </c>
      <c r="J424" s="3">
        <v>7.0400000000000003E-13</v>
      </c>
    </row>
    <row r="425" spans="1:10" x14ac:dyDescent="0.2">
      <c r="A425" s="3">
        <v>420</v>
      </c>
      <c r="B425" s="3">
        <v>2.9799999999999999E-7</v>
      </c>
      <c r="C425" s="2">
        <v>2.205E-2</v>
      </c>
      <c r="D425" s="3">
        <v>166000</v>
      </c>
      <c r="E425" s="3">
        <v>113000000000</v>
      </c>
      <c r="F425" s="3">
        <v>102000000000</v>
      </c>
      <c r="G425" s="3">
        <v>962000000</v>
      </c>
      <c r="H425" s="3">
        <v>12200000000</v>
      </c>
      <c r="I425" s="2">
        <v>9.4149999999999998E-3</v>
      </c>
      <c r="J425" s="3">
        <v>8.05E-13</v>
      </c>
    </row>
    <row r="426" spans="1:10" x14ac:dyDescent="0.2">
      <c r="A426" s="3">
        <v>420</v>
      </c>
      <c r="B426" s="3">
        <v>2.9900000000000002E-7</v>
      </c>
      <c r="C426" s="2">
        <v>2.2100000000000002E-2</v>
      </c>
      <c r="D426" s="3">
        <v>170000</v>
      </c>
      <c r="E426" s="3">
        <v>115000000000</v>
      </c>
      <c r="F426" s="3">
        <v>104000000000</v>
      </c>
      <c r="G426" s="2">
        <v>0</v>
      </c>
      <c r="H426" s="3">
        <v>12000000000</v>
      </c>
      <c r="I426" s="2">
        <v>-2.555E-2</v>
      </c>
      <c r="J426" s="3">
        <v>7.6499999999999997E-13</v>
      </c>
    </row>
    <row r="427" spans="1:10" x14ac:dyDescent="0.2">
      <c r="A427" s="3">
        <v>430</v>
      </c>
      <c r="B427" s="3">
        <v>2.9900000000000002E-7</v>
      </c>
      <c r="C427" s="2">
        <v>2.215E-2</v>
      </c>
      <c r="D427" s="3">
        <v>160000</v>
      </c>
      <c r="E427" s="3">
        <v>110000000000</v>
      </c>
      <c r="F427" s="3">
        <v>99600000000</v>
      </c>
      <c r="G427" s="3">
        <v>13400000000</v>
      </c>
      <c r="H427" s="3">
        <v>12400000000</v>
      </c>
      <c r="I427" s="2">
        <v>0.13420000000000001</v>
      </c>
      <c r="J427" s="3">
        <v>8.6500000000000005E-13</v>
      </c>
    </row>
    <row r="428" spans="1:10" x14ac:dyDescent="0.2">
      <c r="A428" s="3">
        <v>430</v>
      </c>
      <c r="B428" s="3">
        <v>2.9999999999999999E-7</v>
      </c>
      <c r="C428" s="2">
        <v>2.2200000000000001E-2</v>
      </c>
      <c r="D428" s="3">
        <v>172000</v>
      </c>
      <c r="E428" s="3">
        <v>116000000000</v>
      </c>
      <c r="F428" s="3">
        <v>105000000000</v>
      </c>
      <c r="G428" s="2">
        <v>0</v>
      </c>
      <c r="H428" s="3">
        <v>12000000000</v>
      </c>
      <c r="I428" s="2">
        <v>-1.6449999999999999E-2</v>
      </c>
      <c r="J428" s="3">
        <v>7.5200000000000003E-13</v>
      </c>
    </row>
    <row r="429" spans="1:10" x14ac:dyDescent="0.2">
      <c r="A429" s="3">
        <v>430</v>
      </c>
      <c r="B429" s="3">
        <v>3.0100000000000001E-7</v>
      </c>
      <c r="C429" s="2">
        <v>2.2259999999999999E-2</v>
      </c>
      <c r="D429" s="3">
        <v>165000</v>
      </c>
      <c r="E429" s="3">
        <v>112000000000</v>
      </c>
      <c r="F429" s="3">
        <v>102000000000</v>
      </c>
      <c r="G429" s="3">
        <v>6770000000</v>
      </c>
      <c r="H429" s="3">
        <v>12200000000</v>
      </c>
      <c r="I429" s="2">
        <v>6.6540000000000002E-2</v>
      </c>
      <c r="J429" s="3">
        <v>8.1399999999999996E-13</v>
      </c>
    </row>
    <row r="430" spans="1:10" x14ac:dyDescent="0.2">
      <c r="A430" s="3">
        <v>430</v>
      </c>
      <c r="B430" s="3">
        <v>3.0100000000000001E-7</v>
      </c>
      <c r="C430" s="2">
        <v>2.231E-2</v>
      </c>
      <c r="D430" s="3">
        <v>164000</v>
      </c>
      <c r="E430" s="3">
        <v>112000000000</v>
      </c>
      <c r="F430" s="3">
        <v>101000000000</v>
      </c>
      <c r="G430" s="3">
        <v>873000000</v>
      </c>
      <c r="H430" s="3">
        <v>12300000000</v>
      </c>
      <c r="I430" s="2">
        <v>8.6199999999999992E-3</v>
      </c>
      <c r="J430" s="3">
        <v>8.2500000000000002E-13</v>
      </c>
    </row>
    <row r="431" spans="1:10" x14ac:dyDescent="0.2">
      <c r="A431" s="3">
        <v>430</v>
      </c>
      <c r="B431" s="3">
        <v>3.0199999999999998E-7</v>
      </c>
      <c r="C431" s="2">
        <v>2.2370000000000001E-2</v>
      </c>
      <c r="D431" s="3">
        <v>171000</v>
      </c>
      <c r="E431" s="3">
        <v>115000000000</v>
      </c>
      <c r="F431" s="3">
        <v>104000000000</v>
      </c>
      <c r="G431" s="2">
        <v>0</v>
      </c>
      <c r="H431" s="3">
        <v>12000000000</v>
      </c>
      <c r="I431" s="2">
        <v>-3.7659999999999999E-2</v>
      </c>
      <c r="J431" s="3">
        <v>7.6399999999999998E-13</v>
      </c>
    </row>
    <row r="432" spans="1:10" x14ac:dyDescent="0.2">
      <c r="A432" s="3">
        <v>430</v>
      </c>
      <c r="B432" s="3">
        <v>3.03E-7</v>
      </c>
      <c r="C432" s="2">
        <v>2.2419999999999999E-2</v>
      </c>
      <c r="D432" s="3">
        <v>191000</v>
      </c>
      <c r="E432" s="3">
        <v>126000000000</v>
      </c>
      <c r="F432" s="3">
        <v>113000000000</v>
      </c>
      <c r="G432" s="3">
        <v>1660000000</v>
      </c>
      <c r="H432" s="3">
        <v>11400000000</v>
      </c>
      <c r="I432" s="2">
        <v>1.469E-2</v>
      </c>
      <c r="J432" s="3">
        <v>6.16E-13</v>
      </c>
    </row>
    <row r="433" spans="1:10" x14ac:dyDescent="0.2">
      <c r="A433" s="3">
        <v>430</v>
      </c>
      <c r="B433" s="3">
        <v>3.03E-7</v>
      </c>
      <c r="C433" s="2">
        <v>2.247E-2</v>
      </c>
      <c r="D433" s="3">
        <v>159000</v>
      </c>
      <c r="E433" s="3">
        <v>109000000000</v>
      </c>
      <c r="F433" s="3">
        <v>98600000000</v>
      </c>
      <c r="G433" s="3">
        <v>8540000000</v>
      </c>
      <c r="H433" s="3">
        <v>12500000000</v>
      </c>
      <c r="I433" s="2">
        <v>8.6540000000000006E-2</v>
      </c>
      <c r="J433" s="3">
        <v>8.8599999999999996E-13</v>
      </c>
    </row>
    <row r="434" spans="1:10" x14ac:dyDescent="0.2">
      <c r="A434" s="3">
        <v>430</v>
      </c>
      <c r="B434" s="3">
        <v>3.0400000000000002E-7</v>
      </c>
      <c r="C434" s="2">
        <v>2.2519999999999998E-2</v>
      </c>
      <c r="D434" s="3">
        <v>167000</v>
      </c>
      <c r="E434" s="3">
        <v>113000000000</v>
      </c>
      <c r="F434" s="3">
        <v>102000000000</v>
      </c>
      <c r="G434" s="3">
        <v>5740000000</v>
      </c>
      <c r="H434" s="3">
        <v>12100000000</v>
      </c>
      <c r="I434" s="2">
        <v>5.6250000000000001E-2</v>
      </c>
      <c r="J434" s="3">
        <v>8.0300000000000001E-13</v>
      </c>
    </row>
    <row r="435" spans="1:10" x14ac:dyDescent="0.2">
      <c r="A435" s="3">
        <v>430</v>
      </c>
      <c r="B435" s="3">
        <v>3.0400000000000002E-7</v>
      </c>
      <c r="C435" s="2">
        <v>2.257E-2</v>
      </c>
      <c r="D435" s="3">
        <v>179000</v>
      </c>
      <c r="E435" s="3">
        <v>119000000000</v>
      </c>
      <c r="F435" s="3">
        <v>107000000000</v>
      </c>
      <c r="G435" s="2">
        <v>0</v>
      </c>
      <c r="H435" s="3">
        <v>11800000000</v>
      </c>
      <c r="I435" s="2">
        <v>-9.0920000000000001E-2</v>
      </c>
      <c r="J435" s="3">
        <v>7.0700000000000002E-13</v>
      </c>
    </row>
    <row r="436" spans="1:10" x14ac:dyDescent="0.2">
      <c r="A436" s="3">
        <v>430</v>
      </c>
      <c r="B436" s="3">
        <v>3.0499999999999999E-7</v>
      </c>
      <c r="C436" s="2">
        <v>2.2620000000000001E-2</v>
      </c>
      <c r="D436" s="3">
        <v>162000</v>
      </c>
      <c r="E436" s="3">
        <v>110000000000</v>
      </c>
      <c r="F436" s="3">
        <v>99600000000</v>
      </c>
      <c r="G436" s="3">
        <v>4750000000</v>
      </c>
      <c r="H436" s="3">
        <v>12400000000</v>
      </c>
      <c r="I436" s="2">
        <v>4.7669999999999997E-2</v>
      </c>
      <c r="J436" s="3">
        <v>8.6199999999999996E-13</v>
      </c>
    </row>
    <row r="437" spans="1:10" x14ac:dyDescent="0.2">
      <c r="A437" s="3">
        <v>440</v>
      </c>
      <c r="B437" s="3">
        <v>3.0499999999999999E-7</v>
      </c>
      <c r="C437" s="2">
        <v>2.2669999999999999E-2</v>
      </c>
      <c r="D437" s="3">
        <v>169000</v>
      </c>
      <c r="E437" s="3">
        <v>114000000000</v>
      </c>
      <c r="F437" s="3">
        <v>103000000000</v>
      </c>
      <c r="G437" s="2">
        <v>0</v>
      </c>
      <c r="H437" s="3">
        <v>12100000000</v>
      </c>
      <c r="I437" s="2">
        <v>-6.0850000000000001E-2</v>
      </c>
      <c r="J437" s="3">
        <v>7.9099999999999996E-13</v>
      </c>
    </row>
    <row r="438" spans="1:10" x14ac:dyDescent="0.2">
      <c r="A438" s="3">
        <v>440</v>
      </c>
      <c r="B438" s="3">
        <v>3.0600000000000001E-7</v>
      </c>
      <c r="C438" s="2">
        <v>2.273E-2</v>
      </c>
      <c r="D438" s="3">
        <v>162000</v>
      </c>
      <c r="E438" s="3">
        <v>110000000000</v>
      </c>
      <c r="F438" s="3">
        <v>99500000000</v>
      </c>
      <c r="G438" s="2">
        <v>0</v>
      </c>
      <c r="H438" s="3">
        <v>12400000000</v>
      </c>
      <c r="I438" s="2">
        <v>-2.0140000000000002E-2</v>
      </c>
      <c r="J438" s="3">
        <v>8.6299999999999996E-13</v>
      </c>
    </row>
    <row r="439" spans="1:10" x14ac:dyDescent="0.2">
      <c r="A439" s="3">
        <v>440</v>
      </c>
      <c r="B439" s="3">
        <v>3.0600000000000001E-7</v>
      </c>
      <c r="C439" s="2">
        <v>2.2780000000000002E-2</v>
      </c>
      <c r="D439" s="3">
        <v>168000</v>
      </c>
      <c r="E439" s="3">
        <v>113000000000</v>
      </c>
      <c r="F439" s="3">
        <v>102000000000</v>
      </c>
      <c r="G439" s="2">
        <v>0</v>
      </c>
      <c r="H439" s="3">
        <v>12200000000</v>
      </c>
      <c r="I439" s="2">
        <v>-5.142E-2</v>
      </c>
      <c r="J439" s="3">
        <v>8.05E-13</v>
      </c>
    </row>
    <row r="440" spans="1:10" x14ac:dyDescent="0.2">
      <c r="A440" s="3">
        <v>440</v>
      </c>
      <c r="B440" s="3">
        <v>3.0699999999999998E-7</v>
      </c>
      <c r="C440" s="2">
        <v>2.283E-2</v>
      </c>
      <c r="D440" s="3">
        <v>160000</v>
      </c>
      <c r="E440" s="3">
        <v>108000000000</v>
      </c>
      <c r="F440" s="3">
        <v>98200000000</v>
      </c>
      <c r="G440" s="3">
        <v>4040000000</v>
      </c>
      <c r="H440" s="3">
        <v>12500000000</v>
      </c>
      <c r="I440" s="2">
        <v>4.1079999999999998E-2</v>
      </c>
      <c r="J440" s="3">
        <v>8.9500000000000002E-13</v>
      </c>
    </row>
    <row r="441" spans="1:10" x14ac:dyDescent="0.2">
      <c r="A441" s="3">
        <v>440</v>
      </c>
      <c r="B441" s="3">
        <v>3.0800000000000001E-7</v>
      </c>
      <c r="C441" s="2">
        <v>2.2880000000000001E-2</v>
      </c>
      <c r="D441" s="3">
        <v>158000</v>
      </c>
      <c r="E441" s="3">
        <v>107000000000</v>
      </c>
      <c r="F441" s="3">
        <v>97500000000</v>
      </c>
      <c r="G441" s="3">
        <v>19400000000</v>
      </c>
      <c r="H441" s="3">
        <v>12600000000</v>
      </c>
      <c r="I441" s="2">
        <v>0.1991</v>
      </c>
      <c r="J441" s="3">
        <v>9.1199999999999995E-13</v>
      </c>
    </row>
    <row r="442" spans="1:10" x14ac:dyDescent="0.2">
      <c r="A442" s="3">
        <v>440</v>
      </c>
      <c r="B442" s="3">
        <v>3.0899999999999997E-7</v>
      </c>
      <c r="C442" s="2">
        <v>2.2939999999999999E-2</v>
      </c>
      <c r="D442" s="3">
        <v>163000</v>
      </c>
      <c r="E442" s="3">
        <v>110000000000</v>
      </c>
      <c r="F442" s="3">
        <v>99500000000</v>
      </c>
      <c r="G442" s="3">
        <v>14800000000</v>
      </c>
      <c r="H442" s="3">
        <v>12300000000</v>
      </c>
      <c r="I442" s="2">
        <v>0.1484</v>
      </c>
      <c r="J442" s="3">
        <v>8.6099999999999997E-13</v>
      </c>
    </row>
    <row r="443" spans="1:10" x14ac:dyDescent="0.2">
      <c r="A443" s="3">
        <v>440</v>
      </c>
      <c r="B443" s="3">
        <v>3.0899999999999997E-7</v>
      </c>
      <c r="C443" s="2">
        <v>2.299E-2</v>
      </c>
      <c r="D443" s="3">
        <v>182000</v>
      </c>
      <c r="E443" s="3">
        <v>120000000000</v>
      </c>
      <c r="F443" s="3">
        <v>108000000000</v>
      </c>
      <c r="G443" s="3">
        <v>213000000</v>
      </c>
      <c r="H443" s="3">
        <v>11700000000</v>
      </c>
      <c r="I443" s="2">
        <v>1.9740000000000001E-3</v>
      </c>
      <c r="J443" s="3">
        <v>6.9699999999999996E-13</v>
      </c>
    </row>
    <row r="444" spans="1:10" x14ac:dyDescent="0.2">
      <c r="A444" s="3">
        <v>440</v>
      </c>
      <c r="B444" s="3">
        <v>3.1E-7</v>
      </c>
      <c r="C444" s="2">
        <v>2.3040000000000001E-2</v>
      </c>
      <c r="D444" s="3">
        <v>158000</v>
      </c>
      <c r="E444" s="3">
        <v>107000000000</v>
      </c>
      <c r="F444" s="3">
        <v>97000000000</v>
      </c>
      <c r="G444" s="3">
        <v>9200000000</v>
      </c>
      <c r="H444" s="3">
        <v>12600000000</v>
      </c>
      <c r="I444" s="2">
        <v>9.4909999999999994E-2</v>
      </c>
      <c r="J444" s="3">
        <v>9.2600000000000009E-13</v>
      </c>
    </row>
    <row r="445" spans="1:10" x14ac:dyDescent="0.2">
      <c r="A445" s="3">
        <v>440</v>
      </c>
      <c r="B445" s="3">
        <v>3.1E-7</v>
      </c>
      <c r="C445" s="2">
        <v>2.3089999999999999E-2</v>
      </c>
      <c r="D445" s="3">
        <v>152000</v>
      </c>
      <c r="E445" s="3">
        <v>104000000000</v>
      </c>
      <c r="F445" s="3">
        <v>94500000000</v>
      </c>
      <c r="G445" s="2">
        <v>0</v>
      </c>
      <c r="H445" s="3">
        <v>12900000000</v>
      </c>
      <c r="I445" s="2">
        <v>-7.9119999999999996E-2</v>
      </c>
      <c r="J445" s="3">
        <v>9.9700000000000009E-13</v>
      </c>
    </row>
    <row r="446" spans="1:10" x14ac:dyDescent="0.2">
      <c r="A446" s="3">
        <v>440</v>
      </c>
      <c r="B446" s="3">
        <v>3.1E-7</v>
      </c>
      <c r="C446" s="2">
        <v>2.3140000000000001E-2</v>
      </c>
      <c r="D446" s="3">
        <v>173000</v>
      </c>
      <c r="E446" s="3">
        <v>115000000000</v>
      </c>
      <c r="F446" s="3">
        <v>104000000000</v>
      </c>
      <c r="G446" s="2">
        <v>0</v>
      </c>
      <c r="H446" s="3">
        <v>12100000000</v>
      </c>
      <c r="I446" s="2">
        <v>-6.4369999999999997E-2</v>
      </c>
      <c r="J446" s="3">
        <v>7.7700000000000002E-13</v>
      </c>
    </row>
    <row r="447" spans="1:10" x14ac:dyDescent="0.2">
      <c r="A447" s="3">
        <v>450</v>
      </c>
      <c r="B447" s="3">
        <v>3.1100000000000002E-7</v>
      </c>
      <c r="C447" s="2">
        <v>2.3199999999999998E-2</v>
      </c>
      <c r="D447" s="3">
        <v>193000</v>
      </c>
      <c r="E447" s="3">
        <v>126000000000</v>
      </c>
      <c r="F447" s="3">
        <v>113000000000</v>
      </c>
      <c r="G447" s="3">
        <v>14900000000</v>
      </c>
      <c r="H447" s="3">
        <v>11500000000</v>
      </c>
      <c r="I447" s="2">
        <v>0.13159999999999999</v>
      </c>
      <c r="J447" s="3">
        <v>6.2099999999999998E-13</v>
      </c>
    </row>
    <row r="448" spans="1:10" x14ac:dyDescent="0.2">
      <c r="A448" s="3">
        <v>450</v>
      </c>
      <c r="B448" s="3">
        <v>3.1199999999999999E-7</v>
      </c>
      <c r="C448" s="2">
        <v>2.325E-2</v>
      </c>
      <c r="D448" s="3">
        <v>172000</v>
      </c>
      <c r="E448" s="3">
        <v>114000000000</v>
      </c>
      <c r="F448" s="3">
        <v>103000000000</v>
      </c>
      <c r="G448" s="3">
        <v>6130000000</v>
      </c>
      <c r="H448" s="3">
        <v>12100000000</v>
      </c>
      <c r="I448" s="2">
        <v>5.9650000000000002E-2</v>
      </c>
      <c r="J448" s="3">
        <v>7.8999999999999997E-13</v>
      </c>
    </row>
    <row r="449" spans="1:10" x14ac:dyDescent="0.2">
      <c r="A449" s="3">
        <v>450</v>
      </c>
      <c r="B449" s="3">
        <v>3.1199999999999999E-7</v>
      </c>
      <c r="C449" s="2">
        <v>2.3300000000000001E-2</v>
      </c>
      <c r="D449" s="3">
        <v>191000</v>
      </c>
      <c r="E449" s="3">
        <v>124000000000</v>
      </c>
      <c r="F449" s="3">
        <v>111000000000</v>
      </c>
      <c r="G449" s="3">
        <v>24700000000</v>
      </c>
      <c r="H449" s="3">
        <v>11500000000</v>
      </c>
      <c r="I449" s="2">
        <v>0.22220000000000001</v>
      </c>
      <c r="J449" s="3">
        <v>6.4199999999999999E-13</v>
      </c>
    </row>
    <row r="450" spans="1:10" x14ac:dyDescent="0.2">
      <c r="A450" s="3">
        <v>450</v>
      </c>
      <c r="B450" s="3">
        <v>3.1300000000000001E-7</v>
      </c>
      <c r="C450" s="2">
        <v>2.3349999999999999E-2</v>
      </c>
      <c r="D450" s="3">
        <v>157000</v>
      </c>
      <c r="E450" s="3">
        <v>106000000000</v>
      </c>
      <c r="F450" s="3">
        <v>96300000000</v>
      </c>
      <c r="G450" s="2">
        <v>0</v>
      </c>
      <c r="H450" s="3">
        <v>12700000000</v>
      </c>
      <c r="I450" s="2">
        <v>-4.8230000000000002E-2</v>
      </c>
      <c r="J450" s="3">
        <v>9.4400000000000002E-13</v>
      </c>
    </row>
    <row r="451" spans="1:10" x14ac:dyDescent="0.2">
      <c r="A451" s="3">
        <v>450</v>
      </c>
      <c r="B451" s="3">
        <v>3.1399999999999998E-7</v>
      </c>
      <c r="C451" s="2">
        <v>2.3400000000000001E-2</v>
      </c>
      <c r="D451" s="3">
        <v>186000</v>
      </c>
      <c r="E451" s="3">
        <v>121000000000</v>
      </c>
      <c r="F451" s="3">
        <v>109000000000</v>
      </c>
      <c r="G451" s="2">
        <v>0</v>
      </c>
      <c r="H451" s="3">
        <v>11600000000</v>
      </c>
      <c r="I451" s="2">
        <v>-6.3930000000000001E-2</v>
      </c>
      <c r="J451" s="3">
        <v>6.7700000000000004E-13</v>
      </c>
    </row>
    <row r="452" spans="1:10" x14ac:dyDescent="0.2">
      <c r="A452" s="3">
        <v>450</v>
      </c>
      <c r="B452" s="3">
        <v>3.15E-7</v>
      </c>
      <c r="C452" s="2">
        <v>2.3460000000000002E-2</v>
      </c>
      <c r="D452" s="3">
        <v>197000</v>
      </c>
      <c r="E452" s="3">
        <v>127000000000</v>
      </c>
      <c r="F452" s="3">
        <v>114000000000</v>
      </c>
      <c r="G452" s="2">
        <v>0</v>
      </c>
      <c r="H452" s="3">
        <v>11400000000</v>
      </c>
      <c r="I452" s="2">
        <v>-2.2020000000000001E-2</v>
      </c>
      <c r="J452" s="3">
        <v>6.0700000000000004E-13</v>
      </c>
    </row>
    <row r="453" spans="1:10" x14ac:dyDescent="0.2">
      <c r="A453" s="3">
        <v>450</v>
      </c>
      <c r="B453" s="3">
        <v>3.1600000000000002E-7</v>
      </c>
      <c r="C453" s="2">
        <v>2.351E-2</v>
      </c>
      <c r="D453" s="3">
        <v>173000</v>
      </c>
      <c r="E453" s="3">
        <v>114000000000</v>
      </c>
      <c r="F453" s="3">
        <v>103000000000</v>
      </c>
      <c r="G453" s="3">
        <v>2830000000</v>
      </c>
      <c r="H453" s="3">
        <v>12000000000</v>
      </c>
      <c r="I453" s="2">
        <v>2.7560000000000001E-2</v>
      </c>
      <c r="J453" s="3">
        <v>7.8499999999999999E-13</v>
      </c>
    </row>
    <row r="454" spans="1:10" x14ac:dyDescent="0.2">
      <c r="A454" s="3">
        <v>450</v>
      </c>
      <c r="B454" s="3">
        <v>3.1699999999999999E-7</v>
      </c>
      <c r="C454" s="2">
        <v>2.3560000000000001E-2</v>
      </c>
      <c r="D454" s="3">
        <v>161000</v>
      </c>
      <c r="E454" s="3">
        <v>107000000000</v>
      </c>
      <c r="F454" s="3">
        <v>97400000000</v>
      </c>
      <c r="G454" s="3">
        <v>9450000000</v>
      </c>
      <c r="H454" s="3">
        <v>12400000000</v>
      </c>
      <c r="I454" s="2">
        <v>9.7059999999999994E-2</v>
      </c>
      <c r="J454" s="3">
        <v>9.0599999999999998E-13</v>
      </c>
    </row>
    <row r="455" spans="1:10" x14ac:dyDescent="0.2">
      <c r="A455" s="3">
        <v>450</v>
      </c>
      <c r="B455" s="3">
        <v>3.1699999999999999E-7</v>
      </c>
      <c r="C455" s="2">
        <v>2.3609999999999999E-2</v>
      </c>
      <c r="D455" s="3">
        <v>162000</v>
      </c>
      <c r="E455" s="3">
        <v>107000000000</v>
      </c>
      <c r="F455" s="3">
        <v>97400000000</v>
      </c>
      <c r="G455" s="2">
        <v>0</v>
      </c>
      <c r="H455" s="3">
        <v>12400000000</v>
      </c>
      <c r="I455" s="2">
        <v>-6.0569999999999999E-2</v>
      </c>
      <c r="J455" s="3">
        <v>9.0399999999999999E-13</v>
      </c>
    </row>
    <row r="456" spans="1:10" x14ac:dyDescent="0.2">
      <c r="A456" s="3">
        <v>450</v>
      </c>
      <c r="B456" s="3">
        <v>3.1899999999999998E-7</v>
      </c>
      <c r="C456" s="2">
        <v>2.366E-2</v>
      </c>
      <c r="D456" s="3">
        <v>164000</v>
      </c>
      <c r="E456" s="3">
        <v>108000000000</v>
      </c>
      <c r="F456" s="3">
        <v>98100000000</v>
      </c>
      <c r="G456" s="3">
        <v>4130000000</v>
      </c>
      <c r="H456" s="3">
        <v>12300000000</v>
      </c>
      <c r="I456" s="2">
        <v>4.2079999999999999E-2</v>
      </c>
      <c r="J456" s="3">
        <v>8.8299999999999997E-13</v>
      </c>
    </row>
    <row r="457" spans="1:10" x14ac:dyDescent="0.2">
      <c r="A457" s="3">
        <v>460</v>
      </c>
      <c r="B457" s="3">
        <v>3.2000000000000001E-7</v>
      </c>
      <c r="C457" s="2">
        <v>2.3709999999999998E-2</v>
      </c>
      <c r="D457" s="3">
        <v>170000</v>
      </c>
      <c r="E457" s="3">
        <v>111000000000</v>
      </c>
      <c r="F457" s="3">
        <v>101000000000</v>
      </c>
      <c r="G457" s="3">
        <v>2980000000</v>
      </c>
      <c r="H457" s="3">
        <v>12000000000</v>
      </c>
      <c r="I457" s="2">
        <v>2.9610000000000001E-2</v>
      </c>
      <c r="J457" s="3">
        <v>8.2100000000000004E-13</v>
      </c>
    </row>
    <row r="458" spans="1:10" x14ac:dyDescent="0.2">
      <c r="A458" s="3">
        <v>460</v>
      </c>
      <c r="B458" s="3">
        <v>3.2099999999999998E-7</v>
      </c>
      <c r="C458" s="2">
        <v>2.3769999999999999E-2</v>
      </c>
      <c r="D458" s="3">
        <v>160000</v>
      </c>
      <c r="E458" s="3">
        <v>105000000000</v>
      </c>
      <c r="F458" s="3">
        <v>95900000000</v>
      </c>
      <c r="G458" s="2">
        <v>0</v>
      </c>
      <c r="H458" s="3">
        <v>12400000000</v>
      </c>
      <c r="I458" s="2">
        <v>-3.7539999999999997E-2</v>
      </c>
      <c r="J458" s="3">
        <v>9.3099999999999997E-13</v>
      </c>
    </row>
    <row r="459" spans="1:10" x14ac:dyDescent="0.2">
      <c r="A459" s="3">
        <v>460</v>
      </c>
      <c r="B459" s="3">
        <v>3.2099999999999998E-7</v>
      </c>
      <c r="C459" s="2">
        <v>2.3820000000000001E-2</v>
      </c>
      <c r="D459" s="3">
        <v>178000</v>
      </c>
      <c r="E459" s="3">
        <v>115000000000</v>
      </c>
      <c r="F459" s="3">
        <v>104000000000</v>
      </c>
      <c r="G459" s="3">
        <v>7740000000</v>
      </c>
      <c r="H459" s="3">
        <v>11800000000</v>
      </c>
      <c r="I459" s="2">
        <v>7.46E-2</v>
      </c>
      <c r="J459" s="3">
        <v>7.5500000000000001E-13</v>
      </c>
    </row>
    <row r="460" spans="1:10" x14ac:dyDescent="0.2">
      <c r="A460" s="3">
        <v>460</v>
      </c>
      <c r="B460" s="3">
        <v>3.22E-7</v>
      </c>
      <c r="C460" s="2">
        <v>2.3869999999999999E-2</v>
      </c>
      <c r="D460" s="3">
        <v>196000</v>
      </c>
      <c r="E460" s="3">
        <v>125000000000</v>
      </c>
      <c r="F460" s="3">
        <v>112000000000</v>
      </c>
      <c r="G460" s="2">
        <v>0</v>
      </c>
      <c r="H460" s="3">
        <v>11200000000</v>
      </c>
      <c r="I460" s="2">
        <v>-2.0670000000000001E-2</v>
      </c>
      <c r="J460" s="3">
        <v>6.1899999999999999E-13</v>
      </c>
    </row>
    <row r="461" spans="1:10" x14ac:dyDescent="0.2">
      <c r="A461" s="3">
        <v>460</v>
      </c>
      <c r="B461" s="3">
        <v>3.2300000000000002E-7</v>
      </c>
      <c r="C461" s="2">
        <v>2.393E-2</v>
      </c>
      <c r="D461" s="3">
        <v>164000</v>
      </c>
      <c r="E461" s="3">
        <v>107000000000</v>
      </c>
      <c r="F461" s="3">
        <v>97600000000</v>
      </c>
      <c r="G461" s="2">
        <v>0</v>
      </c>
      <c r="H461" s="3">
        <v>12200000000</v>
      </c>
      <c r="I461" s="2">
        <v>-9.425E-2</v>
      </c>
      <c r="J461" s="3">
        <v>8.8599999999999996E-13</v>
      </c>
    </row>
    <row r="462" spans="1:10" x14ac:dyDescent="0.2">
      <c r="A462" s="3">
        <v>460</v>
      </c>
      <c r="B462" s="3">
        <v>3.2399999999999999E-7</v>
      </c>
      <c r="C462" s="2">
        <v>2.3980000000000001E-2</v>
      </c>
      <c r="D462" s="3">
        <v>167000</v>
      </c>
      <c r="E462" s="3">
        <v>109000000000</v>
      </c>
      <c r="F462" s="3">
        <v>98700000000</v>
      </c>
      <c r="G462" s="2">
        <v>0</v>
      </c>
      <c r="H462" s="3">
        <v>12100000000</v>
      </c>
      <c r="I462" s="2">
        <v>-5.7759999999999999E-2</v>
      </c>
      <c r="J462" s="3">
        <v>8.5799999999999998E-13</v>
      </c>
    </row>
    <row r="463" spans="1:10" x14ac:dyDescent="0.2">
      <c r="A463" s="3">
        <v>460</v>
      </c>
      <c r="B463" s="3">
        <v>3.2399999999999999E-7</v>
      </c>
      <c r="C463" s="2">
        <v>2.4029999999999999E-2</v>
      </c>
      <c r="D463" s="3">
        <v>163000</v>
      </c>
      <c r="E463" s="3">
        <v>107000000000</v>
      </c>
      <c r="F463" s="3">
        <v>96900000000</v>
      </c>
      <c r="G463" s="3">
        <v>2630000000</v>
      </c>
      <c r="H463" s="3">
        <v>12300000000</v>
      </c>
      <c r="I463" s="2">
        <v>2.716E-2</v>
      </c>
      <c r="J463" s="3">
        <v>9.0399999999999999E-13</v>
      </c>
    </row>
    <row r="464" spans="1:10" x14ac:dyDescent="0.2">
      <c r="A464" s="3">
        <v>460</v>
      </c>
      <c r="B464" s="3">
        <v>3.2500000000000001E-7</v>
      </c>
      <c r="C464" s="2">
        <v>2.4080000000000001E-2</v>
      </c>
      <c r="D464" s="3">
        <v>176000</v>
      </c>
      <c r="E464" s="3">
        <v>113000000000</v>
      </c>
      <c r="F464" s="3">
        <v>103000000000</v>
      </c>
      <c r="G464" s="2">
        <v>0</v>
      </c>
      <c r="H464" s="3">
        <v>11800000000</v>
      </c>
      <c r="I464" s="2">
        <v>-3.6640000000000002E-3</v>
      </c>
      <c r="J464" s="3">
        <v>7.7500000000000003E-13</v>
      </c>
    </row>
    <row r="465" spans="1:10" x14ac:dyDescent="0.2">
      <c r="A465" s="3">
        <v>460</v>
      </c>
      <c r="B465" s="3">
        <v>3.2500000000000001E-7</v>
      </c>
      <c r="C465" s="2">
        <v>2.4129999999999999E-2</v>
      </c>
      <c r="D465" s="3">
        <v>174000</v>
      </c>
      <c r="E465" s="3">
        <v>112000000000</v>
      </c>
      <c r="F465" s="3">
        <v>102000000000</v>
      </c>
      <c r="G465" s="3">
        <v>9830000000</v>
      </c>
      <c r="H465" s="3">
        <v>11900000000</v>
      </c>
      <c r="I465" s="2">
        <v>9.6839999999999996E-2</v>
      </c>
      <c r="J465" s="3">
        <v>7.9900000000000003E-13</v>
      </c>
    </row>
    <row r="466" spans="1:10" x14ac:dyDescent="0.2">
      <c r="A466" s="3">
        <v>460</v>
      </c>
      <c r="B466" s="3">
        <v>3.2599999999999998E-7</v>
      </c>
      <c r="C466" s="2">
        <v>2.419E-2</v>
      </c>
      <c r="D466" s="3">
        <v>172000</v>
      </c>
      <c r="E466" s="3">
        <v>111000000000</v>
      </c>
      <c r="F466" s="3">
        <v>100000000000</v>
      </c>
      <c r="G466" s="2">
        <v>0</v>
      </c>
      <c r="H466" s="3">
        <v>12000000000</v>
      </c>
      <c r="I466" s="2">
        <v>-6.4570000000000002E-2</v>
      </c>
      <c r="J466" s="3">
        <v>8.2200000000000003E-13</v>
      </c>
    </row>
    <row r="467" spans="1:10" x14ac:dyDescent="0.2">
      <c r="A467" s="3">
        <v>470</v>
      </c>
      <c r="B467" s="3">
        <v>3.2599999999999998E-7</v>
      </c>
      <c r="C467" s="2">
        <v>2.4240000000000001E-2</v>
      </c>
      <c r="D467" s="3">
        <v>158000</v>
      </c>
      <c r="E467" s="3">
        <v>104000000000</v>
      </c>
      <c r="F467" s="3">
        <v>94500000000</v>
      </c>
      <c r="G467" s="2">
        <v>0</v>
      </c>
      <c r="H467" s="3">
        <v>12500000000</v>
      </c>
      <c r="I467" s="2">
        <v>-8.7639999999999996E-2</v>
      </c>
      <c r="J467" s="3">
        <v>9.6599999999999992E-13</v>
      </c>
    </row>
    <row r="468" spans="1:10" x14ac:dyDescent="0.2">
      <c r="A468" s="3">
        <v>470</v>
      </c>
      <c r="B468" s="3">
        <v>3.27E-7</v>
      </c>
      <c r="C468" s="2">
        <v>2.4289999999999999E-2</v>
      </c>
      <c r="D468" s="3">
        <v>178000</v>
      </c>
      <c r="E468" s="3">
        <v>114000000000</v>
      </c>
      <c r="F468" s="3">
        <v>103000000000</v>
      </c>
      <c r="G468" s="3">
        <v>2870000000</v>
      </c>
      <c r="H468" s="3">
        <v>11800000000</v>
      </c>
      <c r="I468" s="2">
        <v>2.7799999999999998E-2</v>
      </c>
      <c r="J468" s="3">
        <v>7.6699999999999996E-13</v>
      </c>
    </row>
    <row r="469" spans="1:10" x14ac:dyDescent="0.2">
      <c r="A469" s="3">
        <v>470</v>
      </c>
      <c r="B469" s="3">
        <v>3.27E-7</v>
      </c>
      <c r="C469" s="2">
        <v>2.4340000000000001E-2</v>
      </c>
      <c r="D469" s="3">
        <v>177000</v>
      </c>
      <c r="E469" s="3">
        <v>113000000000</v>
      </c>
      <c r="F469" s="3">
        <v>102000000000</v>
      </c>
      <c r="G469" s="3">
        <v>3180000000</v>
      </c>
      <c r="H469" s="3">
        <v>11900000000</v>
      </c>
      <c r="I469" s="2">
        <v>3.107E-2</v>
      </c>
      <c r="J469" s="3">
        <v>7.8000000000000001E-13</v>
      </c>
    </row>
    <row r="470" spans="1:10" x14ac:dyDescent="0.2">
      <c r="A470" s="3">
        <v>470</v>
      </c>
      <c r="B470" s="3">
        <v>3.2800000000000003E-7</v>
      </c>
      <c r="C470" s="2">
        <v>2.4389999999999998E-2</v>
      </c>
      <c r="D470" s="3">
        <v>161000</v>
      </c>
      <c r="E470" s="3">
        <v>105000000000</v>
      </c>
      <c r="F470" s="3">
        <v>95600000000</v>
      </c>
      <c r="G470" s="3">
        <v>11200000000</v>
      </c>
      <c r="H470" s="3">
        <v>12400000000</v>
      </c>
      <c r="I470" s="2">
        <v>0.1171</v>
      </c>
      <c r="J470" s="3">
        <v>9.3899999999999994E-13</v>
      </c>
    </row>
    <row r="471" spans="1:10" x14ac:dyDescent="0.2">
      <c r="A471" s="3">
        <v>470</v>
      </c>
      <c r="B471" s="3">
        <v>3.2899999999999999E-7</v>
      </c>
      <c r="C471" s="2">
        <v>2.445E-2</v>
      </c>
      <c r="D471" s="3">
        <v>173000</v>
      </c>
      <c r="E471" s="3">
        <v>111000000000</v>
      </c>
      <c r="F471" s="3">
        <v>100000000000</v>
      </c>
      <c r="G471" s="2">
        <v>0</v>
      </c>
      <c r="H471" s="3">
        <v>12000000000</v>
      </c>
      <c r="I471" s="2">
        <v>-0.10489999999999999</v>
      </c>
      <c r="J471" s="3">
        <v>8.2100000000000004E-13</v>
      </c>
    </row>
    <row r="472" spans="1:10" x14ac:dyDescent="0.2">
      <c r="A472" s="3">
        <v>470</v>
      </c>
      <c r="B472" s="3">
        <v>3.2899999999999999E-7</v>
      </c>
      <c r="C472" s="2">
        <v>2.4500000000000001E-2</v>
      </c>
      <c r="D472" s="3">
        <v>169000</v>
      </c>
      <c r="E472" s="3">
        <v>109000000000</v>
      </c>
      <c r="F472" s="3">
        <v>98700000000</v>
      </c>
      <c r="G472" s="3">
        <v>7560000000</v>
      </c>
      <c r="H472" s="3">
        <v>12100000000</v>
      </c>
      <c r="I472" s="2">
        <v>7.6619999999999994E-2</v>
      </c>
      <c r="J472" s="3">
        <v>8.5999999999999997E-13</v>
      </c>
    </row>
    <row r="473" spans="1:10" x14ac:dyDescent="0.2">
      <c r="A473" s="3">
        <v>470</v>
      </c>
      <c r="B473" s="3">
        <v>3.2899999999999999E-7</v>
      </c>
      <c r="C473" s="2">
        <v>2.4559999999999998E-2</v>
      </c>
      <c r="D473" s="3">
        <v>182000</v>
      </c>
      <c r="E473" s="3">
        <v>116000000000</v>
      </c>
      <c r="F473" s="3">
        <v>104000000000</v>
      </c>
      <c r="G473" s="3">
        <v>8230000000</v>
      </c>
      <c r="H473" s="3">
        <v>11700000000</v>
      </c>
      <c r="I473" s="2">
        <v>7.8839999999999993E-2</v>
      </c>
      <c r="J473" s="3">
        <v>7.4399999999999996E-13</v>
      </c>
    </row>
    <row r="474" spans="1:10" x14ac:dyDescent="0.2">
      <c r="A474" s="3">
        <v>470</v>
      </c>
      <c r="B474" s="3">
        <v>3.3000000000000002E-7</v>
      </c>
      <c r="C474" s="2">
        <v>2.461E-2</v>
      </c>
      <c r="D474" s="3">
        <v>168000</v>
      </c>
      <c r="E474" s="3">
        <v>108000000000</v>
      </c>
      <c r="F474" s="3">
        <v>98200000000</v>
      </c>
      <c r="G474" s="2">
        <v>0</v>
      </c>
      <c r="H474" s="3">
        <v>12200000000</v>
      </c>
      <c r="I474" s="2">
        <v>-0.1101</v>
      </c>
      <c r="J474" s="3">
        <v>8.7500000000000001E-13</v>
      </c>
    </row>
    <row r="475" spans="1:10" x14ac:dyDescent="0.2">
      <c r="A475" s="3">
        <v>470</v>
      </c>
      <c r="B475" s="3">
        <v>3.3000000000000002E-7</v>
      </c>
      <c r="C475" s="2">
        <v>2.4660000000000001E-2</v>
      </c>
      <c r="D475" s="3">
        <v>181000</v>
      </c>
      <c r="E475" s="3">
        <v>115000000000</v>
      </c>
      <c r="F475" s="3">
        <v>104000000000</v>
      </c>
      <c r="G475" s="2">
        <v>0</v>
      </c>
      <c r="H475" s="3">
        <v>11800000000</v>
      </c>
      <c r="I475" s="2">
        <v>-2.5739999999999999E-2</v>
      </c>
      <c r="J475" s="3">
        <v>7.5000000000000004E-13</v>
      </c>
    </row>
    <row r="476" spans="1:10" x14ac:dyDescent="0.2">
      <c r="A476" s="3">
        <v>470</v>
      </c>
      <c r="B476" s="3">
        <v>3.3099999999999999E-7</v>
      </c>
      <c r="C476" s="2">
        <v>2.4709999999999999E-2</v>
      </c>
      <c r="D476" s="3">
        <v>170000</v>
      </c>
      <c r="E476" s="3">
        <v>109000000000</v>
      </c>
      <c r="F476" s="3">
        <v>98900000000</v>
      </c>
      <c r="G476" s="3">
        <v>14300000000</v>
      </c>
      <c r="H476" s="3">
        <v>12200000000</v>
      </c>
      <c r="I476" s="2">
        <v>0.1444</v>
      </c>
      <c r="J476" s="3">
        <v>8.5799999999999998E-13</v>
      </c>
    </row>
    <row r="477" spans="1:10" x14ac:dyDescent="0.2">
      <c r="A477" s="3">
        <v>480</v>
      </c>
      <c r="B477" s="3">
        <v>3.3200000000000001E-7</v>
      </c>
      <c r="C477" s="2">
        <v>2.4760000000000001E-2</v>
      </c>
      <c r="D477" s="3">
        <v>190000</v>
      </c>
      <c r="E477" s="3">
        <v>119000000000</v>
      </c>
      <c r="F477" s="3">
        <v>107000000000</v>
      </c>
      <c r="G477" s="2">
        <v>0</v>
      </c>
      <c r="H477" s="3">
        <v>11500000000</v>
      </c>
      <c r="I477" s="2">
        <v>-8.7980000000000003E-3</v>
      </c>
      <c r="J477" s="3">
        <v>6.8899999999999999E-13</v>
      </c>
    </row>
    <row r="478" spans="1:10" x14ac:dyDescent="0.2">
      <c r="A478" s="3">
        <v>480</v>
      </c>
      <c r="B478" s="3">
        <v>3.3299999999999998E-7</v>
      </c>
      <c r="C478" s="2">
        <v>2.4809999999999999E-2</v>
      </c>
      <c r="D478" s="3">
        <v>203000</v>
      </c>
      <c r="E478" s="3">
        <v>127000000000</v>
      </c>
      <c r="F478" s="3">
        <v>113000000000</v>
      </c>
      <c r="G478" s="3">
        <v>3060000000</v>
      </c>
      <c r="H478" s="3">
        <v>11200000000</v>
      </c>
      <c r="I478" s="2">
        <v>2.7E-2</v>
      </c>
      <c r="J478" s="3">
        <v>6.0399999999999995E-13</v>
      </c>
    </row>
    <row r="479" spans="1:10" x14ac:dyDescent="0.2">
      <c r="A479" s="3">
        <v>480</v>
      </c>
      <c r="B479" s="3">
        <v>3.3299999999999998E-7</v>
      </c>
      <c r="C479" s="2">
        <v>2.486E-2</v>
      </c>
      <c r="D479" s="3">
        <v>194000</v>
      </c>
      <c r="E479" s="3">
        <v>122000000000</v>
      </c>
      <c r="F479" s="3">
        <v>109000000000</v>
      </c>
      <c r="G479" s="3">
        <v>9420000000</v>
      </c>
      <c r="H479" s="3">
        <v>11400000000</v>
      </c>
      <c r="I479" s="2">
        <v>8.6230000000000001E-2</v>
      </c>
      <c r="J479" s="3">
        <v>6.5900000000000002E-13</v>
      </c>
    </row>
    <row r="480" spans="1:10" x14ac:dyDescent="0.2">
      <c r="A480" s="3">
        <v>480</v>
      </c>
      <c r="B480" s="3">
        <v>3.3299999999999998E-7</v>
      </c>
      <c r="C480" s="2">
        <v>2.4910000000000002E-2</v>
      </c>
      <c r="D480" s="3">
        <v>186000</v>
      </c>
      <c r="E480" s="3">
        <v>117000000000</v>
      </c>
      <c r="F480" s="3">
        <v>106000000000</v>
      </c>
      <c r="G480" s="3">
        <v>19600000000</v>
      </c>
      <c r="H480" s="3">
        <v>11600000000</v>
      </c>
      <c r="I480" s="2">
        <v>0.18509999999999999</v>
      </c>
      <c r="J480" s="3">
        <v>7.1899999999999997E-13</v>
      </c>
    </row>
    <row r="481" spans="1:10" x14ac:dyDescent="0.2">
      <c r="A481" s="3">
        <v>480</v>
      </c>
      <c r="B481" s="3">
        <v>3.34E-7</v>
      </c>
      <c r="C481" s="2">
        <v>2.4969999999999999E-2</v>
      </c>
      <c r="D481" s="3">
        <v>165000</v>
      </c>
      <c r="E481" s="3">
        <v>106000000000</v>
      </c>
      <c r="F481" s="3">
        <v>96600000000</v>
      </c>
      <c r="G481" s="3">
        <v>2370000000</v>
      </c>
      <c r="H481" s="3">
        <v>12300000000</v>
      </c>
      <c r="I481" s="2">
        <v>2.453E-2</v>
      </c>
      <c r="J481" s="3">
        <v>9.1199999999999995E-13</v>
      </c>
    </row>
    <row r="482" spans="1:10" x14ac:dyDescent="0.2">
      <c r="A482" s="3">
        <v>480</v>
      </c>
      <c r="B482" s="3">
        <v>3.3500000000000002E-7</v>
      </c>
      <c r="C482" s="2">
        <v>2.5020000000000001E-2</v>
      </c>
      <c r="D482" s="3">
        <v>171000</v>
      </c>
      <c r="E482" s="3">
        <v>109000000000</v>
      </c>
      <c r="F482" s="3">
        <v>98800000000</v>
      </c>
      <c r="G482" s="2">
        <v>0</v>
      </c>
      <c r="H482" s="3">
        <v>12100000000</v>
      </c>
      <c r="I482" s="2">
        <v>-0.13450000000000001</v>
      </c>
      <c r="J482" s="3">
        <v>8.5599999999999999E-13</v>
      </c>
    </row>
    <row r="483" spans="1:10" x14ac:dyDescent="0.2">
      <c r="A483" s="3">
        <v>480</v>
      </c>
      <c r="B483" s="3">
        <v>3.3500000000000002E-7</v>
      </c>
      <c r="C483" s="2">
        <v>2.5069999999999999E-2</v>
      </c>
      <c r="D483" s="3">
        <v>176000</v>
      </c>
      <c r="E483" s="3">
        <v>111000000000</v>
      </c>
      <c r="F483" s="3">
        <v>101000000000</v>
      </c>
      <c r="G483" s="2">
        <v>0</v>
      </c>
      <c r="H483" s="3">
        <v>12000000000</v>
      </c>
      <c r="I483" s="2">
        <v>-5.3999999999999999E-2</v>
      </c>
      <c r="J483" s="3">
        <v>8.1199999999999997E-13</v>
      </c>
    </row>
    <row r="484" spans="1:10" x14ac:dyDescent="0.2">
      <c r="A484" s="3">
        <v>480</v>
      </c>
      <c r="B484" s="3">
        <v>3.3599999999999999E-7</v>
      </c>
      <c r="C484" s="2">
        <v>2.513E-2</v>
      </c>
      <c r="D484" s="3">
        <v>176000</v>
      </c>
      <c r="E484" s="3">
        <v>111000000000</v>
      </c>
      <c r="F484" s="3">
        <v>101000000000</v>
      </c>
      <c r="G484" s="2">
        <v>0</v>
      </c>
      <c r="H484" s="3">
        <v>12000000000</v>
      </c>
      <c r="I484" s="2">
        <v>-6.7489999999999994E-2</v>
      </c>
      <c r="J484" s="3">
        <v>8.1199999999999997E-13</v>
      </c>
    </row>
    <row r="485" spans="1:10" x14ac:dyDescent="0.2">
      <c r="A485" s="3">
        <v>480</v>
      </c>
      <c r="B485" s="3">
        <v>3.3599999999999999E-7</v>
      </c>
      <c r="C485" s="2">
        <v>2.5180000000000001E-2</v>
      </c>
      <c r="D485" s="3">
        <v>195000</v>
      </c>
      <c r="E485" s="3">
        <v>121000000000</v>
      </c>
      <c r="F485" s="3">
        <v>109000000000</v>
      </c>
      <c r="G485" s="3">
        <v>6390000000</v>
      </c>
      <c r="H485" s="3">
        <v>11400000000</v>
      </c>
      <c r="I485" s="2">
        <v>5.867E-2</v>
      </c>
      <c r="J485" s="3">
        <v>6.6499999999999999E-13</v>
      </c>
    </row>
    <row r="486" spans="1:10" x14ac:dyDescent="0.2">
      <c r="A486" s="3">
        <v>480</v>
      </c>
      <c r="B486" s="3">
        <v>3.3700000000000001E-7</v>
      </c>
      <c r="C486" s="2">
        <v>2.5229999999999999E-2</v>
      </c>
      <c r="D486" s="3">
        <v>175000</v>
      </c>
      <c r="E486" s="3">
        <v>110000000000</v>
      </c>
      <c r="F486" s="3">
        <v>100000000000</v>
      </c>
      <c r="G486" s="3">
        <v>7140000000</v>
      </c>
      <c r="H486" s="3">
        <v>12000000000</v>
      </c>
      <c r="I486" s="2">
        <v>7.1249999999999994E-2</v>
      </c>
      <c r="J486" s="3">
        <v>8.2700000000000001E-13</v>
      </c>
    </row>
    <row r="487" spans="1:10" x14ac:dyDescent="0.2">
      <c r="A487" s="3">
        <v>490</v>
      </c>
      <c r="B487" s="3">
        <v>3.3799999999999998E-7</v>
      </c>
      <c r="C487" s="2">
        <v>2.528E-2</v>
      </c>
      <c r="D487" s="3">
        <v>169000</v>
      </c>
      <c r="E487" s="3">
        <v>107000000000</v>
      </c>
      <c r="F487" s="3">
        <v>97600000000</v>
      </c>
      <c r="G487" s="3">
        <v>3020000000</v>
      </c>
      <c r="H487" s="3">
        <v>12200000000</v>
      </c>
      <c r="I487" s="2">
        <v>3.091E-2</v>
      </c>
      <c r="J487" s="3">
        <v>8.8699999999999996E-13</v>
      </c>
    </row>
    <row r="488" spans="1:10" x14ac:dyDescent="0.2">
      <c r="A488" s="3">
        <v>490</v>
      </c>
      <c r="B488" s="3">
        <v>3.3799999999999998E-7</v>
      </c>
      <c r="C488" s="2">
        <v>2.5329999999999998E-2</v>
      </c>
      <c r="D488" s="3">
        <v>174000</v>
      </c>
      <c r="E488" s="3">
        <v>110000000000</v>
      </c>
      <c r="F488" s="3">
        <v>99600000000</v>
      </c>
      <c r="G488" s="3">
        <v>4870000000</v>
      </c>
      <c r="H488" s="3">
        <v>12100000000</v>
      </c>
      <c r="I488" s="2">
        <v>4.8860000000000001E-2</v>
      </c>
      <c r="J488" s="3">
        <v>8.3899999999999996E-13</v>
      </c>
    </row>
    <row r="489" spans="1:10" x14ac:dyDescent="0.2">
      <c r="A489" s="3">
        <v>490</v>
      </c>
      <c r="B489" s="3">
        <v>3.39E-7</v>
      </c>
      <c r="C489" s="2">
        <v>2.5389999999999999E-2</v>
      </c>
      <c r="D489" s="3">
        <v>179000</v>
      </c>
      <c r="E489" s="3">
        <v>113000000000</v>
      </c>
      <c r="F489" s="3">
        <v>102000000000</v>
      </c>
      <c r="G489" s="3">
        <v>13600000000</v>
      </c>
      <c r="H489" s="3">
        <v>11900000000</v>
      </c>
      <c r="I489" s="2">
        <v>0.13320000000000001</v>
      </c>
      <c r="J489" s="3">
        <v>7.8899999999999997E-13</v>
      </c>
    </row>
    <row r="490" spans="1:10" x14ac:dyDescent="0.2">
      <c r="A490" s="3">
        <v>490</v>
      </c>
      <c r="B490" s="3">
        <v>3.39E-7</v>
      </c>
      <c r="C490" s="2">
        <v>2.5440000000000001E-2</v>
      </c>
      <c r="D490" s="3">
        <v>188000</v>
      </c>
      <c r="E490" s="3">
        <v>118000000000</v>
      </c>
      <c r="F490" s="3">
        <v>106000000000</v>
      </c>
      <c r="G490" s="3">
        <v>3580000000</v>
      </c>
      <c r="H490" s="3">
        <v>11700000000</v>
      </c>
      <c r="I490" s="2">
        <v>3.3759999999999998E-2</v>
      </c>
      <c r="J490" s="3">
        <v>7.1699999999999997E-13</v>
      </c>
    </row>
    <row r="491" spans="1:10" x14ac:dyDescent="0.2">
      <c r="A491" s="3">
        <v>490</v>
      </c>
      <c r="B491" s="3">
        <v>3.3999999999999997E-7</v>
      </c>
      <c r="C491" s="2">
        <v>2.5489999999999999E-2</v>
      </c>
      <c r="D491" s="3">
        <v>174000</v>
      </c>
      <c r="E491" s="3">
        <v>110000000000</v>
      </c>
      <c r="F491" s="3">
        <v>99400000000</v>
      </c>
      <c r="G491" s="2">
        <v>0</v>
      </c>
      <c r="H491" s="3">
        <v>12100000000</v>
      </c>
      <c r="I491" s="2">
        <v>-4.1369999999999997E-2</v>
      </c>
      <c r="J491" s="3">
        <v>8.4200000000000005E-13</v>
      </c>
    </row>
    <row r="492" spans="1:10" x14ac:dyDescent="0.2">
      <c r="A492" s="3">
        <v>490</v>
      </c>
      <c r="B492" s="3">
        <v>3.41E-7</v>
      </c>
      <c r="C492" s="2">
        <v>2.554E-2</v>
      </c>
      <c r="D492" s="3">
        <v>155000</v>
      </c>
      <c r="E492" s="3">
        <v>99600000000</v>
      </c>
      <c r="F492" s="3">
        <v>91200000000</v>
      </c>
      <c r="G492" s="3">
        <v>646000000</v>
      </c>
      <c r="H492" s="3">
        <v>12800000000</v>
      </c>
      <c r="I492" s="2">
        <v>7.0879999999999997E-3</v>
      </c>
      <c r="J492" s="3">
        <v>1.0700000000000001E-12</v>
      </c>
    </row>
    <row r="493" spans="1:10" x14ac:dyDescent="0.2">
      <c r="A493" s="3">
        <v>490</v>
      </c>
      <c r="B493" s="3">
        <v>3.41E-7</v>
      </c>
      <c r="C493" s="2">
        <v>2.5590000000000002E-2</v>
      </c>
      <c r="D493" s="3">
        <v>211000</v>
      </c>
      <c r="E493" s="3">
        <v>129000000000</v>
      </c>
      <c r="F493" s="3">
        <v>116000000000</v>
      </c>
      <c r="G493" s="2">
        <v>0</v>
      </c>
      <c r="H493" s="3">
        <v>11100000000</v>
      </c>
      <c r="I493" s="2">
        <v>-3.2989999999999998E-2</v>
      </c>
      <c r="J493" s="3">
        <v>5.7499999999999997E-13</v>
      </c>
    </row>
    <row r="494" spans="1:10" x14ac:dyDescent="0.2">
      <c r="A494" s="3">
        <v>490</v>
      </c>
      <c r="B494" s="3">
        <v>3.4200000000000002E-7</v>
      </c>
      <c r="C494" s="2">
        <v>2.5649999999999999E-2</v>
      </c>
      <c r="D494" s="3">
        <v>170000</v>
      </c>
      <c r="E494" s="3">
        <v>107000000000</v>
      </c>
      <c r="F494" s="3">
        <v>97400000000</v>
      </c>
      <c r="G494" s="3">
        <v>2750000000</v>
      </c>
      <c r="H494" s="3">
        <v>12200000000</v>
      </c>
      <c r="I494" s="2">
        <v>2.8219999999999999E-2</v>
      </c>
      <c r="J494" s="3">
        <v>8.8900000000000005E-13</v>
      </c>
    </row>
    <row r="495" spans="1:10" x14ac:dyDescent="0.2">
      <c r="A495" s="3">
        <v>490</v>
      </c>
      <c r="B495" s="3">
        <v>3.4200000000000002E-7</v>
      </c>
      <c r="C495" s="2">
        <v>2.5700000000000001E-2</v>
      </c>
      <c r="D495" s="3">
        <v>184000</v>
      </c>
      <c r="E495" s="3">
        <v>114000000000</v>
      </c>
      <c r="F495" s="3">
        <v>103000000000</v>
      </c>
      <c r="G495" s="2">
        <v>0</v>
      </c>
      <c r="H495" s="3">
        <v>11800000000</v>
      </c>
      <c r="I495" s="2">
        <v>-2.7279999999999999E-2</v>
      </c>
      <c r="J495" s="3">
        <v>7.6099999999999999E-13</v>
      </c>
    </row>
    <row r="496" spans="1:10" x14ac:dyDescent="0.2">
      <c r="A496" s="3">
        <v>490</v>
      </c>
      <c r="B496" s="3">
        <v>3.4299999999999999E-7</v>
      </c>
      <c r="C496" s="2">
        <v>2.5749999999999999E-2</v>
      </c>
      <c r="D496" s="3">
        <v>167000</v>
      </c>
      <c r="E496" s="3">
        <v>105000000000</v>
      </c>
      <c r="F496" s="3">
        <v>95900000000</v>
      </c>
      <c r="G496" s="3">
        <v>9880000000</v>
      </c>
      <c r="H496" s="3">
        <v>12300000000</v>
      </c>
      <c r="I496" s="2">
        <v>0.10299999999999999</v>
      </c>
      <c r="J496" s="3">
        <v>9.25E-13</v>
      </c>
    </row>
    <row r="497" spans="1:10" x14ac:dyDescent="0.2">
      <c r="A497" s="3">
        <v>500</v>
      </c>
      <c r="B497" s="3">
        <v>3.4400000000000001E-7</v>
      </c>
      <c r="C497" s="2">
        <v>2.58E-2</v>
      </c>
      <c r="D497" s="3">
        <v>188000</v>
      </c>
      <c r="E497" s="3">
        <v>116000000000</v>
      </c>
      <c r="F497" s="3">
        <v>105000000000</v>
      </c>
      <c r="G497" s="3">
        <v>3150000000</v>
      </c>
      <c r="H497" s="3">
        <v>11700000000</v>
      </c>
      <c r="I497" s="2">
        <v>3.0079999999999999E-2</v>
      </c>
      <c r="J497" s="3">
        <v>7.34E-13</v>
      </c>
    </row>
    <row r="498" spans="1:10" x14ac:dyDescent="0.2">
      <c r="A498" s="3">
        <v>500</v>
      </c>
      <c r="B498" s="3">
        <v>3.4400000000000001E-7</v>
      </c>
      <c r="C498" s="2">
        <v>2.5860000000000001E-2</v>
      </c>
      <c r="D498" s="3">
        <v>160000</v>
      </c>
      <c r="E498" s="3">
        <v>102000000000</v>
      </c>
      <c r="F498" s="3">
        <v>92700000000</v>
      </c>
      <c r="G498" s="2">
        <v>0</v>
      </c>
      <c r="H498" s="3">
        <v>12700000000</v>
      </c>
      <c r="I498" s="2">
        <v>-3.2870000000000003E-2</v>
      </c>
      <c r="J498" s="3">
        <v>1.0200000000000001E-12</v>
      </c>
    </row>
    <row r="499" spans="1:10" x14ac:dyDescent="0.2">
      <c r="A499" s="3">
        <v>500</v>
      </c>
      <c r="B499" s="3">
        <v>3.4400000000000001E-7</v>
      </c>
      <c r="C499" s="2">
        <v>2.5909999999999999E-2</v>
      </c>
      <c r="D499" s="3">
        <v>186000</v>
      </c>
      <c r="E499" s="3">
        <v>115000000000</v>
      </c>
      <c r="F499" s="3">
        <v>104000000000</v>
      </c>
      <c r="G499" s="3">
        <v>13000000000</v>
      </c>
      <c r="H499" s="3">
        <v>11700000000</v>
      </c>
      <c r="I499" s="2">
        <v>0.125</v>
      </c>
      <c r="J499" s="3">
        <v>7.4800000000000004E-13</v>
      </c>
    </row>
    <row r="500" spans="1:10" x14ac:dyDescent="0.2">
      <c r="A500" s="3">
        <v>500</v>
      </c>
      <c r="B500" s="3">
        <v>3.4499999999999998E-7</v>
      </c>
      <c r="C500" s="2">
        <v>2.596E-2</v>
      </c>
      <c r="D500" s="3">
        <v>171000</v>
      </c>
      <c r="E500" s="3">
        <v>107000000000</v>
      </c>
      <c r="F500" s="3">
        <v>97300000000</v>
      </c>
      <c r="G500" s="3">
        <v>7810000000</v>
      </c>
      <c r="H500" s="3">
        <v>12200000000</v>
      </c>
      <c r="I500" s="2">
        <v>8.022E-2</v>
      </c>
      <c r="J500" s="3">
        <v>8.9200000000000004E-13</v>
      </c>
    </row>
    <row r="501" spans="1:10" x14ac:dyDescent="0.2">
      <c r="A501" s="3">
        <v>500</v>
      </c>
      <c r="B501" s="3">
        <v>3.46E-7</v>
      </c>
      <c r="C501" s="2">
        <v>2.6009999999999998E-2</v>
      </c>
      <c r="D501" s="3">
        <v>181000</v>
      </c>
      <c r="E501" s="3">
        <v>112000000000</v>
      </c>
      <c r="F501" s="3">
        <v>102000000000</v>
      </c>
      <c r="G501" s="3">
        <v>6790000000</v>
      </c>
      <c r="H501" s="3">
        <v>11900000000</v>
      </c>
      <c r="I501" s="2">
        <v>6.6780000000000006E-2</v>
      </c>
      <c r="J501" s="3">
        <v>7.9400000000000005E-13</v>
      </c>
    </row>
    <row r="502" spans="1:10" x14ac:dyDescent="0.2">
      <c r="A502" s="3">
        <v>500</v>
      </c>
      <c r="B502" s="3">
        <v>3.46E-7</v>
      </c>
      <c r="C502" s="2">
        <v>2.606E-2</v>
      </c>
      <c r="D502" s="3">
        <v>177000</v>
      </c>
      <c r="E502" s="3">
        <v>110000000000</v>
      </c>
      <c r="F502" s="3">
        <v>99800000000</v>
      </c>
      <c r="G502" s="2">
        <v>0</v>
      </c>
      <c r="H502" s="3">
        <v>12000000000</v>
      </c>
      <c r="I502" s="2">
        <v>-9.2960000000000001E-2</v>
      </c>
      <c r="J502" s="3">
        <v>8.3399999999999998E-13</v>
      </c>
    </row>
    <row r="503" spans="1:10" x14ac:dyDescent="0.2">
      <c r="A503" s="3">
        <v>500</v>
      </c>
      <c r="B503" s="3">
        <v>3.4700000000000002E-7</v>
      </c>
      <c r="C503" s="2">
        <v>2.6110000000000001E-2</v>
      </c>
      <c r="D503" s="3">
        <v>177000</v>
      </c>
      <c r="E503" s="3">
        <v>110000000000</v>
      </c>
      <c r="F503" s="3">
        <v>99700000000</v>
      </c>
      <c r="G503" s="3">
        <v>3510000000</v>
      </c>
      <c r="H503" s="3">
        <v>12000000000</v>
      </c>
      <c r="I503" s="2">
        <v>3.5180000000000003E-2</v>
      </c>
      <c r="J503" s="3">
        <v>8.3499999999999998E-13</v>
      </c>
    </row>
    <row r="504" spans="1:10" x14ac:dyDescent="0.2">
      <c r="A504" s="3">
        <v>500</v>
      </c>
      <c r="B504" s="3">
        <v>3.4799999999999999E-7</v>
      </c>
      <c r="C504" s="2">
        <v>2.6169999999999999E-2</v>
      </c>
      <c r="D504" s="3">
        <v>178000</v>
      </c>
      <c r="E504" s="3">
        <v>110000000000</v>
      </c>
      <c r="F504" s="3">
        <v>100000000000</v>
      </c>
      <c r="G504" s="2">
        <v>0</v>
      </c>
      <c r="H504" s="3">
        <v>12000000000</v>
      </c>
      <c r="I504" s="2">
        <v>-1.557E-3</v>
      </c>
      <c r="J504" s="3">
        <v>8.2600000000000001E-13</v>
      </c>
    </row>
    <row r="505" spans="1:10" x14ac:dyDescent="0.2">
      <c r="A505" s="3">
        <v>500</v>
      </c>
      <c r="B505" s="3">
        <v>3.4799999999999999E-7</v>
      </c>
      <c r="C505" s="2">
        <v>2.622E-2</v>
      </c>
      <c r="D505" s="3">
        <v>169000</v>
      </c>
      <c r="E505" s="3">
        <v>106000000000</v>
      </c>
      <c r="F505" s="3">
        <v>96300000000</v>
      </c>
      <c r="G505" s="3">
        <v>6620000000</v>
      </c>
      <c r="H505" s="3">
        <v>12300000000</v>
      </c>
      <c r="I505" s="2">
        <v>6.8680000000000005E-2</v>
      </c>
      <c r="J505" s="3">
        <v>9.1500000000000004E-13</v>
      </c>
    </row>
    <row r="506" spans="1:10" x14ac:dyDescent="0.2">
      <c r="A506" s="3">
        <v>500</v>
      </c>
      <c r="B506" s="3">
        <v>3.4900000000000001E-7</v>
      </c>
      <c r="C506" s="2">
        <v>2.6270000000000002E-2</v>
      </c>
      <c r="D506" s="3">
        <v>169000</v>
      </c>
      <c r="E506" s="3">
        <v>106000000000</v>
      </c>
      <c r="F506" s="3">
        <v>96200000000</v>
      </c>
      <c r="G506" s="3">
        <v>6540000000</v>
      </c>
      <c r="H506" s="3">
        <v>12300000000</v>
      </c>
      <c r="I506" s="2">
        <v>6.7989999999999995E-2</v>
      </c>
      <c r="J506" s="3">
        <v>9.1799999999999993E-13</v>
      </c>
    </row>
    <row r="507" spans="1:10" x14ac:dyDescent="0.2">
      <c r="A507" s="3">
        <v>510</v>
      </c>
      <c r="B507" s="3">
        <v>3.4900000000000001E-7</v>
      </c>
      <c r="C507" s="2">
        <v>2.632E-2</v>
      </c>
      <c r="D507" s="3">
        <v>179000</v>
      </c>
      <c r="E507" s="3">
        <v>111000000000</v>
      </c>
      <c r="F507" s="3">
        <v>100000000000</v>
      </c>
      <c r="G507" s="3">
        <v>9310000000</v>
      </c>
      <c r="H507" s="3">
        <v>12000000000</v>
      </c>
      <c r="I507" s="2">
        <v>9.2799999999999994E-2</v>
      </c>
      <c r="J507" s="3">
        <v>8.2200000000000003E-13</v>
      </c>
    </row>
    <row r="508" spans="1:10" x14ac:dyDescent="0.2">
      <c r="A508" s="3">
        <v>510</v>
      </c>
      <c r="B508" s="3">
        <v>3.4999999999999998E-7</v>
      </c>
      <c r="C508" s="2">
        <v>2.6380000000000001E-2</v>
      </c>
      <c r="D508" s="3">
        <v>183000</v>
      </c>
      <c r="E508" s="3">
        <v>113000000000</v>
      </c>
      <c r="F508" s="3">
        <v>102000000000</v>
      </c>
      <c r="G508" s="2">
        <v>0</v>
      </c>
      <c r="H508" s="3">
        <v>11900000000</v>
      </c>
      <c r="I508" s="2">
        <v>-2.9610000000000001E-2</v>
      </c>
      <c r="J508" s="3">
        <v>7.8999999999999997E-13</v>
      </c>
    </row>
    <row r="509" spans="1:10" x14ac:dyDescent="0.2">
      <c r="A509" s="3">
        <v>510</v>
      </c>
      <c r="B509" s="3">
        <v>3.5100000000000001E-7</v>
      </c>
      <c r="C509" s="2">
        <v>2.6429999999999999E-2</v>
      </c>
      <c r="D509" s="3">
        <v>160000</v>
      </c>
      <c r="E509" s="3">
        <v>101000000000</v>
      </c>
      <c r="F509" s="3">
        <v>92300000000</v>
      </c>
      <c r="G509" s="2">
        <v>0</v>
      </c>
      <c r="H509" s="3">
        <v>12700000000</v>
      </c>
      <c r="I509" s="2">
        <v>-1.172E-2</v>
      </c>
      <c r="J509" s="3">
        <v>1.0300000000000001E-12</v>
      </c>
    </row>
    <row r="510" spans="1:10" x14ac:dyDescent="0.2">
      <c r="A510" s="3">
        <v>510</v>
      </c>
      <c r="B510" s="3">
        <v>3.5100000000000001E-7</v>
      </c>
      <c r="C510" s="2">
        <v>2.648E-2</v>
      </c>
      <c r="D510" s="3">
        <v>177000</v>
      </c>
      <c r="E510" s="3">
        <v>109000000000</v>
      </c>
      <c r="F510" s="3">
        <v>99200000000</v>
      </c>
      <c r="G510" s="2">
        <v>0</v>
      </c>
      <c r="H510" s="3">
        <v>12100000000</v>
      </c>
      <c r="I510" s="2">
        <v>-4.6439999999999997E-3</v>
      </c>
      <c r="J510" s="3">
        <v>8.4500000000000003E-13</v>
      </c>
    </row>
    <row r="511" spans="1:10" x14ac:dyDescent="0.2">
      <c r="A511" s="3">
        <v>510</v>
      </c>
      <c r="B511" s="3">
        <v>3.5199999999999998E-7</v>
      </c>
      <c r="C511" s="2">
        <v>2.6530000000000001E-2</v>
      </c>
      <c r="D511" s="3">
        <v>184000</v>
      </c>
      <c r="E511" s="3">
        <v>113000000000</v>
      </c>
      <c r="F511" s="3">
        <v>102000000000</v>
      </c>
      <c r="G511" s="2">
        <v>0</v>
      </c>
      <c r="H511" s="3">
        <v>11800000000</v>
      </c>
      <c r="I511" s="2">
        <v>-2.579E-2</v>
      </c>
      <c r="J511" s="3">
        <v>7.8699999999999998E-13</v>
      </c>
    </row>
    <row r="512" spans="1:10" x14ac:dyDescent="0.2">
      <c r="A512" s="3">
        <v>510</v>
      </c>
      <c r="B512" s="3">
        <v>3.5199999999999998E-7</v>
      </c>
      <c r="C512" s="2">
        <v>2.6589999999999999E-2</v>
      </c>
      <c r="D512" s="3">
        <v>194000</v>
      </c>
      <c r="E512" s="3">
        <v>118000000000</v>
      </c>
      <c r="F512" s="3">
        <v>106000000000</v>
      </c>
      <c r="G512" s="3">
        <v>2240000000</v>
      </c>
      <c r="H512" s="3">
        <v>11600000000</v>
      </c>
      <c r="I512" s="2">
        <v>2.1100000000000001E-2</v>
      </c>
      <c r="J512" s="3">
        <v>7.0600000000000002E-13</v>
      </c>
    </row>
    <row r="513" spans="1:10" x14ac:dyDescent="0.2">
      <c r="A513" s="3">
        <v>510</v>
      </c>
      <c r="B513" s="3">
        <v>3.53E-7</v>
      </c>
      <c r="C513" s="2">
        <v>2.664E-2</v>
      </c>
      <c r="D513" s="3">
        <v>182000</v>
      </c>
      <c r="E513" s="3">
        <v>112000000000</v>
      </c>
      <c r="F513" s="3">
        <v>101000000000</v>
      </c>
      <c r="G513" s="3">
        <v>3560000000</v>
      </c>
      <c r="H513" s="3">
        <v>11900000000</v>
      </c>
      <c r="I513" s="2">
        <v>3.5200000000000002E-2</v>
      </c>
      <c r="J513" s="3">
        <v>8.0799999999999999E-13</v>
      </c>
    </row>
    <row r="514" spans="1:10" x14ac:dyDescent="0.2">
      <c r="A514" s="3">
        <v>510</v>
      </c>
      <c r="B514" s="3">
        <v>3.53E-7</v>
      </c>
      <c r="C514" s="2">
        <v>2.6689999999999998E-2</v>
      </c>
      <c r="D514" s="3">
        <v>176000</v>
      </c>
      <c r="E514" s="3">
        <v>108000000000</v>
      </c>
      <c r="F514" s="3">
        <v>98400000000</v>
      </c>
      <c r="G514" s="2">
        <v>0</v>
      </c>
      <c r="H514" s="3">
        <v>12100000000</v>
      </c>
      <c r="I514" s="2">
        <v>-8.3790000000000003E-2</v>
      </c>
      <c r="J514" s="3">
        <v>8.6500000000000005E-13</v>
      </c>
    </row>
    <row r="515" spans="1:10" x14ac:dyDescent="0.2">
      <c r="A515" s="3">
        <v>510</v>
      </c>
      <c r="B515" s="3">
        <v>3.5400000000000002E-7</v>
      </c>
      <c r="C515" s="2">
        <v>2.674E-2</v>
      </c>
      <c r="D515" s="3">
        <v>181000</v>
      </c>
      <c r="E515" s="3">
        <v>111000000000</v>
      </c>
      <c r="F515" s="3">
        <v>100000000000</v>
      </c>
      <c r="G515" s="3">
        <v>9470000000</v>
      </c>
      <c r="H515" s="3">
        <v>12000000000</v>
      </c>
      <c r="I515" s="2">
        <v>9.4310000000000005E-2</v>
      </c>
      <c r="J515" s="3">
        <v>8.2000000000000004E-13</v>
      </c>
    </row>
    <row r="516" spans="1:10" x14ac:dyDescent="0.2">
      <c r="A516" s="3">
        <v>510</v>
      </c>
      <c r="B516" s="3">
        <v>3.5499999999999999E-7</v>
      </c>
      <c r="C516" s="2">
        <v>2.6790000000000001E-2</v>
      </c>
      <c r="D516" s="3">
        <v>183000</v>
      </c>
      <c r="E516" s="3">
        <v>112000000000</v>
      </c>
      <c r="F516" s="3">
        <v>101000000000</v>
      </c>
      <c r="G516" s="3">
        <v>8120000000</v>
      </c>
      <c r="H516" s="3">
        <v>11900000000</v>
      </c>
      <c r="I516" s="2">
        <v>8.0159999999999995E-2</v>
      </c>
      <c r="J516" s="3">
        <v>7.9800000000000003E-13</v>
      </c>
    </row>
    <row r="517" spans="1:10" x14ac:dyDescent="0.2">
      <c r="A517" s="3">
        <v>520</v>
      </c>
      <c r="B517" s="3">
        <v>3.5600000000000001E-7</v>
      </c>
      <c r="C517" s="2">
        <v>2.6849999999999999E-2</v>
      </c>
      <c r="D517" s="3">
        <v>179000</v>
      </c>
      <c r="E517" s="3">
        <v>109000000000</v>
      </c>
      <c r="F517" s="3">
        <v>99200000000</v>
      </c>
      <c r="G517" s="3">
        <v>1940000000</v>
      </c>
      <c r="H517" s="3">
        <v>12000000000</v>
      </c>
      <c r="I517" s="2">
        <v>1.951E-2</v>
      </c>
      <c r="J517" s="3">
        <v>8.4200000000000005E-13</v>
      </c>
    </row>
    <row r="518" spans="1:10" x14ac:dyDescent="0.2">
      <c r="A518" s="3">
        <v>520</v>
      </c>
      <c r="B518" s="3">
        <v>3.5699999999999998E-7</v>
      </c>
      <c r="C518" s="2">
        <v>2.69E-2</v>
      </c>
      <c r="D518" s="3">
        <v>175000</v>
      </c>
      <c r="E518" s="3">
        <v>107000000000</v>
      </c>
      <c r="F518" s="3">
        <v>97400000000</v>
      </c>
      <c r="G518" s="3">
        <v>22000000000</v>
      </c>
      <c r="H518" s="3">
        <v>12100000000</v>
      </c>
      <c r="I518" s="2">
        <v>0.22589999999999999</v>
      </c>
      <c r="J518" s="3">
        <v>8.7999999999999999E-13</v>
      </c>
    </row>
    <row r="519" spans="1:10" x14ac:dyDescent="0.2">
      <c r="A519" s="3">
        <v>520</v>
      </c>
      <c r="B519" s="3">
        <v>3.5900000000000003E-7</v>
      </c>
      <c r="C519" s="2">
        <v>2.6950000000000002E-2</v>
      </c>
      <c r="D519" s="3">
        <v>168000</v>
      </c>
      <c r="E519" s="3">
        <v>104000000000</v>
      </c>
      <c r="F519" s="3">
        <v>94400000000</v>
      </c>
      <c r="G519" s="3">
        <v>4320000000</v>
      </c>
      <c r="H519" s="3">
        <v>12300000000</v>
      </c>
      <c r="I519" s="2">
        <v>4.573E-2</v>
      </c>
      <c r="J519" s="3">
        <v>9.5199999999999998E-13</v>
      </c>
    </row>
    <row r="520" spans="1:10" x14ac:dyDescent="0.2">
      <c r="A520" s="3">
        <v>520</v>
      </c>
      <c r="B520" s="3">
        <v>3.5999999999999999E-7</v>
      </c>
      <c r="C520" s="2">
        <v>2.7E-2</v>
      </c>
      <c r="D520" s="3">
        <v>201000</v>
      </c>
      <c r="E520" s="3">
        <v>120000000000</v>
      </c>
      <c r="F520" s="3">
        <v>108000000000</v>
      </c>
      <c r="G520" s="2">
        <v>0</v>
      </c>
      <c r="H520" s="3">
        <v>11300000000</v>
      </c>
      <c r="I520" s="2">
        <v>-4.5710000000000001E-2</v>
      </c>
      <c r="J520" s="3">
        <v>6.6899999999999998E-13</v>
      </c>
    </row>
    <row r="521" spans="1:10" x14ac:dyDescent="0.2">
      <c r="A521" s="3">
        <v>520</v>
      </c>
      <c r="B521" s="3">
        <v>3.6100000000000002E-7</v>
      </c>
      <c r="C521" s="2">
        <v>2.7050000000000001E-2</v>
      </c>
      <c r="D521" s="3">
        <v>183000</v>
      </c>
      <c r="E521" s="3">
        <v>111000000000</v>
      </c>
      <c r="F521" s="3">
        <v>100000000000</v>
      </c>
      <c r="G521" s="3">
        <v>6560000000</v>
      </c>
      <c r="H521" s="3">
        <v>11800000000</v>
      </c>
      <c r="I521" s="2">
        <v>6.5369999999999998E-2</v>
      </c>
      <c r="J521" s="3">
        <v>8.0699999999999999E-13</v>
      </c>
    </row>
    <row r="522" spans="1:10" x14ac:dyDescent="0.2">
      <c r="A522" s="3">
        <v>520</v>
      </c>
      <c r="B522" s="3">
        <v>3.6199999999999999E-7</v>
      </c>
      <c r="C522" s="2">
        <v>2.7099999999999999E-2</v>
      </c>
      <c r="D522" s="3">
        <v>156000</v>
      </c>
      <c r="E522" s="3">
        <v>96800000000</v>
      </c>
      <c r="F522" s="3">
        <v>88800000000</v>
      </c>
      <c r="G522" s="3">
        <v>1520000000</v>
      </c>
      <c r="H522" s="3">
        <v>12800000000</v>
      </c>
      <c r="I522" s="2">
        <v>1.712E-2</v>
      </c>
      <c r="J522" s="3">
        <v>1.1200000000000001E-12</v>
      </c>
    </row>
    <row r="523" spans="1:10" x14ac:dyDescent="0.2">
      <c r="A523" s="3">
        <v>520</v>
      </c>
      <c r="B523" s="3">
        <v>3.6199999999999999E-7</v>
      </c>
      <c r="C523" s="2">
        <v>2.716E-2</v>
      </c>
      <c r="D523" s="3">
        <v>177000</v>
      </c>
      <c r="E523" s="3">
        <v>107000000000</v>
      </c>
      <c r="F523" s="3">
        <v>97500000000</v>
      </c>
      <c r="G523" s="3">
        <v>9970000000</v>
      </c>
      <c r="H523" s="3">
        <v>12000000000</v>
      </c>
      <c r="I523" s="2">
        <v>0.1022</v>
      </c>
      <c r="J523" s="3">
        <v>8.6800000000000004E-13</v>
      </c>
    </row>
    <row r="524" spans="1:10" x14ac:dyDescent="0.2">
      <c r="A524" s="3">
        <v>520</v>
      </c>
      <c r="B524" s="3">
        <v>3.6300000000000001E-7</v>
      </c>
      <c r="C524" s="2">
        <v>2.7210000000000002E-2</v>
      </c>
      <c r="D524" s="3">
        <v>169000</v>
      </c>
      <c r="E524" s="3">
        <v>103000000000</v>
      </c>
      <c r="F524" s="3">
        <v>94000000000</v>
      </c>
      <c r="G524" s="3">
        <v>11900000000</v>
      </c>
      <c r="H524" s="3">
        <v>12200000000</v>
      </c>
      <c r="I524" s="2">
        <v>0.12709999999999999</v>
      </c>
      <c r="J524" s="3">
        <v>9.5700000000000006E-13</v>
      </c>
    </row>
    <row r="525" spans="1:10" x14ac:dyDescent="0.2">
      <c r="A525" s="3">
        <v>520</v>
      </c>
      <c r="B525" s="3">
        <v>3.6300000000000001E-7</v>
      </c>
      <c r="C525" s="2">
        <v>2.726E-2</v>
      </c>
      <c r="D525" s="3">
        <v>179000</v>
      </c>
      <c r="E525" s="3">
        <v>108000000000</v>
      </c>
      <c r="F525" s="3">
        <v>98200000000</v>
      </c>
      <c r="G525" s="3">
        <v>6420000000</v>
      </c>
      <c r="H525" s="3">
        <v>11900000000</v>
      </c>
      <c r="I525" s="2">
        <v>6.5369999999999998E-2</v>
      </c>
      <c r="J525" s="3">
        <v>8.52E-13</v>
      </c>
    </row>
    <row r="526" spans="1:10" x14ac:dyDescent="0.2">
      <c r="A526" s="3">
        <v>520</v>
      </c>
      <c r="B526" s="3">
        <v>3.6399999999999998E-7</v>
      </c>
      <c r="C526" s="2">
        <v>2.7310000000000001E-2</v>
      </c>
      <c r="D526" s="3">
        <v>177000</v>
      </c>
      <c r="E526" s="3">
        <v>107000000000</v>
      </c>
      <c r="F526" s="3">
        <v>97400000000</v>
      </c>
      <c r="G526" s="3">
        <v>9640000000</v>
      </c>
      <c r="H526" s="3">
        <v>11900000000</v>
      </c>
      <c r="I526" s="2">
        <v>9.9019999999999997E-2</v>
      </c>
      <c r="J526" s="3">
        <v>8.6900000000000003E-13</v>
      </c>
    </row>
    <row r="527" spans="1:10" x14ac:dyDescent="0.2">
      <c r="A527" s="3">
        <v>530</v>
      </c>
      <c r="B527" s="3">
        <v>3.65E-7</v>
      </c>
      <c r="C527" s="2">
        <v>2.7369999999999998E-2</v>
      </c>
      <c r="D527" s="3">
        <v>174000</v>
      </c>
      <c r="E527" s="3">
        <v>105000000000</v>
      </c>
      <c r="F527" s="3">
        <v>95800000000</v>
      </c>
      <c r="G527" s="3">
        <v>3590000000</v>
      </c>
      <c r="H527" s="3">
        <v>12100000000</v>
      </c>
      <c r="I527" s="2">
        <v>3.7510000000000002E-2</v>
      </c>
      <c r="J527" s="3">
        <v>9.0799999999999997E-13</v>
      </c>
    </row>
    <row r="528" spans="1:10" x14ac:dyDescent="0.2">
      <c r="A528" s="3">
        <v>530</v>
      </c>
      <c r="B528" s="3">
        <v>3.65E-7</v>
      </c>
      <c r="C528" s="2">
        <v>2.742E-2</v>
      </c>
      <c r="D528" s="3">
        <v>162000</v>
      </c>
      <c r="E528" s="3">
        <v>99400000000</v>
      </c>
      <c r="F528" s="3">
        <v>91000000000</v>
      </c>
      <c r="G528" s="3">
        <v>963000000</v>
      </c>
      <c r="H528" s="3">
        <v>12500000000</v>
      </c>
      <c r="I528" s="2">
        <v>1.0580000000000001E-2</v>
      </c>
      <c r="J528" s="3">
        <v>1.04E-12</v>
      </c>
    </row>
    <row r="529" spans="1:10" x14ac:dyDescent="0.2">
      <c r="A529" s="3">
        <v>530</v>
      </c>
      <c r="B529" s="3">
        <v>3.6600000000000002E-7</v>
      </c>
      <c r="C529" s="2">
        <v>2.7470000000000001E-2</v>
      </c>
      <c r="D529" s="3">
        <v>186000</v>
      </c>
      <c r="E529" s="3">
        <v>111000000000</v>
      </c>
      <c r="F529" s="3">
        <v>101000000000</v>
      </c>
      <c r="G529" s="2">
        <v>0</v>
      </c>
      <c r="H529" s="3">
        <v>11700000000</v>
      </c>
      <c r="I529" s="2">
        <v>-6.1739999999999998E-3</v>
      </c>
      <c r="J529" s="3">
        <v>7.9199999999999996E-13</v>
      </c>
    </row>
    <row r="530" spans="1:10" x14ac:dyDescent="0.2">
      <c r="A530" s="3">
        <v>530</v>
      </c>
      <c r="B530" s="3">
        <v>3.6699999999999999E-7</v>
      </c>
      <c r="C530" s="2">
        <v>2.7519999999999999E-2</v>
      </c>
      <c r="D530" s="3">
        <v>189000</v>
      </c>
      <c r="E530" s="3">
        <v>113000000000</v>
      </c>
      <c r="F530" s="3">
        <v>102000000000</v>
      </c>
      <c r="G530" s="3">
        <v>2850000000</v>
      </c>
      <c r="H530" s="3">
        <v>11600000000</v>
      </c>
      <c r="I530" s="2">
        <v>2.7869999999999999E-2</v>
      </c>
      <c r="J530" s="3">
        <v>7.6799999999999996E-13</v>
      </c>
    </row>
    <row r="531" spans="1:10" x14ac:dyDescent="0.2">
      <c r="A531" s="3">
        <v>530</v>
      </c>
      <c r="B531" s="3">
        <v>3.6699999999999999E-7</v>
      </c>
      <c r="C531" s="2">
        <v>2.7570000000000001E-2</v>
      </c>
      <c r="D531" s="3">
        <v>172000</v>
      </c>
      <c r="E531" s="3">
        <v>104000000000</v>
      </c>
      <c r="F531" s="3">
        <v>94800000000</v>
      </c>
      <c r="G531" s="3">
        <v>6470000000</v>
      </c>
      <c r="H531" s="3">
        <v>12200000000</v>
      </c>
      <c r="I531" s="2">
        <v>6.8180000000000004E-2</v>
      </c>
      <c r="J531" s="3">
        <v>9.3299999999999996E-13</v>
      </c>
    </row>
    <row r="532" spans="1:10" x14ac:dyDescent="0.2">
      <c r="A532" s="3">
        <v>530</v>
      </c>
      <c r="B532" s="3">
        <v>3.6800000000000001E-7</v>
      </c>
      <c r="C532" s="2">
        <v>2.7629999999999998E-2</v>
      </c>
      <c r="D532" s="3">
        <v>182000</v>
      </c>
      <c r="E532" s="3">
        <v>109000000000</v>
      </c>
      <c r="F532" s="3">
        <v>99000000000</v>
      </c>
      <c r="G532" s="2">
        <v>0</v>
      </c>
      <c r="H532" s="3">
        <v>11800000000</v>
      </c>
      <c r="I532" s="2">
        <v>-2.5069999999999999E-2</v>
      </c>
      <c r="J532" s="3">
        <v>8.3299999999999998E-13</v>
      </c>
    </row>
    <row r="533" spans="1:10" x14ac:dyDescent="0.2">
      <c r="A533" s="3">
        <v>530</v>
      </c>
      <c r="B533" s="3">
        <v>3.6800000000000001E-7</v>
      </c>
      <c r="C533" s="2">
        <v>2.768E-2</v>
      </c>
      <c r="D533" s="3">
        <v>186000</v>
      </c>
      <c r="E533" s="3">
        <v>111000000000</v>
      </c>
      <c r="F533" s="3">
        <v>101000000000</v>
      </c>
      <c r="G533" s="3">
        <v>10300000000</v>
      </c>
      <c r="H533" s="3">
        <v>11700000000</v>
      </c>
      <c r="I533" s="2">
        <v>0.1028</v>
      </c>
      <c r="J533" s="3">
        <v>8.0000000000000002E-13</v>
      </c>
    </row>
    <row r="534" spans="1:10" x14ac:dyDescent="0.2">
      <c r="A534" s="3">
        <v>530</v>
      </c>
      <c r="B534" s="3">
        <v>3.6899999999999998E-7</v>
      </c>
      <c r="C534" s="2">
        <v>2.7730000000000001E-2</v>
      </c>
      <c r="D534" s="3">
        <v>179000</v>
      </c>
      <c r="E534" s="3">
        <v>107000000000</v>
      </c>
      <c r="F534" s="3">
        <v>97400000000</v>
      </c>
      <c r="G534" s="3">
        <v>1090000000</v>
      </c>
      <c r="H534" s="3">
        <v>11900000000</v>
      </c>
      <c r="I534" s="2">
        <v>1.124E-2</v>
      </c>
      <c r="J534" s="3">
        <v>8.6800000000000004E-13</v>
      </c>
    </row>
    <row r="535" spans="1:10" x14ac:dyDescent="0.2">
      <c r="A535" s="3">
        <v>530</v>
      </c>
      <c r="B535" s="3">
        <v>3.6899999999999998E-7</v>
      </c>
      <c r="C535" s="2">
        <v>2.7779999999999999E-2</v>
      </c>
      <c r="D535" s="3">
        <v>197000</v>
      </c>
      <c r="E535" s="3">
        <v>116000000000</v>
      </c>
      <c r="F535" s="3">
        <v>105000000000</v>
      </c>
      <c r="G535" s="3">
        <v>12600000000</v>
      </c>
      <c r="H535" s="3">
        <v>11400000000</v>
      </c>
      <c r="I535" s="2">
        <v>0.11940000000000001</v>
      </c>
      <c r="J535" s="3">
        <v>7.1599999999999998E-13</v>
      </c>
    </row>
    <row r="536" spans="1:10" x14ac:dyDescent="0.2">
      <c r="A536" s="3">
        <v>530</v>
      </c>
      <c r="B536" s="3">
        <v>3.7E-7</v>
      </c>
      <c r="C536" s="2">
        <v>2.7830000000000001E-2</v>
      </c>
      <c r="D536" s="3">
        <v>174000</v>
      </c>
      <c r="E536" s="3">
        <v>105000000000</v>
      </c>
      <c r="F536" s="3">
        <v>95200000000</v>
      </c>
      <c r="G536" s="3">
        <v>5280000000</v>
      </c>
      <c r="H536" s="3">
        <v>12100000000</v>
      </c>
      <c r="I536" s="2">
        <v>5.5480000000000002E-2</v>
      </c>
      <c r="J536" s="3">
        <v>9.2100000000000001E-13</v>
      </c>
    </row>
    <row r="537" spans="1:10" x14ac:dyDescent="0.2">
      <c r="A537" s="3">
        <v>540</v>
      </c>
      <c r="B537" s="3">
        <v>3.7E-7</v>
      </c>
      <c r="C537" s="2">
        <v>2.7890000000000002E-2</v>
      </c>
      <c r="D537" s="3">
        <v>196000</v>
      </c>
      <c r="E537" s="3">
        <v>116000000000</v>
      </c>
      <c r="F537" s="3">
        <v>104000000000</v>
      </c>
      <c r="G537" s="3">
        <v>11700000000</v>
      </c>
      <c r="H537" s="3">
        <v>11500000000</v>
      </c>
      <c r="I537" s="2">
        <v>0.1124</v>
      </c>
      <c r="J537" s="3">
        <v>7.2800000000000003E-13</v>
      </c>
    </row>
    <row r="538" spans="1:10" x14ac:dyDescent="0.2">
      <c r="A538" s="3">
        <v>540</v>
      </c>
      <c r="B538" s="3">
        <v>3.7099999999999997E-7</v>
      </c>
      <c r="C538" s="2">
        <v>2.794E-2</v>
      </c>
      <c r="D538" s="3">
        <v>178000</v>
      </c>
      <c r="E538" s="3">
        <v>107000000000</v>
      </c>
      <c r="F538" s="3">
        <v>96900000000</v>
      </c>
      <c r="G538" s="3">
        <v>5840000000</v>
      </c>
      <c r="H538" s="3">
        <v>12000000000</v>
      </c>
      <c r="I538" s="2">
        <v>6.028E-2</v>
      </c>
      <c r="J538" s="3">
        <v>8.7999999999999999E-13</v>
      </c>
    </row>
    <row r="539" spans="1:10" x14ac:dyDescent="0.2">
      <c r="A539" s="3">
        <v>540</v>
      </c>
      <c r="B539" s="3">
        <v>3.72E-7</v>
      </c>
      <c r="C539" s="2">
        <v>2.7990000000000001E-2</v>
      </c>
      <c r="D539" s="3">
        <v>185000</v>
      </c>
      <c r="E539" s="3">
        <v>110000000000</v>
      </c>
      <c r="F539" s="3">
        <v>99700000000</v>
      </c>
      <c r="G539" s="3">
        <v>3690000000</v>
      </c>
      <c r="H539" s="3">
        <v>11800000000</v>
      </c>
      <c r="I539" s="2">
        <v>3.7039999999999997E-2</v>
      </c>
      <c r="J539" s="3">
        <v>8.1699999999999995E-13</v>
      </c>
    </row>
    <row r="540" spans="1:10" x14ac:dyDescent="0.2">
      <c r="A540" s="3">
        <v>540</v>
      </c>
      <c r="B540" s="3">
        <v>3.72E-7</v>
      </c>
      <c r="C540" s="2">
        <v>2.8039999999999999E-2</v>
      </c>
      <c r="D540" s="3">
        <v>175000</v>
      </c>
      <c r="E540" s="3">
        <v>105000000000</v>
      </c>
      <c r="F540" s="3">
        <v>95600000000</v>
      </c>
      <c r="G540" s="3">
        <v>7350000000</v>
      </c>
      <c r="H540" s="3">
        <v>12100000000</v>
      </c>
      <c r="I540" s="2">
        <v>7.6920000000000002E-2</v>
      </c>
      <c r="J540" s="3">
        <v>9.1300000000000005E-13</v>
      </c>
    </row>
    <row r="541" spans="1:10" x14ac:dyDescent="0.2">
      <c r="A541" s="3">
        <v>540</v>
      </c>
      <c r="B541" s="3">
        <v>3.7300000000000002E-7</v>
      </c>
      <c r="C541" s="2">
        <v>2.81E-2</v>
      </c>
      <c r="D541" s="3">
        <v>186000</v>
      </c>
      <c r="E541" s="3">
        <v>110000000000</v>
      </c>
      <c r="F541" s="3">
        <v>99800000000</v>
      </c>
      <c r="G541" s="3">
        <v>3510000000</v>
      </c>
      <c r="H541" s="3">
        <v>11800000000</v>
      </c>
      <c r="I541" s="2">
        <v>3.5209999999999998E-2</v>
      </c>
      <c r="J541" s="3">
        <v>8.1499999999999996E-13</v>
      </c>
    </row>
    <row r="542" spans="1:10" x14ac:dyDescent="0.2">
      <c r="A542" s="3">
        <v>540</v>
      </c>
      <c r="B542" s="3">
        <v>3.7300000000000002E-7</v>
      </c>
      <c r="C542" s="2">
        <v>2.8150000000000001E-2</v>
      </c>
      <c r="D542" s="3">
        <v>188000</v>
      </c>
      <c r="E542" s="3">
        <v>111000000000</v>
      </c>
      <c r="F542" s="3">
        <v>101000000000</v>
      </c>
      <c r="G542" s="2">
        <v>0</v>
      </c>
      <c r="H542" s="3">
        <v>11700000000</v>
      </c>
      <c r="I542" s="2">
        <v>-2.3439999999999999E-2</v>
      </c>
      <c r="J542" s="3">
        <v>7.9900000000000003E-13</v>
      </c>
    </row>
    <row r="543" spans="1:10" x14ac:dyDescent="0.2">
      <c r="A543" s="3">
        <v>540</v>
      </c>
      <c r="B543" s="3">
        <v>3.7399999999999999E-7</v>
      </c>
      <c r="C543" s="2">
        <v>2.8199999999999999E-2</v>
      </c>
      <c r="D543" s="3">
        <v>190000</v>
      </c>
      <c r="E543" s="3">
        <v>112000000000</v>
      </c>
      <c r="F543" s="3">
        <v>101000000000</v>
      </c>
      <c r="G543" s="3">
        <v>7780000000</v>
      </c>
      <c r="H543" s="3">
        <v>11700000000</v>
      </c>
      <c r="I543" s="2">
        <v>7.6850000000000002E-2</v>
      </c>
      <c r="J543" s="3">
        <v>7.8399999999999999E-13</v>
      </c>
    </row>
    <row r="544" spans="1:10" x14ac:dyDescent="0.2">
      <c r="A544" s="3">
        <v>540</v>
      </c>
      <c r="B544" s="3">
        <v>3.7399999999999999E-7</v>
      </c>
      <c r="C544" s="2">
        <v>2.8250000000000001E-2</v>
      </c>
      <c r="D544" s="3">
        <v>215000</v>
      </c>
      <c r="E544" s="3">
        <v>125000000000</v>
      </c>
      <c r="F544" s="3">
        <v>112000000000</v>
      </c>
      <c r="G544" s="3">
        <v>3090000000</v>
      </c>
      <c r="H544" s="3">
        <v>11100000000</v>
      </c>
      <c r="I544" s="2">
        <v>2.7689999999999999E-2</v>
      </c>
      <c r="J544" s="3">
        <v>6.1400000000000001E-13</v>
      </c>
    </row>
    <row r="545" spans="1:10" x14ac:dyDescent="0.2">
      <c r="A545" s="3">
        <v>540</v>
      </c>
      <c r="B545" s="3">
        <v>3.7500000000000001E-7</v>
      </c>
      <c r="C545" s="2">
        <v>2.8299999999999999E-2</v>
      </c>
      <c r="D545" s="3">
        <v>162000</v>
      </c>
      <c r="E545" s="3">
        <v>97800000000</v>
      </c>
      <c r="F545" s="3">
        <v>89600000000</v>
      </c>
      <c r="G545" s="3">
        <v>3020000000</v>
      </c>
      <c r="H545" s="3">
        <v>12600000000</v>
      </c>
      <c r="I545" s="2">
        <v>3.3649999999999999E-2</v>
      </c>
      <c r="J545" s="3">
        <v>1.09E-12</v>
      </c>
    </row>
    <row r="546" spans="1:10" x14ac:dyDescent="0.2">
      <c r="A546" s="3">
        <v>540</v>
      </c>
      <c r="B546" s="3">
        <v>3.7599999999999998E-7</v>
      </c>
      <c r="C546" s="2">
        <v>2.836E-2</v>
      </c>
      <c r="D546" s="3">
        <v>182000</v>
      </c>
      <c r="E546" s="3">
        <v>107000000000</v>
      </c>
      <c r="F546" s="3">
        <v>97700000000</v>
      </c>
      <c r="G546" s="2">
        <v>0</v>
      </c>
      <c r="H546" s="3">
        <v>11900000000</v>
      </c>
      <c r="I546" s="2">
        <v>-3.1829999999999997E-2</v>
      </c>
      <c r="J546" s="3">
        <v>8.6099999999999997E-13</v>
      </c>
    </row>
    <row r="547" spans="1:10" x14ac:dyDescent="0.2">
      <c r="A547" s="3">
        <v>550</v>
      </c>
      <c r="B547" s="3">
        <v>3.7599999999999998E-7</v>
      </c>
      <c r="C547" s="2">
        <v>2.8410000000000001E-2</v>
      </c>
      <c r="D547" s="3">
        <v>199000</v>
      </c>
      <c r="E547" s="3">
        <v>116000000000</v>
      </c>
      <c r="F547" s="3">
        <v>105000000000</v>
      </c>
      <c r="G547" s="3">
        <v>7670000000</v>
      </c>
      <c r="H547" s="3">
        <v>11400000000</v>
      </c>
      <c r="I547" s="2">
        <v>7.3260000000000006E-2</v>
      </c>
      <c r="J547" s="3">
        <v>7.1999999999999996E-13</v>
      </c>
    </row>
    <row r="548" spans="1:10" x14ac:dyDescent="0.2">
      <c r="A548" s="3">
        <v>550</v>
      </c>
      <c r="B548" s="3">
        <v>3.77E-7</v>
      </c>
      <c r="C548" s="2">
        <v>2.8459999999999999E-2</v>
      </c>
      <c r="D548" s="3">
        <v>190000</v>
      </c>
      <c r="E548" s="3">
        <v>112000000000</v>
      </c>
      <c r="F548" s="3">
        <v>101000000000</v>
      </c>
      <c r="G548" s="3">
        <v>12100000000</v>
      </c>
      <c r="H548" s="3">
        <v>11600000000</v>
      </c>
      <c r="I548" s="2">
        <v>0.12</v>
      </c>
      <c r="J548" s="3">
        <v>7.8699999999999998E-13</v>
      </c>
    </row>
    <row r="549" spans="1:10" x14ac:dyDescent="0.2">
      <c r="A549" s="3">
        <v>550</v>
      </c>
      <c r="B549" s="3">
        <v>3.7800000000000002E-7</v>
      </c>
      <c r="C549" s="2">
        <v>2.8510000000000001E-2</v>
      </c>
      <c r="D549" s="3">
        <v>183000</v>
      </c>
      <c r="E549" s="3">
        <v>108000000000</v>
      </c>
      <c r="F549" s="3">
        <v>97800000000</v>
      </c>
      <c r="G549" s="2">
        <v>0</v>
      </c>
      <c r="H549" s="3">
        <v>11900000000</v>
      </c>
      <c r="I549" s="2">
        <v>-3.109E-2</v>
      </c>
      <c r="J549" s="3">
        <v>8.5499999999999999E-13</v>
      </c>
    </row>
    <row r="550" spans="1:10" x14ac:dyDescent="0.2">
      <c r="A550" s="3">
        <v>550</v>
      </c>
      <c r="B550" s="3">
        <v>3.7899999999999999E-7</v>
      </c>
      <c r="C550" s="2">
        <v>2.8559999999999999E-2</v>
      </c>
      <c r="D550" s="3">
        <v>188000</v>
      </c>
      <c r="E550" s="3">
        <v>110000000000</v>
      </c>
      <c r="F550" s="3">
        <v>99900000000</v>
      </c>
      <c r="G550" s="2">
        <v>0</v>
      </c>
      <c r="H550" s="3">
        <v>11700000000</v>
      </c>
      <c r="I550" s="2">
        <v>-8.2379999999999995E-2</v>
      </c>
      <c r="J550" s="3">
        <v>8.0899999999999999E-13</v>
      </c>
    </row>
    <row r="551" spans="1:10" x14ac:dyDescent="0.2">
      <c r="A551" s="3">
        <v>550</v>
      </c>
      <c r="B551" s="3">
        <v>3.8000000000000001E-7</v>
      </c>
      <c r="C551" s="2">
        <v>2.861E-2</v>
      </c>
      <c r="D551" s="3">
        <v>184000</v>
      </c>
      <c r="E551" s="3">
        <v>108000000000</v>
      </c>
      <c r="F551" s="3">
        <v>98100000000</v>
      </c>
      <c r="G551" s="3">
        <v>3420000000</v>
      </c>
      <c r="H551" s="3">
        <v>11800000000</v>
      </c>
      <c r="I551" s="2">
        <v>3.4849999999999999E-2</v>
      </c>
      <c r="J551" s="3">
        <v>8.4600000000000003E-13</v>
      </c>
    </row>
    <row r="552" spans="1:10" x14ac:dyDescent="0.2">
      <c r="A552" s="3">
        <v>550</v>
      </c>
      <c r="B552" s="3">
        <v>3.8000000000000001E-7</v>
      </c>
      <c r="C552" s="2">
        <v>2.8670000000000001E-2</v>
      </c>
      <c r="D552" s="3">
        <v>207000</v>
      </c>
      <c r="E552" s="3">
        <v>120000000000</v>
      </c>
      <c r="F552" s="3">
        <v>108000000000</v>
      </c>
      <c r="G552" s="3">
        <v>3900000000</v>
      </c>
      <c r="H552" s="3">
        <v>11200000000</v>
      </c>
      <c r="I552" s="2">
        <v>3.619E-2</v>
      </c>
      <c r="J552" s="3">
        <v>6.6699999999999999E-13</v>
      </c>
    </row>
    <row r="553" spans="1:10" x14ac:dyDescent="0.2">
      <c r="A553" s="3">
        <v>550</v>
      </c>
      <c r="B553" s="3">
        <v>3.8099999999999998E-7</v>
      </c>
      <c r="C553" s="2">
        <v>2.8719999999999999E-2</v>
      </c>
      <c r="D553" s="3">
        <v>183000</v>
      </c>
      <c r="E553" s="3">
        <v>107000000000</v>
      </c>
      <c r="F553" s="3">
        <v>97400000000</v>
      </c>
      <c r="G553" s="3">
        <v>18900000000</v>
      </c>
      <c r="H553" s="3">
        <v>11900000000</v>
      </c>
      <c r="I553" s="2">
        <v>0.1938</v>
      </c>
      <c r="J553" s="3">
        <v>8.6199999999999996E-13</v>
      </c>
    </row>
    <row r="554" spans="1:10" x14ac:dyDescent="0.2">
      <c r="A554" s="3">
        <v>550</v>
      </c>
      <c r="B554" s="3">
        <v>3.8200000000000001E-7</v>
      </c>
      <c r="C554" s="2">
        <v>2.877E-2</v>
      </c>
      <c r="D554" s="3">
        <v>185000</v>
      </c>
      <c r="E554" s="3">
        <v>108000000000</v>
      </c>
      <c r="F554" s="3">
        <v>98200000000</v>
      </c>
      <c r="G554" s="2">
        <v>0</v>
      </c>
      <c r="H554" s="3">
        <v>11800000000</v>
      </c>
      <c r="I554" s="2">
        <v>-4.7109999999999999E-2</v>
      </c>
      <c r="J554" s="3">
        <v>8.4300000000000004E-13</v>
      </c>
    </row>
    <row r="555" spans="1:10" x14ac:dyDescent="0.2">
      <c r="A555" s="3">
        <v>550</v>
      </c>
      <c r="B555" s="3">
        <v>3.8200000000000001E-7</v>
      </c>
      <c r="C555" s="2">
        <v>2.8830000000000001E-2</v>
      </c>
      <c r="D555" s="3">
        <v>174000</v>
      </c>
      <c r="E555" s="3">
        <v>103000000000</v>
      </c>
      <c r="F555" s="3">
        <v>93900000000</v>
      </c>
      <c r="G555" s="3">
        <v>4800000000</v>
      </c>
      <c r="H555" s="3">
        <v>12100000000</v>
      </c>
      <c r="I555" s="2">
        <v>5.1130000000000002E-2</v>
      </c>
      <c r="J555" s="3">
        <v>9.4999999999999999E-13</v>
      </c>
    </row>
    <row r="556" spans="1:10" x14ac:dyDescent="0.2">
      <c r="A556" s="3">
        <v>550</v>
      </c>
      <c r="B556" s="3">
        <v>3.8299999999999998E-7</v>
      </c>
      <c r="C556" s="2">
        <v>2.8879999999999999E-2</v>
      </c>
      <c r="D556" s="3">
        <v>192000</v>
      </c>
      <c r="E556" s="3">
        <v>111000000000</v>
      </c>
      <c r="F556" s="3">
        <v>101000000000</v>
      </c>
      <c r="G556" s="3">
        <v>8220000000</v>
      </c>
      <c r="H556" s="3">
        <v>11600000000</v>
      </c>
      <c r="I556" s="2">
        <v>8.1439999999999999E-2</v>
      </c>
      <c r="J556" s="3">
        <v>7.83E-13</v>
      </c>
    </row>
    <row r="557" spans="1:10" x14ac:dyDescent="0.2">
      <c r="A557" s="3">
        <v>560</v>
      </c>
      <c r="B557" s="3">
        <v>3.84E-7</v>
      </c>
      <c r="C557" s="2">
        <v>2.8930000000000001E-2</v>
      </c>
      <c r="D557" s="3">
        <v>189000</v>
      </c>
      <c r="E557" s="3">
        <v>110000000000</v>
      </c>
      <c r="F557" s="3">
        <v>99800000000</v>
      </c>
      <c r="G557" s="3">
        <v>4080000000</v>
      </c>
      <c r="H557" s="3">
        <v>11700000000</v>
      </c>
      <c r="I557" s="2">
        <v>4.0849999999999997E-2</v>
      </c>
      <c r="J557" s="3">
        <v>8.0799999999999999E-13</v>
      </c>
    </row>
    <row r="558" spans="1:10" x14ac:dyDescent="0.2">
      <c r="A558" s="3">
        <v>560</v>
      </c>
      <c r="B558" s="3">
        <v>3.84E-7</v>
      </c>
      <c r="C558" s="2">
        <v>2.8979999999999999E-2</v>
      </c>
      <c r="D558" s="3">
        <v>173000</v>
      </c>
      <c r="E558" s="3">
        <v>102000000000</v>
      </c>
      <c r="F558" s="3">
        <v>93100000000</v>
      </c>
      <c r="G558" s="3">
        <v>7370000000</v>
      </c>
      <c r="H558" s="3">
        <v>12200000000</v>
      </c>
      <c r="I558" s="2">
        <v>7.9200000000000007E-2</v>
      </c>
      <c r="J558" s="3">
        <v>9.71E-13</v>
      </c>
    </row>
    <row r="559" spans="1:10" x14ac:dyDescent="0.2">
      <c r="A559" s="3">
        <v>560</v>
      </c>
      <c r="B559" s="3">
        <v>3.8500000000000002E-7</v>
      </c>
      <c r="C559" s="2">
        <v>2.903E-2</v>
      </c>
      <c r="D559" s="3">
        <v>199000</v>
      </c>
      <c r="E559" s="3">
        <v>115000000000</v>
      </c>
      <c r="F559" s="3">
        <v>104000000000</v>
      </c>
      <c r="G559" s="3">
        <v>5700000000</v>
      </c>
      <c r="H559" s="3">
        <v>11400000000</v>
      </c>
      <c r="I559" s="2">
        <v>5.5019999999999999E-2</v>
      </c>
      <c r="J559" s="3">
        <v>7.34E-13</v>
      </c>
    </row>
    <row r="560" spans="1:10" x14ac:dyDescent="0.2">
      <c r="A560" s="3">
        <v>560</v>
      </c>
      <c r="B560" s="3">
        <v>3.8500000000000002E-7</v>
      </c>
      <c r="C560" s="2">
        <v>2.9090000000000001E-2</v>
      </c>
      <c r="D560" s="3">
        <v>183000</v>
      </c>
      <c r="E560" s="3">
        <v>107000000000</v>
      </c>
      <c r="F560" s="3">
        <v>97000000000</v>
      </c>
      <c r="G560" s="3">
        <v>3310000000</v>
      </c>
      <c r="H560" s="3">
        <v>11900000000</v>
      </c>
      <c r="I560" s="2">
        <v>3.4130000000000001E-2</v>
      </c>
      <c r="J560" s="3">
        <v>8.7000000000000003E-13</v>
      </c>
    </row>
    <row r="561" spans="1:10" x14ac:dyDescent="0.2">
      <c r="A561" s="3">
        <v>560</v>
      </c>
      <c r="B561" s="3">
        <v>3.8599999999999999E-7</v>
      </c>
      <c r="C561" s="2">
        <v>2.9139999999999999E-2</v>
      </c>
      <c r="D561" s="3">
        <v>190000</v>
      </c>
      <c r="E561" s="3">
        <v>110000000000</v>
      </c>
      <c r="F561" s="3">
        <v>99700000000</v>
      </c>
      <c r="G561" s="2">
        <v>0</v>
      </c>
      <c r="H561" s="3">
        <v>11700000000</v>
      </c>
      <c r="I561" s="2">
        <v>-1.346E-3</v>
      </c>
      <c r="J561" s="3">
        <v>8.1099999999999998E-13</v>
      </c>
    </row>
    <row r="562" spans="1:10" x14ac:dyDescent="0.2">
      <c r="A562" s="3">
        <v>560</v>
      </c>
      <c r="B562" s="3">
        <v>3.8700000000000001E-7</v>
      </c>
      <c r="C562" s="2">
        <v>2.9190000000000001E-2</v>
      </c>
      <c r="D562" s="3">
        <v>201000</v>
      </c>
      <c r="E562" s="3">
        <v>116000000000</v>
      </c>
      <c r="F562" s="3">
        <v>104000000000</v>
      </c>
      <c r="G562" s="3">
        <v>9420000000</v>
      </c>
      <c r="H562" s="3">
        <v>11400000000</v>
      </c>
      <c r="I562" s="2">
        <v>9.0260000000000007E-2</v>
      </c>
      <c r="J562" s="3">
        <v>7.2099999999999996E-13</v>
      </c>
    </row>
    <row r="563" spans="1:10" x14ac:dyDescent="0.2">
      <c r="A563" s="3">
        <v>560</v>
      </c>
      <c r="B563" s="3">
        <v>3.8700000000000001E-7</v>
      </c>
      <c r="C563" s="2">
        <v>2.9239999999999999E-2</v>
      </c>
      <c r="D563" s="3">
        <v>188000</v>
      </c>
      <c r="E563" s="3">
        <v>109000000000</v>
      </c>
      <c r="F563" s="3">
        <v>98800000000</v>
      </c>
      <c r="G563" s="2">
        <v>0</v>
      </c>
      <c r="H563" s="3">
        <v>11700000000</v>
      </c>
      <c r="I563" s="2">
        <v>-1.737E-3</v>
      </c>
      <c r="J563" s="3">
        <v>8.3E-13</v>
      </c>
    </row>
    <row r="564" spans="1:10" x14ac:dyDescent="0.2">
      <c r="A564" s="3">
        <v>560</v>
      </c>
      <c r="B564" s="3">
        <v>3.8799999999999998E-7</v>
      </c>
      <c r="C564" s="2">
        <v>2.93E-2</v>
      </c>
      <c r="D564" s="3">
        <v>205000</v>
      </c>
      <c r="E564" s="3">
        <v>117000000000</v>
      </c>
      <c r="F564" s="3">
        <v>106000000000</v>
      </c>
      <c r="G564" s="2">
        <v>0</v>
      </c>
      <c r="H564" s="3">
        <v>11300000000</v>
      </c>
      <c r="I564" s="2">
        <v>-5.6680000000000001E-2</v>
      </c>
      <c r="J564" s="3">
        <v>6.9599999999999996E-13</v>
      </c>
    </row>
    <row r="565" spans="1:10" x14ac:dyDescent="0.2">
      <c r="A565" s="3">
        <v>560</v>
      </c>
      <c r="B565" s="3">
        <v>3.8799999999999998E-7</v>
      </c>
      <c r="C565" s="2">
        <v>2.9350000000000001E-2</v>
      </c>
      <c r="D565" s="3">
        <v>178000</v>
      </c>
      <c r="E565" s="3">
        <v>104000000000</v>
      </c>
      <c r="F565" s="3">
        <v>94600000000</v>
      </c>
      <c r="G565" s="3">
        <v>1120000000</v>
      </c>
      <c r="H565" s="3">
        <v>12000000000</v>
      </c>
      <c r="I565" s="2">
        <v>1.1849999999999999E-2</v>
      </c>
      <c r="J565" s="3">
        <v>9.2800000000000008E-13</v>
      </c>
    </row>
    <row r="566" spans="1:10" x14ac:dyDescent="0.2">
      <c r="A566" s="3">
        <v>560</v>
      </c>
      <c r="B566" s="3">
        <v>3.89E-7</v>
      </c>
      <c r="C566" s="2">
        <v>2.9399999999999999E-2</v>
      </c>
      <c r="D566" s="3">
        <v>189000</v>
      </c>
      <c r="E566" s="3">
        <v>109000000000</v>
      </c>
      <c r="F566" s="3">
        <v>98800000000</v>
      </c>
      <c r="G566" s="2">
        <v>0</v>
      </c>
      <c r="H566" s="3">
        <v>11700000000</v>
      </c>
      <c r="I566" s="2">
        <v>-7.6259999999999994E-2</v>
      </c>
      <c r="J566" s="3">
        <v>8.2600000000000001E-13</v>
      </c>
    </row>
    <row r="567" spans="1:10" x14ac:dyDescent="0.2">
      <c r="A567" s="3">
        <v>570</v>
      </c>
      <c r="B567" s="3">
        <v>3.9000000000000002E-7</v>
      </c>
      <c r="C567" s="2">
        <v>2.945E-2</v>
      </c>
      <c r="D567" s="3">
        <v>189000</v>
      </c>
      <c r="E567" s="3">
        <v>109000000000</v>
      </c>
      <c r="F567" s="3">
        <v>99000000000</v>
      </c>
      <c r="G567" s="3">
        <v>17400000000</v>
      </c>
      <c r="H567" s="3">
        <v>11700000000</v>
      </c>
      <c r="I567" s="2">
        <v>0.17610000000000001</v>
      </c>
      <c r="J567" s="3">
        <v>8.2300000000000003E-13</v>
      </c>
    </row>
    <row r="568" spans="1:10" x14ac:dyDescent="0.2">
      <c r="A568" s="3">
        <v>570</v>
      </c>
      <c r="B568" s="3">
        <v>3.9000000000000002E-7</v>
      </c>
      <c r="C568" s="2">
        <v>2.9499999999999998E-2</v>
      </c>
      <c r="D568" s="3">
        <v>188000</v>
      </c>
      <c r="E568" s="3">
        <v>108000000000</v>
      </c>
      <c r="F568" s="3">
        <v>98300000000</v>
      </c>
      <c r="G568" s="3">
        <v>5710000000</v>
      </c>
      <c r="H568" s="3">
        <v>11800000000</v>
      </c>
      <c r="I568" s="2">
        <v>5.8040000000000001E-2</v>
      </c>
      <c r="J568" s="3">
        <v>8.3899999999999996E-13</v>
      </c>
    </row>
    <row r="569" spans="1:10" x14ac:dyDescent="0.2">
      <c r="A569" s="3">
        <v>570</v>
      </c>
      <c r="B569" s="3">
        <v>3.9099999999999999E-7</v>
      </c>
      <c r="C569" s="2">
        <v>2.9559999999999999E-2</v>
      </c>
      <c r="D569" s="3">
        <v>220000</v>
      </c>
      <c r="E569" s="3">
        <v>125000000000</v>
      </c>
      <c r="F569" s="3">
        <v>112000000000</v>
      </c>
      <c r="G569" s="3">
        <v>26400000000</v>
      </c>
      <c r="H569" s="3">
        <v>11000000000</v>
      </c>
      <c r="I569" s="2">
        <v>0.23619999999999999</v>
      </c>
      <c r="J569" s="3">
        <v>6.0800000000000003E-13</v>
      </c>
    </row>
    <row r="570" spans="1:10" x14ac:dyDescent="0.2">
      <c r="A570" s="3">
        <v>570</v>
      </c>
      <c r="B570" s="3">
        <v>3.9099999999999999E-7</v>
      </c>
      <c r="C570" s="2">
        <v>2.9610000000000001E-2</v>
      </c>
      <c r="D570" s="3">
        <v>190000</v>
      </c>
      <c r="E570" s="3">
        <v>109000000000</v>
      </c>
      <c r="F570" s="3">
        <v>99200000000</v>
      </c>
      <c r="G570" s="2">
        <v>0</v>
      </c>
      <c r="H570" s="3">
        <v>11700000000</v>
      </c>
      <c r="I570" s="2">
        <v>-1.907E-2</v>
      </c>
      <c r="J570" s="3">
        <v>8.1900000000000004E-13</v>
      </c>
    </row>
    <row r="571" spans="1:10" x14ac:dyDescent="0.2">
      <c r="A571" s="3">
        <v>570</v>
      </c>
      <c r="B571" s="3">
        <v>3.9200000000000002E-7</v>
      </c>
      <c r="C571" s="2">
        <v>2.9659999999999999E-2</v>
      </c>
      <c r="D571" s="3">
        <v>182000</v>
      </c>
      <c r="E571" s="3">
        <v>105000000000</v>
      </c>
      <c r="F571" s="3">
        <v>95800000000</v>
      </c>
      <c r="G571" s="3">
        <v>5830000000</v>
      </c>
      <c r="H571" s="3">
        <v>11900000000</v>
      </c>
      <c r="I571" s="2">
        <v>6.089E-2</v>
      </c>
      <c r="J571" s="3">
        <v>8.9700000000000001E-13</v>
      </c>
    </row>
    <row r="572" spans="1:10" x14ac:dyDescent="0.2">
      <c r="A572" s="3">
        <v>570</v>
      </c>
      <c r="B572" s="3">
        <v>3.9400000000000001E-7</v>
      </c>
      <c r="C572" s="2">
        <v>2.971E-2</v>
      </c>
      <c r="D572" s="3">
        <v>170000</v>
      </c>
      <c r="E572" s="3">
        <v>99100000000</v>
      </c>
      <c r="F572" s="3">
        <v>90700000000</v>
      </c>
      <c r="G572" s="2">
        <v>0</v>
      </c>
      <c r="H572" s="3">
        <v>12300000000</v>
      </c>
      <c r="I572" s="2">
        <v>-1.9710000000000001E-3</v>
      </c>
      <c r="J572" s="3">
        <v>1.0300000000000001E-12</v>
      </c>
    </row>
    <row r="573" spans="1:10" x14ac:dyDescent="0.2">
      <c r="A573" s="3">
        <v>570</v>
      </c>
      <c r="B573" s="3">
        <v>3.96E-7</v>
      </c>
      <c r="C573" s="2">
        <v>2.9760000000000002E-2</v>
      </c>
      <c r="D573" s="3">
        <v>186000</v>
      </c>
      <c r="E573" s="3">
        <v>107000000000</v>
      </c>
      <c r="F573" s="3">
        <v>96900000000</v>
      </c>
      <c r="G573" s="2">
        <v>0</v>
      </c>
      <c r="H573" s="3">
        <v>11700000000</v>
      </c>
      <c r="I573" s="2">
        <v>-2.835E-2</v>
      </c>
      <c r="J573" s="3">
        <v>8.5899999999999997E-13</v>
      </c>
    </row>
    <row r="574" spans="1:10" x14ac:dyDescent="0.2">
      <c r="A574" s="3">
        <v>570</v>
      </c>
      <c r="B574" s="3">
        <v>3.96E-7</v>
      </c>
      <c r="C574" s="2">
        <v>2.981E-2</v>
      </c>
      <c r="D574" s="3">
        <v>194000</v>
      </c>
      <c r="E574" s="3">
        <v>110000000000</v>
      </c>
      <c r="F574" s="3">
        <v>100000000000</v>
      </c>
      <c r="G574" s="3">
        <v>3070000000</v>
      </c>
      <c r="H574" s="3">
        <v>11500000000</v>
      </c>
      <c r="I574" s="2">
        <v>3.066E-2</v>
      </c>
      <c r="J574" s="3">
        <v>7.9099999999999996E-13</v>
      </c>
    </row>
    <row r="575" spans="1:10" x14ac:dyDescent="0.2">
      <c r="A575" s="3">
        <v>570</v>
      </c>
      <c r="B575" s="3">
        <v>3.9700000000000002E-7</v>
      </c>
      <c r="C575" s="2">
        <v>2.9870000000000001E-2</v>
      </c>
      <c r="D575" s="3">
        <v>197000</v>
      </c>
      <c r="E575" s="3">
        <v>112000000000</v>
      </c>
      <c r="F575" s="3">
        <v>101000000000</v>
      </c>
      <c r="G575" s="3">
        <v>4330000000</v>
      </c>
      <c r="H575" s="3">
        <v>11400000000</v>
      </c>
      <c r="I575" s="2">
        <v>4.2869999999999998E-2</v>
      </c>
      <c r="J575" s="3">
        <v>7.7300000000000004E-13</v>
      </c>
    </row>
    <row r="576" spans="1:10" x14ac:dyDescent="0.2">
      <c r="A576" s="3">
        <v>570</v>
      </c>
      <c r="B576" s="3">
        <v>3.9799999999999999E-7</v>
      </c>
      <c r="C576" s="2">
        <v>2.9919999999999999E-2</v>
      </c>
      <c r="D576" s="3">
        <v>173000</v>
      </c>
      <c r="E576" s="3">
        <v>99900000000</v>
      </c>
      <c r="F576" s="3">
        <v>91400000000</v>
      </c>
      <c r="G576" s="2">
        <v>0</v>
      </c>
      <c r="H576" s="3">
        <v>12100000000</v>
      </c>
      <c r="I576" s="2">
        <v>-4.6949999999999999E-2</v>
      </c>
      <c r="J576" s="3">
        <v>9.9799999999999999E-13</v>
      </c>
    </row>
    <row r="577" spans="1:10" x14ac:dyDescent="0.2">
      <c r="A577" s="3">
        <v>580</v>
      </c>
      <c r="B577" s="3">
        <v>3.9799999999999999E-7</v>
      </c>
      <c r="C577" s="2">
        <v>2.997E-2</v>
      </c>
      <c r="D577" s="3">
        <v>192000</v>
      </c>
      <c r="E577" s="3">
        <v>109000000000</v>
      </c>
      <c r="F577" s="3">
        <v>98800000000</v>
      </c>
      <c r="G577" s="3">
        <v>3580000000</v>
      </c>
      <c r="H577" s="3">
        <v>11600000000</v>
      </c>
      <c r="I577" s="2">
        <v>3.6229999999999998E-2</v>
      </c>
      <c r="J577" s="3">
        <v>8.1599999999999996E-13</v>
      </c>
    </row>
    <row r="578" spans="1:10" x14ac:dyDescent="0.2">
      <c r="A578" s="3">
        <v>580</v>
      </c>
      <c r="B578" s="3">
        <v>3.9900000000000001E-7</v>
      </c>
      <c r="C578" s="2">
        <v>3.0020000000000002E-2</v>
      </c>
      <c r="D578" s="3">
        <v>196000</v>
      </c>
      <c r="E578" s="3">
        <v>111000000000</v>
      </c>
      <c r="F578" s="3">
        <v>100000000000</v>
      </c>
      <c r="G578" s="3">
        <v>3670000000</v>
      </c>
      <c r="H578" s="3">
        <v>11400000000</v>
      </c>
      <c r="I578" s="2">
        <v>3.6519999999999997E-2</v>
      </c>
      <c r="J578" s="3">
        <v>7.82E-13</v>
      </c>
    </row>
    <row r="579" spans="1:10" x14ac:dyDescent="0.2">
      <c r="A579" s="3">
        <v>580</v>
      </c>
      <c r="B579" s="3">
        <v>3.9999999999999998E-7</v>
      </c>
      <c r="C579" s="2">
        <v>3.007E-2</v>
      </c>
      <c r="D579" s="3">
        <v>186000</v>
      </c>
      <c r="E579" s="3">
        <v>106000000000</v>
      </c>
      <c r="F579" s="3">
        <v>96400000000</v>
      </c>
      <c r="G579" s="3">
        <v>9410000000</v>
      </c>
      <c r="H579" s="3">
        <v>11700000000</v>
      </c>
      <c r="I579" s="2">
        <v>9.7650000000000001E-2</v>
      </c>
      <c r="J579" s="3">
        <v>8.6900000000000003E-13</v>
      </c>
    </row>
    <row r="580" spans="1:10" x14ac:dyDescent="0.2">
      <c r="A580" s="3">
        <v>580</v>
      </c>
      <c r="B580" s="3">
        <v>3.9999999999999998E-7</v>
      </c>
      <c r="C580" s="2">
        <v>3.0130000000000001E-2</v>
      </c>
      <c r="D580" s="3">
        <v>191000</v>
      </c>
      <c r="E580" s="3">
        <v>108000000000</v>
      </c>
      <c r="F580" s="3">
        <v>98300000000</v>
      </c>
      <c r="G580" s="2">
        <v>0</v>
      </c>
      <c r="H580" s="3">
        <v>11600000000</v>
      </c>
      <c r="I580" s="2">
        <v>-3.3529999999999997E-2</v>
      </c>
      <c r="J580" s="3">
        <v>8.2700000000000001E-13</v>
      </c>
    </row>
    <row r="581" spans="1:10" x14ac:dyDescent="0.2">
      <c r="A581" s="3">
        <v>580</v>
      </c>
      <c r="B581" s="3">
        <v>4.01E-7</v>
      </c>
      <c r="C581" s="2">
        <v>3.0179999999999998E-2</v>
      </c>
      <c r="D581" s="3">
        <v>199000</v>
      </c>
      <c r="E581" s="3">
        <v>112000000000</v>
      </c>
      <c r="F581" s="3">
        <v>102000000000</v>
      </c>
      <c r="G581" s="3">
        <v>1410000000</v>
      </c>
      <c r="H581" s="3">
        <v>11400000000</v>
      </c>
      <c r="I581" s="2">
        <v>1.388E-2</v>
      </c>
      <c r="J581" s="3">
        <v>7.59E-13</v>
      </c>
    </row>
    <row r="582" spans="1:10" x14ac:dyDescent="0.2">
      <c r="A582" s="3">
        <v>580</v>
      </c>
      <c r="B582" s="3">
        <v>4.01E-7</v>
      </c>
      <c r="C582" s="2">
        <v>3.023E-2</v>
      </c>
      <c r="D582" s="3">
        <v>196000</v>
      </c>
      <c r="E582" s="3">
        <v>110000000000</v>
      </c>
      <c r="F582" s="3">
        <v>100000000000</v>
      </c>
      <c r="G582" s="3">
        <v>23600000000</v>
      </c>
      <c r="H582" s="3">
        <v>11500000000</v>
      </c>
      <c r="I582" s="2">
        <v>0.23569999999999999</v>
      </c>
      <c r="J582" s="3">
        <v>7.8899999999999997E-13</v>
      </c>
    </row>
    <row r="583" spans="1:10" x14ac:dyDescent="0.2">
      <c r="A583" s="3">
        <v>580</v>
      </c>
      <c r="B583" s="3">
        <v>4.0200000000000003E-7</v>
      </c>
      <c r="C583" s="2">
        <v>3.0290000000000001E-2</v>
      </c>
      <c r="D583" s="3">
        <v>197000</v>
      </c>
      <c r="E583" s="3">
        <v>111000000000</v>
      </c>
      <c r="F583" s="3">
        <v>101000000000</v>
      </c>
      <c r="G583" s="3">
        <v>6170000000</v>
      </c>
      <c r="H583" s="3">
        <v>11400000000</v>
      </c>
      <c r="I583" s="2">
        <v>6.1199999999999997E-2</v>
      </c>
      <c r="J583" s="3">
        <v>7.7800000000000002E-13</v>
      </c>
    </row>
    <row r="584" spans="1:10" x14ac:dyDescent="0.2">
      <c r="A584" s="3">
        <v>580</v>
      </c>
      <c r="B584" s="3">
        <v>4.03E-7</v>
      </c>
      <c r="C584" s="2">
        <v>3.0339999999999999E-2</v>
      </c>
      <c r="D584" s="3">
        <v>186000</v>
      </c>
      <c r="E584" s="3">
        <v>106000000000</v>
      </c>
      <c r="F584" s="3">
        <v>96100000000</v>
      </c>
      <c r="G584" s="2">
        <v>0</v>
      </c>
      <c r="H584" s="3">
        <v>11700000000</v>
      </c>
      <c r="I584" s="2">
        <v>-6.5360000000000001E-2</v>
      </c>
      <c r="J584" s="3">
        <v>8.7500000000000001E-13</v>
      </c>
    </row>
    <row r="585" spans="1:10" x14ac:dyDescent="0.2">
      <c r="A585" s="3">
        <v>580</v>
      </c>
      <c r="B585" s="3">
        <v>4.03E-7</v>
      </c>
      <c r="C585" s="2">
        <v>3.039E-2</v>
      </c>
      <c r="D585" s="3">
        <v>182000</v>
      </c>
      <c r="E585" s="3">
        <v>104000000000</v>
      </c>
      <c r="F585" s="3">
        <v>94500000000</v>
      </c>
      <c r="G585" s="3">
        <v>7250000000</v>
      </c>
      <c r="H585" s="3">
        <v>11800000000</v>
      </c>
      <c r="I585" s="2">
        <v>7.671E-2</v>
      </c>
      <c r="J585" s="3">
        <v>9.1500000000000004E-13</v>
      </c>
    </row>
    <row r="586" spans="1:10" x14ac:dyDescent="0.2">
      <c r="A586" s="3">
        <v>580</v>
      </c>
      <c r="B586" s="3">
        <v>4.03E-7</v>
      </c>
      <c r="C586" s="2">
        <v>3.0439999999999998E-2</v>
      </c>
      <c r="D586" s="3">
        <v>177000</v>
      </c>
      <c r="E586" s="3">
        <v>101000000000</v>
      </c>
      <c r="F586" s="3">
        <v>92400000000</v>
      </c>
      <c r="G586" s="3">
        <v>2760000000</v>
      </c>
      <c r="H586" s="3">
        <v>12000000000</v>
      </c>
      <c r="I586" s="2">
        <v>2.9839999999999998E-2</v>
      </c>
      <c r="J586" s="3">
        <v>9.7299999999999999E-13</v>
      </c>
    </row>
    <row r="587" spans="1:10" x14ac:dyDescent="0.2">
      <c r="A587" s="3">
        <v>590</v>
      </c>
      <c r="B587" s="3">
        <v>4.0400000000000002E-7</v>
      </c>
      <c r="C587" s="2">
        <v>3.049E-2</v>
      </c>
      <c r="D587" s="3">
        <v>181000</v>
      </c>
      <c r="E587" s="3">
        <v>103000000000</v>
      </c>
      <c r="F587" s="3">
        <v>94100000000</v>
      </c>
      <c r="G587" s="2">
        <v>0</v>
      </c>
      <c r="H587" s="3">
        <v>11900000000</v>
      </c>
      <c r="I587" s="2">
        <v>-4.1710000000000002E-3</v>
      </c>
      <c r="J587" s="3">
        <v>9.2600000000000009E-13</v>
      </c>
    </row>
    <row r="588" spans="1:10" x14ac:dyDescent="0.2">
      <c r="A588" s="3">
        <v>590</v>
      </c>
      <c r="B588" s="3">
        <v>4.0400000000000002E-7</v>
      </c>
      <c r="C588" s="2">
        <v>3.0550000000000001E-2</v>
      </c>
      <c r="D588" s="3">
        <v>196000</v>
      </c>
      <c r="E588" s="3">
        <v>110000000000</v>
      </c>
      <c r="F588" s="3">
        <v>99900000000</v>
      </c>
      <c r="G588" s="2">
        <v>0</v>
      </c>
      <c r="H588" s="3">
        <v>11500000000</v>
      </c>
      <c r="I588" s="2">
        <v>-5.8319999999999997E-2</v>
      </c>
      <c r="J588" s="3">
        <v>7.9500000000000005E-13</v>
      </c>
    </row>
    <row r="589" spans="1:10" x14ac:dyDescent="0.2">
      <c r="A589" s="3">
        <v>590</v>
      </c>
      <c r="B589" s="3">
        <v>4.0499999999999999E-7</v>
      </c>
      <c r="C589" s="2">
        <v>3.0599999999999999E-2</v>
      </c>
      <c r="D589" s="3">
        <v>174000</v>
      </c>
      <c r="E589" s="3">
        <v>99600000000</v>
      </c>
      <c r="F589" s="3">
        <v>91200000000</v>
      </c>
      <c r="G589" s="3">
        <v>12800000000</v>
      </c>
      <c r="H589" s="3">
        <v>12100000000</v>
      </c>
      <c r="I589" s="2">
        <v>0.14000000000000001</v>
      </c>
      <c r="J589" s="3">
        <v>1.0099999999999999E-12</v>
      </c>
    </row>
    <row r="590" spans="1:10" x14ac:dyDescent="0.2">
      <c r="A590" s="3">
        <v>590</v>
      </c>
      <c r="B590" s="3">
        <v>4.0600000000000001E-7</v>
      </c>
      <c r="C590" s="2">
        <v>3.065E-2</v>
      </c>
      <c r="D590" s="3">
        <v>206000</v>
      </c>
      <c r="E590" s="3">
        <v>115000000000</v>
      </c>
      <c r="F590" s="3">
        <v>104000000000</v>
      </c>
      <c r="G590" s="2">
        <v>0</v>
      </c>
      <c r="H590" s="3">
        <v>11300000000</v>
      </c>
      <c r="I590" s="2">
        <v>-3.6949999999999997E-2</v>
      </c>
      <c r="J590" s="3">
        <v>7.2199999999999995E-13</v>
      </c>
    </row>
    <row r="591" spans="1:10" x14ac:dyDescent="0.2">
      <c r="A591" s="3">
        <v>590</v>
      </c>
      <c r="B591" s="3">
        <v>4.0600000000000001E-7</v>
      </c>
      <c r="C591" s="2">
        <v>3.0700000000000002E-2</v>
      </c>
      <c r="D591" s="3">
        <v>207000</v>
      </c>
      <c r="E591" s="3">
        <v>116000000000</v>
      </c>
      <c r="F591" s="3">
        <v>104000000000</v>
      </c>
      <c r="G591" s="2">
        <v>0</v>
      </c>
      <c r="H591" s="3">
        <v>11300000000</v>
      </c>
      <c r="I591" s="2">
        <v>-2.0910000000000002E-2</v>
      </c>
      <c r="J591" s="3">
        <v>7.1399999999999999E-13</v>
      </c>
    </row>
    <row r="592" spans="1:10" x14ac:dyDescent="0.2">
      <c r="A592" s="3">
        <v>590</v>
      </c>
      <c r="B592" s="3">
        <v>4.0600000000000001E-7</v>
      </c>
      <c r="C592" s="2">
        <v>3.075E-2</v>
      </c>
      <c r="D592" s="3">
        <v>180000</v>
      </c>
      <c r="E592" s="3">
        <v>102000000000</v>
      </c>
      <c r="F592" s="3">
        <v>93200000000</v>
      </c>
      <c r="G592" s="3">
        <v>19200000000</v>
      </c>
      <c r="H592" s="3">
        <v>12000000000</v>
      </c>
      <c r="I592" s="2">
        <v>0.20580000000000001</v>
      </c>
      <c r="J592" s="3">
        <v>9.5199999999999998E-13</v>
      </c>
    </row>
    <row r="593" spans="1:10" x14ac:dyDescent="0.2">
      <c r="A593" s="3">
        <v>590</v>
      </c>
      <c r="B593" s="3">
        <v>4.0699999999999998E-7</v>
      </c>
      <c r="C593" s="2">
        <v>3.0810000000000001E-2</v>
      </c>
      <c r="D593" s="3">
        <v>175000</v>
      </c>
      <c r="E593" s="3">
        <v>99700000000</v>
      </c>
      <c r="F593" s="3">
        <v>91300000000</v>
      </c>
      <c r="G593" s="3">
        <v>295000000</v>
      </c>
      <c r="H593" s="3">
        <v>12100000000</v>
      </c>
      <c r="I593" s="2">
        <v>3.2360000000000002E-3</v>
      </c>
      <c r="J593" s="3">
        <v>1.0099999999999999E-12</v>
      </c>
    </row>
    <row r="594" spans="1:10" x14ac:dyDescent="0.2">
      <c r="A594" s="3">
        <v>590</v>
      </c>
      <c r="B594" s="3">
        <v>4.08E-7</v>
      </c>
      <c r="C594" s="2">
        <v>3.0859999999999999E-2</v>
      </c>
      <c r="D594" s="3">
        <v>179000</v>
      </c>
      <c r="E594" s="3">
        <v>102000000000</v>
      </c>
      <c r="F594" s="3">
        <v>92900000000</v>
      </c>
      <c r="G594" s="3">
        <v>11700000000</v>
      </c>
      <c r="H594" s="3">
        <v>12000000000</v>
      </c>
      <c r="I594" s="2">
        <v>0.126</v>
      </c>
      <c r="J594" s="3">
        <v>9.5999999999999995E-13</v>
      </c>
    </row>
    <row r="595" spans="1:10" x14ac:dyDescent="0.2">
      <c r="A595" s="3">
        <v>590</v>
      </c>
      <c r="B595" s="3">
        <v>4.08E-7</v>
      </c>
      <c r="C595" s="2">
        <v>3.091E-2</v>
      </c>
      <c r="D595" s="3">
        <v>178000</v>
      </c>
      <c r="E595" s="3">
        <v>101000000000</v>
      </c>
      <c r="F595" s="3">
        <v>92500000000</v>
      </c>
      <c r="G595" s="3">
        <v>8450000000</v>
      </c>
      <c r="H595" s="3">
        <v>12100000000</v>
      </c>
      <c r="I595" s="2">
        <v>9.1350000000000001E-2</v>
      </c>
      <c r="J595" s="3">
        <v>9.720000000000001E-13</v>
      </c>
    </row>
    <row r="596" spans="1:10" x14ac:dyDescent="0.2">
      <c r="A596" s="3">
        <v>590</v>
      </c>
      <c r="B596" s="3">
        <v>4.08E-7</v>
      </c>
      <c r="C596" s="2">
        <v>3.0960000000000001E-2</v>
      </c>
      <c r="D596" s="3">
        <v>188000</v>
      </c>
      <c r="E596" s="3">
        <v>106000000000</v>
      </c>
      <c r="F596" s="3">
        <v>96400000000</v>
      </c>
      <c r="G596" s="3">
        <v>1410000000</v>
      </c>
      <c r="H596" s="3">
        <v>11800000000</v>
      </c>
      <c r="I596" s="2">
        <v>1.4619999999999999E-2</v>
      </c>
      <c r="J596" s="3">
        <v>8.76E-13</v>
      </c>
    </row>
    <row r="597" spans="1:10" x14ac:dyDescent="0.2">
      <c r="A597" s="3">
        <v>600</v>
      </c>
      <c r="B597" s="3">
        <v>4.0900000000000002E-7</v>
      </c>
      <c r="C597" s="2">
        <v>3.1009999999999999E-2</v>
      </c>
      <c r="D597" s="3">
        <v>175000</v>
      </c>
      <c r="E597" s="3">
        <v>99400000000</v>
      </c>
      <c r="F597" s="3">
        <v>91000000000</v>
      </c>
      <c r="G597" s="3">
        <v>3610000000</v>
      </c>
      <c r="H597" s="3">
        <v>12200000000</v>
      </c>
      <c r="I597" s="2">
        <v>3.9629999999999999E-2</v>
      </c>
      <c r="J597" s="3">
        <v>1.0200000000000001E-12</v>
      </c>
    </row>
    <row r="598" spans="1:10" x14ac:dyDescent="0.2">
      <c r="A598" s="3">
        <v>600</v>
      </c>
      <c r="B598" s="3">
        <v>4.0900000000000002E-7</v>
      </c>
      <c r="C598" s="2">
        <v>3.107E-2</v>
      </c>
      <c r="D598" s="3">
        <v>161000</v>
      </c>
      <c r="E598" s="3">
        <v>92900000000</v>
      </c>
      <c r="F598" s="3">
        <v>85500000000</v>
      </c>
      <c r="G598" s="3">
        <v>1300000000</v>
      </c>
      <c r="H598" s="3">
        <v>12700000000</v>
      </c>
      <c r="I598" s="2">
        <v>1.525E-2</v>
      </c>
      <c r="J598" s="3">
        <v>1.1999999999999999E-12</v>
      </c>
    </row>
    <row r="599" spans="1:10" x14ac:dyDescent="0.2">
      <c r="A599" s="3">
        <v>600</v>
      </c>
      <c r="B599" s="3">
        <v>4.0999999999999999E-7</v>
      </c>
      <c r="C599" s="2">
        <v>3.1119999999999998E-2</v>
      </c>
      <c r="D599" s="3">
        <v>180000</v>
      </c>
      <c r="E599" s="3">
        <v>102000000000</v>
      </c>
      <c r="F599" s="3">
        <v>93100000000</v>
      </c>
      <c r="G599" s="3">
        <v>5550000000</v>
      </c>
      <c r="H599" s="3">
        <v>12000000000</v>
      </c>
      <c r="I599" s="2">
        <v>5.96E-2</v>
      </c>
      <c r="J599" s="3">
        <v>9.5799999999999996E-13</v>
      </c>
    </row>
    <row r="600" spans="1:10" x14ac:dyDescent="0.2">
      <c r="A600" s="3">
        <v>600</v>
      </c>
      <c r="B600" s="3">
        <v>4.1100000000000001E-7</v>
      </c>
      <c r="C600" s="2">
        <v>3.117E-2</v>
      </c>
      <c r="D600" s="3">
        <v>205000</v>
      </c>
      <c r="E600" s="3">
        <v>114000000000</v>
      </c>
      <c r="F600" s="3">
        <v>103000000000</v>
      </c>
      <c r="G600" s="3">
        <v>4100000000</v>
      </c>
      <c r="H600" s="3">
        <v>11400000000</v>
      </c>
      <c r="I600" s="2">
        <v>3.9879999999999999E-2</v>
      </c>
      <c r="J600" s="3">
        <v>7.4099999999999997E-13</v>
      </c>
    </row>
    <row r="601" spans="1:10" x14ac:dyDescent="0.2">
      <c r="A601" s="3">
        <v>600</v>
      </c>
      <c r="B601" s="3">
        <v>4.1100000000000001E-7</v>
      </c>
      <c r="C601" s="2">
        <v>3.1220000000000001E-2</v>
      </c>
      <c r="D601" s="3">
        <v>158000</v>
      </c>
      <c r="E601" s="3">
        <v>91300000000</v>
      </c>
      <c r="F601" s="3">
        <v>84100000000</v>
      </c>
      <c r="G601" s="3">
        <v>96300000</v>
      </c>
      <c r="H601" s="3">
        <v>12900000000</v>
      </c>
      <c r="I601" s="2">
        <v>1.145E-3</v>
      </c>
      <c r="J601" s="3">
        <v>1.2600000000000001E-12</v>
      </c>
    </row>
    <row r="602" spans="1:10" x14ac:dyDescent="0.2">
      <c r="A602" s="3">
        <v>600</v>
      </c>
      <c r="B602" s="3">
        <v>4.1199999999999998E-7</v>
      </c>
      <c r="C602" s="2">
        <v>3.1269999999999999E-2</v>
      </c>
      <c r="D602" s="3">
        <v>164000</v>
      </c>
      <c r="E602" s="3">
        <v>94200000000</v>
      </c>
      <c r="F602" s="3">
        <v>86700000000</v>
      </c>
      <c r="G602" s="3">
        <v>6690000000</v>
      </c>
      <c r="H602" s="3">
        <v>12600000000</v>
      </c>
      <c r="I602" s="2">
        <v>7.7210000000000001E-2</v>
      </c>
      <c r="J602" s="3">
        <v>1.1599999999999999E-12</v>
      </c>
    </row>
    <row r="603" spans="1:10" x14ac:dyDescent="0.2">
      <c r="A603" s="3">
        <v>600</v>
      </c>
      <c r="B603" s="3">
        <v>4.1199999999999998E-7</v>
      </c>
      <c r="C603" s="2">
        <v>3.1329999999999997E-2</v>
      </c>
      <c r="D603" s="3">
        <v>213000</v>
      </c>
      <c r="E603" s="3">
        <v>117000000000</v>
      </c>
      <c r="F603" s="3">
        <v>106000000000</v>
      </c>
      <c r="G603" s="2">
        <v>0</v>
      </c>
      <c r="H603" s="3">
        <v>11200000000</v>
      </c>
      <c r="I603" s="2">
        <v>-7.8899999999999998E-2</v>
      </c>
      <c r="J603" s="3">
        <v>6.9099999999999998E-13</v>
      </c>
    </row>
    <row r="604" spans="1:10" x14ac:dyDescent="0.2">
      <c r="A604" s="3">
        <v>600</v>
      </c>
      <c r="B604" s="3">
        <v>4.1300000000000001E-7</v>
      </c>
      <c r="C604" s="2">
        <v>3.1379999999999998E-2</v>
      </c>
      <c r="D604" s="3">
        <v>165000</v>
      </c>
      <c r="E604" s="3">
        <v>94200000000</v>
      </c>
      <c r="F604" s="3">
        <v>86700000000</v>
      </c>
      <c r="G604" s="3">
        <v>2520000000</v>
      </c>
      <c r="H604" s="3">
        <v>12600000000</v>
      </c>
      <c r="I604" s="2">
        <v>2.911E-2</v>
      </c>
      <c r="J604" s="3">
        <v>1.1599999999999999E-12</v>
      </c>
    </row>
    <row r="605" spans="1:10" x14ac:dyDescent="0.2">
      <c r="A605" s="3">
        <v>600</v>
      </c>
      <c r="B605" s="3">
        <v>4.1399999999999997E-7</v>
      </c>
      <c r="C605" s="2">
        <v>3.143E-2</v>
      </c>
      <c r="D605" s="3">
        <v>181000</v>
      </c>
      <c r="E605" s="3">
        <v>101000000000</v>
      </c>
      <c r="F605" s="3">
        <v>92600000000</v>
      </c>
      <c r="G605" s="3">
        <v>35500000</v>
      </c>
      <c r="H605" s="3">
        <v>12000000000</v>
      </c>
      <c r="I605" s="2">
        <v>3.8279999999999998E-4</v>
      </c>
      <c r="J605" s="3">
        <v>9.6500000000000003E-13</v>
      </c>
    </row>
    <row r="606" spans="1:10" x14ac:dyDescent="0.2">
      <c r="A606" s="3">
        <v>600</v>
      </c>
      <c r="B606" s="3">
        <v>4.1399999999999997E-7</v>
      </c>
      <c r="C606" s="2">
        <v>3.1480000000000001E-2</v>
      </c>
      <c r="D606" s="3">
        <v>180000</v>
      </c>
      <c r="E606" s="3">
        <v>101000000000</v>
      </c>
      <c r="F606" s="3">
        <v>92400000000</v>
      </c>
      <c r="G606" s="2">
        <v>0</v>
      </c>
      <c r="H606" s="3">
        <v>12100000000</v>
      </c>
      <c r="I606" s="2">
        <v>-0.1061</v>
      </c>
      <c r="J606" s="3">
        <v>9.7499999999999999E-13</v>
      </c>
    </row>
    <row r="607" spans="1:10" x14ac:dyDescent="0.2">
      <c r="A607" s="3">
        <v>610</v>
      </c>
      <c r="B607" s="3">
        <v>4.15E-7</v>
      </c>
      <c r="C607" s="2">
        <v>3.1530000000000002E-2</v>
      </c>
      <c r="D607" s="3">
        <v>192000</v>
      </c>
      <c r="E607" s="3">
        <v>107000000000</v>
      </c>
      <c r="F607" s="3">
        <v>96900000000</v>
      </c>
      <c r="G607" s="2">
        <v>0</v>
      </c>
      <c r="H607" s="3">
        <v>11700000000</v>
      </c>
      <c r="I607" s="2">
        <v>-2.445E-2</v>
      </c>
      <c r="J607" s="3">
        <v>8.5999999999999997E-13</v>
      </c>
    </row>
    <row r="608" spans="1:10" x14ac:dyDescent="0.2">
      <c r="A608" s="3">
        <v>610</v>
      </c>
      <c r="B608" s="3">
        <v>4.15E-7</v>
      </c>
      <c r="C608" s="2">
        <v>3.159E-2</v>
      </c>
      <c r="D608" s="3">
        <v>194000</v>
      </c>
      <c r="E608" s="3">
        <v>108000000000</v>
      </c>
      <c r="F608" s="3">
        <v>97900000000</v>
      </c>
      <c r="G608" s="3">
        <v>9360000000</v>
      </c>
      <c r="H608" s="3">
        <v>11700000000</v>
      </c>
      <c r="I608" s="2">
        <v>9.5610000000000001E-2</v>
      </c>
      <c r="J608" s="3">
        <v>8.3899999999999996E-13</v>
      </c>
    </row>
    <row r="609" spans="1:10" x14ac:dyDescent="0.2">
      <c r="A609" s="3">
        <v>610</v>
      </c>
      <c r="B609" s="3">
        <v>4.1600000000000002E-7</v>
      </c>
      <c r="C609" s="2">
        <v>3.1640000000000001E-2</v>
      </c>
      <c r="D609" s="3">
        <v>174000</v>
      </c>
      <c r="E609" s="3">
        <v>98100000000</v>
      </c>
      <c r="F609" s="3">
        <v>89900000000</v>
      </c>
      <c r="G609" s="2">
        <v>0</v>
      </c>
      <c r="H609" s="3">
        <v>12300000000</v>
      </c>
      <c r="I609" s="2">
        <v>-6.087E-2</v>
      </c>
      <c r="J609" s="3">
        <v>1.05E-12</v>
      </c>
    </row>
    <row r="610" spans="1:10" x14ac:dyDescent="0.2">
      <c r="A610" s="3">
        <v>610</v>
      </c>
      <c r="B610" s="3">
        <v>4.1600000000000002E-7</v>
      </c>
      <c r="C610" s="2">
        <v>3.1690000000000003E-2</v>
      </c>
      <c r="D610" s="3">
        <v>197000</v>
      </c>
      <c r="E610" s="3">
        <v>109000000000</v>
      </c>
      <c r="F610" s="3">
        <v>98800000000</v>
      </c>
      <c r="G610" s="2">
        <v>0</v>
      </c>
      <c r="H610" s="3">
        <v>11600000000</v>
      </c>
      <c r="I610" s="2">
        <v>-7.0690000000000003E-2</v>
      </c>
      <c r="J610" s="3">
        <v>8.2000000000000004E-13</v>
      </c>
    </row>
    <row r="611" spans="1:10" x14ac:dyDescent="0.2">
      <c r="A611" s="3">
        <v>610</v>
      </c>
      <c r="B611" s="3">
        <v>4.1699999999999999E-7</v>
      </c>
      <c r="C611" s="2">
        <v>3.175E-2</v>
      </c>
      <c r="D611" s="3">
        <v>176000</v>
      </c>
      <c r="E611" s="3">
        <v>99100000000</v>
      </c>
      <c r="F611" s="3">
        <v>90700000000</v>
      </c>
      <c r="G611" s="2">
        <v>0</v>
      </c>
      <c r="H611" s="3">
        <v>12200000000</v>
      </c>
      <c r="I611" s="2">
        <v>-1.482E-2</v>
      </c>
      <c r="J611" s="3">
        <v>1.0200000000000001E-12</v>
      </c>
    </row>
    <row r="612" spans="1:10" x14ac:dyDescent="0.2">
      <c r="A612" s="3">
        <v>610</v>
      </c>
      <c r="B612" s="3">
        <v>4.1800000000000001E-7</v>
      </c>
      <c r="C612" s="2">
        <v>3.1800000000000002E-2</v>
      </c>
      <c r="D612" s="3">
        <v>188000</v>
      </c>
      <c r="E612" s="3">
        <v>104000000000</v>
      </c>
      <c r="F612" s="3">
        <v>95200000000</v>
      </c>
      <c r="G612" s="3">
        <v>10200000000</v>
      </c>
      <c r="H612" s="3">
        <v>11800000000</v>
      </c>
      <c r="I612" s="2">
        <v>0.1071</v>
      </c>
      <c r="J612" s="3">
        <v>9.01E-13</v>
      </c>
    </row>
    <row r="613" spans="1:10" x14ac:dyDescent="0.2">
      <c r="A613" s="3">
        <v>610</v>
      </c>
      <c r="B613" s="3">
        <v>4.1800000000000001E-7</v>
      </c>
      <c r="C613" s="2">
        <v>3.1850000000000003E-2</v>
      </c>
      <c r="D613" s="3">
        <v>189000</v>
      </c>
      <c r="E613" s="3">
        <v>105000000000</v>
      </c>
      <c r="F613" s="3">
        <v>95800000000</v>
      </c>
      <c r="G613" s="3">
        <v>4190000000</v>
      </c>
      <c r="H613" s="3">
        <v>11800000000</v>
      </c>
      <c r="I613" s="2">
        <v>4.3790000000000003E-2</v>
      </c>
      <c r="J613" s="3">
        <v>8.8799999999999995E-13</v>
      </c>
    </row>
    <row r="614" spans="1:10" x14ac:dyDescent="0.2">
      <c r="A614" s="3">
        <v>610</v>
      </c>
      <c r="B614" s="3">
        <v>4.1899999999999998E-7</v>
      </c>
      <c r="C614" s="2">
        <v>3.1899999999999998E-2</v>
      </c>
      <c r="D614" s="3">
        <v>198000</v>
      </c>
      <c r="E614" s="3">
        <v>109000000000</v>
      </c>
      <c r="F614" s="3">
        <v>98900000000</v>
      </c>
      <c r="G614" s="3">
        <v>1460000000</v>
      </c>
      <c r="H614" s="3">
        <v>11600000000</v>
      </c>
      <c r="I614" s="2">
        <v>1.473E-2</v>
      </c>
      <c r="J614" s="3">
        <v>8.1699999999999995E-13</v>
      </c>
    </row>
    <row r="615" spans="1:10" x14ac:dyDescent="0.2">
      <c r="A615" s="3">
        <v>610</v>
      </c>
      <c r="B615" s="3">
        <v>4.2E-7</v>
      </c>
      <c r="C615" s="2">
        <v>3.1949999999999999E-2</v>
      </c>
      <c r="D615" s="3">
        <v>178000</v>
      </c>
      <c r="E615" s="3">
        <v>99700000000</v>
      </c>
      <c r="F615" s="3">
        <v>91200000000</v>
      </c>
      <c r="G615" s="3">
        <v>2370000000</v>
      </c>
      <c r="H615" s="3">
        <v>12100000000</v>
      </c>
      <c r="I615" s="2">
        <v>2.597E-2</v>
      </c>
      <c r="J615" s="3">
        <v>1.0099999999999999E-12</v>
      </c>
    </row>
    <row r="616" spans="1:10" x14ac:dyDescent="0.2">
      <c r="A616" s="3">
        <v>610</v>
      </c>
      <c r="B616" s="3">
        <v>4.2E-7</v>
      </c>
      <c r="C616" s="2">
        <v>3.2000000000000001E-2</v>
      </c>
      <c r="D616" s="3">
        <v>192000</v>
      </c>
      <c r="E616" s="3">
        <v>106000000000</v>
      </c>
      <c r="F616" s="3">
        <v>96600000000</v>
      </c>
      <c r="G616" s="2">
        <v>0</v>
      </c>
      <c r="H616" s="3">
        <v>11700000000</v>
      </c>
      <c r="I616" s="2">
        <v>-3.039E-2</v>
      </c>
      <c r="J616" s="3">
        <v>8.6600000000000005E-13</v>
      </c>
    </row>
    <row r="617" spans="1:10" x14ac:dyDescent="0.2">
      <c r="A617" s="3">
        <v>620</v>
      </c>
      <c r="B617" s="3">
        <v>4.2E-7</v>
      </c>
      <c r="C617" s="2">
        <v>3.2059999999999998E-2</v>
      </c>
      <c r="D617" s="3">
        <v>191000</v>
      </c>
      <c r="E617" s="3">
        <v>105000000000</v>
      </c>
      <c r="F617" s="3">
        <v>96000000000</v>
      </c>
      <c r="G617" s="3">
        <v>11500000000</v>
      </c>
      <c r="H617" s="3">
        <v>11800000000</v>
      </c>
      <c r="I617" s="2">
        <v>0.1198</v>
      </c>
      <c r="J617" s="3">
        <v>8.8399999999999997E-13</v>
      </c>
    </row>
    <row r="618" spans="1:10" x14ac:dyDescent="0.2">
      <c r="A618" s="3">
        <v>620</v>
      </c>
      <c r="B618" s="3">
        <v>4.2199999999999999E-7</v>
      </c>
      <c r="C618" s="2">
        <v>3.211E-2</v>
      </c>
      <c r="D618" s="3">
        <v>194000</v>
      </c>
      <c r="E618" s="3">
        <v>107000000000</v>
      </c>
      <c r="F618" s="3">
        <v>97100000000</v>
      </c>
      <c r="G618" s="3">
        <v>7130000000</v>
      </c>
      <c r="H618" s="3">
        <v>11700000000</v>
      </c>
      <c r="I618" s="2">
        <v>7.3469999999999994E-2</v>
      </c>
      <c r="J618" s="3">
        <v>8.5599999999999999E-13</v>
      </c>
    </row>
    <row r="619" spans="1:10" x14ac:dyDescent="0.2">
      <c r="A619" s="3">
        <v>620</v>
      </c>
      <c r="B619" s="3">
        <v>4.2300000000000002E-7</v>
      </c>
      <c r="C619" s="2">
        <v>3.2160000000000001E-2</v>
      </c>
      <c r="D619" s="3">
        <v>208000</v>
      </c>
      <c r="E619" s="3">
        <v>113000000000</v>
      </c>
      <c r="F619" s="3">
        <v>103000000000</v>
      </c>
      <c r="G619" s="3">
        <v>809000000</v>
      </c>
      <c r="H619" s="3">
        <v>11300000000</v>
      </c>
      <c r="I619" s="2">
        <v>7.894E-3</v>
      </c>
      <c r="J619" s="3">
        <v>7.4399999999999996E-13</v>
      </c>
    </row>
    <row r="620" spans="1:10" x14ac:dyDescent="0.2">
      <c r="A620" s="3">
        <v>620</v>
      </c>
      <c r="B620" s="3">
        <v>4.2399999999999999E-7</v>
      </c>
      <c r="C620" s="2">
        <v>3.2210000000000003E-2</v>
      </c>
      <c r="D620" s="3">
        <v>172000</v>
      </c>
      <c r="E620" s="3">
        <v>96100000000</v>
      </c>
      <c r="F620" s="3">
        <v>88200000000</v>
      </c>
      <c r="G620" s="2">
        <v>0</v>
      </c>
      <c r="H620" s="3">
        <v>12300000000</v>
      </c>
      <c r="I620" s="2">
        <v>-2.121E-2</v>
      </c>
      <c r="J620" s="3">
        <v>1.09E-12</v>
      </c>
    </row>
    <row r="621" spans="1:10" x14ac:dyDescent="0.2">
      <c r="A621" s="3">
        <v>620</v>
      </c>
      <c r="B621" s="3">
        <v>4.2500000000000001E-7</v>
      </c>
      <c r="C621" s="2">
        <v>3.2259999999999997E-2</v>
      </c>
      <c r="D621" s="3">
        <v>179000</v>
      </c>
      <c r="E621" s="3">
        <v>99300000000</v>
      </c>
      <c r="F621" s="3">
        <v>90900000000</v>
      </c>
      <c r="G621" s="3">
        <v>8330000000</v>
      </c>
      <c r="H621" s="3">
        <v>12000000000</v>
      </c>
      <c r="I621" s="2">
        <v>9.1649999999999995E-2</v>
      </c>
      <c r="J621" s="3">
        <v>1.0099999999999999E-12</v>
      </c>
    </row>
    <row r="622" spans="1:10" x14ac:dyDescent="0.2">
      <c r="A622" s="3">
        <v>620</v>
      </c>
      <c r="B622" s="3">
        <v>4.2599999999999998E-7</v>
      </c>
      <c r="C622" s="2">
        <v>3.2320000000000002E-2</v>
      </c>
      <c r="D622" s="3">
        <v>186000</v>
      </c>
      <c r="E622" s="3">
        <v>102000000000</v>
      </c>
      <c r="F622" s="3">
        <v>93500000000</v>
      </c>
      <c r="G622" s="3">
        <v>7680000000</v>
      </c>
      <c r="H622" s="3">
        <v>11800000000</v>
      </c>
      <c r="I622" s="2">
        <v>8.2170000000000007E-2</v>
      </c>
      <c r="J622" s="3">
        <v>9.3499999999999995E-13</v>
      </c>
    </row>
    <row r="623" spans="1:10" x14ac:dyDescent="0.2">
      <c r="A623" s="3">
        <v>620</v>
      </c>
      <c r="B623" s="3">
        <v>4.2800000000000002E-7</v>
      </c>
      <c r="C623" s="2">
        <v>3.2370000000000003E-2</v>
      </c>
      <c r="D623" s="3">
        <v>182000</v>
      </c>
      <c r="E623" s="3">
        <v>100000000000</v>
      </c>
      <c r="F623" s="3">
        <v>91600000000</v>
      </c>
      <c r="G623" s="3">
        <v>8210000000</v>
      </c>
      <c r="H623" s="3">
        <v>11900000000</v>
      </c>
      <c r="I623" s="2">
        <v>8.9649999999999994E-2</v>
      </c>
      <c r="J623" s="3">
        <v>9.7899999999999997E-13</v>
      </c>
    </row>
    <row r="624" spans="1:10" x14ac:dyDescent="0.2">
      <c r="A624" s="3">
        <v>620</v>
      </c>
      <c r="B624" s="3">
        <v>4.2899999999999999E-7</v>
      </c>
      <c r="C624" s="2">
        <v>3.2419999999999997E-2</v>
      </c>
      <c r="D624" s="3">
        <v>207000</v>
      </c>
      <c r="E624" s="3">
        <v>112000000000</v>
      </c>
      <c r="F624" s="3">
        <v>101000000000</v>
      </c>
      <c r="G624" s="3">
        <v>8050000000</v>
      </c>
      <c r="H624" s="3">
        <v>11200000000</v>
      </c>
      <c r="I624" s="2">
        <v>7.9630000000000006E-2</v>
      </c>
      <c r="J624" s="3">
        <v>7.59E-13</v>
      </c>
    </row>
    <row r="625" spans="1:10" x14ac:dyDescent="0.2">
      <c r="A625" s="3">
        <v>620</v>
      </c>
      <c r="B625" s="3">
        <v>4.3099999999999998E-7</v>
      </c>
      <c r="C625" s="2">
        <v>3.2469999999999999E-2</v>
      </c>
      <c r="D625" s="3">
        <v>202000</v>
      </c>
      <c r="E625" s="3">
        <v>109000000000</v>
      </c>
      <c r="F625" s="3">
        <v>99000000000</v>
      </c>
      <c r="G625" s="2">
        <v>0</v>
      </c>
      <c r="H625" s="3">
        <v>11300000000</v>
      </c>
      <c r="I625" s="2">
        <v>-6.3610000000000003E-3</v>
      </c>
      <c r="J625" s="3">
        <v>7.9600000000000004E-13</v>
      </c>
    </row>
    <row r="626" spans="1:10" x14ac:dyDescent="0.2">
      <c r="A626" s="3">
        <v>620</v>
      </c>
      <c r="B626" s="3">
        <v>4.3099999999999998E-7</v>
      </c>
      <c r="C626" s="2">
        <v>3.252E-2</v>
      </c>
      <c r="D626" s="3">
        <v>201000</v>
      </c>
      <c r="E626" s="3">
        <v>109000000000</v>
      </c>
      <c r="F626" s="3">
        <v>98500000000</v>
      </c>
      <c r="G626" s="3">
        <v>10700000000</v>
      </c>
      <c r="H626" s="3">
        <v>11300000000</v>
      </c>
      <c r="I626" s="2">
        <v>0.1086</v>
      </c>
      <c r="J626" s="3">
        <v>8.06E-13</v>
      </c>
    </row>
    <row r="627" spans="1:10" x14ac:dyDescent="0.2">
      <c r="A627" s="3">
        <v>630</v>
      </c>
      <c r="B627" s="3">
        <v>4.32E-7</v>
      </c>
      <c r="C627" s="2">
        <v>3.2579999999999998E-2</v>
      </c>
      <c r="D627" s="3">
        <v>191000</v>
      </c>
      <c r="E627" s="3">
        <v>104000000000</v>
      </c>
      <c r="F627" s="3">
        <v>94400000000</v>
      </c>
      <c r="G627" s="3">
        <v>69800000</v>
      </c>
      <c r="H627" s="3">
        <v>11600000000</v>
      </c>
      <c r="I627" s="2">
        <v>7.3859999999999996E-4</v>
      </c>
      <c r="J627" s="3">
        <v>8.9600000000000002E-13</v>
      </c>
    </row>
    <row r="628" spans="1:10" x14ac:dyDescent="0.2">
      <c r="A628" s="3">
        <v>630</v>
      </c>
      <c r="B628" s="3">
        <v>4.3300000000000003E-7</v>
      </c>
      <c r="C628" s="2">
        <v>3.2629999999999999E-2</v>
      </c>
      <c r="D628" s="3">
        <v>193000</v>
      </c>
      <c r="E628" s="3">
        <v>105000000000</v>
      </c>
      <c r="F628" s="3">
        <v>95300000000</v>
      </c>
      <c r="G628" s="3">
        <v>160000000</v>
      </c>
      <c r="H628" s="3">
        <v>11500000000</v>
      </c>
      <c r="I628" s="2">
        <v>1.678E-3</v>
      </c>
      <c r="J628" s="3">
        <v>8.7400000000000001E-13</v>
      </c>
    </row>
    <row r="629" spans="1:10" x14ac:dyDescent="0.2">
      <c r="A629" s="3">
        <v>630</v>
      </c>
      <c r="B629" s="3">
        <v>4.3300000000000003E-7</v>
      </c>
      <c r="C629" s="2">
        <v>3.2680000000000001E-2</v>
      </c>
      <c r="D629" s="3">
        <v>201000</v>
      </c>
      <c r="E629" s="3">
        <v>108000000000</v>
      </c>
      <c r="F629" s="3">
        <v>98300000000</v>
      </c>
      <c r="G629" s="2">
        <v>0</v>
      </c>
      <c r="H629" s="3">
        <v>11300000000</v>
      </c>
      <c r="I629" s="2">
        <v>-6.2350000000000003E-4</v>
      </c>
      <c r="J629" s="3">
        <v>8.0999999999999998E-13</v>
      </c>
    </row>
    <row r="630" spans="1:10" x14ac:dyDescent="0.2">
      <c r="A630" s="3">
        <v>630</v>
      </c>
      <c r="B630" s="3">
        <v>4.34E-7</v>
      </c>
      <c r="C630" s="2">
        <v>3.2730000000000002E-2</v>
      </c>
      <c r="D630" s="3">
        <v>196000</v>
      </c>
      <c r="E630" s="3">
        <v>106000000000</v>
      </c>
      <c r="F630" s="3">
        <v>96300000000</v>
      </c>
      <c r="G630" s="3">
        <v>5980000000</v>
      </c>
      <c r="H630" s="3">
        <v>11500000000</v>
      </c>
      <c r="I630" s="2">
        <v>6.2059999999999997E-2</v>
      </c>
      <c r="J630" s="3">
        <v>8.54E-13</v>
      </c>
    </row>
    <row r="631" spans="1:10" x14ac:dyDescent="0.2">
      <c r="A631" s="3">
        <v>630</v>
      </c>
      <c r="B631" s="3">
        <v>4.3500000000000002E-7</v>
      </c>
      <c r="C631" s="2">
        <v>3.2779999999999997E-2</v>
      </c>
      <c r="D631" s="3">
        <v>191000</v>
      </c>
      <c r="E631" s="3">
        <v>103000000000</v>
      </c>
      <c r="F631" s="3">
        <v>94300000000</v>
      </c>
      <c r="G631" s="3">
        <v>2830000000</v>
      </c>
      <c r="H631" s="3">
        <v>11600000000</v>
      </c>
      <c r="I631" s="2">
        <v>3.0040000000000001E-2</v>
      </c>
      <c r="J631" s="3">
        <v>9E-13</v>
      </c>
    </row>
    <row r="632" spans="1:10" x14ac:dyDescent="0.2">
      <c r="A632" s="3">
        <v>630</v>
      </c>
      <c r="B632" s="3">
        <v>4.3500000000000002E-7</v>
      </c>
      <c r="C632" s="2">
        <v>3.2840000000000001E-2</v>
      </c>
      <c r="D632" s="3">
        <v>217000</v>
      </c>
      <c r="E632" s="3">
        <v>116000000000</v>
      </c>
      <c r="F632" s="3">
        <v>105000000000</v>
      </c>
      <c r="G632" s="3">
        <v>7140000000</v>
      </c>
      <c r="H632" s="3">
        <v>11000000000</v>
      </c>
      <c r="I632" s="2">
        <v>6.8239999999999995E-2</v>
      </c>
      <c r="J632" s="3">
        <v>6.9499999999999997E-13</v>
      </c>
    </row>
    <row r="633" spans="1:10" x14ac:dyDescent="0.2">
      <c r="A633" s="3">
        <v>630</v>
      </c>
      <c r="B633" s="3">
        <v>4.3599999999999999E-7</v>
      </c>
      <c r="C633" s="2">
        <v>3.2890000000000003E-2</v>
      </c>
      <c r="D633" s="3">
        <v>193000</v>
      </c>
      <c r="E633" s="3">
        <v>104000000000</v>
      </c>
      <c r="F633" s="3">
        <v>94900000000</v>
      </c>
      <c r="G633" s="3">
        <v>18800000000</v>
      </c>
      <c r="H633" s="3">
        <v>11600000000</v>
      </c>
      <c r="I633" s="2">
        <v>0.19750000000000001</v>
      </c>
      <c r="J633" s="3">
        <v>8.8499999999999997E-13</v>
      </c>
    </row>
    <row r="634" spans="1:10" x14ac:dyDescent="0.2">
      <c r="A634" s="3">
        <v>630</v>
      </c>
      <c r="B634" s="3">
        <v>4.3599999999999999E-7</v>
      </c>
      <c r="C634" s="2">
        <v>3.2939999999999997E-2</v>
      </c>
      <c r="D634" s="3">
        <v>193000</v>
      </c>
      <c r="E634" s="3">
        <v>104000000000</v>
      </c>
      <c r="F634" s="3">
        <v>94700000000</v>
      </c>
      <c r="G634" s="3">
        <v>4790000000</v>
      </c>
      <c r="H634" s="3">
        <v>11600000000</v>
      </c>
      <c r="I634" s="2">
        <v>5.0610000000000002E-2</v>
      </c>
      <c r="J634" s="3">
        <v>8.8900000000000005E-13</v>
      </c>
    </row>
    <row r="635" spans="1:10" x14ac:dyDescent="0.2">
      <c r="A635" s="3">
        <v>630</v>
      </c>
      <c r="B635" s="3">
        <v>4.3700000000000001E-7</v>
      </c>
      <c r="C635" s="2">
        <v>3.3000000000000002E-2</v>
      </c>
      <c r="D635" s="3">
        <v>192000</v>
      </c>
      <c r="E635" s="3">
        <v>104000000000</v>
      </c>
      <c r="F635" s="3">
        <v>94600000000</v>
      </c>
      <c r="G635" s="2">
        <v>0</v>
      </c>
      <c r="H635" s="3">
        <v>11600000000</v>
      </c>
      <c r="I635" s="2">
        <v>-2.01E-2</v>
      </c>
      <c r="J635" s="3">
        <v>8.9300000000000003E-13</v>
      </c>
    </row>
    <row r="636" spans="1:10" x14ac:dyDescent="0.2">
      <c r="A636" s="3">
        <v>630</v>
      </c>
      <c r="B636" s="3">
        <v>4.3700000000000001E-7</v>
      </c>
      <c r="C636" s="2">
        <v>3.3050000000000003E-2</v>
      </c>
      <c r="D636" s="3">
        <v>220000</v>
      </c>
      <c r="E636" s="3">
        <v>117000000000</v>
      </c>
      <c r="F636" s="3">
        <v>106000000000</v>
      </c>
      <c r="G636" s="2">
        <v>0</v>
      </c>
      <c r="H636" s="3">
        <v>11000000000</v>
      </c>
      <c r="I636" s="2">
        <v>-6.7710000000000006E-2</v>
      </c>
      <c r="J636" s="3">
        <v>6.8100000000000003E-13</v>
      </c>
    </row>
    <row r="637" spans="1:10" x14ac:dyDescent="0.2">
      <c r="A637" s="3">
        <v>640</v>
      </c>
      <c r="B637" s="3">
        <v>4.3799999999999998E-7</v>
      </c>
      <c r="C637" s="2">
        <v>3.3099999999999997E-2</v>
      </c>
      <c r="D637" s="3">
        <v>221000</v>
      </c>
      <c r="E637" s="3">
        <v>117000000000</v>
      </c>
      <c r="F637" s="3">
        <v>106000000000</v>
      </c>
      <c r="G637" s="3">
        <v>7330000000</v>
      </c>
      <c r="H637" s="3">
        <v>11000000000</v>
      </c>
      <c r="I637" s="2">
        <v>6.9360000000000005E-2</v>
      </c>
      <c r="J637" s="3">
        <v>6.8000000000000003E-13</v>
      </c>
    </row>
    <row r="638" spans="1:10" x14ac:dyDescent="0.2">
      <c r="A638" s="3">
        <v>640</v>
      </c>
      <c r="B638" s="3">
        <v>4.3799999999999998E-7</v>
      </c>
      <c r="C638" s="2">
        <v>3.3149999999999999E-2</v>
      </c>
      <c r="D638" s="3">
        <v>220000</v>
      </c>
      <c r="E638" s="3">
        <v>117000000000</v>
      </c>
      <c r="F638" s="3">
        <v>105000000000</v>
      </c>
      <c r="G638" s="3">
        <v>4450000000</v>
      </c>
      <c r="H638" s="3">
        <v>11000000000</v>
      </c>
      <c r="I638" s="2">
        <v>4.2299999999999997E-2</v>
      </c>
      <c r="J638" s="3">
        <v>6.88E-13</v>
      </c>
    </row>
    <row r="639" spans="1:10" x14ac:dyDescent="0.2">
      <c r="A639" s="3">
        <v>640</v>
      </c>
      <c r="B639" s="3">
        <v>4.39E-7</v>
      </c>
      <c r="C639" s="2">
        <v>3.32E-2</v>
      </c>
      <c r="D639" s="3">
        <v>185000</v>
      </c>
      <c r="E639" s="3">
        <v>100000000000</v>
      </c>
      <c r="F639" s="3">
        <v>91500000000</v>
      </c>
      <c r="G639" s="2">
        <v>0</v>
      </c>
      <c r="H639" s="3">
        <v>11800000000</v>
      </c>
      <c r="I639" s="2">
        <v>-4.274E-2</v>
      </c>
      <c r="J639" s="3">
        <v>9.7299999999999999E-13</v>
      </c>
    </row>
    <row r="640" spans="1:10" x14ac:dyDescent="0.2">
      <c r="A640" s="3">
        <v>640</v>
      </c>
      <c r="B640" s="3">
        <v>4.39E-7</v>
      </c>
      <c r="C640" s="2">
        <v>3.3259999999999998E-2</v>
      </c>
      <c r="D640" s="3">
        <v>204000</v>
      </c>
      <c r="E640" s="3">
        <v>109000000000</v>
      </c>
      <c r="F640" s="3">
        <v>98900000000</v>
      </c>
      <c r="G640" s="3">
        <v>6260000000</v>
      </c>
      <c r="H640" s="3">
        <v>11300000000</v>
      </c>
      <c r="I640" s="2">
        <v>6.3339999999999994E-2</v>
      </c>
      <c r="J640" s="3">
        <v>8.0000000000000002E-13</v>
      </c>
    </row>
    <row r="641" spans="1:10" x14ac:dyDescent="0.2">
      <c r="A641" s="3">
        <v>640</v>
      </c>
      <c r="B641" s="3">
        <v>4.4000000000000002E-7</v>
      </c>
      <c r="C641" s="2">
        <v>3.3309999999999999E-2</v>
      </c>
      <c r="D641" s="3">
        <v>213000</v>
      </c>
      <c r="E641" s="3">
        <v>113000000000</v>
      </c>
      <c r="F641" s="3">
        <v>102000000000</v>
      </c>
      <c r="G641" s="2">
        <v>0</v>
      </c>
      <c r="H641" s="3">
        <v>11200000000</v>
      </c>
      <c r="I641" s="2">
        <v>-5.636E-2</v>
      </c>
      <c r="J641" s="3">
        <v>7.35E-13</v>
      </c>
    </row>
    <row r="642" spans="1:10" x14ac:dyDescent="0.2">
      <c r="A642" s="3">
        <v>640</v>
      </c>
      <c r="B642" s="3">
        <v>4.4099999999999999E-7</v>
      </c>
      <c r="C642" s="2">
        <v>3.3360000000000001E-2</v>
      </c>
      <c r="D642" s="3">
        <v>218000</v>
      </c>
      <c r="E642" s="3">
        <v>116000000000</v>
      </c>
      <c r="F642" s="3">
        <v>104000000000</v>
      </c>
      <c r="G642" s="2">
        <v>0</v>
      </c>
      <c r="H642" s="3">
        <v>11100000000</v>
      </c>
      <c r="I642" s="2">
        <v>-4.6280000000000002E-2</v>
      </c>
      <c r="J642" s="3">
        <v>7.0000000000000005E-13</v>
      </c>
    </row>
    <row r="643" spans="1:10" x14ac:dyDescent="0.2">
      <c r="A643" s="3">
        <v>640</v>
      </c>
      <c r="B643" s="3">
        <v>4.4099999999999999E-7</v>
      </c>
      <c r="C643" s="2">
        <v>3.3410000000000002E-2</v>
      </c>
      <c r="D643" s="3">
        <v>194000</v>
      </c>
      <c r="E643" s="3">
        <v>104000000000</v>
      </c>
      <c r="F643" s="3">
        <v>94700000000</v>
      </c>
      <c r="G643" s="2">
        <v>0</v>
      </c>
      <c r="H643" s="3">
        <v>11600000000</v>
      </c>
      <c r="I643" s="2">
        <v>-6.2799999999999995E-2</v>
      </c>
      <c r="J643" s="3">
        <v>8.9200000000000004E-13</v>
      </c>
    </row>
    <row r="644" spans="1:10" x14ac:dyDescent="0.2">
      <c r="A644" s="3">
        <v>640</v>
      </c>
      <c r="B644" s="3">
        <v>4.4099999999999999E-7</v>
      </c>
      <c r="C644" s="2">
        <v>3.3459999999999997E-2</v>
      </c>
      <c r="D644" s="3">
        <v>188000</v>
      </c>
      <c r="E644" s="3">
        <v>101000000000</v>
      </c>
      <c r="F644" s="3">
        <v>92400000000</v>
      </c>
      <c r="G644" s="2">
        <v>0</v>
      </c>
      <c r="H644" s="3">
        <v>11800000000</v>
      </c>
      <c r="I644" s="2">
        <v>-3.8530000000000002E-2</v>
      </c>
      <c r="J644" s="3">
        <v>9.5100000000000009E-13</v>
      </c>
    </row>
    <row r="645" spans="1:10" x14ac:dyDescent="0.2">
      <c r="A645" s="3">
        <v>640</v>
      </c>
      <c r="B645" s="3">
        <v>4.4200000000000001E-7</v>
      </c>
      <c r="C645" s="2">
        <v>3.3520000000000001E-2</v>
      </c>
      <c r="D645" s="3">
        <v>206000</v>
      </c>
      <c r="E645" s="3">
        <v>110000000000</v>
      </c>
      <c r="F645" s="3">
        <v>99600000000</v>
      </c>
      <c r="G645" s="3">
        <v>2490000000</v>
      </c>
      <c r="H645" s="3">
        <v>11300000000</v>
      </c>
      <c r="I645" s="2">
        <v>2.5020000000000001E-2</v>
      </c>
      <c r="J645" s="3">
        <v>7.8799999999999997E-13</v>
      </c>
    </row>
    <row r="646" spans="1:10" x14ac:dyDescent="0.2">
      <c r="A646" s="3">
        <v>640</v>
      </c>
      <c r="B646" s="3">
        <v>4.4299999999999998E-7</v>
      </c>
      <c r="C646" s="2">
        <v>3.3570000000000003E-2</v>
      </c>
      <c r="D646" s="3">
        <v>189000</v>
      </c>
      <c r="E646" s="3">
        <v>101000000000</v>
      </c>
      <c r="F646" s="3">
        <v>92600000000</v>
      </c>
      <c r="G646" s="3">
        <v>7780000000</v>
      </c>
      <c r="H646" s="3">
        <v>11700000000</v>
      </c>
      <c r="I646" s="2">
        <v>8.4029999999999994E-2</v>
      </c>
      <c r="J646" s="3">
        <v>9.4400000000000002E-13</v>
      </c>
    </row>
    <row r="647" spans="1:10" x14ac:dyDescent="0.2">
      <c r="A647" s="3">
        <v>650</v>
      </c>
      <c r="B647" s="3">
        <v>4.4299999999999998E-7</v>
      </c>
      <c r="C647" s="2">
        <v>3.3619999999999997E-2</v>
      </c>
      <c r="D647" s="3">
        <v>189000</v>
      </c>
      <c r="E647" s="3">
        <v>101000000000</v>
      </c>
      <c r="F647" s="3">
        <v>92600000000</v>
      </c>
      <c r="G647" s="2">
        <v>0</v>
      </c>
      <c r="H647" s="3">
        <v>11800000000</v>
      </c>
      <c r="I647" s="2">
        <v>-5.0380000000000001E-2</v>
      </c>
      <c r="J647" s="3">
        <v>9.4600000000000001E-13</v>
      </c>
    </row>
    <row r="648" spans="1:10" x14ac:dyDescent="0.2">
      <c r="A648" s="3">
        <v>650</v>
      </c>
      <c r="B648" s="3">
        <v>4.4400000000000001E-7</v>
      </c>
      <c r="C648" s="2">
        <v>3.3669999999999999E-2</v>
      </c>
      <c r="D648" s="3">
        <v>198000</v>
      </c>
      <c r="E648" s="3">
        <v>105000000000</v>
      </c>
      <c r="F648" s="3">
        <v>95900000000</v>
      </c>
      <c r="G648" s="2">
        <v>0</v>
      </c>
      <c r="H648" s="3">
        <v>11500000000</v>
      </c>
      <c r="I648" s="2">
        <v>-5.3159999999999999E-2</v>
      </c>
      <c r="J648" s="3">
        <v>8.6399999999999995E-13</v>
      </c>
    </row>
    <row r="649" spans="1:10" x14ac:dyDescent="0.2">
      <c r="A649" s="3">
        <v>650</v>
      </c>
      <c r="B649" s="3">
        <v>4.4499999999999997E-7</v>
      </c>
      <c r="C649" s="2">
        <v>3.372E-2</v>
      </c>
      <c r="D649" s="3">
        <v>172000</v>
      </c>
      <c r="E649" s="3">
        <v>93500000000</v>
      </c>
      <c r="F649" s="3">
        <v>86000000000</v>
      </c>
      <c r="G649" s="2">
        <v>0</v>
      </c>
      <c r="H649" s="3">
        <v>12300000000</v>
      </c>
      <c r="I649" s="2">
        <v>-5.2499999999999998E-2</v>
      </c>
      <c r="J649" s="3">
        <v>1.1499999999999999E-12</v>
      </c>
    </row>
    <row r="650" spans="1:10" x14ac:dyDescent="0.2">
      <c r="A650" s="3">
        <v>650</v>
      </c>
      <c r="B650" s="3">
        <v>4.4499999999999997E-7</v>
      </c>
      <c r="C650" s="2">
        <v>3.3779999999999998E-2</v>
      </c>
      <c r="D650" s="3">
        <v>196000</v>
      </c>
      <c r="E650" s="3">
        <v>104000000000</v>
      </c>
      <c r="F650" s="3">
        <v>95000000000</v>
      </c>
      <c r="G650" s="3">
        <v>3060000000</v>
      </c>
      <c r="H650" s="3">
        <v>11600000000</v>
      </c>
      <c r="I650" s="2">
        <v>3.2210000000000003E-2</v>
      </c>
      <c r="J650" s="3">
        <v>8.8399999999999997E-13</v>
      </c>
    </row>
    <row r="651" spans="1:10" x14ac:dyDescent="0.2">
      <c r="A651" s="3">
        <v>650</v>
      </c>
      <c r="B651" s="3">
        <v>4.46E-7</v>
      </c>
      <c r="C651" s="2">
        <v>3.3829999999999999E-2</v>
      </c>
      <c r="D651" s="3">
        <v>200000</v>
      </c>
      <c r="E651" s="3">
        <v>106000000000</v>
      </c>
      <c r="F651" s="3">
        <v>96800000000</v>
      </c>
      <c r="G651" s="3">
        <v>2110000000</v>
      </c>
      <c r="H651" s="3">
        <v>11400000000</v>
      </c>
      <c r="I651" s="2">
        <v>2.1749999999999999E-2</v>
      </c>
      <c r="J651" s="3">
        <v>8.4300000000000004E-13</v>
      </c>
    </row>
    <row r="652" spans="1:10" x14ac:dyDescent="0.2">
      <c r="A652" s="3">
        <v>650</v>
      </c>
      <c r="B652" s="3">
        <v>4.4700000000000002E-7</v>
      </c>
      <c r="C652" s="2">
        <v>3.388E-2</v>
      </c>
      <c r="D652" s="3">
        <v>196000</v>
      </c>
      <c r="E652" s="3">
        <v>104000000000</v>
      </c>
      <c r="F652" s="3">
        <v>95100000000</v>
      </c>
      <c r="G652" s="3">
        <v>14000000000</v>
      </c>
      <c r="H652" s="3">
        <v>11500000000</v>
      </c>
      <c r="I652" s="2">
        <v>0.1474</v>
      </c>
      <c r="J652" s="3">
        <v>8.7899999999999999E-13</v>
      </c>
    </row>
    <row r="653" spans="1:10" x14ac:dyDescent="0.2">
      <c r="A653" s="3">
        <v>650</v>
      </c>
      <c r="B653" s="3">
        <v>4.4700000000000002E-7</v>
      </c>
      <c r="C653" s="2">
        <v>3.3930000000000002E-2</v>
      </c>
      <c r="D653" s="3">
        <v>217000</v>
      </c>
      <c r="E653" s="3">
        <v>114000000000</v>
      </c>
      <c r="F653" s="3">
        <v>103000000000</v>
      </c>
      <c r="G653" s="2">
        <v>0</v>
      </c>
      <c r="H653" s="3">
        <v>11100000000</v>
      </c>
      <c r="I653" s="2">
        <v>-3.2800000000000003E-2</v>
      </c>
      <c r="J653" s="3">
        <v>7.1899999999999997E-13</v>
      </c>
    </row>
    <row r="654" spans="1:10" x14ac:dyDescent="0.2">
      <c r="A654" s="3">
        <v>650</v>
      </c>
      <c r="B654" s="3">
        <v>4.4799999999999999E-7</v>
      </c>
      <c r="C654" s="2">
        <v>3.3980000000000003E-2</v>
      </c>
      <c r="D654" s="3">
        <v>221000</v>
      </c>
      <c r="E654" s="3">
        <v>116000000000</v>
      </c>
      <c r="F654" s="3">
        <v>105000000000</v>
      </c>
      <c r="G654" s="2">
        <v>0</v>
      </c>
      <c r="H654" s="3">
        <v>11000000000</v>
      </c>
      <c r="I654" s="2">
        <v>-3.7550000000000001E-3</v>
      </c>
      <c r="J654" s="3">
        <v>6.9599999999999996E-13</v>
      </c>
    </row>
    <row r="655" spans="1:10" x14ac:dyDescent="0.2">
      <c r="A655" s="3">
        <v>650</v>
      </c>
      <c r="B655" s="3">
        <v>4.4900000000000001E-7</v>
      </c>
      <c r="C655" s="2">
        <v>3.4040000000000001E-2</v>
      </c>
      <c r="D655" s="3">
        <v>201000</v>
      </c>
      <c r="E655" s="3">
        <v>106000000000</v>
      </c>
      <c r="F655" s="3">
        <v>96600000000</v>
      </c>
      <c r="G655" s="3">
        <v>384000000</v>
      </c>
      <c r="H655" s="3">
        <v>11400000000</v>
      </c>
      <c r="I655" s="2">
        <v>3.98E-3</v>
      </c>
      <c r="J655" s="3">
        <v>8.4500000000000003E-13</v>
      </c>
    </row>
    <row r="656" spans="1:10" x14ac:dyDescent="0.2">
      <c r="A656" s="3">
        <v>650</v>
      </c>
      <c r="B656" s="3">
        <v>4.4999999999999998E-7</v>
      </c>
      <c r="C656" s="2">
        <v>3.4090000000000002E-2</v>
      </c>
      <c r="D656" s="3">
        <v>201000</v>
      </c>
      <c r="E656" s="3">
        <v>106000000000</v>
      </c>
      <c r="F656" s="3">
        <v>96500000000</v>
      </c>
      <c r="G656" s="2">
        <v>0</v>
      </c>
      <c r="H656" s="3">
        <v>11400000000</v>
      </c>
      <c r="I656" s="2">
        <v>-1.7739999999999999E-2</v>
      </c>
      <c r="J656" s="3">
        <v>8.4600000000000003E-13</v>
      </c>
    </row>
    <row r="657" spans="1:10" x14ac:dyDescent="0.2">
      <c r="A657" s="3">
        <v>660</v>
      </c>
      <c r="B657" s="3">
        <v>4.4999999999999998E-7</v>
      </c>
      <c r="C657" s="2">
        <v>3.4139999999999997E-2</v>
      </c>
      <c r="D657" s="3">
        <v>178000</v>
      </c>
      <c r="E657" s="3">
        <v>95500000000</v>
      </c>
      <c r="F657" s="3">
        <v>87700000000</v>
      </c>
      <c r="G657" s="3">
        <v>3970000000</v>
      </c>
      <c r="H657" s="3">
        <v>12000000000</v>
      </c>
      <c r="I657" s="2">
        <v>4.5280000000000001E-2</v>
      </c>
      <c r="J657" s="3">
        <v>1.08E-12</v>
      </c>
    </row>
    <row r="658" spans="1:10" x14ac:dyDescent="0.2">
      <c r="A658" s="3">
        <v>660</v>
      </c>
      <c r="B658" s="3">
        <v>4.51E-7</v>
      </c>
      <c r="C658" s="2">
        <v>3.4189999999999998E-2</v>
      </c>
      <c r="D658" s="3">
        <v>182000</v>
      </c>
      <c r="E658" s="3">
        <v>97400000000</v>
      </c>
      <c r="F658" s="3">
        <v>89300000000</v>
      </c>
      <c r="G658" s="3">
        <v>234000000</v>
      </c>
      <c r="H658" s="3">
        <v>11900000000</v>
      </c>
      <c r="I658" s="2">
        <v>2.6189999999999998E-3</v>
      </c>
      <c r="J658" s="3">
        <v>1.0300000000000001E-12</v>
      </c>
    </row>
    <row r="659" spans="1:10" x14ac:dyDescent="0.2">
      <c r="A659" s="3">
        <v>660</v>
      </c>
      <c r="B659" s="3">
        <v>4.5200000000000002E-7</v>
      </c>
      <c r="C659" s="2">
        <v>3.4250000000000003E-2</v>
      </c>
      <c r="D659" s="3">
        <v>200000</v>
      </c>
      <c r="E659" s="3">
        <v>105000000000</v>
      </c>
      <c r="F659" s="3">
        <v>96000000000</v>
      </c>
      <c r="G659" s="3">
        <v>4160000000</v>
      </c>
      <c r="H659" s="3">
        <v>11400000000</v>
      </c>
      <c r="I659" s="2">
        <v>4.3310000000000001E-2</v>
      </c>
      <c r="J659" s="3">
        <v>8.5699999999999998E-13</v>
      </c>
    </row>
    <row r="660" spans="1:10" x14ac:dyDescent="0.2">
      <c r="A660" s="3">
        <v>660</v>
      </c>
      <c r="B660" s="3">
        <v>4.5200000000000002E-7</v>
      </c>
      <c r="C660" s="2">
        <v>3.4299999999999997E-2</v>
      </c>
      <c r="D660" s="3">
        <v>206000</v>
      </c>
      <c r="E660" s="3">
        <v>108000000000</v>
      </c>
      <c r="F660" s="3">
        <v>98200000000</v>
      </c>
      <c r="G660" s="2">
        <v>0</v>
      </c>
      <c r="H660" s="3">
        <v>11300000000</v>
      </c>
      <c r="I660" s="2">
        <v>-6.4460000000000003E-2</v>
      </c>
      <c r="J660" s="3">
        <v>8.0999999999999998E-13</v>
      </c>
    </row>
    <row r="661" spans="1:10" x14ac:dyDescent="0.2">
      <c r="A661" s="3">
        <v>660</v>
      </c>
      <c r="B661" s="3">
        <v>4.5299999999999999E-7</v>
      </c>
      <c r="C661" s="2">
        <v>3.4349999999999999E-2</v>
      </c>
      <c r="D661" s="3">
        <v>209000</v>
      </c>
      <c r="E661" s="3">
        <v>110000000000</v>
      </c>
      <c r="F661" s="3">
        <v>99400000000</v>
      </c>
      <c r="G661" s="3">
        <v>1510000000</v>
      </c>
      <c r="H661" s="3">
        <v>11200000000</v>
      </c>
      <c r="I661" s="2">
        <v>1.5180000000000001E-2</v>
      </c>
      <c r="J661" s="3">
        <v>7.8499999999999999E-13</v>
      </c>
    </row>
    <row r="662" spans="1:10" x14ac:dyDescent="0.2">
      <c r="A662" s="3">
        <v>660</v>
      </c>
      <c r="B662" s="3">
        <v>4.5400000000000002E-7</v>
      </c>
      <c r="C662" s="2">
        <v>3.44E-2</v>
      </c>
      <c r="D662" s="3">
        <v>203000</v>
      </c>
      <c r="E662" s="3">
        <v>107000000000</v>
      </c>
      <c r="F662" s="3">
        <v>97000000000</v>
      </c>
      <c r="G662" s="2">
        <v>0</v>
      </c>
      <c r="H662" s="3">
        <v>11400000000</v>
      </c>
      <c r="I662" s="2">
        <v>-1.9859999999999999E-2</v>
      </c>
      <c r="J662" s="3">
        <v>8.3499999999999998E-13</v>
      </c>
    </row>
    <row r="663" spans="1:10" x14ac:dyDescent="0.2">
      <c r="A663" s="3">
        <v>660</v>
      </c>
      <c r="B663" s="3">
        <v>4.5400000000000002E-7</v>
      </c>
      <c r="C663" s="2">
        <v>3.4459999999999998E-2</v>
      </c>
      <c r="D663" s="3">
        <v>185000</v>
      </c>
      <c r="E663" s="3">
        <v>98300000000</v>
      </c>
      <c r="F663" s="3">
        <v>90000000000</v>
      </c>
      <c r="G663" s="2">
        <v>0</v>
      </c>
      <c r="H663" s="3">
        <v>11800000000</v>
      </c>
      <c r="I663" s="2">
        <v>-1.5389999999999999E-2</v>
      </c>
      <c r="J663" s="3">
        <v>1.0099999999999999E-12</v>
      </c>
    </row>
    <row r="664" spans="1:10" x14ac:dyDescent="0.2">
      <c r="A664" s="3">
        <v>660</v>
      </c>
      <c r="B664" s="3">
        <v>4.5499999999999998E-7</v>
      </c>
      <c r="C664" s="2">
        <v>3.4509999999999999E-2</v>
      </c>
      <c r="D664" s="3">
        <v>196000</v>
      </c>
      <c r="E664" s="3">
        <v>103000000000</v>
      </c>
      <c r="F664" s="3">
        <v>94100000000</v>
      </c>
      <c r="G664" s="3">
        <v>257000000</v>
      </c>
      <c r="H664" s="3">
        <v>11500000000</v>
      </c>
      <c r="I664" s="2">
        <v>2.728E-3</v>
      </c>
      <c r="J664" s="3">
        <v>8.9900000000000001E-13</v>
      </c>
    </row>
    <row r="665" spans="1:10" x14ac:dyDescent="0.2">
      <c r="A665" s="3">
        <v>660</v>
      </c>
      <c r="B665" s="3">
        <v>4.5600000000000001E-7</v>
      </c>
      <c r="C665" s="2">
        <v>3.456E-2</v>
      </c>
      <c r="D665" s="3">
        <v>187000</v>
      </c>
      <c r="E665" s="3">
        <v>99100000000</v>
      </c>
      <c r="F665" s="3">
        <v>90700000000</v>
      </c>
      <c r="G665" s="3">
        <v>5710000000</v>
      </c>
      <c r="H665" s="3">
        <v>11800000000</v>
      </c>
      <c r="I665" s="2">
        <v>6.2909999999999994E-2</v>
      </c>
      <c r="J665" s="3">
        <v>9.8600000000000004E-13</v>
      </c>
    </row>
    <row r="666" spans="1:10" x14ac:dyDescent="0.2">
      <c r="A666" s="3">
        <v>660</v>
      </c>
      <c r="B666" s="3">
        <v>4.5600000000000001E-7</v>
      </c>
      <c r="C666" s="2">
        <v>3.4610000000000002E-2</v>
      </c>
      <c r="D666" s="3">
        <v>196000</v>
      </c>
      <c r="E666" s="3">
        <v>103000000000</v>
      </c>
      <c r="F666" s="3">
        <v>94000000000</v>
      </c>
      <c r="G666" s="3">
        <v>6980000000</v>
      </c>
      <c r="H666" s="3">
        <v>11500000000</v>
      </c>
      <c r="I666" s="2">
        <v>7.424E-2</v>
      </c>
      <c r="J666" s="3">
        <v>9.0199999999999999E-13</v>
      </c>
    </row>
    <row r="667" spans="1:10" x14ac:dyDescent="0.2">
      <c r="A667" s="3">
        <v>670</v>
      </c>
      <c r="B667" s="3">
        <v>4.5699999999999998E-7</v>
      </c>
      <c r="C667" s="2">
        <v>3.4660000000000003E-2</v>
      </c>
      <c r="D667" s="3">
        <v>221000</v>
      </c>
      <c r="E667" s="3">
        <v>115000000000</v>
      </c>
      <c r="F667" s="3">
        <v>104000000000</v>
      </c>
      <c r="G667" s="2">
        <v>0</v>
      </c>
      <c r="H667" s="3">
        <v>11000000000</v>
      </c>
      <c r="I667" s="2">
        <v>-8.8359999999999994E-2</v>
      </c>
      <c r="J667" s="3">
        <v>7.0700000000000002E-13</v>
      </c>
    </row>
    <row r="668" spans="1:10" x14ac:dyDescent="0.2">
      <c r="A668" s="3">
        <v>670</v>
      </c>
      <c r="B668" s="3">
        <v>4.5699999999999998E-7</v>
      </c>
      <c r="C668" s="2">
        <v>3.4720000000000001E-2</v>
      </c>
      <c r="D668" s="3">
        <v>189000</v>
      </c>
      <c r="E668" s="3">
        <v>99600000000</v>
      </c>
      <c r="F668" s="3">
        <v>91200000000</v>
      </c>
      <c r="G668" s="3">
        <v>4300000000</v>
      </c>
      <c r="H668" s="3">
        <v>11700000000</v>
      </c>
      <c r="I668" s="2">
        <v>4.7120000000000002E-2</v>
      </c>
      <c r="J668" s="3">
        <v>9.7600000000000008E-13</v>
      </c>
    </row>
    <row r="669" spans="1:10" x14ac:dyDescent="0.2">
      <c r="A669" s="3">
        <v>670</v>
      </c>
      <c r="B669" s="3">
        <v>4.58E-7</v>
      </c>
      <c r="C669" s="2">
        <v>3.4770000000000002E-2</v>
      </c>
      <c r="D669" s="3">
        <v>188000</v>
      </c>
      <c r="E669" s="3">
        <v>99100000000</v>
      </c>
      <c r="F669" s="3">
        <v>90700000000</v>
      </c>
      <c r="G669" s="2">
        <v>0</v>
      </c>
      <c r="H669" s="3">
        <v>11800000000</v>
      </c>
      <c r="I669" s="2">
        <v>-1.6400000000000001E-2</v>
      </c>
      <c r="J669" s="3">
        <v>9.8600000000000004E-13</v>
      </c>
    </row>
    <row r="670" spans="1:10" x14ac:dyDescent="0.2">
      <c r="A670" s="3">
        <v>670</v>
      </c>
      <c r="B670" s="3">
        <v>4.5900000000000002E-7</v>
      </c>
      <c r="C670" s="2">
        <v>3.4819999999999997E-2</v>
      </c>
      <c r="D670" s="3">
        <v>193000</v>
      </c>
      <c r="E670" s="3">
        <v>101000000000</v>
      </c>
      <c r="F670" s="3">
        <v>92600000000</v>
      </c>
      <c r="G670" s="2">
        <v>0</v>
      </c>
      <c r="H670" s="3">
        <v>11600000000</v>
      </c>
      <c r="I670" s="2">
        <v>-9.0910000000000005E-2</v>
      </c>
      <c r="J670" s="3">
        <v>9.3499999999999995E-13</v>
      </c>
    </row>
    <row r="671" spans="1:10" x14ac:dyDescent="0.2">
      <c r="A671" s="3">
        <v>670</v>
      </c>
      <c r="B671" s="3">
        <v>4.5999999999999999E-7</v>
      </c>
      <c r="C671" s="2">
        <v>3.4869999999999998E-2</v>
      </c>
      <c r="D671" s="3">
        <v>215000</v>
      </c>
      <c r="E671" s="3">
        <v>111000000000</v>
      </c>
      <c r="F671" s="3">
        <v>101000000000</v>
      </c>
      <c r="G671" s="2">
        <v>0</v>
      </c>
      <c r="H671" s="3">
        <v>11100000000</v>
      </c>
      <c r="I671" s="2">
        <v>-2.7269999999999999E-2</v>
      </c>
      <c r="J671" s="3">
        <v>7.58E-13</v>
      </c>
    </row>
    <row r="672" spans="1:10" x14ac:dyDescent="0.2">
      <c r="A672" s="3">
        <v>670</v>
      </c>
      <c r="B672" s="3">
        <v>4.5999999999999999E-7</v>
      </c>
      <c r="C672" s="2">
        <v>3.492E-2</v>
      </c>
      <c r="D672" s="3">
        <v>207000</v>
      </c>
      <c r="E672" s="3">
        <v>108000000000</v>
      </c>
      <c r="F672" s="3">
        <v>98000000000</v>
      </c>
      <c r="G672" s="3">
        <v>3060000000</v>
      </c>
      <c r="H672" s="3">
        <v>11300000000</v>
      </c>
      <c r="I672" s="2">
        <v>3.1199999999999999E-2</v>
      </c>
      <c r="J672" s="3">
        <v>8.1199999999999997E-13</v>
      </c>
    </row>
    <row r="673" spans="1:10" x14ac:dyDescent="0.2">
      <c r="A673" s="3">
        <v>670</v>
      </c>
      <c r="B673" s="3">
        <v>4.6100000000000001E-7</v>
      </c>
      <c r="C673" s="2">
        <v>3.4979999999999997E-2</v>
      </c>
      <c r="D673" s="3">
        <v>179000</v>
      </c>
      <c r="E673" s="3">
        <v>95000000000</v>
      </c>
      <c r="F673" s="3">
        <v>87300000000</v>
      </c>
      <c r="G673" s="3">
        <v>2730000000</v>
      </c>
      <c r="H673" s="3">
        <v>12000000000</v>
      </c>
      <c r="I673" s="2">
        <v>3.124E-2</v>
      </c>
      <c r="J673" s="3">
        <v>1.09E-12</v>
      </c>
    </row>
    <row r="674" spans="1:10" x14ac:dyDescent="0.2">
      <c r="A674" s="3">
        <v>670</v>
      </c>
      <c r="B674" s="3">
        <v>4.6100000000000001E-7</v>
      </c>
      <c r="C674" s="2">
        <v>3.5029999999999999E-2</v>
      </c>
      <c r="D674" s="3">
        <v>216000</v>
      </c>
      <c r="E674" s="3">
        <v>112000000000</v>
      </c>
      <c r="F674" s="3">
        <v>101000000000</v>
      </c>
      <c r="G674" s="3">
        <v>10500000000</v>
      </c>
      <c r="H674" s="3">
        <v>11100000000</v>
      </c>
      <c r="I674" s="2">
        <v>0.1032</v>
      </c>
      <c r="J674" s="3">
        <v>7.4900000000000004E-13</v>
      </c>
    </row>
    <row r="675" spans="1:10" x14ac:dyDescent="0.2">
      <c r="A675" s="3">
        <v>670</v>
      </c>
      <c r="B675" s="3">
        <v>4.6199999999999998E-7</v>
      </c>
      <c r="C675" s="2">
        <v>3.508E-2</v>
      </c>
      <c r="D675" s="3">
        <v>201000</v>
      </c>
      <c r="E675" s="3">
        <v>105000000000</v>
      </c>
      <c r="F675" s="3">
        <v>95400000000</v>
      </c>
      <c r="G675" s="3">
        <v>7630000000</v>
      </c>
      <c r="H675" s="3">
        <v>11400000000</v>
      </c>
      <c r="I675" s="2">
        <v>7.9909999999999995E-2</v>
      </c>
      <c r="J675" s="3">
        <v>8.6700000000000004E-13</v>
      </c>
    </row>
    <row r="676" spans="1:10" x14ac:dyDescent="0.2">
      <c r="A676" s="3">
        <v>670</v>
      </c>
      <c r="B676" s="3">
        <v>4.63E-7</v>
      </c>
      <c r="C676" s="2">
        <v>3.5130000000000002E-2</v>
      </c>
      <c r="D676" s="3">
        <v>193000</v>
      </c>
      <c r="E676" s="3">
        <v>101000000000</v>
      </c>
      <c r="F676" s="3">
        <v>92300000000</v>
      </c>
      <c r="G676" s="2">
        <v>0</v>
      </c>
      <c r="H676" s="3">
        <v>11600000000</v>
      </c>
      <c r="I676" s="2">
        <v>-2.2859999999999998E-2</v>
      </c>
      <c r="J676" s="3">
        <v>9.4200000000000003E-13</v>
      </c>
    </row>
    <row r="677" spans="1:10" x14ac:dyDescent="0.2">
      <c r="A677" s="3">
        <v>680</v>
      </c>
      <c r="B677" s="3">
        <v>4.63E-7</v>
      </c>
      <c r="C677" s="2">
        <v>3.5180000000000003E-2</v>
      </c>
      <c r="D677" s="3">
        <v>188000</v>
      </c>
      <c r="E677" s="3">
        <v>98600000000</v>
      </c>
      <c r="F677" s="3">
        <v>90300000000</v>
      </c>
      <c r="G677" s="3">
        <v>7990000000</v>
      </c>
      <c r="H677" s="3">
        <v>11800000000</v>
      </c>
      <c r="I677" s="2">
        <v>8.8480000000000003E-2</v>
      </c>
      <c r="J677" s="3">
        <v>9.949999999999999E-13</v>
      </c>
    </row>
    <row r="678" spans="1:10" x14ac:dyDescent="0.2">
      <c r="A678" s="3">
        <v>680</v>
      </c>
      <c r="B678" s="3">
        <v>4.6400000000000003E-7</v>
      </c>
      <c r="C678" s="2">
        <v>3.524E-2</v>
      </c>
      <c r="D678" s="3">
        <v>179000</v>
      </c>
      <c r="E678" s="3">
        <v>94600000000</v>
      </c>
      <c r="F678" s="3">
        <v>86900000000</v>
      </c>
      <c r="G678" s="3">
        <v>6880000000</v>
      </c>
      <c r="H678" s="3">
        <v>12000000000</v>
      </c>
      <c r="I678" s="2">
        <v>7.9140000000000002E-2</v>
      </c>
      <c r="J678" s="3">
        <v>1.1E-12</v>
      </c>
    </row>
    <row r="679" spans="1:10" x14ac:dyDescent="0.2">
      <c r="A679" s="3">
        <v>680</v>
      </c>
      <c r="B679" s="3">
        <v>4.6499999999999999E-7</v>
      </c>
      <c r="C679" s="2">
        <v>3.5290000000000002E-2</v>
      </c>
      <c r="D679" s="3">
        <v>188000</v>
      </c>
      <c r="E679" s="3">
        <v>98400000000</v>
      </c>
      <c r="F679" s="3">
        <v>90200000000</v>
      </c>
      <c r="G679" s="2">
        <v>0</v>
      </c>
      <c r="H679" s="3">
        <v>11800000000</v>
      </c>
      <c r="I679" s="2">
        <v>-1.916E-2</v>
      </c>
      <c r="J679" s="3">
        <v>9.9799999999999999E-13</v>
      </c>
    </row>
    <row r="680" spans="1:10" x14ac:dyDescent="0.2">
      <c r="A680" s="3">
        <v>680</v>
      </c>
      <c r="B680" s="3">
        <v>4.6499999999999999E-7</v>
      </c>
      <c r="C680" s="2">
        <v>3.5340000000000003E-2</v>
      </c>
      <c r="D680" s="3">
        <v>191000</v>
      </c>
      <c r="E680" s="3">
        <v>99500000000</v>
      </c>
      <c r="F680" s="3">
        <v>91100000000</v>
      </c>
      <c r="G680" s="2">
        <v>0</v>
      </c>
      <c r="H680" s="3">
        <v>11700000000</v>
      </c>
      <c r="I680" s="2">
        <v>-1.8499999999999999E-2</v>
      </c>
      <c r="J680" s="3">
        <v>9.7299999999999999E-13</v>
      </c>
    </row>
    <row r="681" spans="1:10" x14ac:dyDescent="0.2">
      <c r="A681" s="3">
        <v>680</v>
      </c>
      <c r="B681" s="3">
        <v>4.6600000000000002E-7</v>
      </c>
      <c r="C681" s="2">
        <v>3.5389999999999998E-2</v>
      </c>
      <c r="D681" s="3">
        <v>192000</v>
      </c>
      <c r="E681" s="3">
        <v>99800000000</v>
      </c>
      <c r="F681" s="3">
        <v>91300000000</v>
      </c>
      <c r="G681" s="3">
        <v>6400000000</v>
      </c>
      <c r="H681" s="3">
        <v>11700000000</v>
      </c>
      <c r="I681" s="2">
        <v>7.0040000000000005E-2</v>
      </c>
      <c r="J681" s="3">
        <v>9.6500000000000003E-13</v>
      </c>
    </row>
    <row r="682" spans="1:10" x14ac:dyDescent="0.2">
      <c r="A682" s="3">
        <v>680</v>
      </c>
      <c r="B682" s="3">
        <v>4.6699999999999999E-7</v>
      </c>
      <c r="C682" s="2">
        <v>3.5439999999999999E-2</v>
      </c>
      <c r="D682" s="3">
        <v>215000</v>
      </c>
      <c r="E682" s="3">
        <v>110000000000</v>
      </c>
      <c r="F682" s="3">
        <v>100000000000</v>
      </c>
      <c r="G682" s="3">
        <v>3950000000</v>
      </c>
      <c r="H682" s="3">
        <v>11200000000</v>
      </c>
      <c r="I682" s="2">
        <v>3.9469999999999998E-2</v>
      </c>
      <c r="J682" s="3">
        <v>7.6899999999999995E-13</v>
      </c>
    </row>
    <row r="683" spans="1:10" x14ac:dyDescent="0.2">
      <c r="A683" s="3">
        <v>680</v>
      </c>
      <c r="B683" s="3">
        <v>4.6699999999999999E-7</v>
      </c>
      <c r="C683" s="2">
        <v>3.5499999999999997E-2</v>
      </c>
      <c r="D683" s="3">
        <v>195000</v>
      </c>
      <c r="E683" s="3">
        <v>101000000000</v>
      </c>
      <c r="F683" s="3">
        <v>92700000000</v>
      </c>
      <c r="G683" s="3">
        <v>3440000000</v>
      </c>
      <c r="H683" s="3">
        <v>11600000000</v>
      </c>
      <c r="I683" s="2">
        <v>3.7170000000000002E-2</v>
      </c>
      <c r="J683" s="3">
        <v>9.3000000000000008E-13</v>
      </c>
    </row>
    <row r="684" spans="1:10" x14ac:dyDescent="0.2">
      <c r="A684" s="3">
        <v>680</v>
      </c>
      <c r="B684" s="3">
        <v>4.6800000000000001E-7</v>
      </c>
      <c r="C684" s="2">
        <v>3.5549999999999998E-2</v>
      </c>
      <c r="D684" s="3">
        <v>190000</v>
      </c>
      <c r="E684" s="3">
        <v>98800000000</v>
      </c>
      <c r="F684" s="3">
        <v>90500000000</v>
      </c>
      <c r="G684" s="2">
        <v>0</v>
      </c>
      <c r="H684" s="3">
        <v>11700000000</v>
      </c>
      <c r="I684" s="2">
        <v>-4.7550000000000002E-2</v>
      </c>
      <c r="J684" s="3">
        <v>9.8699999999999993E-13</v>
      </c>
    </row>
    <row r="685" spans="1:10" x14ac:dyDescent="0.2">
      <c r="A685" s="3">
        <v>680</v>
      </c>
      <c r="B685" s="3">
        <v>4.6800000000000001E-7</v>
      </c>
      <c r="C685" s="2">
        <v>3.56E-2</v>
      </c>
      <c r="D685" s="3">
        <v>210000</v>
      </c>
      <c r="E685" s="3">
        <v>108000000000</v>
      </c>
      <c r="F685" s="3">
        <v>98100000000</v>
      </c>
      <c r="G685" s="3">
        <v>2160000000</v>
      </c>
      <c r="H685" s="3">
        <v>11300000000</v>
      </c>
      <c r="I685" s="2">
        <v>2.1999999999999999E-2</v>
      </c>
      <c r="J685" s="3">
        <v>8.0799999999999999E-13</v>
      </c>
    </row>
    <row r="686" spans="1:10" x14ac:dyDescent="0.2">
      <c r="A686" s="3">
        <v>680</v>
      </c>
      <c r="B686" s="3">
        <v>4.6899999999999998E-7</v>
      </c>
      <c r="C686" s="2">
        <v>3.5650000000000001E-2</v>
      </c>
      <c r="D686" s="3">
        <v>222000</v>
      </c>
      <c r="E686" s="3">
        <v>113000000000</v>
      </c>
      <c r="F686" s="3">
        <v>103000000000</v>
      </c>
      <c r="G686" s="3">
        <v>938000000</v>
      </c>
      <c r="H686" s="3">
        <v>11000000000</v>
      </c>
      <c r="I686" s="2">
        <v>9.1450000000000004E-3</v>
      </c>
      <c r="J686" s="3">
        <v>7.2400000000000005E-13</v>
      </c>
    </row>
    <row r="687" spans="1:10" x14ac:dyDescent="0.2">
      <c r="A687" s="3">
        <v>690</v>
      </c>
      <c r="B687" s="3">
        <v>4.7E-7</v>
      </c>
      <c r="C687" s="2">
        <v>3.5709999999999999E-2</v>
      </c>
      <c r="D687" s="3">
        <v>204000</v>
      </c>
      <c r="E687" s="3">
        <v>105000000000</v>
      </c>
      <c r="F687" s="3">
        <v>95600000000</v>
      </c>
      <c r="G687" s="3">
        <v>3580000000</v>
      </c>
      <c r="H687" s="3">
        <v>11400000000</v>
      </c>
      <c r="I687" s="2">
        <v>3.7420000000000002E-2</v>
      </c>
      <c r="J687" s="3">
        <v>8.5899999999999997E-13</v>
      </c>
    </row>
    <row r="688" spans="1:10" x14ac:dyDescent="0.2">
      <c r="A688" s="3">
        <v>690</v>
      </c>
      <c r="B688" s="3">
        <v>4.7100000000000002E-7</v>
      </c>
      <c r="C688" s="2">
        <v>3.576E-2</v>
      </c>
      <c r="D688" s="3">
        <v>200000</v>
      </c>
      <c r="E688" s="3">
        <v>103000000000</v>
      </c>
      <c r="F688" s="3">
        <v>94100000000</v>
      </c>
      <c r="G688" s="3">
        <v>906000000</v>
      </c>
      <c r="H688" s="3">
        <v>11500000000</v>
      </c>
      <c r="I688" s="2">
        <v>9.6270000000000001E-3</v>
      </c>
      <c r="J688" s="3">
        <v>8.9400000000000003E-13</v>
      </c>
    </row>
    <row r="689" spans="1:10" x14ac:dyDescent="0.2">
      <c r="A689" s="3">
        <v>690</v>
      </c>
      <c r="B689" s="3">
        <v>4.7100000000000002E-7</v>
      </c>
      <c r="C689" s="2">
        <v>3.5810000000000002E-2</v>
      </c>
      <c r="D689" s="3">
        <v>198000</v>
      </c>
      <c r="E689" s="3">
        <v>102000000000</v>
      </c>
      <c r="F689" s="3">
        <v>93500000000</v>
      </c>
      <c r="G689" s="3">
        <v>2770000000</v>
      </c>
      <c r="H689" s="3">
        <v>11500000000</v>
      </c>
      <c r="I689" s="2">
        <v>2.9649999999999999E-2</v>
      </c>
      <c r="J689" s="3">
        <v>9.0999999999999996E-13</v>
      </c>
    </row>
    <row r="690" spans="1:10" x14ac:dyDescent="0.2">
      <c r="A690" s="3">
        <v>690</v>
      </c>
      <c r="B690" s="3">
        <v>4.7100000000000002E-7</v>
      </c>
      <c r="C690" s="2">
        <v>3.5860000000000003E-2</v>
      </c>
      <c r="D690" s="3">
        <v>195000</v>
      </c>
      <c r="E690" s="3">
        <v>101000000000</v>
      </c>
      <c r="F690" s="3">
        <v>92200000000</v>
      </c>
      <c r="G690" s="2">
        <v>0</v>
      </c>
      <c r="H690" s="3">
        <v>11600000000</v>
      </c>
      <c r="I690" s="3">
        <v>-2.8E-5</v>
      </c>
      <c r="J690" s="3">
        <v>9.4299999999999992E-13</v>
      </c>
    </row>
    <row r="691" spans="1:10" x14ac:dyDescent="0.2">
      <c r="A691" s="3">
        <v>690</v>
      </c>
      <c r="B691" s="3">
        <v>4.7199999999999999E-7</v>
      </c>
      <c r="C691" s="2">
        <v>3.5909999999999997E-2</v>
      </c>
      <c r="D691" s="3">
        <v>203000</v>
      </c>
      <c r="E691" s="3">
        <v>104000000000</v>
      </c>
      <c r="F691" s="3">
        <v>95100000000</v>
      </c>
      <c r="G691" s="3">
        <v>3490000000</v>
      </c>
      <c r="H691" s="3">
        <v>11400000000</v>
      </c>
      <c r="I691" s="2">
        <v>3.6700000000000003E-2</v>
      </c>
      <c r="J691" s="3">
        <v>8.7200000000000002E-13</v>
      </c>
    </row>
    <row r="692" spans="1:10" x14ac:dyDescent="0.2">
      <c r="A692" s="3">
        <v>690</v>
      </c>
      <c r="B692" s="3">
        <v>4.7300000000000001E-7</v>
      </c>
      <c r="C692" s="2">
        <v>3.5970000000000002E-2</v>
      </c>
      <c r="D692" s="3">
        <v>201000</v>
      </c>
      <c r="E692" s="3">
        <v>103000000000</v>
      </c>
      <c r="F692" s="3">
        <v>94200000000</v>
      </c>
      <c r="G692" s="3">
        <v>7250000000</v>
      </c>
      <c r="H692" s="3">
        <v>11500000000</v>
      </c>
      <c r="I692" s="2">
        <v>7.689E-2</v>
      </c>
      <c r="J692" s="3">
        <v>8.9100000000000004E-13</v>
      </c>
    </row>
    <row r="693" spans="1:10" x14ac:dyDescent="0.2">
      <c r="A693" s="3">
        <v>690</v>
      </c>
      <c r="B693" s="3">
        <v>4.7300000000000001E-7</v>
      </c>
      <c r="C693" s="2">
        <v>3.6020000000000003E-2</v>
      </c>
      <c r="D693" s="3">
        <v>199000</v>
      </c>
      <c r="E693" s="3">
        <v>102000000000</v>
      </c>
      <c r="F693" s="3">
        <v>93500000000</v>
      </c>
      <c r="G693" s="3">
        <v>2220000000</v>
      </c>
      <c r="H693" s="3">
        <v>11500000000</v>
      </c>
      <c r="I693" s="2">
        <v>2.3689999999999999E-2</v>
      </c>
      <c r="J693" s="3">
        <v>9.0799999999999997E-13</v>
      </c>
    </row>
    <row r="694" spans="1:10" x14ac:dyDescent="0.2">
      <c r="A694" s="3">
        <v>690</v>
      </c>
      <c r="B694" s="3">
        <v>4.7399999999999998E-7</v>
      </c>
      <c r="C694" s="2">
        <v>3.6069999999999998E-2</v>
      </c>
      <c r="D694" s="3">
        <v>193000</v>
      </c>
      <c r="E694" s="3">
        <v>99700000000</v>
      </c>
      <c r="F694" s="3">
        <v>91200000000</v>
      </c>
      <c r="G694" s="2">
        <v>0</v>
      </c>
      <c r="H694" s="3">
        <v>11700000000</v>
      </c>
      <c r="I694" s="2">
        <v>-0.126</v>
      </c>
      <c r="J694" s="3">
        <v>9.6700000000000002E-13</v>
      </c>
    </row>
    <row r="695" spans="1:10" x14ac:dyDescent="0.2">
      <c r="A695" s="3">
        <v>690</v>
      </c>
      <c r="B695" s="3">
        <v>4.7399999999999998E-7</v>
      </c>
      <c r="C695" s="2">
        <v>3.6119999999999999E-2</v>
      </c>
      <c r="D695" s="3">
        <v>199000</v>
      </c>
      <c r="E695" s="3">
        <v>102000000000</v>
      </c>
      <c r="F695" s="3">
        <v>93300000000</v>
      </c>
      <c r="G695" s="3">
        <v>2550000000</v>
      </c>
      <c r="H695" s="3">
        <v>11500000000</v>
      </c>
      <c r="I695" s="2">
        <v>2.7320000000000001E-2</v>
      </c>
      <c r="J695" s="3">
        <v>9.1500000000000004E-13</v>
      </c>
    </row>
    <row r="696" spans="1:10" x14ac:dyDescent="0.2">
      <c r="A696" s="3">
        <v>690</v>
      </c>
      <c r="B696" s="3">
        <v>4.7599999999999997E-7</v>
      </c>
      <c r="C696" s="2">
        <v>3.6170000000000001E-2</v>
      </c>
      <c r="D696" s="3">
        <v>199000</v>
      </c>
      <c r="E696" s="3">
        <v>102000000000</v>
      </c>
      <c r="F696" s="3">
        <v>93100000000</v>
      </c>
      <c r="G696" s="3">
        <v>11400000000</v>
      </c>
      <c r="H696" s="3">
        <v>11500000000</v>
      </c>
      <c r="I696" s="2">
        <v>0.1222</v>
      </c>
      <c r="J696" s="3">
        <v>9.1700000000000003E-13</v>
      </c>
    </row>
    <row r="697" spans="1:10" x14ac:dyDescent="0.2">
      <c r="A697" s="3">
        <v>700</v>
      </c>
      <c r="B697" s="3">
        <v>4.7599999999999997E-7</v>
      </c>
      <c r="C697" s="2">
        <v>3.6229999999999998E-2</v>
      </c>
      <c r="D697" s="3">
        <v>185000</v>
      </c>
      <c r="E697" s="3">
        <v>95700000000</v>
      </c>
      <c r="F697" s="3">
        <v>87900000000</v>
      </c>
      <c r="G697" s="3">
        <v>7260000000</v>
      </c>
      <c r="H697" s="3">
        <v>11900000000</v>
      </c>
      <c r="I697" s="2">
        <v>8.2589999999999997E-2</v>
      </c>
      <c r="J697" s="3">
        <v>1.0599999999999999E-12</v>
      </c>
    </row>
    <row r="698" spans="1:10" x14ac:dyDescent="0.2">
      <c r="A698" s="3">
        <v>700</v>
      </c>
      <c r="B698" s="3">
        <v>4.7700000000000005E-7</v>
      </c>
      <c r="C698" s="2">
        <v>3.628E-2</v>
      </c>
      <c r="D698" s="3">
        <v>211000</v>
      </c>
      <c r="E698" s="3">
        <v>107000000000</v>
      </c>
      <c r="F698" s="3">
        <v>97600000000</v>
      </c>
      <c r="G698" s="3">
        <v>7310000000</v>
      </c>
      <c r="H698" s="3">
        <v>11300000000</v>
      </c>
      <c r="I698" s="2">
        <v>7.4870000000000006E-2</v>
      </c>
      <c r="J698" s="3">
        <v>8.1699999999999995E-13</v>
      </c>
    </row>
    <row r="699" spans="1:10" x14ac:dyDescent="0.2">
      <c r="A699" s="3">
        <v>700</v>
      </c>
      <c r="B699" s="3">
        <v>4.7700000000000005E-7</v>
      </c>
      <c r="C699" s="2">
        <v>3.6330000000000001E-2</v>
      </c>
      <c r="D699" s="3">
        <v>168000</v>
      </c>
      <c r="E699" s="3">
        <v>88600000000</v>
      </c>
      <c r="F699" s="3">
        <v>81800000000</v>
      </c>
      <c r="G699" s="2">
        <v>0</v>
      </c>
      <c r="H699" s="3">
        <v>12400000000</v>
      </c>
      <c r="I699" s="2">
        <v>-2.648E-2</v>
      </c>
      <c r="J699" s="3">
        <v>1.28E-12</v>
      </c>
    </row>
    <row r="700" spans="1:10" x14ac:dyDescent="0.2">
      <c r="A700" s="3">
        <v>700</v>
      </c>
      <c r="B700" s="3">
        <v>4.7800000000000002E-7</v>
      </c>
      <c r="C700" s="2">
        <v>3.6380000000000003E-2</v>
      </c>
      <c r="D700" s="3">
        <v>201000</v>
      </c>
      <c r="E700" s="3">
        <v>103000000000</v>
      </c>
      <c r="F700" s="3">
        <v>93600000000</v>
      </c>
      <c r="G700" s="3">
        <v>3830000000</v>
      </c>
      <c r="H700" s="3">
        <v>11500000000</v>
      </c>
      <c r="I700" s="2">
        <v>4.0939999999999997E-2</v>
      </c>
      <c r="J700" s="3">
        <v>9.0499999999999998E-13</v>
      </c>
    </row>
    <row r="701" spans="1:10" x14ac:dyDescent="0.2">
      <c r="A701" s="3">
        <v>700</v>
      </c>
      <c r="B701" s="3">
        <v>4.7800000000000002E-7</v>
      </c>
      <c r="C701" s="2">
        <v>3.6429999999999997E-2</v>
      </c>
      <c r="D701" s="3">
        <v>179000</v>
      </c>
      <c r="E701" s="3">
        <v>93100000000</v>
      </c>
      <c r="F701" s="3">
        <v>85700000000</v>
      </c>
      <c r="G701" s="3">
        <v>8010000000</v>
      </c>
      <c r="H701" s="3">
        <v>12100000000</v>
      </c>
      <c r="I701" s="2">
        <v>9.3420000000000003E-2</v>
      </c>
      <c r="J701" s="3">
        <v>1.13E-12</v>
      </c>
    </row>
    <row r="702" spans="1:10" x14ac:dyDescent="0.2">
      <c r="A702" s="3">
        <v>700</v>
      </c>
      <c r="B702" s="3">
        <v>4.7899999999999999E-7</v>
      </c>
      <c r="C702" s="2">
        <v>3.6490000000000002E-2</v>
      </c>
      <c r="D702" s="3">
        <v>200000</v>
      </c>
      <c r="E702" s="3">
        <v>102000000000</v>
      </c>
      <c r="F702" s="3">
        <v>93400000000</v>
      </c>
      <c r="G702" s="3">
        <v>4110000000</v>
      </c>
      <c r="H702" s="3">
        <v>11500000000</v>
      </c>
      <c r="I702" s="2">
        <v>4.4010000000000001E-2</v>
      </c>
      <c r="J702" s="3">
        <v>9.0899999999999996E-13</v>
      </c>
    </row>
    <row r="703" spans="1:10" x14ac:dyDescent="0.2">
      <c r="A703" s="3">
        <v>700</v>
      </c>
      <c r="B703" s="3">
        <v>4.8100000000000003E-7</v>
      </c>
      <c r="C703" s="2">
        <v>3.6540000000000003E-2</v>
      </c>
      <c r="D703" s="3">
        <v>184000</v>
      </c>
      <c r="E703" s="3">
        <v>94700000000</v>
      </c>
      <c r="F703" s="3">
        <v>87000000000</v>
      </c>
      <c r="G703" s="2">
        <v>0</v>
      </c>
      <c r="H703" s="3">
        <v>11900000000</v>
      </c>
      <c r="I703" s="2">
        <v>-1.529E-2</v>
      </c>
      <c r="J703" s="3">
        <v>1.08E-12</v>
      </c>
    </row>
    <row r="704" spans="1:10" x14ac:dyDescent="0.2">
      <c r="A704" s="3">
        <v>700</v>
      </c>
      <c r="B704" s="3">
        <v>4.82E-7</v>
      </c>
      <c r="C704" s="2">
        <v>3.6589999999999998E-2</v>
      </c>
      <c r="D704" s="3">
        <v>207000</v>
      </c>
      <c r="E704" s="3">
        <v>105000000000</v>
      </c>
      <c r="F704" s="3">
        <v>95500000000</v>
      </c>
      <c r="G704" s="2">
        <v>0</v>
      </c>
      <c r="H704" s="3">
        <v>11300000000</v>
      </c>
      <c r="I704" s="2">
        <v>-2.4910000000000002E-2</v>
      </c>
      <c r="J704" s="3">
        <v>8.54E-13</v>
      </c>
    </row>
    <row r="705" spans="1:10" x14ac:dyDescent="0.2">
      <c r="A705" s="3">
        <v>700</v>
      </c>
      <c r="B705" s="3">
        <v>4.8299999999999997E-7</v>
      </c>
      <c r="C705" s="2">
        <v>3.6639999999999999E-2</v>
      </c>
      <c r="D705" s="3">
        <v>191000</v>
      </c>
      <c r="E705" s="3">
        <v>97800000000</v>
      </c>
      <c r="F705" s="3">
        <v>89600000000</v>
      </c>
      <c r="G705" s="2">
        <v>0</v>
      </c>
      <c r="H705" s="3">
        <v>11600000000</v>
      </c>
      <c r="I705" s="2">
        <v>-3.6850000000000001E-2</v>
      </c>
      <c r="J705" s="3">
        <v>9.9999999999999998E-13</v>
      </c>
    </row>
    <row r="706" spans="1:10" x14ac:dyDescent="0.2">
      <c r="A706" s="3">
        <v>700</v>
      </c>
      <c r="B706" s="3">
        <v>4.8400000000000005E-7</v>
      </c>
      <c r="C706" s="2">
        <v>3.669E-2</v>
      </c>
      <c r="D706" s="3">
        <v>193000</v>
      </c>
      <c r="E706" s="3">
        <v>98200000000</v>
      </c>
      <c r="F706" s="3">
        <v>90000000000</v>
      </c>
      <c r="G706" s="3">
        <v>8510000000</v>
      </c>
      <c r="H706" s="3">
        <v>11600000000</v>
      </c>
      <c r="I706" s="2">
        <v>9.4579999999999997E-2</v>
      </c>
      <c r="J706" s="3">
        <v>9.8800000000000003E-13</v>
      </c>
    </row>
    <row r="707" spans="1:10" x14ac:dyDescent="0.2">
      <c r="A707" s="3">
        <v>710</v>
      </c>
      <c r="B707" s="3">
        <v>4.8500000000000002E-7</v>
      </c>
      <c r="C707" s="2">
        <v>3.6749999999999998E-2</v>
      </c>
      <c r="D707" s="3">
        <v>195000</v>
      </c>
      <c r="E707" s="3">
        <v>99100000000</v>
      </c>
      <c r="F707" s="3">
        <v>90700000000</v>
      </c>
      <c r="G707" s="2">
        <v>0</v>
      </c>
      <c r="H707" s="3">
        <v>11500000000</v>
      </c>
      <c r="I707" s="2">
        <v>-0.13539999999999999</v>
      </c>
      <c r="J707" s="3">
        <v>9.6799999999999991E-13</v>
      </c>
    </row>
    <row r="708" spans="1:10" x14ac:dyDescent="0.2">
      <c r="A708" s="3">
        <v>710</v>
      </c>
      <c r="B708" s="3">
        <v>4.8599999999999998E-7</v>
      </c>
      <c r="C708" s="2">
        <v>3.6799999999999999E-2</v>
      </c>
      <c r="D708" s="3">
        <v>196000</v>
      </c>
      <c r="E708" s="3">
        <v>99300000000</v>
      </c>
      <c r="F708" s="3">
        <v>90900000000</v>
      </c>
      <c r="G708" s="3">
        <v>8070000000</v>
      </c>
      <c r="H708" s="3">
        <v>11500000000</v>
      </c>
      <c r="I708" s="2">
        <v>8.8719999999999993E-2</v>
      </c>
      <c r="J708" s="3">
        <v>9.5900000000000005E-13</v>
      </c>
    </row>
    <row r="709" spans="1:10" x14ac:dyDescent="0.2">
      <c r="A709" s="3">
        <v>710</v>
      </c>
      <c r="B709" s="3">
        <v>4.8699999999999995E-7</v>
      </c>
      <c r="C709" s="2">
        <v>3.6850000000000001E-2</v>
      </c>
      <c r="D709" s="3">
        <v>198000</v>
      </c>
      <c r="E709" s="3">
        <v>100000000000</v>
      </c>
      <c r="F709" s="3">
        <v>91600000000</v>
      </c>
      <c r="G709" s="2">
        <v>0</v>
      </c>
      <c r="H709" s="3">
        <v>11400000000</v>
      </c>
      <c r="I709" s="2">
        <v>-0.13850000000000001</v>
      </c>
      <c r="J709" s="3">
        <v>9.4099999999999993E-13</v>
      </c>
    </row>
    <row r="710" spans="1:10" x14ac:dyDescent="0.2">
      <c r="A710" s="3">
        <v>710</v>
      </c>
      <c r="B710" s="3">
        <v>4.8800000000000003E-7</v>
      </c>
      <c r="C710" s="2">
        <v>3.6900000000000002E-2</v>
      </c>
      <c r="D710" s="3">
        <v>204000</v>
      </c>
      <c r="E710" s="3">
        <v>103000000000</v>
      </c>
      <c r="F710" s="3">
        <v>93600000000</v>
      </c>
      <c r="G710" s="3">
        <v>2300000000</v>
      </c>
      <c r="H710" s="3">
        <v>11300000000</v>
      </c>
      <c r="I710" s="2">
        <v>2.452E-2</v>
      </c>
      <c r="J710" s="3">
        <v>8.9100000000000004E-13</v>
      </c>
    </row>
    <row r="711" spans="1:10" x14ac:dyDescent="0.2">
      <c r="A711" s="3">
        <v>710</v>
      </c>
      <c r="B711" s="3">
        <v>4.8800000000000003E-7</v>
      </c>
      <c r="C711" s="2">
        <v>3.696E-2</v>
      </c>
      <c r="D711" s="3">
        <v>212000</v>
      </c>
      <c r="E711" s="3">
        <v>106000000000</v>
      </c>
      <c r="F711" s="3">
        <v>96700000000</v>
      </c>
      <c r="G711" s="2">
        <v>0</v>
      </c>
      <c r="H711" s="3">
        <v>11200000000</v>
      </c>
      <c r="I711" s="2">
        <v>-1.149E-2</v>
      </c>
      <c r="J711" s="3">
        <v>8.2300000000000003E-13</v>
      </c>
    </row>
    <row r="712" spans="1:10" x14ac:dyDescent="0.2">
      <c r="A712" s="3">
        <v>710</v>
      </c>
      <c r="B712" s="3">
        <v>4.8999999999999997E-7</v>
      </c>
      <c r="C712" s="2">
        <v>3.7010000000000001E-2</v>
      </c>
      <c r="D712" s="3">
        <v>194000</v>
      </c>
      <c r="E712" s="3">
        <v>98200000000</v>
      </c>
      <c r="F712" s="3">
        <v>90000000000</v>
      </c>
      <c r="G712" s="3">
        <v>6270000000</v>
      </c>
      <c r="H712" s="3">
        <v>11500000000</v>
      </c>
      <c r="I712" s="2">
        <v>6.9680000000000006E-2</v>
      </c>
      <c r="J712" s="3">
        <v>9.8099999999999996E-13</v>
      </c>
    </row>
    <row r="713" spans="1:10" x14ac:dyDescent="0.2">
      <c r="A713" s="3">
        <v>710</v>
      </c>
      <c r="B713" s="3">
        <v>4.8999999999999997E-7</v>
      </c>
      <c r="C713" s="2">
        <v>3.7060000000000003E-2</v>
      </c>
      <c r="D713" s="3">
        <v>219000</v>
      </c>
      <c r="E713" s="3">
        <v>109000000000</v>
      </c>
      <c r="F713" s="3">
        <v>99200000000</v>
      </c>
      <c r="G713" s="3">
        <v>1200000000</v>
      </c>
      <c r="H713" s="3">
        <v>11000000000</v>
      </c>
      <c r="I713" s="2">
        <v>1.213E-2</v>
      </c>
      <c r="J713" s="3">
        <v>7.7200000000000004E-13</v>
      </c>
    </row>
    <row r="714" spans="1:10" x14ac:dyDescent="0.2">
      <c r="A714" s="3">
        <v>710</v>
      </c>
      <c r="B714" s="3">
        <v>4.9100000000000004E-7</v>
      </c>
      <c r="C714" s="2">
        <v>3.7109999999999997E-2</v>
      </c>
      <c r="D714" s="3">
        <v>208000</v>
      </c>
      <c r="E714" s="3">
        <v>104000000000</v>
      </c>
      <c r="F714" s="3">
        <v>95100000000</v>
      </c>
      <c r="G714" s="3">
        <v>9950000000</v>
      </c>
      <c r="H714" s="3">
        <v>11200000000</v>
      </c>
      <c r="I714" s="2">
        <v>0.1046</v>
      </c>
      <c r="J714" s="3">
        <v>8.5499999999999999E-13</v>
      </c>
    </row>
    <row r="715" spans="1:10" x14ac:dyDescent="0.2">
      <c r="A715" s="3">
        <v>710</v>
      </c>
      <c r="B715" s="3">
        <v>4.9100000000000004E-7</v>
      </c>
      <c r="C715" s="2">
        <v>3.7159999999999999E-2</v>
      </c>
      <c r="D715" s="3">
        <v>193000</v>
      </c>
      <c r="E715" s="3">
        <v>97700000000</v>
      </c>
      <c r="F715" s="3">
        <v>89500000000</v>
      </c>
      <c r="G715" s="2">
        <v>0</v>
      </c>
      <c r="H715" s="3">
        <v>11500000000</v>
      </c>
      <c r="I715" s="2">
        <v>-1.4330000000000001E-2</v>
      </c>
      <c r="J715" s="3">
        <v>9.9400000000000001E-13</v>
      </c>
    </row>
    <row r="716" spans="1:10" x14ac:dyDescent="0.2">
      <c r="A716" s="3">
        <v>710</v>
      </c>
      <c r="B716" s="3">
        <v>4.9200000000000001E-7</v>
      </c>
      <c r="C716" s="2">
        <v>3.7220000000000003E-2</v>
      </c>
      <c r="D716" s="3">
        <v>209000</v>
      </c>
      <c r="E716" s="3">
        <v>105000000000</v>
      </c>
      <c r="F716" s="3">
        <v>95200000000</v>
      </c>
      <c r="G716" s="3">
        <v>1750000000</v>
      </c>
      <c r="H716" s="3">
        <v>11200000000</v>
      </c>
      <c r="I716" s="2">
        <v>1.8329999999999999E-2</v>
      </c>
      <c r="J716" s="3">
        <v>8.52E-13</v>
      </c>
    </row>
    <row r="717" spans="1:10" x14ac:dyDescent="0.2">
      <c r="A717" s="3">
        <v>720</v>
      </c>
      <c r="B717" s="3">
        <v>4.9200000000000001E-7</v>
      </c>
      <c r="C717" s="2">
        <v>3.7269999999999998E-2</v>
      </c>
      <c r="D717" s="3">
        <v>163000</v>
      </c>
      <c r="E717" s="3">
        <v>84900000000</v>
      </c>
      <c r="F717" s="3">
        <v>78700000000</v>
      </c>
      <c r="G717" s="3">
        <v>13300000000</v>
      </c>
      <c r="H717" s="3">
        <v>12500000000</v>
      </c>
      <c r="I717" s="2">
        <v>0.16830000000000001</v>
      </c>
      <c r="J717" s="3">
        <v>1.4000000000000001E-12</v>
      </c>
    </row>
    <row r="718" spans="1:10" x14ac:dyDescent="0.2">
      <c r="A718" s="3">
        <v>720</v>
      </c>
      <c r="B718" s="3">
        <v>4.9299999999999998E-7</v>
      </c>
      <c r="C718" s="2">
        <v>3.7319999999999999E-2</v>
      </c>
      <c r="D718" s="3">
        <v>203000</v>
      </c>
      <c r="E718" s="3">
        <v>102000000000</v>
      </c>
      <c r="F718" s="3">
        <v>92900000000</v>
      </c>
      <c r="G718" s="3">
        <v>3380000000</v>
      </c>
      <c r="H718" s="3">
        <v>11300000000</v>
      </c>
      <c r="I718" s="2">
        <v>3.6389999999999999E-2</v>
      </c>
      <c r="J718" s="3">
        <v>9.0699999999999997E-13</v>
      </c>
    </row>
    <row r="719" spans="1:10" x14ac:dyDescent="0.2">
      <c r="A719" s="3">
        <v>720</v>
      </c>
      <c r="B719" s="3">
        <v>4.9500000000000003E-7</v>
      </c>
      <c r="C719" s="2">
        <v>3.737E-2</v>
      </c>
      <c r="D719" s="3">
        <v>197000</v>
      </c>
      <c r="E719" s="3">
        <v>98700000000</v>
      </c>
      <c r="F719" s="3">
        <v>90400000000</v>
      </c>
      <c r="G719" s="2">
        <v>0</v>
      </c>
      <c r="H719" s="3">
        <v>11400000000</v>
      </c>
      <c r="I719" s="2">
        <v>-4.258E-2</v>
      </c>
      <c r="J719" s="3">
        <v>9.6500000000000003E-13</v>
      </c>
    </row>
    <row r="720" spans="1:10" x14ac:dyDescent="0.2">
      <c r="A720" s="3">
        <v>720</v>
      </c>
      <c r="B720" s="3">
        <v>4.9599999999999999E-7</v>
      </c>
      <c r="C720" s="2">
        <v>3.7420000000000002E-2</v>
      </c>
      <c r="D720" s="3">
        <v>188000</v>
      </c>
      <c r="E720" s="3">
        <v>94700000000</v>
      </c>
      <c r="F720" s="3">
        <v>87000000000</v>
      </c>
      <c r="G720" s="3">
        <v>8300000000</v>
      </c>
      <c r="H720" s="3">
        <v>11700000000</v>
      </c>
      <c r="I720" s="2">
        <v>9.5350000000000004E-2</v>
      </c>
      <c r="J720" s="3">
        <v>1.0599999999999999E-12</v>
      </c>
    </row>
    <row r="721" spans="1:10" x14ac:dyDescent="0.2">
      <c r="A721" s="3">
        <v>720</v>
      </c>
      <c r="B721" s="3">
        <v>4.9699999999999996E-7</v>
      </c>
      <c r="C721" s="2">
        <v>3.7479999999999999E-2</v>
      </c>
      <c r="D721" s="3">
        <v>177000</v>
      </c>
      <c r="E721" s="3">
        <v>89900000000</v>
      </c>
      <c r="F721" s="3">
        <v>82900000000</v>
      </c>
      <c r="G721" s="3">
        <v>5760000000</v>
      </c>
      <c r="H721" s="3">
        <v>12000000000</v>
      </c>
      <c r="I721" s="2">
        <v>6.9430000000000006E-2</v>
      </c>
      <c r="J721" s="3">
        <v>1.1999999999999999E-12</v>
      </c>
    </row>
    <row r="722" spans="1:10" x14ac:dyDescent="0.2">
      <c r="A722" s="3">
        <v>720</v>
      </c>
      <c r="B722" s="3">
        <v>4.9699999999999996E-7</v>
      </c>
      <c r="C722" s="2">
        <v>3.7530000000000001E-2</v>
      </c>
      <c r="D722" s="3">
        <v>215000</v>
      </c>
      <c r="E722" s="3">
        <v>107000000000</v>
      </c>
      <c r="F722" s="3">
        <v>97000000000</v>
      </c>
      <c r="G722" s="3">
        <v>13400000000</v>
      </c>
      <c r="H722" s="3">
        <v>11000000000</v>
      </c>
      <c r="I722" s="2">
        <v>0.13830000000000001</v>
      </c>
      <c r="J722" s="3">
        <v>8.0999999999999998E-13</v>
      </c>
    </row>
    <row r="723" spans="1:10" x14ac:dyDescent="0.2">
      <c r="A723" s="3">
        <v>720</v>
      </c>
      <c r="B723" s="3">
        <v>4.9800000000000004E-7</v>
      </c>
      <c r="C723" s="2">
        <v>3.7580000000000002E-2</v>
      </c>
      <c r="D723" s="3">
        <v>206000</v>
      </c>
      <c r="E723" s="3">
        <v>102000000000</v>
      </c>
      <c r="F723" s="3">
        <v>93400000000</v>
      </c>
      <c r="G723" s="3">
        <v>4610000000</v>
      </c>
      <c r="H723" s="3">
        <v>11200000000</v>
      </c>
      <c r="I723" s="2">
        <v>4.9360000000000001E-2</v>
      </c>
      <c r="J723" s="3">
        <v>8.8900000000000005E-13</v>
      </c>
    </row>
    <row r="724" spans="1:10" x14ac:dyDescent="0.2">
      <c r="A724" s="3">
        <v>720</v>
      </c>
      <c r="B724" s="3">
        <v>4.9900000000000001E-7</v>
      </c>
      <c r="C724" s="2">
        <v>3.7629999999999997E-2</v>
      </c>
      <c r="D724" s="3">
        <v>198000</v>
      </c>
      <c r="E724" s="3">
        <v>98900000000</v>
      </c>
      <c r="F724" s="3">
        <v>90500000000</v>
      </c>
      <c r="G724" s="3">
        <v>3160000000</v>
      </c>
      <c r="H724" s="3">
        <v>11400000000</v>
      </c>
      <c r="I724" s="2">
        <v>3.4860000000000002E-2</v>
      </c>
      <c r="J724" s="3">
        <v>9.5999999999999995E-13</v>
      </c>
    </row>
    <row r="725" spans="1:10" x14ac:dyDescent="0.2">
      <c r="A725" s="3">
        <v>720</v>
      </c>
      <c r="B725" s="3">
        <v>4.9900000000000001E-7</v>
      </c>
      <c r="C725" s="2">
        <v>3.7690000000000001E-2</v>
      </c>
      <c r="D725" s="3">
        <v>184000</v>
      </c>
      <c r="E725" s="3">
        <v>92900000000</v>
      </c>
      <c r="F725" s="3">
        <v>85500000000</v>
      </c>
      <c r="G725" s="3">
        <v>8240000000</v>
      </c>
      <c r="H725" s="3">
        <v>11700000000</v>
      </c>
      <c r="I725" s="2">
        <v>9.6369999999999997E-2</v>
      </c>
      <c r="J725" s="3">
        <v>1.1099999999999999E-12</v>
      </c>
    </row>
    <row r="726" spans="1:10" x14ac:dyDescent="0.2">
      <c r="A726" s="3">
        <v>720</v>
      </c>
      <c r="B726" s="3">
        <v>4.9999999999999998E-7</v>
      </c>
      <c r="C726" s="2">
        <v>3.7740000000000003E-2</v>
      </c>
      <c r="D726" s="3">
        <v>205000</v>
      </c>
      <c r="E726" s="3">
        <v>102000000000</v>
      </c>
      <c r="F726" s="3">
        <v>92800000000</v>
      </c>
      <c r="G726" s="3">
        <v>4240000000</v>
      </c>
      <c r="H726" s="3">
        <v>11200000000</v>
      </c>
      <c r="I726" s="2">
        <v>4.5690000000000001E-2</v>
      </c>
      <c r="J726" s="3">
        <v>9.01E-13</v>
      </c>
    </row>
    <row r="727" spans="1:10" x14ac:dyDescent="0.2">
      <c r="A727" s="3">
        <v>730</v>
      </c>
      <c r="B727" s="3">
        <v>5.0100000000000005E-7</v>
      </c>
      <c r="C727" s="2">
        <v>3.7789999999999997E-2</v>
      </c>
      <c r="D727" s="3">
        <v>204000</v>
      </c>
      <c r="E727" s="3">
        <v>101000000000</v>
      </c>
      <c r="F727" s="3">
        <v>92300000000</v>
      </c>
      <c r="G727" s="3">
        <v>12600000000</v>
      </c>
      <c r="H727" s="3">
        <v>11300000000</v>
      </c>
      <c r="I727" s="2">
        <v>0.13589999999999999</v>
      </c>
      <c r="J727" s="3">
        <v>9.1300000000000005E-13</v>
      </c>
    </row>
    <row r="728" spans="1:10" x14ac:dyDescent="0.2">
      <c r="A728" s="3">
        <v>730</v>
      </c>
      <c r="B728" s="3">
        <v>5.0100000000000005E-7</v>
      </c>
      <c r="C728" s="2">
        <v>3.7839999999999999E-2</v>
      </c>
      <c r="D728" s="3">
        <v>206000</v>
      </c>
      <c r="E728" s="3">
        <v>102000000000</v>
      </c>
      <c r="F728" s="3">
        <v>93300000000</v>
      </c>
      <c r="G728" s="3">
        <v>3550000000</v>
      </c>
      <c r="H728" s="3">
        <v>11200000000</v>
      </c>
      <c r="I728" s="2">
        <v>3.798E-2</v>
      </c>
      <c r="J728" s="3">
        <v>8.9000000000000004E-13</v>
      </c>
    </row>
    <row r="729" spans="1:10" x14ac:dyDescent="0.2">
      <c r="A729" s="3">
        <v>730</v>
      </c>
      <c r="B729" s="3">
        <v>5.0200000000000002E-7</v>
      </c>
      <c r="C729" s="2">
        <v>3.789E-2</v>
      </c>
      <c r="D729" s="3">
        <v>182000</v>
      </c>
      <c r="E729" s="3">
        <v>91600000000</v>
      </c>
      <c r="F729" s="3">
        <v>84400000000</v>
      </c>
      <c r="G729" s="3">
        <v>8370000000</v>
      </c>
      <c r="H729" s="3">
        <v>11800000000</v>
      </c>
      <c r="I729" s="2">
        <v>9.9229999999999999E-2</v>
      </c>
      <c r="J729" s="3">
        <v>1.1499999999999999E-12</v>
      </c>
    </row>
    <row r="730" spans="1:10" x14ac:dyDescent="0.2">
      <c r="A730" s="3">
        <v>730</v>
      </c>
      <c r="B730" s="3">
        <v>5.0200000000000002E-7</v>
      </c>
      <c r="C730" s="2">
        <v>3.7949999999999998E-2</v>
      </c>
      <c r="D730" s="3">
        <v>203000</v>
      </c>
      <c r="E730" s="3">
        <v>101000000000</v>
      </c>
      <c r="F730" s="3">
        <v>91900000000</v>
      </c>
      <c r="G730" s="3">
        <v>13000000000</v>
      </c>
      <c r="H730" s="3">
        <v>11300000000</v>
      </c>
      <c r="I730" s="2">
        <v>0.1416</v>
      </c>
      <c r="J730" s="3">
        <v>9.25E-13</v>
      </c>
    </row>
    <row r="731" spans="1:10" x14ac:dyDescent="0.2">
      <c r="A731" s="3">
        <v>730</v>
      </c>
      <c r="B731" s="3">
        <v>5.0299999999999999E-7</v>
      </c>
      <c r="C731" s="2">
        <v>3.7999999999999999E-2</v>
      </c>
      <c r="D731" s="3">
        <v>202000</v>
      </c>
      <c r="E731" s="3">
        <v>100000000000</v>
      </c>
      <c r="F731" s="3">
        <v>91600000000</v>
      </c>
      <c r="G731" s="3">
        <v>7510000000</v>
      </c>
      <c r="H731" s="3">
        <v>11300000000</v>
      </c>
      <c r="I731" s="2">
        <v>8.1960000000000005E-2</v>
      </c>
      <c r="J731" s="3">
        <v>9.3099999999999997E-13</v>
      </c>
    </row>
    <row r="732" spans="1:10" x14ac:dyDescent="0.2">
      <c r="A732" s="3">
        <v>730</v>
      </c>
      <c r="B732" s="3">
        <v>5.0399999999999996E-7</v>
      </c>
      <c r="C732" s="2">
        <v>3.805E-2</v>
      </c>
      <c r="D732" s="3">
        <v>204000</v>
      </c>
      <c r="E732" s="3">
        <v>101000000000</v>
      </c>
      <c r="F732" s="3">
        <v>92100000000</v>
      </c>
      <c r="G732" s="3">
        <v>4310000000</v>
      </c>
      <c r="H732" s="3">
        <v>11300000000</v>
      </c>
      <c r="I732" s="2">
        <v>4.6820000000000001E-2</v>
      </c>
      <c r="J732" s="3">
        <v>9.1900000000000002E-13</v>
      </c>
    </row>
    <row r="733" spans="1:10" x14ac:dyDescent="0.2">
      <c r="A733" s="3">
        <v>730</v>
      </c>
      <c r="B733" s="3">
        <v>5.0399999999999996E-7</v>
      </c>
      <c r="C733" s="2">
        <v>3.8100000000000002E-2</v>
      </c>
      <c r="D733" s="3">
        <v>234000</v>
      </c>
      <c r="E733" s="3">
        <v>115000000000</v>
      </c>
      <c r="F733" s="3">
        <v>103000000000</v>
      </c>
      <c r="G733" s="2">
        <v>0</v>
      </c>
      <c r="H733" s="3">
        <v>10800000000</v>
      </c>
      <c r="I733" s="2">
        <v>-5.9950000000000003E-2</v>
      </c>
      <c r="J733" s="3">
        <v>6.9499999999999997E-13</v>
      </c>
    </row>
    <row r="734" spans="1:10" x14ac:dyDescent="0.2">
      <c r="A734" s="3">
        <v>730</v>
      </c>
      <c r="B734" s="3">
        <v>5.0500000000000004E-7</v>
      </c>
      <c r="C734" s="2">
        <v>3.8150000000000003E-2</v>
      </c>
      <c r="D734" s="3">
        <v>204000</v>
      </c>
      <c r="E734" s="3">
        <v>101000000000</v>
      </c>
      <c r="F734" s="3">
        <v>92200000000</v>
      </c>
      <c r="G734" s="3">
        <v>2680000000</v>
      </c>
      <c r="H734" s="3">
        <v>11300000000</v>
      </c>
      <c r="I734" s="2">
        <v>2.9059999999999999E-2</v>
      </c>
      <c r="J734" s="3">
        <v>9.1700000000000003E-13</v>
      </c>
    </row>
    <row r="735" spans="1:10" x14ac:dyDescent="0.2">
      <c r="A735" s="3">
        <v>730</v>
      </c>
      <c r="B735" s="3">
        <v>5.0500000000000004E-7</v>
      </c>
      <c r="C735" s="2">
        <v>3.8210000000000001E-2</v>
      </c>
      <c r="D735" s="3">
        <v>201000</v>
      </c>
      <c r="E735" s="3">
        <v>99400000000</v>
      </c>
      <c r="F735" s="3">
        <v>91000000000</v>
      </c>
      <c r="G735" s="2">
        <v>0</v>
      </c>
      <c r="H735" s="3">
        <v>11400000000</v>
      </c>
      <c r="I735" s="2">
        <v>-4.555E-3</v>
      </c>
      <c r="J735" s="3">
        <v>9.490000000000001E-13</v>
      </c>
    </row>
    <row r="736" spans="1:10" x14ac:dyDescent="0.2">
      <c r="A736" s="3">
        <v>730</v>
      </c>
      <c r="B736" s="3">
        <v>5.06E-7</v>
      </c>
      <c r="C736" s="2">
        <v>3.8260000000000002E-2</v>
      </c>
      <c r="D736" s="3">
        <v>196000</v>
      </c>
      <c r="E736" s="3">
        <v>97100000000</v>
      </c>
      <c r="F736" s="3">
        <v>89100000000</v>
      </c>
      <c r="G736" s="3">
        <v>9780000000</v>
      </c>
      <c r="H736" s="3">
        <v>11500000000</v>
      </c>
      <c r="I736" s="2">
        <v>0.10979999999999999</v>
      </c>
      <c r="J736" s="3">
        <v>9.9900000000000009E-13</v>
      </c>
    </row>
    <row r="737" spans="1:10" x14ac:dyDescent="0.2">
      <c r="A737" s="3">
        <v>740</v>
      </c>
      <c r="B737" s="3">
        <v>5.0699999999999997E-7</v>
      </c>
      <c r="C737" s="2">
        <v>3.8309999999999997E-2</v>
      </c>
      <c r="D737" s="3">
        <v>184000</v>
      </c>
      <c r="E737" s="3">
        <v>91900000000</v>
      </c>
      <c r="F737" s="3">
        <v>84600000000</v>
      </c>
      <c r="G737" s="2">
        <v>0</v>
      </c>
      <c r="H737" s="3">
        <v>11800000000</v>
      </c>
      <c r="I737" s="2">
        <v>-2.0140000000000002E-2</v>
      </c>
      <c r="J737" s="3">
        <v>1.14E-12</v>
      </c>
    </row>
    <row r="738" spans="1:10" x14ac:dyDescent="0.2">
      <c r="A738" s="3">
        <v>740</v>
      </c>
      <c r="B738" s="3">
        <v>5.0800000000000005E-7</v>
      </c>
      <c r="C738" s="2">
        <v>3.8359999999999998E-2</v>
      </c>
      <c r="D738" s="3">
        <v>218000</v>
      </c>
      <c r="E738" s="3">
        <v>107000000000</v>
      </c>
      <c r="F738" s="3">
        <v>96900000000</v>
      </c>
      <c r="G738" s="3">
        <v>3040000000</v>
      </c>
      <c r="H738" s="3">
        <v>11000000000</v>
      </c>
      <c r="I738" s="2">
        <v>3.1320000000000001E-2</v>
      </c>
      <c r="J738" s="3">
        <v>8.1099999999999998E-13</v>
      </c>
    </row>
    <row r="739" spans="1:10" x14ac:dyDescent="0.2">
      <c r="A739" s="3">
        <v>740</v>
      </c>
      <c r="B739" s="3">
        <v>5.0800000000000005E-7</v>
      </c>
      <c r="C739" s="2">
        <v>3.8420000000000003E-2</v>
      </c>
      <c r="D739" s="3">
        <v>204000</v>
      </c>
      <c r="E739" s="3">
        <v>100000000000</v>
      </c>
      <c r="F739" s="3">
        <v>91800000000</v>
      </c>
      <c r="G739" s="3">
        <v>11000000000</v>
      </c>
      <c r="H739" s="3">
        <v>11300000000</v>
      </c>
      <c r="I739" s="2">
        <v>0.12</v>
      </c>
      <c r="J739" s="3">
        <v>9.2600000000000009E-13</v>
      </c>
    </row>
    <row r="740" spans="1:10" x14ac:dyDescent="0.2">
      <c r="A740" s="3">
        <v>740</v>
      </c>
      <c r="B740" s="3">
        <v>5.0900000000000002E-7</v>
      </c>
      <c r="C740" s="2">
        <v>3.8469999999999997E-2</v>
      </c>
      <c r="D740" s="3">
        <v>197000</v>
      </c>
      <c r="E740" s="3">
        <v>97500000000</v>
      </c>
      <c r="F740" s="3">
        <v>89400000000</v>
      </c>
      <c r="G740" s="3">
        <v>13100000000</v>
      </c>
      <c r="H740" s="3">
        <v>11500000000</v>
      </c>
      <c r="I740" s="2">
        <v>0.14599999999999999</v>
      </c>
      <c r="J740" s="3">
        <v>9.8899999999999993E-13</v>
      </c>
    </row>
    <row r="741" spans="1:10" x14ac:dyDescent="0.2">
      <c r="A741" s="3">
        <v>740</v>
      </c>
      <c r="B741" s="3">
        <v>5.0900000000000002E-7</v>
      </c>
      <c r="C741" s="2">
        <v>3.8519999999999999E-2</v>
      </c>
      <c r="D741" s="3">
        <v>205000</v>
      </c>
      <c r="E741" s="3">
        <v>101000000000</v>
      </c>
      <c r="F741" s="3">
        <v>92100000000</v>
      </c>
      <c r="G741" s="3">
        <v>3710000000</v>
      </c>
      <c r="H741" s="3">
        <v>11300000000</v>
      </c>
      <c r="I741" s="2">
        <v>4.0259999999999997E-2</v>
      </c>
      <c r="J741" s="3">
        <v>9.1700000000000003E-13</v>
      </c>
    </row>
    <row r="742" spans="1:10" x14ac:dyDescent="0.2">
      <c r="A742" s="3">
        <v>740</v>
      </c>
      <c r="B742" s="3">
        <v>5.0999999999999999E-7</v>
      </c>
      <c r="C742" s="2">
        <v>3.857E-2</v>
      </c>
      <c r="D742" s="3">
        <v>177000</v>
      </c>
      <c r="E742" s="3">
        <v>88700000000</v>
      </c>
      <c r="F742" s="3">
        <v>81900000000</v>
      </c>
      <c r="G742" s="2">
        <v>0</v>
      </c>
      <c r="H742" s="3">
        <v>12000000000</v>
      </c>
      <c r="I742" s="2">
        <v>-2.5260000000000001E-2</v>
      </c>
      <c r="J742" s="3">
        <v>1.24E-12</v>
      </c>
    </row>
    <row r="743" spans="1:10" x14ac:dyDescent="0.2">
      <c r="A743" s="3">
        <v>740</v>
      </c>
      <c r="B743" s="3">
        <v>5.0999999999999999E-7</v>
      </c>
      <c r="C743" s="2">
        <v>3.8620000000000002E-2</v>
      </c>
      <c r="D743" s="3">
        <v>194000</v>
      </c>
      <c r="E743" s="3">
        <v>95800000000</v>
      </c>
      <c r="F743" s="3">
        <v>88000000000</v>
      </c>
      <c r="G743" s="3">
        <v>3030000000</v>
      </c>
      <c r="H743" s="3">
        <v>11500000000</v>
      </c>
      <c r="I743" s="2">
        <v>3.449E-2</v>
      </c>
      <c r="J743" s="3">
        <v>1.0300000000000001E-12</v>
      </c>
    </row>
    <row r="744" spans="1:10" x14ac:dyDescent="0.2">
      <c r="A744" s="3">
        <v>740</v>
      </c>
      <c r="B744" s="3">
        <v>5.1099999999999996E-7</v>
      </c>
      <c r="C744" s="2">
        <v>3.8670000000000003E-2</v>
      </c>
      <c r="D744" s="3">
        <v>209000</v>
      </c>
      <c r="E744" s="3">
        <v>102000000000</v>
      </c>
      <c r="F744" s="3">
        <v>93500000000</v>
      </c>
      <c r="G744" s="3">
        <v>6130000000</v>
      </c>
      <c r="H744" s="3">
        <v>11200000000</v>
      </c>
      <c r="I744" s="2">
        <v>6.5519999999999995E-2</v>
      </c>
      <c r="J744" s="3">
        <v>8.8599999999999996E-13</v>
      </c>
    </row>
    <row r="745" spans="1:10" x14ac:dyDescent="0.2">
      <c r="A745" s="3">
        <v>740</v>
      </c>
      <c r="B745" s="3">
        <v>5.1099999999999996E-7</v>
      </c>
      <c r="C745" s="2">
        <v>3.8730000000000001E-2</v>
      </c>
      <c r="D745" s="3">
        <v>215000</v>
      </c>
      <c r="E745" s="3">
        <v>105000000000</v>
      </c>
      <c r="F745" s="3">
        <v>95700000000</v>
      </c>
      <c r="G745" s="3">
        <v>3160000000</v>
      </c>
      <c r="H745" s="3">
        <v>11100000000</v>
      </c>
      <c r="I745" s="2">
        <v>3.2980000000000002E-2</v>
      </c>
      <c r="J745" s="3">
        <v>8.3699999999999997E-13</v>
      </c>
    </row>
    <row r="746" spans="1:10" x14ac:dyDescent="0.2">
      <c r="A746" s="3">
        <v>740</v>
      </c>
      <c r="B746" s="3">
        <v>5.1200000000000003E-7</v>
      </c>
      <c r="C746" s="2">
        <v>3.8780000000000002E-2</v>
      </c>
      <c r="D746" s="3">
        <v>210000</v>
      </c>
      <c r="E746" s="3">
        <v>103000000000</v>
      </c>
      <c r="F746" s="3">
        <v>93600000000</v>
      </c>
      <c r="G746" s="3">
        <v>6870000000</v>
      </c>
      <c r="H746" s="3">
        <v>11200000000</v>
      </c>
      <c r="I746" s="2">
        <v>7.3419999999999999E-2</v>
      </c>
      <c r="J746" s="3">
        <v>8.8299999999999997E-13</v>
      </c>
    </row>
    <row r="747" spans="1:10" x14ac:dyDescent="0.2">
      <c r="A747" s="3">
        <v>750</v>
      </c>
      <c r="B747" s="3">
        <v>5.13E-7</v>
      </c>
      <c r="C747" s="2">
        <v>3.8830000000000003E-2</v>
      </c>
      <c r="D747" s="3">
        <v>213000</v>
      </c>
      <c r="E747" s="3">
        <v>104000000000</v>
      </c>
      <c r="F747" s="3">
        <v>94900000000</v>
      </c>
      <c r="G747" s="2">
        <v>0</v>
      </c>
      <c r="H747" s="3">
        <v>11100000000</v>
      </c>
      <c r="I747" s="2">
        <v>-3.8780000000000002E-2</v>
      </c>
      <c r="J747" s="3">
        <v>8.53E-13</v>
      </c>
    </row>
    <row r="748" spans="1:10" x14ac:dyDescent="0.2">
      <c r="A748" s="3">
        <v>750</v>
      </c>
      <c r="B748" s="3">
        <v>5.1399999999999997E-7</v>
      </c>
      <c r="C748" s="2">
        <v>3.8879999999999998E-2</v>
      </c>
      <c r="D748" s="3">
        <v>207000</v>
      </c>
      <c r="E748" s="3">
        <v>101000000000</v>
      </c>
      <c r="F748" s="3">
        <v>92500000000</v>
      </c>
      <c r="G748" s="3">
        <v>5860000000</v>
      </c>
      <c r="H748" s="3">
        <v>11300000000</v>
      </c>
      <c r="I748" s="2">
        <v>6.3390000000000002E-2</v>
      </c>
      <c r="J748" s="3">
        <v>9.0899999999999996E-13</v>
      </c>
    </row>
    <row r="749" spans="1:10" x14ac:dyDescent="0.2">
      <c r="A749" s="3">
        <v>750</v>
      </c>
      <c r="B749" s="3">
        <v>5.1399999999999997E-7</v>
      </c>
      <c r="C749" s="2">
        <v>3.8940000000000002E-2</v>
      </c>
      <c r="D749" s="3">
        <v>180000</v>
      </c>
      <c r="E749" s="3">
        <v>89700000000</v>
      </c>
      <c r="F749" s="3">
        <v>82800000000</v>
      </c>
      <c r="G749" s="3">
        <v>7520000000</v>
      </c>
      <c r="H749" s="3">
        <v>11900000000</v>
      </c>
      <c r="I749" s="2">
        <v>9.0810000000000002E-2</v>
      </c>
      <c r="J749" s="3">
        <v>1.1999999999999999E-12</v>
      </c>
    </row>
    <row r="750" spans="1:10" x14ac:dyDescent="0.2">
      <c r="A750" s="3">
        <v>750</v>
      </c>
      <c r="B750" s="3">
        <v>5.1399999999999997E-7</v>
      </c>
      <c r="C750" s="2">
        <v>3.8989999999999997E-2</v>
      </c>
      <c r="D750" s="3">
        <v>207000</v>
      </c>
      <c r="E750" s="3">
        <v>101000000000</v>
      </c>
      <c r="F750" s="3">
        <v>92500000000</v>
      </c>
      <c r="G750" s="3">
        <v>3240000000</v>
      </c>
      <c r="H750" s="3">
        <v>11300000000</v>
      </c>
      <c r="I750" s="2">
        <v>3.5000000000000003E-2</v>
      </c>
      <c r="J750" s="3">
        <v>9.0899999999999996E-13</v>
      </c>
    </row>
    <row r="751" spans="1:10" x14ac:dyDescent="0.2">
      <c r="A751" s="3">
        <v>750</v>
      </c>
      <c r="B751" s="3">
        <v>5.1500000000000005E-7</v>
      </c>
      <c r="C751" s="2">
        <v>3.9039999999999998E-2</v>
      </c>
      <c r="D751" s="3">
        <v>209000</v>
      </c>
      <c r="E751" s="3">
        <v>102000000000</v>
      </c>
      <c r="F751" s="3">
        <v>93200000000</v>
      </c>
      <c r="G751" s="3">
        <v>6210000000</v>
      </c>
      <c r="H751" s="3">
        <v>11200000000</v>
      </c>
      <c r="I751" s="2">
        <v>6.6669999999999993E-2</v>
      </c>
      <c r="J751" s="3">
        <v>8.9300000000000003E-13</v>
      </c>
    </row>
    <row r="752" spans="1:10" x14ac:dyDescent="0.2">
      <c r="A752" s="3">
        <v>750</v>
      </c>
      <c r="B752" s="3">
        <v>5.1600000000000001E-7</v>
      </c>
      <c r="C752" s="2">
        <v>3.909E-2</v>
      </c>
      <c r="D752" s="3">
        <v>221000</v>
      </c>
      <c r="E752" s="3">
        <v>107000000000</v>
      </c>
      <c r="F752" s="3">
        <v>97400000000</v>
      </c>
      <c r="G752" s="3">
        <v>15700000000</v>
      </c>
      <c r="H752" s="3">
        <v>11000000000</v>
      </c>
      <c r="I752" s="2">
        <v>0.1615</v>
      </c>
      <c r="J752" s="3">
        <v>8.0200000000000002E-13</v>
      </c>
    </row>
    <row r="753" spans="1:10" x14ac:dyDescent="0.2">
      <c r="A753" s="3">
        <v>750</v>
      </c>
      <c r="B753" s="3">
        <v>5.1699999999999998E-7</v>
      </c>
      <c r="C753" s="2">
        <v>3.9140000000000001E-2</v>
      </c>
      <c r="D753" s="3">
        <v>221000</v>
      </c>
      <c r="E753" s="3">
        <v>107000000000</v>
      </c>
      <c r="F753" s="3">
        <v>97400000000</v>
      </c>
      <c r="G753" s="3">
        <v>10400000000</v>
      </c>
      <c r="H753" s="3">
        <v>11000000000</v>
      </c>
      <c r="I753" s="2">
        <v>0.1069</v>
      </c>
      <c r="J753" s="3">
        <v>8.0100000000000002E-13</v>
      </c>
    </row>
    <row r="754" spans="1:10" x14ac:dyDescent="0.2">
      <c r="A754" s="3">
        <v>750</v>
      </c>
      <c r="B754" s="3">
        <v>5.1699999999999998E-7</v>
      </c>
      <c r="C754" s="2">
        <v>3.9199999999999999E-2</v>
      </c>
      <c r="D754" s="3">
        <v>227000</v>
      </c>
      <c r="E754" s="3">
        <v>110000000000</v>
      </c>
      <c r="F754" s="3">
        <v>99500000000</v>
      </c>
      <c r="G754" s="2">
        <v>0</v>
      </c>
      <c r="H754" s="3">
        <v>10900000000</v>
      </c>
      <c r="I754" s="2">
        <v>-1.578E-3</v>
      </c>
      <c r="J754" s="3">
        <v>7.6299999999999998E-13</v>
      </c>
    </row>
    <row r="755" spans="1:10" x14ac:dyDescent="0.2">
      <c r="A755" s="3">
        <v>750</v>
      </c>
      <c r="B755" s="3">
        <v>5.1799999999999995E-7</v>
      </c>
      <c r="C755" s="2">
        <v>3.925E-2</v>
      </c>
      <c r="D755" s="3">
        <v>201000</v>
      </c>
      <c r="E755" s="3">
        <v>98100000000</v>
      </c>
      <c r="F755" s="3">
        <v>89900000000</v>
      </c>
      <c r="G755" s="3">
        <v>3480000000</v>
      </c>
      <c r="H755" s="3">
        <v>11400000000</v>
      </c>
      <c r="I755" s="2">
        <v>3.8719999999999997E-2</v>
      </c>
      <c r="J755" s="3">
        <v>9.7299999999999999E-13</v>
      </c>
    </row>
    <row r="756" spans="1:10" x14ac:dyDescent="0.2">
      <c r="A756" s="3">
        <v>750</v>
      </c>
      <c r="B756" s="3">
        <v>5.1799999999999995E-7</v>
      </c>
      <c r="C756" s="2">
        <v>3.9300000000000002E-2</v>
      </c>
      <c r="D756" s="3">
        <v>203000</v>
      </c>
      <c r="E756" s="3">
        <v>99100000000</v>
      </c>
      <c r="F756" s="3">
        <v>90700000000</v>
      </c>
      <c r="G756" s="3">
        <v>6190000000</v>
      </c>
      <c r="H756" s="3">
        <v>11400000000</v>
      </c>
      <c r="I756" s="2">
        <v>6.8229999999999999E-2</v>
      </c>
      <c r="J756" s="3">
        <v>9.5300000000000008E-13</v>
      </c>
    </row>
    <row r="757" spans="1:10" x14ac:dyDescent="0.2">
      <c r="A757" s="3">
        <v>760</v>
      </c>
      <c r="B757" s="3">
        <v>5.1900000000000003E-7</v>
      </c>
      <c r="C757" s="2">
        <v>3.9350000000000003E-2</v>
      </c>
      <c r="D757" s="3">
        <v>196000</v>
      </c>
      <c r="E757" s="3">
        <v>95900000000</v>
      </c>
      <c r="F757" s="3">
        <v>88000000000</v>
      </c>
      <c r="G757" s="3">
        <v>5920000000</v>
      </c>
      <c r="H757" s="3">
        <v>11500000000</v>
      </c>
      <c r="I757" s="2">
        <v>6.7299999999999999E-2</v>
      </c>
      <c r="J757" s="3">
        <v>1.0300000000000001E-12</v>
      </c>
    </row>
    <row r="758" spans="1:10" x14ac:dyDescent="0.2">
      <c r="A758" s="3">
        <v>760</v>
      </c>
      <c r="B758" s="3">
        <v>5.2E-7</v>
      </c>
      <c r="C758" s="2">
        <v>3.9410000000000001E-2</v>
      </c>
      <c r="D758" s="3">
        <v>209000</v>
      </c>
      <c r="E758" s="3">
        <v>101000000000</v>
      </c>
      <c r="F758" s="3">
        <v>92700000000</v>
      </c>
      <c r="G758" s="3">
        <v>2790000000</v>
      </c>
      <c r="H758" s="3">
        <v>11300000000</v>
      </c>
      <c r="I758" s="2">
        <v>3.0079999999999999E-2</v>
      </c>
      <c r="J758" s="3">
        <v>9.0399999999999999E-13</v>
      </c>
    </row>
    <row r="759" spans="1:10" x14ac:dyDescent="0.2">
      <c r="A759" s="3">
        <v>760</v>
      </c>
      <c r="B759" s="3">
        <v>5.2E-7</v>
      </c>
      <c r="C759" s="2">
        <v>3.9460000000000002E-2</v>
      </c>
      <c r="D759" s="3">
        <v>216000</v>
      </c>
      <c r="E759" s="3">
        <v>105000000000</v>
      </c>
      <c r="F759" s="3">
        <v>95300000000</v>
      </c>
      <c r="G759" s="3">
        <v>11600000000</v>
      </c>
      <c r="H759" s="3">
        <v>11100000000</v>
      </c>
      <c r="I759" s="2">
        <v>0.12139999999999999</v>
      </c>
      <c r="J759" s="3">
        <v>8.4600000000000003E-13</v>
      </c>
    </row>
    <row r="760" spans="1:10" x14ac:dyDescent="0.2">
      <c r="A760" s="3">
        <v>760</v>
      </c>
      <c r="B760" s="3">
        <v>5.2099999999999997E-7</v>
      </c>
      <c r="C760" s="2">
        <v>3.9510000000000003E-2</v>
      </c>
      <c r="D760" s="3">
        <v>201000</v>
      </c>
      <c r="E760" s="3">
        <v>97700000000</v>
      </c>
      <c r="F760" s="3">
        <v>89600000000</v>
      </c>
      <c r="G760" s="3">
        <v>1380000000</v>
      </c>
      <c r="H760" s="3">
        <v>11400000000</v>
      </c>
      <c r="I760" s="2">
        <v>1.5440000000000001E-2</v>
      </c>
      <c r="J760" s="3">
        <v>9.8299999999999995E-13</v>
      </c>
    </row>
    <row r="761" spans="1:10" x14ac:dyDescent="0.2">
      <c r="A761" s="3">
        <v>760</v>
      </c>
      <c r="B761" s="3">
        <v>5.2099999999999997E-7</v>
      </c>
      <c r="C761" s="2">
        <v>3.9559999999999998E-2</v>
      </c>
      <c r="D761" s="3">
        <v>203000</v>
      </c>
      <c r="E761" s="3">
        <v>98700000000</v>
      </c>
      <c r="F761" s="3">
        <v>90400000000</v>
      </c>
      <c r="G761" s="3">
        <v>1490000000</v>
      </c>
      <c r="H761" s="3">
        <v>11400000000</v>
      </c>
      <c r="I761" s="2">
        <v>1.643E-2</v>
      </c>
      <c r="J761" s="3">
        <v>9.6100000000000005E-13</v>
      </c>
    </row>
    <row r="762" spans="1:10" x14ac:dyDescent="0.2">
      <c r="A762" s="3">
        <v>760</v>
      </c>
      <c r="B762" s="3">
        <v>5.2200000000000004E-7</v>
      </c>
      <c r="C762" s="2">
        <v>3.9609999999999999E-2</v>
      </c>
      <c r="D762" s="3">
        <v>199000</v>
      </c>
      <c r="E762" s="3">
        <v>96900000000</v>
      </c>
      <c r="F762" s="3">
        <v>88900000000</v>
      </c>
      <c r="G762" s="2">
        <v>0</v>
      </c>
      <c r="H762" s="3">
        <v>11500000000</v>
      </c>
      <c r="I762" s="2">
        <v>-3.875E-2</v>
      </c>
      <c r="J762" s="3">
        <v>9.9999999999999998E-13</v>
      </c>
    </row>
    <row r="763" spans="1:10" x14ac:dyDescent="0.2">
      <c r="A763" s="3">
        <v>760</v>
      </c>
      <c r="B763" s="3">
        <v>5.2300000000000001E-7</v>
      </c>
      <c r="C763" s="2">
        <v>3.9669999999999997E-2</v>
      </c>
      <c r="D763" s="3">
        <v>220000</v>
      </c>
      <c r="E763" s="3">
        <v>106000000000</v>
      </c>
      <c r="F763" s="3">
        <v>96600000000</v>
      </c>
      <c r="G763" s="3">
        <v>3250000000</v>
      </c>
      <c r="H763" s="3">
        <v>11100000000</v>
      </c>
      <c r="I763" s="2">
        <v>3.3640000000000003E-2</v>
      </c>
      <c r="J763" s="3">
        <v>8.1699999999999995E-13</v>
      </c>
    </row>
    <row r="764" spans="1:10" x14ac:dyDescent="0.2">
      <c r="A764" s="3">
        <v>760</v>
      </c>
      <c r="B764" s="3">
        <v>5.2300000000000001E-7</v>
      </c>
      <c r="C764" s="2">
        <v>3.9719999999999998E-2</v>
      </c>
      <c r="D764" s="3">
        <v>194000</v>
      </c>
      <c r="E764" s="3">
        <v>94700000000</v>
      </c>
      <c r="F764" s="3">
        <v>87100000000</v>
      </c>
      <c r="G764" s="3">
        <v>5730000000</v>
      </c>
      <c r="H764" s="3">
        <v>11600000000</v>
      </c>
      <c r="I764" s="2">
        <v>6.5780000000000005E-2</v>
      </c>
      <c r="J764" s="3">
        <v>1.0599999999999999E-12</v>
      </c>
    </row>
    <row r="765" spans="1:10" x14ac:dyDescent="0.2">
      <c r="A765" s="3">
        <v>760</v>
      </c>
      <c r="B765" s="3">
        <v>5.2399999999999998E-7</v>
      </c>
      <c r="C765" s="2">
        <v>3.977E-2</v>
      </c>
      <c r="D765" s="3">
        <v>210000</v>
      </c>
      <c r="E765" s="3">
        <v>101000000000</v>
      </c>
      <c r="F765" s="3">
        <v>92700000000</v>
      </c>
      <c r="G765" s="3">
        <v>9970000000</v>
      </c>
      <c r="H765" s="3">
        <v>11300000000</v>
      </c>
      <c r="I765" s="2">
        <v>0.1075</v>
      </c>
      <c r="J765" s="3">
        <v>9.0399999999999999E-13</v>
      </c>
    </row>
    <row r="766" spans="1:10" x14ac:dyDescent="0.2">
      <c r="A766" s="3">
        <v>760</v>
      </c>
      <c r="B766" s="3">
        <v>5.2399999999999998E-7</v>
      </c>
      <c r="C766" s="2">
        <v>3.9829999999999997E-2</v>
      </c>
      <c r="D766" s="3">
        <v>206000</v>
      </c>
      <c r="E766" s="3">
        <v>99900000000</v>
      </c>
      <c r="F766" s="3">
        <v>91400000000</v>
      </c>
      <c r="G766" s="2">
        <v>0</v>
      </c>
      <c r="H766" s="3">
        <v>11300000000</v>
      </c>
      <c r="I766" s="2">
        <v>-4.1419999999999998E-3</v>
      </c>
      <c r="J766" s="3">
        <v>9.3600000000000005E-13</v>
      </c>
    </row>
    <row r="767" spans="1:10" x14ac:dyDescent="0.2">
      <c r="A767" s="3">
        <v>770</v>
      </c>
      <c r="B767" s="3">
        <v>5.2499999999999995E-7</v>
      </c>
      <c r="C767" s="2">
        <v>3.9870000000000003E-2</v>
      </c>
      <c r="D767" s="3">
        <v>218000</v>
      </c>
      <c r="E767" s="3">
        <v>105000000000</v>
      </c>
      <c r="F767" s="3">
        <v>95600000000</v>
      </c>
      <c r="G767" s="2">
        <v>0</v>
      </c>
      <c r="H767" s="3">
        <v>11100000000</v>
      </c>
      <c r="I767" s="2">
        <v>-2.5350000000000001E-2</v>
      </c>
      <c r="J767" s="3">
        <v>8.3899999999999996E-13</v>
      </c>
    </row>
    <row r="768" spans="1:10" x14ac:dyDescent="0.2">
      <c r="A768" s="3">
        <v>770</v>
      </c>
      <c r="B768" s="3">
        <v>5.2499999999999995E-7</v>
      </c>
      <c r="C768" s="2">
        <v>3.993E-2</v>
      </c>
      <c r="D768" s="3">
        <v>187000</v>
      </c>
      <c r="E768" s="3">
        <v>91600000000</v>
      </c>
      <c r="F768" s="3">
        <v>84400000000</v>
      </c>
      <c r="G768" s="2">
        <v>0</v>
      </c>
      <c r="H768" s="3">
        <v>11800000000</v>
      </c>
      <c r="I768" s="2">
        <v>-4.1320000000000003E-2</v>
      </c>
      <c r="J768" s="3">
        <v>1.14E-12</v>
      </c>
    </row>
    <row r="769" spans="1:10" x14ac:dyDescent="0.2">
      <c r="A769" s="3">
        <v>770</v>
      </c>
      <c r="B769" s="3">
        <v>5.2600000000000002E-7</v>
      </c>
      <c r="C769" s="2">
        <v>3.9980000000000002E-2</v>
      </c>
      <c r="D769" s="3">
        <v>213000</v>
      </c>
      <c r="E769" s="3">
        <v>103000000000</v>
      </c>
      <c r="F769" s="3">
        <v>93600000000</v>
      </c>
      <c r="G769" s="3">
        <v>2880000000</v>
      </c>
      <c r="H769" s="3">
        <v>11200000000</v>
      </c>
      <c r="I769" s="2">
        <v>3.075E-2</v>
      </c>
      <c r="J769" s="3">
        <v>8.8299999999999997E-13</v>
      </c>
    </row>
    <row r="770" spans="1:10" x14ac:dyDescent="0.2">
      <c r="A770" s="3">
        <v>770</v>
      </c>
      <c r="B770" s="3">
        <v>5.2699999999999999E-7</v>
      </c>
      <c r="C770" s="2">
        <v>4.0030000000000003E-2</v>
      </c>
      <c r="D770" s="3">
        <v>221000</v>
      </c>
      <c r="E770" s="3">
        <v>106000000000</v>
      </c>
      <c r="F770" s="3">
        <v>96600000000</v>
      </c>
      <c r="G770" s="3">
        <v>3590000000</v>
      </c>
      <c r="H770" s="3">
        <v>11000000000</v>
      </c>
      <c r="I770" s="2">
        <v>3.7159999999999999E-2</v>
      </c>
      <c r="J770" s="3">
        <v>8.1699999999999995E-13</v>
      </c>
    </row>
    <row r="771" spans="1:10" x14ac:dyDescent="0.2">
      <c r="A771" s="3">
        <v>770</v>
      </c>
      <c r="B771" s="3">
        <v>5.2799999999999996E-7</v>
      </c>
      <c r="C771" s="2">
        <v>4.0079999999999998E-2</v>
      </c>
      <c r="D771" s="3">
        <v>206000</v>
      </c>
      <c r="E771" s="3">
        <v>99200000000</v>
      </c>
      <c r="F771" s="3">
        <v>90800000000</v>
      </c>
      <c r="G771" s="3">
        <v>6610000000</v>
      </c>
      <c r="H771" s="3">
        <v>11300000000</v>
      </c>
      <c r="I771" s="2">
        <v>7.2789999999999994E-2</v>
      </c>
      <c r="J771" s="3">
        <v>9.490000000000001E-13</v>
      </c>
    </row>
    <row r="772" spans="1:10" x14ac:dyDescent="0.2">
      <c r="A772" s="3">
        <v>770</v>
      </c>
      <c r="B772" s="3">
        <v>5.2799999999999996E-7</v>
      </c>
      <c r="C772" s="2">
        <v>4.0140000000000002E-2</v>
      </c>
      <c r="D772" s="3">
        <v>210000</v>
      </c>
      <c r="E772" s="3">
        <v>101000000000</v>
      </c>
      <c r="F772" s="3">
        <v>92500000000</v>
      </c>
      <c r="G772" s="3">
        <v>2570000000</v>
      </c>
      <c r="H772" s="3">
        <v>11300000000</v>
      </c>
      <c r="I772" s="2">
        <v>2.7779999999999999E-2</v>
      </c>
      <c r="J772" s="3">
        <v>9.0899999999999996E-13</v>
      </c>
    </row>
    <row r="773" spans="1:10" x14ac:dyDescent="0.2">
      <c r="A773" s="3">
        <v>770</v>
      </c>
      <c r="B773" s="3">
        <v>5.2900000000000004E-7</v>
      </c>
      <c r="C773" s="2">
        <v>4.0189999999999997E-2</v>
      </c>
      <c r="D773" s="3">
        <v>216000</v>
      </c>
      <c r="E773" s="3">
        <v>104000000000</v>
      </c>
      <c r="F773" s="3">
        <v>94700000000</v>
      </c>
      <c r="G773" s="3">
        <v>5900000000</v>
      </c>
      <c r="H773" s="3">
        <v>11100000000</v>
      </c>
      <c r="I773" s="2">
        <v>6.2269999999999999E-2</v>
      </c>
      <c r="J773" s="3">
        <v>8.5799999999999998E-13</v>
      </c>
    </row>
    <row r="774" spans="1:10" x14ac:dyDescent="0.2">
      <c r="A774" s="3">
        <v>770</v>
      </c>
      <c r="B774" s="3">
        <v>5.2900000000000004E-7</v>
      </c>
      <c r="C774" s="2">
        <v>4.0239999999999998E-2</v>
      </c>
      <c r="D774" s="3">
        <v>234000</v>
      </c>
      <c r="E774" s="3">
        <v>112000000000</v>
      </c>
      <c r="F774" s="3">
        <v>101000000000</v>
      </c>
      <c r="G774" s="3">
        <v>3160000000</v>
      </c>
      <c r="H774" s="3">
        <v>10900000000</v>
      </c>
      <c r="I774" s="2">
        <v>3.125E-2</v>
      </c>
      <c r="J774" s="3">
        <v>7.35E-13</v>
      </c>
    </row>
    <row r="775" spans="1:10" x14ac:dyDescent="0.2">
      <c r="A775" s="3">
        <v>770</v>
      </c>
      <c r="B775" s="3">
        <v>5.3000000000000001E-7</v>
      </c>
      <c r="C775" s="2">
        <v>4.0289999999999999E-2</v>
      </c>
      <c r="D775" s="3">
        <v>192000</v>
      </c>
      <c r="E775" s="3">
        <v>93400000000</v>
      </c>
      <c r="F775" s="3">
        <v>85900000000</v>
      </c>
      <c r="G775" s="2">
        <v>0</v>
      </c>
      <c r="H775" s="3">
        <v>11700000000</v>
      </c>
      <c r="I775" s="2">
        <v>-4.197E-2</v>
      </c>
      <c r="J775" s="3">
        <v>1.09E-12</v>
      </c>
    </row>
    <row r="776" spans="1:10" x14ac:dyDescent="0.2">
      <c r="A776" s="3">
        <v>770</v>
      </c>
      <c r="B776" s="3">
        <v>5.3099999999999998E-7</v>
      </c>
      <c r="C776" s="2">
        <v>4.0340000000000001E-2</v>
      </c>
      <c r="D776" s="3">
        <v>220000</v>
      </c>
      <c r="E776" s="3">
        <v>105000000000</v>
      </c>
      <c r="F776" s="3">
        <v>95900000000</v>
      </c>
      <c r="G776" s="2">
        <v>0</v>
      </c>
      <c r="H776" s="3">
        <v>11100000000</v>
      </c>
      <c r="I776" s="2">
        <v>-8.3830000000000002E-2</v>
      </c>
      <c r="J776" s="3">
        <v>8.3299999999999998E-13</v>
      </c>
    </row>
    <row r="777" spans="1:10" x14ac:dyDescent="0.2">
      <c r="A777" s="3">
        <v>780</v>
      </c>
      <c r="B777" s="3">
        <v>5.3099999999999998E-7</v>
      </c>
      <c r="C777" s="2">
        <v>4.0399999999999998E-2</v>
      </c>
      <c r="D777" s="3">
        <v>209000</v>
      </c>
      <c r="E777" s="3">
        <v>101000000000</v>
      </c>
      <c r="F777" s="3">
        <v>91900000000</v>
      </c>
      <c r="G777" s="3">
        <v>2780000000</v>
      </c>
      <c r="H777" s="3">
        <v>11300000000</v>
      </c>
      <c r="I777" s="2">
        <v>3.022E-2</v>
      </c>
      <c r="J777" s="3">
        <v>9.2300000000000001E-13</v>
      </c>
    </row>
    <row r="778" spans="1:10" x14ac:dyDescent="0.2">
      <c r="A778" s="3">
        <v>780</v>
      </c>
      <c r="B778" s="3">
        <v>5.3200000000000005E-7</v>
      </c>
      <c r="C778" s="2">
        <v>4.045E-2</v>
      </c>
      <c r="D778" s="3">
        <v>224000</v>
      </c>
      <c r="E778" s="3">
        <v>107000000000</v>
      </c>
      <c r="F778" s="3">
        <v>97000000000</v>
      </c>
      <c r="G778" s="3">
        <v>2720000000</v>
      </c>
      <c r="H778" s="3">
        <v>11000000000</v>
      </c>
      <c r="I778" s="2">
        <v>2.8070000000000001E-2</v>
      </c>
      <c r="J778" s="3">
        <v>8.0799999999999999E-13</v>
      </c>
    </row>
    <row r="779" spans="1:10" x14ac:dyDescent="0.2">
      <c r="A779" s="3">
        <v>780</v>
      </c>
      <c r="B779" s="3">
        <v>5.3200000000000005E-7</v>
      </c>
      <c r="C779" s="2">
        <v>4.0500000000000001E-2</v>
      </c>
      <c r="D779" s="3">
        <v>185000</v>
      </c>
      <c r="E779" s="3">
        <v>90400000000</v>
      </c>
      <c r="F779" s="3">
        <v>83400000000</v>
      </c>
      <c r="G779" s="3">
        <v>7280000000</v>
      </c>
      <c r="H779" s="3">
        <v>11900000000</v>
      </c>
      <c r="I779" s="2">
        <v>8.7300000000000003E-2</v>
      </c>
      <c r="J779" s="3">
        <v>1.18E-12</v>
      </c>
    </row>
    <row r="780" spans="1:10" x14ac:dyDescent="0.2">
      <c r="A780" s="3">
        <v>780</v>
      </c>
      <c r="B780" s="3">
        <v>5.3300000000000002E-7</v>
      </c>
      <c r="C780" s="2">
        <v>4.0550000000000003E-2</v>
      </c>
      <c r="D780" s="3">
        <v>229000</v>
      </c>
      <c r="E780" s="3">
        <v>109000000000</v>
      </c>
      <c r="F780" s="3">
        <v>98700000000</v>
      </c>
      <c r="G780" s="3">
        <v>5570000000</v>
      </c>
      <c r="H780" s="3">
        <v>11000000000</v>
      </c>
      <c r="I780" s="2">
        <v>5.6399999999999999E-2</v>
      </c>
      <c r="J780" s="3">
        <v>7.7600000000000003E-13</v>
      </c>
    </row>
    <row r="781" spans="1:10" x14ac:dyDescent="0.2">
      <c r="A781" s="3">
        <v>780</v>
      </c>
      <c r="B781" s="3">
        <v>5.3399999999999999E-7</v>
      </c>
      <c r="C781" s="2">
        <v>4.0599999999999997E-2</v>
      </c>
      <c r="D781" s="3">
        <v>219000</v>
      </c>
      <c r="E781" s="3">
        <v>105000000000</v>
      </c>
      <c r="F781" s="3">
        <v>95300000000</v>
      </c>
      <c r="G781" s="3">
        <v>1470000000</v>
      </c>
      <c r="H781" s="3">
        <v>11100000000</v>
      </c>
      <c r="I781" s="2">
        <v>1.537E-2</v>
      </c>
      <c r="J781" s="3">
        <v>8.4500000000000003E-13</v>
      </c>
    </row>
    <row r="782" spans="1:10" x14ac:dyDescent="0.2">
      <c r="A782" s="3">
        <v>780</v>
      </c>
      <c r="B782" s="3">
        <v>5.3399999999999999E-7</v>
      </c>
      <c r="C782" s="2">
        <v>4.0660000000000002E-2</v>
      </c>
      <c r="D782" s="3">
        <v>179000</v>
      </c>
      <c r="E782" s="3">
        <v>87700000000</v>
      </c>
      <c r="F782" s="3">
        <v>81100000000</v>
      </c>
      <c r="G782" s="3">
        <v>8700000000</v>
      </c>
      <c r="H782" s="3">
        <v>12000000000</v>
      </c>
      <c r="I782" s="2">
        <v>0.1072</v>
      </c>
      <c r="J782" s="3">
        <v>1.2600000000000001E-12</v>
      </c>
    </row>
    <row r="783" spans="1:10" x14ac:dyDescent="0.2">
      <c r="A783" s="3">
        <v>780</v>
      </c>
      <c r="B783" s="3">
        <v>5.3499999999999996E-7</v>
      </c>
      <c r="C783" s="2">
        <v>4.0710000000000003E-2</v>
      </c>
      <c r="D783" s="3">
        <v>222000</v>
      </c>
      <c r="E783" s="3">
        <v>105000000000</v>
      </c>
      <c r="F783" s="3">
        <v>96000000000</v>
      </c>
      <c r="G783" s="2">
        <v>0</v>
      </c>
      <c r="H783" s="3">
        <v>11100000000</v>
      </c>
      <c r="I783" s="2">
        <v>-2.6580000000000002E-3</v>
      </c>
      <c r="J783" s="3">
        <v>8.29E-13</v>
      </c>
    </row>
    <row r="784" spans="1:10" x14ac:dyDescent="0.2">
      <c r="A784" s="3">
        <v>780</v>
      </c>
      <c r="B784" s="3">
        <v>5.3600000000000004E-7</v>
      </c>
      <c r="C784" s="2">
        <v>4.0759999999999998E-2</v>
      </c>
      <c r="D784" s="3">
        <v>206000</v>
      </c>
      <c r="E784" s="3">
        <v>98900000000</v>
      </c>
      <c r="F784" s="3">
        <v>90500000000</v>
      </c>
      <c r="G784" s="3">
        <v>5390000000</v>
      </c>
      <c r="H784" s="3">
        <v>11400000000</v>
      </c>
      <c r="I784" s="2">
        <v>5.9540000000000003E-2</v>
      </c>
      <c r="J784" s="3">
        <v>9.5700000000000006E-13</v>
      </c>
    </row>
    <row r="785" spans="1:10" x14ac:dyDescent="0.2">
      <c r="A785" s="3">
        <v>780</v>
      </c>
      <c r="B785" s="3">
        <v>5.3600000000000004E-7</v>
      </c>
      <c r="C785" s="2">
        <v>4.0809999999999999E-2</v>
      </c>
      <c r="D785" s="3">
        <v>201000</v>
      </c>
      <c r="E785" s="3">
        <v>96500000000</v>
      </c>
      <c r="F785" s="3">
        <v>88500000000</v>
      </c>
      <c r="G785" s="3">
        <v>7940000000</v>
      </c>
      <c r="H785" s="3">
        <v>11500000000</v>
      </c>
      <c r="I785" s="2">
        <v>8.9709999999999998E-2</v>
      </c>
      <c r="J785" s="3">
        <v>1.0099999999999999E-12</v>
      </c>
    </row>
    <row r="786" spans="1:10" x14ac:dyDescent="0.2">
      <c r="A786" s="3">
        <v>780</v>
      </c>
      <c r="B786" s="3">
        <v>5.37E-7</v>
      </c>
      <c r="C786" s="2">
        <v>4.0869999999999997E-2</v>
      </c>
      <c r="D786" s="3">
        <v>193000</v>
      </c>
      <c r="E786" s="3">
        <v>93200000000</v>
      </c>
      <c r="F786" s="3">
        <v>85800000000</v>
      </c>
      <c r="G786" s="3">
        <v>4810000000</v>
      </c>
      <c r="H786" s="3">
        <v>11700000000</v>
      </c>
      <c r="I786" s="2">
        <v>5.6050000000000003E-2</v>
      </c>
      <c r="J786" s="3">
        <v>1.09E-12</v>
      </c>
    </row>
    <row r="787" spans="1:10" x14ac:dyDescent="0.2">
      <c r="A787" s="3">
        <v>790</v>
      </c>
      <c r="B787" s="3">
        <v>5.37E-7</v>
      </c>
      <c r="C787" s="2">
        <v>4.0919999999999998E-2</v>
      </c>
      <c r="D787" s="3">
        <v>209000</v>
      </c>
      <c r="E787" s="3">
        <v>99800000000</v>
      </c>
      <c r="F787" s="3">
        <v>91300000000</v>
      </c>
      <c r="G787" s="3">
        <v>883000000</v>
      </c>
      <c r="H787" s="3">
        <v>11300000000</v>
      </c>
      <c r="I787" s="2">
        <v>9.6729999999999993E-3</v>
      </c>
      <c r="J787" s="3">
        <v>9.3699999999999995E-13</v>
      </c>
    </row>
    <row r="788" spans="1:10" x14ac:dyDescent="0.2">
      <c r="A788" s="3">
        <v>790</v>
      </c>
      <c r="B788" s="3">
        <v>5.3799999999999997E-7</v>
      </c>
      <c r="C788" s="2">
        <v>4.0969999999999999E-2</v>
      </c>
      <c r="D788" s="3">
        <v>223000</v>
      </c>
      <c r="E788" s="3">
        <v>106000000000</v>
      </c>
      <c r="F788" s="3">
        <v>96300000000</v>
      </c>
      <c r="G788" s="2">
        <v>0</v>
      </c>
      <c r="H788" s="3">
        <v>11100000000</v>
      </c>
      <c r="I788" s="2">
        <v>-3.7249999999999998E-2</v>
      </c>
      <c r="J788" s="3">
        <v>8.2400000000000002E-13</v>
      </c>
    </row>
    <row r="789" spans="1:10" x14ac:dyDescent="0.2">
      <c r="A789" s="3">
        <v>790</v>
      </c>
      <c r="B789" s="3">
        <v>5.3799999999999997E-7</v>
      </c>
      <c r="C789" s="2">
        <v>4.1020000000000001E-2</v>
      </c>
      <c r="D789" s="3">
        <v>190000</v>
      </c>
      <c r="E789" s="3">
        <v>91800000000</v>
      </c>
      <c r="F789" s="3">
        <v>84500000000</v>
      </c>
      <c r="G789" s="3">
        <v>5800000000</v>
      </c>
      <c r="H789" s="3">
        <v>11800000000</v>
      </c>
      <c r="I789" s="2">
        <v>6.862E-2</v>
      </c>
      <c r="J789" s="3">
        <v>1.14E-12</v>
      </c>
    </row>
    <row r="790" spans="1:10" x14ac:dyDescent="0.2">
      <c r="A790" s="3">
        <v>790</v>
      </c>
      <c r="B790" s="3">
        <v>5.3900000000000005E-7</v>
      </c>
      <c r="C790" s="2">
        <v>4.1070000000000002E-2</v>
      </c>
      <c r="D790" s="3">
        <v>193000</v>
      </c>
      <c r="E790" s="3">
        <v>93000000000</v>
      </c>
      <c r="F790" s="3">
        <v>85600000000</v>
      </c>
      <c r="G790" s="3">
        <v>4840000000</v>
      </c>
      <c r="H790" s="3">
        <v>11700000000</v>
      </c>
      <c r="I790" s="2">
        <v>5.6590000000000001E-2</v>
      </c>
      <c r="J790" s="3">
        <v>1.1E-12</v>
      </c>
    </row>
    <row r="791" spans="1:10" x14ac:dyDescent="0.2">
      <c r="A791" s="3">
        <v>790</v>
      </c>
      <c r="B791" s="3">
        <v>5.4000000000000002E-7</v>
      </c>
      <c r="C791" s="2">
        <v>4.113E-2</v>
      </c>
      <c r="D791" s="3">
        <v>210000</v>
      </c>
      <c r="E791" s="3">
        <v>100000000000</v>
      </c>
      <c r="F791" s="3">
        <v>91500000000</v>
      </c>
      <c r="G791" s="3">
        <v>5760000000</v>
      </c>
      <c r="H791" s="3">
        <v>11300000000</v>
      </c>
      <c r="I791" s="2">
        <v>6.3E-2</v>
      </c>
      <c r="J791" s="3">
        <v>9.3400000000000006E-13</v>
      </c>
    </row>
    <row r="792" spans="1:10" x14ac:dyDescent="0.2">
      <c r="A792" s="3">
        <v>790</v>
      </c>
      <c r="B792" s="3">
        <v>5.4000000000000002E-7</v>
      </c>
      <c r="C792" s="2">
        <v>4.1180000000000001E-2</v>
      </c>
      <c r="D792" s="3">
        <v>196000</v>
      </c>
      <c r="E792" s="3">
        <v>93900000000</v>
      </c>
      <c r="F792" s="3">
        <v>86300000000</v>
      </c>
      <c r="G792" s="3">
        <v>422000000</v>
      </c>
      <c r="H792" s="3">
        <v>11600000000</v>
      </c>
      <c r="I792" s="2">
        <v>4.8820000000000001E-3</v>
      </c>
      <c r="J792" s="3">
        <v>1.08E-12</v>
      </c>
    </row>
    <row r="793" spans="1:10" x14ac:dyDescent="0.2">
      <c r="A793" s="3">
        <v>790</v>
      </c>
      <c r="B793" s="3">
        <v>5.4099999999999999E-7</v>
      </c>
      <c r="C793" s="2">
        <v>4.1230000000000003E-2</v>
      </c>
      <c r="D793" s="3">
        <v>197000</v>
      </c>
      <c r="E793" s="3">
        <v>94200000000</v>
      </c>
      <c r="F793" s="3">
        <v>86600000000</v>
      </c>
      <c r="G793" s="3">
        <v>7030000000</v>
      </c>
      <c r="H793" s="3">
        <v>11600000000</v>
      </c>
      <c r="I793" s="2">
        <v>8.1180000000000002E-2</v>
      </c>
      <c r="J793" s="3">
        <v>1.0700000000000001E-12</v>
      </c>
    </row>
    <row r="794" spans="1:10" x14ac:dyDescent="0.2">
      <c r="A794" s="3">
        <v>790</v>
      </c>
      <c r="B794" s="3">
        <v>5.4199999999999996E-7</v>
      </c>
      <c r="C794" s="2">
        <v>4.1279999999999997E-2</v>
      </c>
      <c r="D794" s="3">
        <v>206000</v>
      </c>
      <c r="E794" s="3">
        <v>98100000000</v>
      </c>
      <c r="F794" s="3">
        <v>89900000000</v>
      </c>
      <c r="G794" s="2">
        <v>0</v>
      </c>
      <c r="H794" s="3">
        <v>11400000000</v>
      </c>
      <c r="I794" s="2">
        <v>-8.9429999999999996E-2</v>
      </c>
      <c r="J794" s="3">
        <v>9.7299999999999999E-13</v>
      </c>
    </row>
    <row r="795" spans="1:10" x14ac:dyDescent="0.2">
      <c r="A795" s="3">
        <v>790</v>
      </c>
      <c r="B795" s="3">
        <v>5.4199999999999996E-7</v>
      </c>
      <c r="C795" s="2">
        <v>4.1329999999999999E-2</v>
      </c>
      <c r="D795" s="3">
        <v>234000</v>
      </c>
      <c r="E795" s="3">
        <v>110000000000</v>
      </c>
      <c r="F795" s="3">
        <v>99800000000</v>
      </c>
      <c r="G795" s="3">
        <v>4050000000</v>
      </c>
      <c r="H795" s="3">
        <v>10900000000</v>
      </c>
      <c r="I795" s="2">
        <v>4.052E-2</v>
      </c>
      <c r="J795" s="3">
        <v>7.5500000000000001E-13</v>
      </c>
    </row>
    <row r="796" spans="1:10" x14ac:dyDescent="0.2">
      <c r="A796" s="3">
        <v>790</v>
      </c>
      <c r="B796" s="3">
        <v>5.4300000000000003E-7</v>
      </c>
      <c r="C796" s="2">
        <v>4.138E-2</v>
      </c>
      <c r="D796" s="3">
        <v>204000</v>
      </c>
      <c r="E796" s="3">
        <v>97300000000</v>
      </c>
      <c r="F796" s="3">
        <v>89200000000</v>
      </c>
      <c r="G796" s="3">
        <v>7520000000</v>
      </c>
      <c r="H796" s="3">
        <v>11400000000</v>
      </c>
      <c r="I796" s="2">
        <v>8.4290000000000004E-2</v>
      </c>
      <c r="J796" s="3">
        <v>9.9099999999999992E-13</v>
      </c>
    </row>
    <row r="797" spans="1:10" x14ac:dyDescent="0.2">
      <c r="A797" s="3">
        <v>800</v>
      </c>
      <c r="B797" s="3">
        <v>5.44E-7</v>
      </c>
      <c r="C797" s="2">
        <v>4.1439999999999998E-2</v>
      </c>
      <c r="D797" s="3">
        <v>208000</v>
      </c>
      <c r="E797" s="3">
        <v>98900000000</v>
      </c>
      <c r="F797" s="3">
        <v>90500000000</v>
      </c>
      <c r="G797" s="2">
        <v>0</v>
      </c>
      <c r="H797" s="3">
        <v>11300000000</v>
      </c>
      <c r="I797" s="2">
        <v>-6.4850000000000005E-2</v>
      </c>
      <c r="J797" s="3">
        <v>9.5500000000000007E-13</v>
      </c>
    </row>
    <row r="798" spans="1:10" x14ac:dyDescent="0.2">
      <c r="A798" s="3">
        <v>800</v>
      </c>
      <c r="B798" s="3">
        <v>5.4499999999999997E-7</v>
      </c>
      <c r="C798" s="2">
        <v>4.1489999999999999E-2</v>
      </c>
      <c r="D798" s="3">
        <v>199000</v>
      </c>
      <c r="E798" s="3">
        <v>95000000000</v>
      </c>
      <c r="F798" s="3">
        <v>87300000000</v>
      </c>
      <c r="G798" s="3">
        <v>3560000000</v>
      </c>
      <c r="H798" s="3">
        <v>11500000000</v>
      </c>
      <c r="I798" s="2">
        <v>4.0730000000000002E-2</v>
      </c>
      <c r="J798" s="3">
        <v>1.04E-12</v>
      </c>
    </row>
    <row r="799" spans="1:10" x14ac:dyDescent="0.2">
      <c r="A799" s="3">
        <v>800</v>
      </c>
      <c r="B799" s="3">
        <v>5.4600000000000005E-7</v>
      </c>
      <c r="C799" s="2">
        <v>4.1540000000000001E-2</v>
      </c>
      <c r="D799" s="3">
        <v>210000</v>
      </c>
      <c r="E799" s="3">
        <v>99400000000</v>
      </c>
      <c r="F799" s="3">
        <v>91000000000</v>
      </c>
      <c r="G799" s="3">
        <v>7470000000</v>
      </c>
      <c r="H799" s="3">
        <v>11300000000</v>
      </c>
      <c r="I799" s="2">
        <v>8.2150000000000001E-2</v>
      </c>
      <c r="J799" s="3">
        <v>9.4200000000000003E-13</v>
      </c>
    </row>
    <row r="800" spans="1:10" x14ac:dyDescent="0.2">
      <c r="A800" s="3">
        <v>800</v>
      </c>
      <c r="B800" s="3">
        <v>5.4700000000000001E-7</v>
      </c>
      <c r="C800" s="2">
        <v>4.1590000000000002E-2</v>
      </c>
      <c r="D800" s="3">
        <v>218000</v>
      </c>
      <c r="E800" s="3">
        <v>103000000000</v>
      </c>
      <c r="F800" s="3">
        <v>93700000000</v>
      </c>
      <c r="G800" s="3">
        <v>6290000000</v>
      </c>
      <c r="H800" s="3">
        <v>11100000000</v>
      </c>
      <c r="I800" s="2">
        <v>6.7100000000000007E-2</v>
      </c>
      <c r="J800" s="3">
        <v>8.76E-13</v>
      </c>
    </row>
    <row r="801" spans="1:10" x14ac:dyDescent="0.2">
      <c r="A801" s="3">
        <v>800</v>
      </c>
      <c r="B801" s="3">
        <v>5.4799999999999998E-7</v>
      </c>
      <c r="C801" s="2">
        <v>4.1640000000000003E-2</v>
      </c>
      <c r="D801" s="3">
        <v>201000</v>
      </c>
      <c r="E801" s="3">
        <v>95300000000</v>
      </c>
      <c r="F801" s="3">
        <v>87500000000</v>
      </c>
      <c r="G801" s="3">
        <v>5500000000</v>
      </c>
      <c r="H801" s="3">
        <v>11500000000</v>
      </c>
      <c r="I801" s="2">
        <v>6.2820000000000001E-2</v>
      </c>
      <c r="J801" s="3">
        <v>1.0300000000000001E-12</v>
      </c>
    </row>
    <row r="802" spans="1:10" x14ac:dyDescent="0.2">
      <c r="A802" s="3">
        <v>800</v>
      </c>
      <c r="B802" s="3">
        <v>5.4899999999999995E-7</v>
      </c>
      <c r="C802" s="2">
        <v>4.1700000000000001E-2</v>
      </c>
      <c r="D802" s="3">
        <v>205000</v>
      </c>
      <c r="E802" s="3">
        <v>96900000000</v>
      </c>
      <c r="F802" s="3">
        <v>88900000000</v>
      </c>
      <c r="G802" s="3">
        <v>4310000000</v>
      </c>
      <c r="H802" s="3">
        <v>11400000000</v>
      </c>
      <c r="I802" s="2">
        <v>4.845E-2</v>
      </c>
      <c r="J802" s="3">
        <v>9.949999999999999E-13</v>
      </c>
    </row>
    <row r="803" spans="1:10" x14ac:dyDescent="0.2">
      <c r="A803" s="3">
        <v>800</v>
      </c>
      <c r="B803" s="3">
        <v>5.4899999999999995E-7</v>
      </c>
      <c r="C803" s="2">
        <v>4.1750000000000002E-2</v>
      </c>
      <c r="D803" s="3">
        <v>210000</v>
      </c>
      <c r="E803" s="3">
        <v>99200000000</v>
      </c>
      <c r="F803" s="3">
        <v>90800000000</v>
      </c>
      <c r="G803" s="3">
        <v>5220000000</v>
      </c>
      <c r="H803" s="3">
        <v>11300000000</v>
      </c>
      <c r="I803" s="2">
        <v>5.7540000000000001E-2</v>
      </c>
      <c r="J803" s="3">
        <v>9.4299999999999992E-13</v>
      </c>
    </row>
    <row r="804" spans="1:10" x14ac:dyDescent="0.2">
      <c r="A804" s="3">
        <v>800</v>
      </c>
      <c r="B804" s="3">
        <v>5.5000000000000003E-7</v>
      </c>
      <c r="C804" s="2">
        <v>4.1799999999999997E-2</v>
      </c>
      <c r="D804" s="3">
        <v>209000</v>
      </c>
      <c r="E804" s="3">
        <v>98600000000</v>
      </c>
      <c r="F804" s="3">
        <v>90300000000</v>
      </c>
      <c r="G804" s="3">
        <v>1700000000</v>
      </c>
      <c r="H804" s="3">
        <v>11300000000</v>
      </c>
      <c r="I804" s="2">
        <v>1.883E-2</v>
      </c>
      <c r="J804" s="3">
        <v>9.5500000000000007E-13</v>
      </c>
    </row>
    <row r="805" spans="1:10" x14ac:dyDescent="0.2">
      <c r="A805" s="3">
        <v>800</v>
      </c>
      <c r="B805" s="3">
        <v>5.51E-7</v>
      </c>
      <c r="C805" s="2">
        <v>4.1860000000000001E-2</v>
      </c>
      <c r="D805" s="3">
        <v>193000</v>
      </c>
      <c r="E805" s="3">
        <v>91700000000</v>
      </c>
      <c r="F805" s="3">
        <v>84500000000</v>
      </c>
      <c r="G805" s="3">
        <v>1780000000</v>
      </c>
      <c r="H805" s="3">
        <v>11700000000</v>
      </c>
      <c r="I805" s="2">
        <v>2.111E-2</v>
      </c>
      <c r="J805" s="3">
        <v>1.13E-12</v>
      </c>
    </row>
    <row r="806" spans="1:10" x14ac:dyDescent="0.2">
      <c r="A806" s="3">
        <v>800</v>
      </c>
      <c r="B806" s="3">
        <v>5.5199999999999997E-7</v>
      </c>
      <c r="C806" s="2">
        <v>4.1910000000000003E-2</v>
      </c>
      <c r="D806" s="3">
        <v>209000</v>
      </c>
      <c r="E806" s="3">
        <v>98300000000</v>
      </c>
      <c r="F806" s="3">
        <v>90100000000</v>
      </c>
      <c r="G806" s="2">
        <v>0</v>
      </c>
      <c r="H806" s="3">
        <v>11300000000</v>
      </c>
      <c r="I806" s="2">
        <v>-3.1660000000000001E-2</v>
      </c>
      <c r="J806" s="3">
        <v>9.5999999999999995E-13</v>
      </c>
    </row>
    <row r="807" spans="1:10" x14ac:dyDescent="0.2">
      <c r="A807" s="3">
        <v>810</v>
      </c>
      <c r="B807" s="3">
        <v>5.5300000000000004E-7</v>
      </c>
      <c r="C807" s="2">
        <v>4.1959999999999997E-2</v>
      </c>
      <c r="D807" s="3">
        <v>197000</v>
      </c>
      <c r="E807" s="3">
        <v>93100000000</v>
      </c>
      <c r="F807" s="3">
        <v>85700000000</v>
      </c>
      <c r="G807" s="2">
        <v>0</v>
      </c>
      <c r="H807" s="3">
        <v>11500000000</v>
      </c>
      <c r="I807" s="2">
        <v>-9.1769999999999994E-3</v>
      </c>
      <c r="J807" s="3">
        <v>1.09E-12</v>
      </c>
    </row>
    <row r="808" spans="1:10" x14ac:dyDescent="0.2">
      <c r="A808" s="3">
        <v>810</v>
      </c>
      <c r="B808" s="3">
        <v>5.5400000000000001E-7</v>
      </c>
      <c r="C808" s="2">
        <v>4.2009999999999999E-2</v>
      </c>
      <c r="D808" s="3">
        <v>201000</v>
      </c>
      <c r="E808" s="3">
        <v>94900000000</v>
      </c>
      <c r="F808" s="3">
        <v>87200000000</v>
      </c>
      <c r="G808" s="3">
        <v>11400000000</v>
      </c>
      <c r="H808" s="3">
        <v>11400000000</v>
      </c>
      <c r="I808" s="2">
        <v>0.13089999999999999</v>
      </c>
      <c r="J808" s="3">
        <v>1.04E-12</v>
      </c>
    </row>
    <row r="809" spans="1:10" x14ac:dyDescent="0.2">
      <c r="A809" s="3">
        <v>810</v>
      </c>
      <c r="B809" s="3">
        <v>5.5400000000000001E-7</v>
      </c>
      <c r="C809" s="2">
        <v>4.206E-2</v>
      </c>
      <c r="D809" s="3">
        <v>229000</v>
      </c>
      <c r="E809" s="3">
        <v>107000000000</v>
      </c>
      <c r="F809" s="3">
        <v>97000000000</v>
      </c>
      <c r="G809" s="3">
        <v>7230000000</v>
      </c>
      <c r="H809" s="3">
        <v>10900000000</v>
      </c>
      <c r="I809" s="2">
        <v>7.4550000000000005E-2</v>
      </c>
      <c r="J809" s="3">
        <v>8.0100000000000002E-13</v>
      </c>
    </row>
    <row r="810" spans="1:10" x14ac:dyDescent="0.2">
      <c r="A810" s="3">
        <v>810</v>
      </c>
      <c r="B810" s="3">
        <v>5.5499999999999998E-7</v>
      </c>
      <c r="C810" s="2">
        <v>4.2119999999999998E-2</v>
      </c>
      <c r="D810" s="3">
        <v>195000</v>
      </c>
      <c r="E810" s="3">
        <v>92400000000</v>
      </c>
      <c r="F810" s="3">
        <v>85100000000</v>
      </c>
      <c r="G810" s="3">
        <v>6460000000</v>
      </c>
      <c r="H810" s="3">
        <v>11600000000</v>
      </c>
      <c r="I810" s="2">
        <v>7.5969999999999996E-2</v>
      </c>
      <c r="J810" s="3">
        <v>1.1E-12</v>
      </c>
    </row>
    <row r="811" spans="1:10" x14ac:dyDescent="0.2">
      <c r="A811" s="3">
        <v>810</v>
      </c>
      <c r="B811" s="3">
        <v>5.5599999999999995E-7</v>
      </c>
      <c r="C811" s="2">
        <v>4.2169999999999999E-2</v>
      </c>
      <c r="D811" s="3">
        <v>190000</v>
      </c>
      <c r="E811" s="3">
        <v>90000000000</v>
      </c>
      <c r="F811" s="3">
        <v>83100000000</v>
      </c>
      <c r="G811" s="2">
        <v>0</v>
      </c>
      <c r="H811" s="3">
        <v>11700000000</v>
      </c>
      <c r="I811" s="2">
        <v>-5.1880000000000003E-2</v>
      </c>
      <c r="J811" s="3">
        <v>1.1700000000000001E-12</v>
      </c>
    </row>
    <row r="812" spans="1:10" x14ac:dyDescent="0.2">
      <c r="A812" s="3">
        <v>810</v>
      </c>
      <c r="B812" s="3">
        <v>5.5700000000000002E-7</v>
      </c>
      <c r="C812" s="2">
        <v>4.2220000000000001E-2</v>
      </c>
      <c r="D812" s="3">
        <v>225000</v>
      </c>
      <c r="E812" s="3">
        <v>104000000000</v>
      </c>
      <c r="F812" s="3">
        <v>95200000000</v>
      </c>
      <c r="G812" s="3">
        <v>3530000000</v>
      </c>
      <c r="H812" s="3">
        <v>11000000000</v>
      </c>
      <c r="I812" s="2">
        <v>3.7089999999999998E-2</v>
      </c>
      <c r="J812" s="3">
        <v>8.3699999999999997E-13</v>
      </c>
    </row>
    <row r="813" spans="1:10" x14ac:dyDescent="0.2">
      <c r="A813" s="3">
        <v>810</v>
      </c>
      <c r="B813" s="3">
        <v>5.5700000000000002E-7</v>
      </c>
      <c r="C813" s="2">
        <v>4.2270000000000002E-2</v>
      </c>
      <c r="D813" s="3">
        <v>200000</v>
      </c>
      <c r="E813" s="3">
        <v>94000000000</v>
      </c>
      <c r="F813" s="3">
        <v>86400000000</v>
      </c>
      <c r="G813" s="3">
        <v>7180000000</v>
      </c>
      <c r="H813" s="3">
        <v>11500000000</v>
      </c>
      <c r="I813" s="2">
        <v>8.3129999999999996E-2</v>
      </c>
      <c r="J813" s="3">
        <v>1.0599999999999999E-12</v>
      </c>
    </row>
    <row r="814" spans="1:10" x14ac:dyDescent="0.2">
      <c r="A814" s="3">
        <v>810</v>
      </c>
      <c r="B814" s="3">
        <v>5.5799999999999999E-7</v>
      </c>
      <c r="C814" s="2">
        <v>4.233E-2</v>
      </c>
      <c r="D814" s="3">
        <v>223000</v>
      </c>
      <c r="E814" s="3">
        <v>104000000000</v>
      </c>
      <c r="F814" s="3">
        <v>94600000000</v>
      </c>
      <c r="G814" s="3">
        <v>165000000</v>
      </c>
      <c r="H814" s="3">
        <v>11000000000</v>
      </c>
      <c r="I814" s="2">
        <v>1.7440000000000001E-3</v>
      </c>
      <c r="J814" s="3">
        <v>8.4900000000000002E-13</v>
      </c>
    </row>
    <row r="815" spans="1:10" x14ac:dyDescent="0.2">
      <c r="A815" s="3">
        <v>810</v>
      </c>
      <c r="B815" s="3">
        <v>5.5899999999999996E-7</v>
      </c>
      <c r="C815" s="2">
        <v>4.2380000000000001E-2</v>
      </c>
      <c r="D815" s="3">
        <v>215000</v>
      </c>
      <c r="E815" s="3">
        <v>100000000000</v>
      </c>
      <c r="F815" s="3">
        <v>91700000000</v>
      </c>
      <c r="G815" s="3">
        <v>13100000000</v>
      </c>
      <c r="H815" s="3">
        <v>11100000000</v>
      </c>
      <c r="I815" s="2">
        <v>0.14330000000000001</v>
      </c>
      <c r="J815" s="3">
        <v>9.1500000000000004E-13</v>
      </c>
    </row>
    <row r="816" spans="1:10" x14ac:dyDescent="0.2">
      <c r="A816" s="3">
        <v>810</v>
      </c>
      <c r="B816" s="3">
        <v>5.6000000000000004E-7</v>
      </c>
      <c r="C816" s="2">
        <v>4.2430000000000002E-2</v>
      </c>
      <c r="D816" s="3">
        <v>213000</v>
      </c>
      <c r="E816" s="3">
        <v>99000000000</v>
      </c>
      <c r="F816" s="3">
        <v>90700000000</v>
      </c>
      <c r="G816" s="3">
        <v>4550000000</v>
      </c>
      <c r="H816" s="3">
        <v>11200000000</v>
      </c>
      <c r="I816" s="2">
        <v>5.0200000000000002E-2</v>
      </c>
      <c r="J816" s="3">
        <v>9.3899999999999994E-13</v>
      </c>
    </row>
    <row r="817" spans="1:10" x14ac:dyDescent="0.2">
      <c r="A817" s="3">
        <v>820</v>
      </c>
      <c r="B817" s="3">
        <v>5.6100000000000001E-7</v>
      </c>
      <c r="C817" s="2">
        <v>4.2479999999999997E-2</v>
      </c>
      <c r="D817" s="3">
        <v>203000</v>
      </c>
      <c r="E817" s="3">
        <v>94900000000</v>
      </c>
      <c r="F817" s="3">
        <v>87200000000</v>
      </c>
      <c r="G817" s="3">
        <v>9730000000</v>
      </c>
      <c r="H817" s="3">
        <v>11400000000</v>
      </c>
      <c r="I817" s="2">
        <v>0.1116</v>
      </c>
      <c r="J817" s="3">
        <v>1.0300000000000001E-12</v>
      </c>
    </row>
    <row r="818" spans="1:10" x14ac:dyDescent="0.2">
      <c r="A818" s="3">
        <v>820</v>
      </c>
      <c r="B818" s="3">
        <v>5.6100000000000001E-7</v>
      </c>
      <c r="C818" s="2">
        <v>4.2529999999999998E-2</v>
      </c>
      <c r="D818" s="3">
        <v>189000</v>
      </c>
      <c r="E818" s="3">
        <v>89100000000</v>
      </c>
      <c r="F818" s="3">
        <v>82200000000</v>
      </c>
      <c r="G818" s="3">
        <v>12500000000</v>
      </c>
      <c r="H818" s="3">
        <v>11700000000</v>
      </c>
      <c r="I818" s="2">
        <v>0.15229999999999999</v>
      </c>
      <c r="J818" s="3">
        <v>1.1999999999999999E-12</v>
      </c>
    </row>
    <row r="819" spans="1:10" x14ac:dyDescent="0.2">
      <c r="A819" s="3">
        <v>820</v>
      </c>
      <c r="B819" s="3">
        <v>5.6199999999999998E-7</v>
      </c>
      <c r="C819" s="2">
        <v>4.258E-2</v>
      </c>
      <c r="D819" s="3">
        <v>220000</v>
      </c>
      <c r="E819" s="3">
        <v>102000000000</v>
      </c>
      <c r="F819" s="3">
        <v>93000000000</v>
      </c>
      <c r="G819" s="3">
        <v>3950000000</v>
      </c>
      <c r="H819" s="3">
        <v>11100000000</v>
      </c>
      <c r="I819" s="2">
        <v>4.2459999999999998E-2</v>
      </c>
      <c r="J819" s="3">
        <v>8.8299999999999997E-13</v>
      </c>
    </row>
    <row r="820" spans="1:10" x14ac:dyDescent="0.2">
      <c r="A820" s="3">
        <v>820</v>
      </c>
      <c r="B820" s="3">
        <v>5.6300000000000005E-7</v>
      </c>
      <c r="C820" s="2">
        <v>4.2639999999999997E-2</v>
      </c>
      <c r="D820" s="3">
        <v>214000</v>
      </c>
      <c r="E820" s="3">
        <v>99100000000</v>
      </c>
      <c r="F820" s="3">
        <v>90800000000</v>
      </c>
      <c r="G820" s="2">
        <v>0</v>
      </c>
      <c r="H820" s="3">
        <v>11200000000</v>
      </c>
      <c r="I820" s="2">
        <v>-8.3309999999999995E-2</v>
      </c>
      <c r="J820" s="3">
        <v>9.3499999999999995E-13</v>
      </c>
    </row>
    <row r="821" spans="1:10" x14ac:dyDescent="0.2">
      <c r="A821" s="3">
        <v>820</v>
      </c>
      <c r="B821" s="3">
        <v>5.6400000000000002E-7</v>
      </c>
      <c r="C821" s="2">
        <v>4.2689999999999999E-2</v>
      </c>
      <c r="D821" s="3">
        <v>209000</v>
      </c>
      <c r="E821" s="3">
        <v>97100000000</v>
      </c>
      <c r="F821" s="3">
        <v>89000000000</v>
      </c>
      <c r="G821" s="3">
        <v>12300000000</v>
      </c>
      <c r="H821" s="3">
        <v>11200000000</v>
      </c>
      <c r="I821" s="2">
        <v>0.1381</v>
      </c>
      <c r="J821" s="3">
        <v>9.7899999999999997E-13</v>
      </c>
    </row>
    <row r="822" spans="1:10" x14ac:dyDescent="0.2">
      <c r="A822" s="3">
        <v>820</v>
      </c>
      <c r="B822" s="3">
        <v>5.6400000000000002E-7</v>
      </c>
      <c r="C822" s="2">
        <v>4.274E-2</v>
      </c>
      <c r="D822" s="3">
        <v>202000</v>
      </c>
      <c r="E822" s="3">
        <v>94300000000</v>
      </c>
      <c r="F822" s="3">
        <v>86700000000</v>
      </c>
      <c r="G822" s="2">
        <v>0</v>
      </c>
      <c r="H822" s="3">
        <v>11400000000</v>
      </c>
      <c r="I822" s="2">
        <v>-9.5640000000000003E-2</v>
      </c>
      <c r="J822" s="3">
        <v>1.05E-12</v>
      </c>
    </row>
    <row r="823" spans="1:10" x14ac:dyDescent="0.2">
      <c r="A823" s="3">
        <v>820</v>
      </c>
      <c r="B823" s="3">
        <v>5.6499999999999999E-7</v>
      </c>
      <c r="C823" s="2">
        <v>4.2790000000000002E-2</v>
      </c>
      <c r="D823" s="3">
        <v>207000</v>
      </c>
      <c r="E823" s="3">
        <v>96100000000</v>
      </c>
      <c r="F823" s="3">
        <v>88200000000</v>
      </c>
      <c r="G823" s="3">
        <v>9520000000</v>
      </c>
      <c r="H823" s="3">
        <v>11300000000</v>
      </c>
      <c r="I823" s="2">
        <v>0.1079</v>
      </c>
      <c r="J823" s="3">
        <v>9.9999999999999998E-13</v>
      </c>
    </row>
    <row r="824" spans="1:10" x14ac:dyDescent="0.2">
      <c r="A824" s="3">
        <v>820</v>
      </c>
      <c r="B824" s="3">
        <v>5.6599999999999996E-7</v>
      </c>
      <c r="C824" s="2">
        <v>4.2840000000000003E-2</v>
      </c>
      <c r="D824" s="3">
        <v>218000</v>
      </c>
      <c r="E824" s="3">
        <v>100000000000</v>
      </c>
      <c r="F824" s="3">
        <v>91800000000</v>
      </c>
      <c r="G824" s="3">
        <v>12600000000</v>
      </c>
      <c r="H824" s="3">
        <v>11100000000</v>
      </c>
      <c r="I824" s="2">
        <v>0.13700000000000001</v>
      </c>
      <c r="J824" s="3">
        <v>9.0599999999999998E-13</v>
      </c>
    </row>
    <row r="825" spans="1:10" x14ac:dyDescent="0.2">
      <c r="A825" s="3">
        <v>820</v>
      </c>
      <c r="B825" s="3">
        <v>5.6700000000000003E-7</v>
      </c>
      <c r="C825" s="2">
        <v>4.2900000000000001E-2</v>
      </c>
      <c r="D825" s="3">
        <v>198000</v>
      </c>
      <c r="E825" s="3">
        <v>92200000000</v>
      </c>
      <c r="F825" s="3">
        <v>84900000000</v>
      </c>
      <c r="G825" s="3">
        <v>7970000000</v>
      </c>
      <c r="H825" s="3">
        <v>11500000000</v>
      </c>
      <c r="I825" s="2">
        <v>9.3840000000000007E-2</v>
      </c>
      <c r="J825" s="3">
        <v>1.1E-12</v>
      </c>
    </row>
    <row r="826" spans="1:10" x14ac:dyDescent="0.2">
      <c r="A826" s="3">
        <v>820</v>
      </c>
      <c r="B826" s="3">
        <v>5.68E-7</v>
      </c>
      <c r="C826" s="2">
        <v>4.2950000000000002E-2</v>
      </c>
      <c r="D826" s="3">
        <v>204000</v>
      </c>
      <c r="E826" s="3">
        <v>94900000000</v>
      </c>
      <c r="F826" s="3">
        <v>87200000000</v>
      </c>
      <c r="G826" s="3">
        <v>3950000000</v>
      </c>
      <c r="H826" s="3">
        <v>11300000000</v>
      </c>
      <c r="I826" s="2">
        <v>4.5310000000000003E-2</v>
      </c>
      <c r="J826" s="3">
        <v>1.0300000000000001E-12</v>
      </c>
    </row>
    <row r="827" spans="1:10" x14ac:dyDescent="0.2">
      <c r="A827" s="3">
        <v>830</v>
      </c>
      <c r="B827" s="3">
        <v>5.6899999999999997E-7</v>
      </c>
      <c r="C827" s="2">
        <v>4.2999999999999997E-2</v>
      </c>
      <c r="D827" s="3">
        <v>206000</v>
      </c>
      <c r="E827" s="3">
        <v>95400000000</v>
      </c>
      <c r="F827" s="3">
        <v>87600000000</v>
      </c>
      <c r="G827" s="2">
        <v>0</v>
      </c>
      <c r="H827" s="3">
        <v>11300000000</v>
      </c>
      <c r="I827" s="2">
        <v>-4.5769999999999998E-2</v>
      </c>
      <c r="J827" s="3">
        <v>1.0200000000000001E-12</v>
      </c>
    </row>
    <row r="828" spans="1:10" x14ac:dyDescent="0.2">
      <c r="A828" s="3">
        <v>830</v>
      </c>
      <c r="B828" s="3">
        <v>5.6899999999999997E-7</v>
      </c>
      <c r="C828" s="2">
        <v>4.3049999999999998E-2</v>
      </c>
      <c r="D828" s="3">
        <v>210000</v>
      </c>
      <c r="E828" s="3">
        <v>97100000000</v>
      </c>
      <c r="F828" s="3">
        <v>89000000000</v>
      </c>
      <c r="G828" s="3">
        <v>9300000000</v>
      </c>
      <c r="H828" s="3">
        <v>11200000000</v>
      </c>
      <c r="I828" s="2">
        <v>0.10440000000000001</v>
      </c>
      <c r="J828" s="3">
        <v>9.7499999999999999E-13</v>
      </c>
    </row>
    <row r="829" spans="1:10" x14ac:dyDescent="0.2">
      <c r="A829" s="3">
        <v>830</v>
      </c>
      <c r="B829" s="3">
        <v>5.7000000000000005E-7</v>
      </c>
      <c r="C829" s="2">
        <v>4.3110000000000002E-2</v>
      </c>
      <c r="D829" s="3">
        <v>204000</v>
      </c>
      <c r="E829" s="3">
        <v>94400000000</v>
      </c>
      <c r="F829" s="3">
        <v>86700000000</v>
      </c>
      <c r="G829" s="3">
        <v>4030000000</v>
      </c>
      <c r="H829" s="3">
        <v>11300000000</v>
      </c>
      <c r="I829" s="2">
        <v>4.6399999999999997E-2</v>
      </c>
      <c r="J829" s="3">
        <v>1.04E-12</v>
      </c>
    </row>
    <row r="830" spans="1:10" x14ac:dyDescent="0.2">
      <c r="A830" s="3">
        <v>830</v>
      </c>
      <c r="B830" s="3">
        <v>5.7100000000000002E-7</v>
      </c>
      <c r="C830" s="2">
        <v>4.3159999999999997E-2</v>
      </c>
      <c r="D830" s="3">
        <v>203000</v>
      </c>
      <c r="E830" s="3">
        <v>93900000000</v>
      </c>
      <c r="F830" s="3">
        <v>86400000000</v>
      </c>
      <c r="G830" s="3">
        <v>199000000</v>
      </c>
      <c r="H830" s="3">
        <v>11400000000</v>
      </c>
      <c r="I830" s="2">
        <v>2.2980000000000001E-3</v>
      </c>
      <c r="J830" s="3">
        <v>1.05E-12</v>
      </c>
    </row>
    <row r="831" spans="1:10" x14ac:dyDescent="0.2">
      <c r="A831" s="3">
        <v>830</v>
      </c>
      <c r="B831" s="3">
        <v>5.7100000000000002E-7</v>
      </c>
      <c r="C831" s="2">
        <v>4.3209999999999998E-2</v>
      </c>
      <c r="D831" s="3">
        <v>210000</v>
      </c>
      <c r="E831" s="3">
        <v>96700000000</v>
      </c>
      <c r="F831" s="3">
        <v>88700000000</v>
      </c>
      <c r="G831" s="2">
        <v>0</v>
      </c>
      <c r="H831" s="3">
        <v>11200000000</v>
      </c>
      <c r="I831" s="2">
        <v>-1.081E-2</v>
      </c>
      <c r="J831" s="3">
        <v>9.8400000000000005E-13</v>
      </c>
    </row>
    <row r="832" spans="1:10" x14ac:dyDescent="0.2">
      <c r="A832" s="3">
        <v>830</v>
      </c>
      <c r="B832" s="3">
        <v>5.7299999999999996E-7</v>
      </c>
      <c r="C832" s="2">
        <v>4.326E-2</v>
      </c>
      <c r="D832" s="3">
        <v>197000</v>
      </c>
      <c r="E832" s="3">
        <v>91500000000</v>
      </c>
      <c r="F832" s="3">
        <v>84400000000</v>
      </c>
      <c r="G832" s="3">
        <v>11200000000</v>
      </c>
      <c r="H832" s="3">
        <v>11500000000</v>
      </c>
      <c r="I832" s="2">
        <v>0.13239999999999999</v>
      </c>
      <c r="J832" s="3">
        <v>1.1099999999999999E-12</v>
      </c>
    </row>
    <row r="833" spans="1:10" x14ac:dyDescent="0.2">
      <c r="A833" s="3">
        <v>830</v>
      </c>
      <c r="B833" s="3">
        <v>5.7299999999999996E-7</v>
      </c>
      <c r="C833" s="2">
        <v>4.3310000000000001E-2</v>
      </c>
      <c r="D833" s="3">
        <v>213000</v>
      </c>
      <c r="E833" s="3">
        <v>97900000000</v>
      </c>
      <c r="F833" s="3">
        <v>89800000000</v>
      </c>
      <c r="G833" s="3">
        <v>3840000000</v>
      </c>
      <c r="H833" s="3">
        <v>11100000000</v>
      </c>
      <c r="I833" s="2">
        <v>4.2759999999999999E-2</v>
      </c>
      <c r="J833" s="3">
        <v>9.5399999999999997E-13</v>
      </c>
    </row>
    <row r="834" spans="1:10" x14ac:dyDescent="0.2">
      <c r="A834" s="3">
        <v>830</v>
      </c>
      <c r="B834" s="3">
        <v>5.7400000000000003E-7</v>
      </c>
      <c r="C834" s="2">
        <v>4.3369999999999999E-2</v>
      </c>
      <c r="D834" s="3">
        <v>219000</v>
      </c>
      <c r="E834" s="3">
        <v>100000000000</v>
      </c>
      <c r="F834" s="3">
        <v>91800000000</v>
      </c>
      <c r="G834" s="3">
        <v>1300000000</v>
      </c>
      <c r="H834" s="3">
        <v>11000000000</v>
      </c>
      <c r="I834" s="2">
        <v>1.4200000000000001E-2</v>
      </c>
      <c r="J834" s="3">
        <v>9.01E-13</v>
      </c>
    </row>
    <row r="835" spans="1:10" x14ac:dyDescent="0.2">
      <c r="A835" s="3">
        <v>830</v>
      </c>
      <c r="B835" s="3">
        <v>5.75E-7</v>
      </c>
      <c r="C835" s="2">
        <v>4.342E-2</v>
      </c>
      <c r="D835" s="3">
        <v>237000</v>
      </c>
      <c r="E835" s="3">
        <v>108000000000</v>
      </c>
      <c r="F835" s="3">
        <v>98100000000</v>
      </c>
      <c r="G835" s="2">
        <v>0</v>
      </c>
      <c r="H835" s="3">
        <v>10700000000</v>
      </c>
      <c r="I835" s="2">
        <v>-5.8680000000000003E-2</v>
      </c>
      <c r="J835" s="3">
        <v>7.7100000000000005E-13</v>
      </c>
    </row>
    <row r="836" spans="1:10" x14ac:dyDescent="0.2">
      <c r="A836" s="3">
        <v>830</v>
      </c>
      <c r="B836" s="3">
        <v>5.7599999999999997E-7</v>
      </c>
      <c r="C836" s="2">
        <v>4.3470000000000002E-2</v>
      </c>
      <c r="D836" s="3">
        <v>196000</v>
      </c>
      <c r="E836" s="3">
        <v>90700000000</v>
      </c>
      <c r="F836" s="3">
        <v>83600000000</v>
      </c>
      <c r="G836" s="2">
        <v>0</v>
      </c>
      <c r="H836" s="3">
        <v>11500000000</v>
      </c>
      <c r="I836" s="2">
        <v>-2.5309999999999999E-2</v>
      </c>
      <c r="J836" s="3">
        <v>1.13E-12</v>
      </c>
    </row>
    <row r="837" spans="1:10" x14ac:dyDescent="0.2">
      <c r="A837" s="3">
        <v>840</v>
      </c>
      <c r="B837" s="3">
        <v>5.7700000000000004E-7</v>
      </c>
      <c r="C837" s="2">
        <v>4.3520000000000003E-2</v>
      </c>
      <c r="D837" s="3">
        <v>193000</v>
      </c>
      <c r="E837" s="3">
        <v>89300000000</v>
      </c>
      <c r="F837" s="3">
        <v>82500000000</v>
      </c>
      <c r="G837" s="3">
        <v>1250000000</v>
      </c>
      <c r="H837" s="3">
        <v>11600000000</v>
      </c>
      <c r="I837" s="2">
        <v>1.5129999999999999E-2</v>
      </c>
      <c r="J837" s="3">
        <v>1.1700000000000001E-12</v>
      </c>
    </row>
    <row r="838" spans="1:10" x14ac:dyDescent="0.2">
      <c r="A838" s="3">
        <v>840</v>
      </c>
      <c r="B838" s="3">
        <v>5.7700000000000004E-7</v>
      </c>
      <c r="C838" s="2">
        <v>4.3580000000000001E-2</v>
      </c>
      <c r="D838" s="3">
        <v>238000</v>
      </c>
      <c r="E838" s="3">
        <v>108000000000</v>
      </c>
      <c r="F838" s="3">
        <v>98200000000</v>
      </c>
      <c r="G838" s="3">
        <v>6870000000</v>
      </c>
      <c r="H838" s="3">
        <v>10700000000</v>
      </c>
      <c r="I838" s="2">
        <v>6.9970000000000004E-2</v>
      </c>
      <c r="J838" s="3">
        <v>7.6699999999999996E-13</v>
      </c>
    </row>
    <row r="839" spans="1:10" x14ac:dyDescent="0.2">
      <c r="A839" s="3">
        <v>840</v>
      </c>
      <c r="B839" s="3">
        <v>5.7899999999999998E-7</v>
      </c>
      <c r="C839" s="2">
        <v>4.3630000000000002E-2</v>
      </c>
      <c r="D839" s="3">
        <v>217000</v>
      </c>
      <c r="E839" s="3">
        <v>99000000000</v>
      </c>
      <c r="F839" s="3">
        <v>90700000000</v>
      </c>
      <c r="G839" s="2">
        <v>0</v>
      </c>
      <c r="H839" s="3">
        <v>11000000000</v>
      </c>
      <c r="I839" s="2">
        <v>-9.1929999999999998E-2</v>
      </c>
      <c r="J839" s="3">
        <v>9.25E-13</v>
      </c>
    </row>
    <row r="840" spans="1:10" x14ac:dyDescent="0.2">
      <c r="A840" s="3">
        <v>840</v>
      </c>
      <c r="B840" s="3">
        <v>5.7899999999999998E-7</v>
      </c>
      <c r="C840" s="2">
        <v>4.3679999999999997E-2</v>
      </c>
      <c r="D840" s="3">
        <v>217000</v>
      </c>
      <c r="E840" s="3">
        <v>98900000000</v>
      </c>
      <c r="F840" s="3">
        <v>90500000000</v>
      </c>
      <c r="G840" s="2">
        <v>0</v>
      </c>
      <c r="H840" s="3">
        <v>11000000000</v>
      </c>
      <c r="I840" s="2">
        <v>-7.8979999999999995E-2</v>
      </c>
      <c r="J840" s="3">
        <v>9.3000000000000008E-13</v>
      </c>
    </row>
    <row r="841" spans="1:10" x14ac:dyDescent="0.2">
      <c r="A841" s="3">
        <v>840</v>
      </c>
      <c r="B841" s="3">
        <v>5.7999999999999995E-7</v>
      </c>
      <c r="C841" s="2">
        <v>4.3729999999999998E-2</v>
      </c>
      <c r="D841" s="3">
        <v>216000</v>
      </c>
      <c r="E841" s="3">
        <v>98600000000</v>
      </c>
      <c r="F841" s="3">
        <v>90300000000</v>
      </c>
      <c r="G841" s="3">
        <v>7450000000</v>
      </c>
      <c r="H841" s="3">
        <v>11000000000</v>
      </c>
      <c r="I841" s="2">
        <v>8.251E-2</v>
      </c>
      <c r="J841" s="3">
        <v>9.3400000000000006E-13</v>
      </c>
    </row>
    <row r="842" spans="1:10" x14ac:dyDescent="0.2">
      <c r="A842" s="3">
        <v>840</v>
      </c>
      <c r="B842" s="3">
        <v>5.7999999999999995E-7</v>
      </c>
      <c r="C842" s="2">
        <v>4.3779999999999999E-2</v>
      </c>
      <c r="D842" s="3">
        <v>187000</v>
      </c>
      <c r="E842" s="3">
        <v>86700000000</v>
      </c>
      <c r="F842" s="3">
        <v>80300000000</v>
      </c>
      <c r="G842" s="3">
        <v>7820000000</v>
      </c>
      <c r="H842" s="3">
        <v>11700000000</v>
      </c>
      <c r="I842" s="2">
        <v>9.7379999999999994E-2</v>
      </c>
      <c r="J842" s="3">
        <v>1.2499999999999999E-12</v>
      </c>
    </row>
    <row r="843" spans="1:10" x14ac:dyDescent="0.2">
      <c r="A843" s="3">
        <v>840</v>
      </c>
      <c r="B843" s="3">
        <v>5.8100000000000003E-7</v>
      </c>
      <c r="C843" s="2">
        <v>4.3839999999999997E-2</v>
      </c>
      <c r="D843" s="3">
        <v>226000</v>
      </c>
      <c r="E843" s="3">
        <v>103000000000</v>
      </c>
      <c r="F843" s="3">
        <v>93800000000</v>
      </c>
      <c r="G843" s="2">
        <v>0</v>
      </c>
      <c r="H843" s="3">
        <v>10900000000</v>
      </c>
      <c r="I843" s="2">
        <v>-3.175E-2</v>
      </c>
      <c r="J843" s="3">
        <v>8.5499999999999999E-13</v>
      </c>
    </row>
    <row r="844" spans="1:10" x14ac:dyDescent="0.2">
      <c r="A844" s="3">
        <v>840</v>
      </c>
      <c r="B844" s="3">
        <v>5.82E-7</v>
      </c>
      <c r="C844" s="2">
        <v>4.3889999999999998E-2</v>
      </c>
      <c r="D844" s="3">
        <v>214000</v>
      </c>
      <c r="E844" s="3">
        <v>97400000000</v>
      </c>
      <c r="F844" s="3">
        <v>89300000000</v>
      </c>
      <c r="G844" s="3">
        <v>11100000000</v>
      </c>
      <c r="H844" s="3">
        <v>11100000000</v>
      </c>
      <c r="I844" s="2">
        <v>0.12479999999999999</v>
      </c>
      <c r="J844" s="3">
        <v>9.6199999999999994E-13</v>
      </c>
    </row>
    <row r="845" spans="1:10" x14ac:dyDescent="0.2">
      <c r="A845" s="3">
        <v>840</v>
      </c>
      <c r="B845" s="3">
        <v>5.8299999999999997E-7</v>
      </c>
      <c r="C845" s="2">
        <v>4.394E-2</v>
      </c>
      <c r="D845" s="3">
        <v>212000</v>
      </c>
      <c r="E845" s="3">
        <v>96500000000</v>
      </c>
      <c r="F845" s="3">
        <v>88600000000</v>
      </c>
      <c r="G845" s="3">
        <v>4420000000</v>
      </c>
      <c r="H845" s="3">
        <v>11100000000</v>
      </c>
      <c r="I845" s="2">
        <v>4.9939999999999998E-2</v>
      </c>
      <c r="J845" s="3">
        <v>9.8000000000000007E-13</v>
      </c>
    </row>
    <row r="846" spans="1:10" x14ac:dyDescent="0.2">
      <c r="A846" s="3">
        <v>840</v>
      </c>
      <c r="B846" s="3">
        <v>5.8299999999999997E-7</v>
      </c>
      <c r="C846" s="2">
        <v>4.3990000000000001E-2</v>
      </c>
      <c r="D846" s="3">
        <v>186000</v>
      </c>
      <c r="E846" s="3">
        <v>86000000000</v>
      </c>
      <c r="F846" s="3">
        <v>79600000000</v>
      </c>
      <c r="G846" s="2">
        <v>0</v>
      </c>
      <c r="H846" s="3">
        <v>11700000000</v>
      </c>
      <c r="I846" s="2">
        <v>-8.1099999999999992E-3</v>
      </c>
      <c r="J846" s="3">
        <v>1.28E-12</v>
      </c>
    </row>
    <row r="847" spans="1:10" x14ac:dyDescent="0.2">
      <c r="A847" s="3">
        <v>850</v>
      </c>
      <c r="B847" s="3">
        <v>5.8400000000000004E-7</v>
      </c>
      <c r="C847" s="2">
        <v>4.4040000000000003E-2</v>
      </c>
      <c r="D847" s="3">
        <v>201000</v>
      </c>
      <c r="E847" s="3">
        <v>92100000000</v>
      </c>
      <c r="F847" s="3">
        <v>84800000000</v>
      </c>
      <c r="G847" s="3">
        <v>167000000</v>
      </c>
      <c r="H847" s="3">
        <v>11400000000</v>
      </c>
      <c r="I847" s="2">
        <v>1.97E-3</v>
      </c>
      <c r="J847" s="3">
        <v>1.09E-12</v>
      </c>
    </row>
    <row r="848" spans="1:10" x14ac:dyDescent="0.2">
      <c r="A848" s="3">
        <v>850</v>
      </c>
      <c r="B848" s="3">
        <v>5.8500000000000001E-7</v>
      </c>
      <c r="C848" s="2">
        <v>4.41E-2</v>
      </c>
      <c r="D848" s="3">
        <v>209000</v>
      </c>
      <c r="E848" s="3">
        <v>95400000000</v>
      </c>
      <c r="F848" s="3">
        <v>87600000000</v>
      </c>
      <c r="G848" s="3">
        <v>4050000000</v>
      </c>
      <c r="H848" s="3">
        <v>11200000000</v>
      </c>
      <c r="I848" s="2">
        <v>4.6260000000000003E-2</v>
      </c>
      <c r="J848" s="3">
        <v>1.0099999999999999E-12</v>
      </c>
    </row>
    <row r="849" spans="1:10" x14ac:dyDescent="0.2">
      <c r="A849" s="3">
        <v>850</v>
      </c>
      <c r="B849" s="3">
        <v>5.8500000000000001E-7</v>
      </c>
      <c r="C849" s="2">
        <v>4.4150000000000002E-2</v>
      </c>
      <c r="D849" s="3">
        <v>244000</v>
      </c>
      <c r="E849" s="3">
        <v>110000000000</v>
      </c>
      <c r="F849" s="3">
        <v>99600000000</v>
      </c>
      <c r="G849" s="3">
        <v>12200000000</v>
      </c>
      <c r="H849" s="3">
        <v>10600000000</v>
      </c>
      <c r="I849" s="2">
        <v>0.12239999999999999</v>
      </c>
      <c r="J849" s="3">
        <v>7.3899999999999998E-13</v>
      </c>
    </row>
    <row r="850" spans="1:10" x14ac:dyDescent="0.2">
      <c r="A850" s="3">
        <v>850</v>
      </c>
      <c r="B850" s="3">
        <v>5.8599999999999998E-7</v>
      </c>
      <c r="C850" s="2">
        <v>4.4200000000000003E-2</v>
      </c>
      <c r="D850" s="3">
        <v>222000</v>
      </c>
      <c r="E850" s="3">
        <v>100000000000</v>
      </c>
      <c r="F850" s="3">
        <v>91800000000</v>
      </c>
      <c r="G850" s="3">
        <v>7970000000</v>
      </c>
      <c r="H850" s="3">
        <v>10900000000</v>
      </c>
      <c r="I850" s="2">
        <v>8.6889999999999995E-2</v>
      </c>
      <c r="J850" s="3">
        <v>8.9700000000000001E-13</v>
      </c>
    </row>
    <row r="851" spans="1:10" x14ac:dyDescent="0.2">
      <c r="A851" s="3">
        <v>850</v>
      </c>
      <c r="B851" s="3">
        <v>5.8699999999999995E-7</v>
      </c>
      <c r="C851" s="2">
        <v>4.4249999999999998E-2</v>
      </c>
      <c r="D851" s="3">
        <v>218000</v>
      </c>
      <c r="E851" s="3">
        <v>98800000000</v>
      </c>
      <c r="F851" s="3">
        <v>90500000000</v>
      </c>
      <c r="G851" s="3">
        <v>8580000000</v>
      </c>
      <c r="H851" s="3">
        <v>11000000000</v>
      </c>
      <c r="I851" s="2">
        <v>9.4839999999999994E-2</v>
      </c>
      <c r="J851" s="3">
        <v>9.2800000000000008E-13</v>
      </c>
    </row>
    <row r="852" spans="1:10" x14ac:dyDescent="0.2">
      <c r="A852" s="3">
        <v>850</v>
      </c>
      <c r="B852" s="3">
        <v>5.8699999999999995E-7</v>
      </c>
      <c r="C852" s="2">
        <v>4.4299999999999999E-2</v>
      </c>
      <c r="D852" s="3">
        <v>193000</v>
      </c>
      <c r="E852" s="3">
        <v>88400000000</v>
      </c>
      <c r="F852" s="3">
        <v>81700000000</v>
      </c>
      <c r="G852" s="3">
        <v>4350000000</v>
      </c>
      <c r="H852" s="3">
        <v>11600000000</v>
      </c>
      <c r="I852" s="2">
        <v>5.3199999999999997E-2</v>
      </c>
      <c r="J852" s="3">
        <v>1.1999999999999999E-12</v>
      </c>
    </row>
    <row r="853" spans="1:10" x14ac:dyDescent="0.2">
      <c r="A853" s="3">
        <v>850</v>
      </c>
      <c r="B853" s="3">
        <v>5.8800000000000002E-7</v>
      </c>
      <c r="C853" s="2">
        <v>4.4359999999999997E-2</v>
      </c>
      <c r="D853" s="3">
        <v>212000</v>
      </c>
      <c r="E853" s="3">
        <v>96300000000</v>
      </c>
      <c r="F853" s="3">
        <v>88300000000</v>
      </c>
      <c r="G853" s="3">
        <v>2930000000</v>
      </c>
      <c r="H853" s="3">
        <v>11100000000</v>
      </c>
      <c r="I853" s="2">
        <v>3.3169999999999998E-2</v>
      </c>
      <c r="J853" s="3">
        <v>9.8299999999999995E-13</v>
      </c>
    </row>
    <row r="854" spans="1:10" x14ac:dyDescent="0.2">
      <c r="A854" s="3">
        <v>850</v>
      </c>
      <c r="B854" s="3">
        <v>5.8899999999999999E-7</v>
      </c>
      <c r="C854" s="2">
        <v>4.4409999999999998E-2</v>
      </c>
      <c r="D854" s="3">
        <v>190000</v>
      </c>
      <c r="E854" s="3">
        <v>87200000000</v>
      </c>
      <c r="F854" s="3">
        <v>80700000000</v>
      </c>
      <c r="G854" s="3">
        <v>833000000</v>
      </c>
      <c r="H854" s="3">
        <v>11600000000</v>
      </c>
      <c r="I854" s="2">
        <v>1.0330000000000001E-2</v>
      </c>
      <c r="J854" s="3">
        <v>1.23E-12</v>
      </c>
    </row>
    <row r="855" spans="1:10" x14ac:dyDescent="0.2">
      <c r="A855" s="3">
        <v>850</v>
      </c>
      <c r="B855" s="3">
        <v>5.8999999999999996E-7</v>
      </c>
      <c r="C855" s="2">
        <v>4.446E-2</v>
      </c>
      <c r="D855" s="3">
        <v>215000</v>
      </c>
      <c r="E855" s="3">
        <v>97300000000</v>
      </c>
      <c r="F855" s="3">
        <v>89200000000</v>
      </c>
      <c r="G855" s="3">
        <v>2440000000</v>
      </c>
      <c r="H855" s="3">
        <v>11100000000</v>
      </c>
      <c r="I855" s="2">
        <v>2.7320000000000001E-2</v>
      </c>
      <c r="J855" s="3">
        <v>9.5900000000000005E-13</v>
      </c>
    </row>
    <row r="856" spans="1:10" x14ac:dyDescent="0.2">
      <c r="A856" s="3">
        <v>850</v>
      </c>
      <c r="B856" s="3">
        <v>5.9100000000000004E-7</v>
      </c>
      <c r="C856" s="2">
        <v>4.4510000000000001E-2</v>
      </c>
      <c r="D856" s="3">
        <v>200000</v>
      </c>
      <c r="E856" s="3">
        <v>91200000000</v>
      </c>
      <c r="F856" s="3">
        <v>84000000000</v>
      </c>
      <c r="G856" s="3">
        <v>774000000</v>
      </c>
      <c r="H856" s="3">
        <v>11400000000</v>
      </c>
      <c r="I856" s="2">
        <v>9.2040000000000004E-3</v>
      </c>
      <c r="J856" s="3">
        <v>1.1099999999999999E-12</v>
      </c>
    </row>
    <row r="857" spans="1:10" x14ac:dyDescent="0.2">
      <c r="A857" s="3">
        <v>860</v>
      </c>
      <c r="B857" s="3">
        <v>5.9100000000000004E-7</v>
      </c>
      <c r="C857" s="2">
        <v>4.4569999999999999E-2</v>
      </c>
      <c r="D857" s="3">
        <v>223000</v>
      </c>
      <c r="E857" s="3">
        <v>100000000000</v>
      </c>
      <c r="F857" s="3">
        <v>91800000000</v>
      </c>
      <c r="G857" s="2">
        <v>0</v>
      </c>
      <c r="H857" s="3">
        <v>10900000000</v>
      </c>
      <c r="I857" s="2">
        <v>-1.91E-3</v>
      </c>
      <c r="J857" s="3">
        <v>8.9500000000000002E-13</v>
      </c>
    </row>
    <row r="858" spans="1:10" x14ac:dyDescent="0.2">
      <c r="A858" s="3">
        <v>860</v>
      </c>
      <c r="B858" s="3">
        <v>5.9200000000000001E-7</v>
      </c>
      <c r="C858" s="2">
        <v>4.462E-2</v>
      </c>
      <c r="D858" s="3">
        <v>209000</v>
      </c>
      <c r="E858" s="3">
        <v>94700000000</v>
      </c>
      <c r="F858" s="3">
        <v>87000000000</v>
      </c>
      <c r="G858" s="3">
        <v>5670000000</v>
      </c>
      <c r="H858" s="3">
        <v>11200000000</v>
      </c>
      <c r="I858" s="2">
        <v>6.5170000000000006E-2</v>
      </c>
      <c r="J858" s="3">
        <v>1.0200000000000001E-12</v>
      </c>
    </row>
    <row r="859" spans="1:10" x14ac:dyDescent="0.2">
      <c r="A859" s="3">
        <v>860</v>
      </c>
      <c r="B859" s="3">
        <v>5.9200000000000001E-7</v>
      </c>
      <c r="C859" s="2">
        <v>4.4670000000000001E-2</v>
      </c>
      <c r="D859" s="3">
        <v>201000</v>
      </c>
      <c r="E859" s="3">
        <v>91300000000</v>
      </c>
      <c r="F859" s="3">
        <v>84100000000</v>
      </c>
      <c r="G859" s="2">
        <v>0</v>
      </c>
      <c r="H859" s="3">
        <v>11400000000</v>
      </c>
      <c r="I859" s="2">
        <v>-4.3540000000000002E-2</v>
      </c>
      <c r="J859" s="3">
        <v>1.1099999999999999E-12</v>
      </c>
    </row>
    <row r="860" spans="1:10" x14ac:dyDescent="0.2">
      <c r="A860" s="3">
        <v>860</v>
      </c>
      <c r="B860" s="3">
        <v>5.9400000000000005E-7</v>
      </c>
      <c r="C860" s="2">
        <v>4.4720000000000003E-2</v>
      </c>
      <c r="D860" s="3">
        <v>221000</v>
      </c>
      <c r="E860" s="3">
        <v>99300000000</v>
      </c>
      <c r="F860" s="3">
        <v>90900000000</v>
      </c>
      <c r="G860" s="2">
        <v>0</v>
      </c>
      <c r="H860" s="3">
        <v>11000000000</v>
      </c>
      <c r="I860" s="2">
        <v>-1.4959999999999999E-2</v>
      </c>
      <c r="J860" s="3">
        <v>9.1500000000000004E-13</v>
      </c>
    </row>
    <row r="861" spans="1:10" x14ac:dyDescent="0.2">
      <c r="A861" s="3">
        <v>860</v>
      </c>
      <c r="B861" s="3">
        <v>5.9500000000000002E-7</v>
      </c>
      <c r="C861" s="2">
        <v>4.4769999999999997E-2</v>
      </c>
      <c r="D861" s="3">
        <v>195000</v>
      </c>
      <c r="E861" s="3">
        <v>88500000000</v>
      </c>
      <c r="F861" s="3">
        <v>81800000000</v>
      </c>
      <c r="G861" s="3">
        <v>262000000</v>
      </c>
      <c r="H861" s="3">
        <v>11500000000</v>
      </c>
      <c r="I861" s="2">
        <v>3.1979999999999999E-3</v>
      </c>
      <c r="J861" s="3">
        <v>1.18E-12</v>
      </c>
    </row>
    <row r="862" spans="1:10" x14ac:dyDescent="0.2">
      <c r="A862" s="3">
        <v>860</v>
      </c>
      <c r="B862" s="3">
        <v>5.9500000000000002E-7</v>
      </c>
      <c r="C862" s="2">
        <v>4.4830000000000002E-2</v>
      </c>
      <c r="D862" s="3">
        <v>214000</v>
      </c>
      <c r="E862" s="3">
        <v>96100000000</v>
      </c>
      <c r="F862" s="3">
        <v>88200000000</v>
      </c>
      <c r="G862" s="3">
        <v>175000000</v>
      </c>
      <c r="H862" s="3">
        <v>11100000000</v>
      </c>
      <c r="I862" s="2">
        <v>1.9840000000000001E-3</v>
      </c>
      <c r="J862" s="3">
        <v>9.8299999999999995E-13</v>
      </c>
    </row>
    <row r="863" spans="1:10" x14ac:dyDescent="0.2">
      <c r="A863" s="3">
        <v>860</v>
      </c>
      <c r="B863" s="3">
        <v>5.9599999999999999E-7</v>
      </c>
      <c r="C863" s="2">
        <v>4.4880000000000003E-2</v>
      </c>
      <c r="D863" s="3">
        <v>201000</v>
      </c>
      <c r="E863" s="3">
        <v>91100000000</v>
      </c>
      <c r="F863" s="3">
        <v>84000000000</v>
      </c>
      <c r="G863" s="3">
        <v>3040000000</v>
      </c>
      <c r="H863" s="3">
        <v>11300000000</v>
      </c>
      <c r="I863" s="2">
        <v>3.6249999999999998E-2</v>
      </c>
      <c r="J863" s="3">
        <v>1.1099999999999999E-12</v>
      </c>
    </row>
    <row r="864" spans="1:10" x14ac:dyDescent="0.2">
      <c r="A864" s="3">
        <v>860</v>
      </c>
      <c r="B864" s="3">
        <v>5.9699999999999996E-7</v>
      </c>
      <c r="C864" s="2">
        <v>4.4929999999999998E-2</v>
      </c>
      <c r="D864" s="3">
        <v>236000</v>
      </c>
      <c r="E864" s="3">
        <v>105000000000</v>
      </c>
      <c r="F864" s="3">
        <v>95800000000</v>
      </c>
      <c r="G864" s="3">
        <v>6120000000</v>
      </c>
      <c r="H864" s="3">
        <v>10700000000</v>
      </c>
      <c r="I864" s="2">
        <v>6.3939999999999997E-2</v>
      </c>
      <c r="J864" s="3">
        <v>8.06E-13</v>
      </c>
    </row>
    <row r="865" spans="1:10" x14ac:dyDescent="0.2">
      <c r="A865" s="3">
        <v>860</v>
      </c>
      <c r="B865" s="3">
        <v>5.9800000000000003E-7</v>
      </c>
      <c r="C865" s="2">
        <v>4.4979999999999999E-2</v>
      </c>
      <c r="D865" s="3">
        <v>203000</v>
      </c>
      <c r="E865" s="3">
        <v>91700000000</v>
      </c>
      <c r="F865" s="3">
        <v>84500000000</v>
      </c>
      <c r="G865" s="3">
        <v>317000000</v>
      </c>
      <c r="H865" s="3">
        <v>11300000000</v>
      </c>
      <c r="I865" s="2">
        <v>3.751E-3</v>
      </c>
      <c r="J865" s="3">
        <v>1.09E-12</v>
      </c>
    </row>
    <row r="866" spans="1:10" x14ac:dyDescent="0.2">
      <c r="A866" s="3">
        <v>860</v>
      </c>
      <c r="B866" s="3">
        <v>5.99E-7</v>
      </c>
      <c r="C866" s="2">
        <v>4.5030000000000001E-2</v>
      </c>
      <c r="D866" s="3">
        <v>195000</v>
      </c>
      <c r="E866" s="3">
        <v>88500000000</v>
      </c>
      <c r="F866" s="3">
        <v>81800000000</v>
      </c>
      <c r="G866" s="2">
        <v>0</v>
      </c>
      <c r="H866" s="3">
        <v>11400000000</v>
      </c>
      <c r="I866" s="2">
        <v>-1.5219999999999999E-2</v>
      </c>
      <c r="J866" s="3">
        <v>1.18E-12</v>
      </c>
    </row>
    <row r="867" spans="1:10" x14ac:dyDescent="0.2">
      <c r="A867" s="3">
        <v>870</v>
      </c>
      <c r="B867" s="3">
        <v>5.99E-7</v>
      </c>
      <c r="C867" s="2">
        <v>4.5089999999999998E-2</v>
      </c>
      <c r="D867" s="3">
        <v>231000</v>
      </c>
      <c r="E867" s="3">
        <v>103000000000</v>
      </c>
      <c r="F867" s="3">
        <v>93800000000</v>
      </c>
      <c r="G867" s="3">
        <v>3490000000</v>
      </c>
      <c r="H867" s="3">
        <v>10800000000</v>
      </c>
      <c r="I867" s="2">
        <v>3.7269999999999998E-2</v>
      </c>
      <c r="J867" s="3">
        <v>8.4600000000000003E-13</v>
      </c>
    </row>
    <row r="868" spans="1:10" x14ac:dyDescent="0.2">
      <c r="A868" s="3">
        <v>870</v>
      </c>
      <c r="B868" s="3">
        <v>5.9999999999999997E-7</v>
      </c>
      <c r="C868" s="2">
        <v>4.514E-2</v>
      </c>
      <c r="D868" s="3">
        <v>224000</v>
      </c>
      <c r="E868" s="3">
        <v>99700000000</v>
      </c>
      <c r="F868" s="3">
        <v>91300000000</v>
      </c>
      <c r="G868" s="2">
        <v>0</v>
      </c>
      <c r="H868" s="3">
        <v>10900000000</v>
      </c>
      <c r="I868" s="2">
        <v>-3.2910000000000002E-2</v>
      </c>
      <c r="J868" s="3">
        <v>9.0199999999999999E-13</v>
      </c>
    </row>
    <row r="869" spans="1:10" x14ac:dyDescent="0.2">
      <c r="A869" s="3">
        <v>870</v>
      </c>
      <c r="B869" s="3">
        <v>6.0100000000000005E-7</v>
      </c>
      <c r="C869" s="2">
        <v>4.5190000000000001E-2</v>
      </c>
      <c r="D869" s="3">
        <v>194000</v>
      </c>
      <c r="E869" s="3">
        <v>87800000000</v>
      </c>
      <c r="F869" s="3">
        <v>81200000000</v>
      </c>
      <c r="G869" s="3">
        <v>12000000000</v>
      </c>
      <c r="H869" s="3">
        <v>11500000000</v>
      </c>
      <c r="I869" s="2">
        <v>0.14799999999999999</v>
      </c>
      <c r="J869" s="3">
        <v>1.1999999999999999E-12</v>
      </c>
    </row>
    <row r="870" spans="1:10" x14ac:dyDescent="0.2">
      <c r="A870" s="3">
        <v>870</v>
      </c>
      <c r="B870" s="3">
        <v>6.0200000000000002E-7</v>
      </c>
      <c r="C870" s="2">
        <v>4.5240000000000002E-2</v>
      </c>
      <c r="D870" s="3">
        <v>215000</v>
      </c>
      <c r="E870" s="3">
        <v>96100000000</v>
      </c>
      <c r="F870" s="3">
        <v>88200000000</v>
      </c>
      <c r="G870" s="2">
        <v>0</v>
      </c>
      <c r="H870" s="3">
        <v>11000000000</v>
      </c>
      <c r="I870" s="2">
        <v>-1.4520000000000001E-4</v>
      </c>
      <c r="J870" s="3">
        <v>9.7899999999999997E-13</v>
      </c>
    </row>
    <row r="871" spans="1:10" x14ac:dyDescent="0.2">
      <c r="A871" s="3">
        <v>870</v>
      </c>
      <c r="B871" s="3">
        <v>6.0299999999999999E-7</v>
      </c>
      <c r="C871" s="2">
        <v>4.5289999999999997E-2</v>
      </c>
      <c r="D871" s="3">
        <v>247000</v>
      </c>
      <c r="E871" s="3">
        <v>109000000000</v>
      </c>
      <c r="F871" s="3">
        <v>99100000000</v>
      </c>
      <c r="G871" s="3">
        <v>6900000000</v>
      </c>
      <c r="H871" s="3">
        <v>10500000000</v>
      </c>
      <c r="I871" s="2">
        <v>6.9620000000000001E-2</v>
      </c>
      <c r="J871" s="3">
        <v>7.4099999999999997E-13</v>
      </c>
    </row>
    <row r="872" spans="1:10" x14ac:dyDescent="0.2">
      <c r="A872" s="3">
        <v>870</v>
      </c>
      <c r="B872" s="3">
        <v>6.0399999999999996E-7</v>
      </c>
      <c r="C872" s="2">
        <v>4.5350000000000001E-2</v>
      </c>
      <c r="D872" s="3">
        <v>214000</v>
      </c>
      <c r="E872" s="3">
        <v>95700000000</v>
      </c>
      <c r="F872" s="3">
        <v>87800000000</v>
      </c>
      <c r="G872" s="3">
        <v>13700000000</v>
      </c>
      <c r="H872" s="3">
        <v>11000000000</v>
      </c>
      <c r="I872" s="2">
        <v>0.15620000000000001</v>
      </c>
      <c r="J872" s="3">
        <v>9.8699999999999993E-13</v>
      </c>
    </row>
    <row r="873" spans="1:10" x14ac:dyDescent="0.2">
      <c r="A873" s="3">
        <v>870</v>
      </c>
      <c r="B873" s="3">
        <v>6.0399999999999996E-7</v>
      </c>
      <c r="C873" s="2">
        <v>4.5400000000000003E-2</v>
      </c>
      <c r="D873" s="3">
        <v>208000</v>
      </c>
      <c r="E873" s="3">
        <v>93100000000</v>
      </c>
      <c r="F873" s="3">
        <v>85700000000</v>
      </c>
      <c r="G873" s="3">
        <v>3240000000</v>
      </c>
      <c r="H873" s="3">
        <v>11200000000</v>
      </c>
      <c r="I873" s="2">
        <v>3.7760000000000002E-2</v>
      </c>
      <c r="J873" s="3">
        <v>1.05E-12</v>
      </c>
    </row>
    <row r="874" spans="1:10" x14ac:dyDescent="0.2">
      <c r="A874" s="3">
        <v>870</v>
      </c>
      <c r="B874" s="3">
        <v>6.0500000000000003E-7</v>
      </c>
      <c r="C874" s="2">
        <v>4.5449999999999997E-2</v>
      </c>
      <c r="D874" s="3">
        <v>227000</v>
      </c>
      <c r="E874" s="3">
        <v>101000000000</v>
      </c>
      <c r="F874" s="3">
        <v>92100000000</v>
      </c>
      <c r="G874" s="3">
        <v>10800000000</v>
      </c>
      <c r="H874" s="3">
        <v>10800000000</v>
      </c>
      <c r="I874" s="2">
        <v>0.11700000000000001</v>
      </c>
      <c r="J874" s="3">
        <v>8.8099999999999998E-13</v>
      </c>
    </row>
    <row r="875" spans="1:10" x14ac:dyDescent="0.2">
      <c r="A875" s="3">
        <v>870</v>
      </c>
      <c r="B875" s="3">
        <v>6.06E-7</v>
      </c>
      <c r="C875" s="2">
        <v>4.5499999999999999E-2</v>
      </c>
      <c r="D875" s="3">
        <v>209000</v>
      </c>
      <c r="E875" s="3">
        <v>93200000000</v>
      </c>
      <c r="F875" s="3">
        <v>85800000000</v>
      </c>
      <c r="G875" s="2">
        <v>0</v>
      </c>
      <c r="H875" s="3">
        <v>11100000000</v>
      </c>
      <c r="I875" s="2">
        <v>-0.10780000000000001</v>
      </c>
      <c r="J875" s="3">
        <v>1.05E-12</v>
      </c>
    </row>
    <row r="876" spans="1:10" x14ac:dyDescent="0.2">
      <c r="A876" s="3">
        <v>870</v>
      </c>
      <c r="B876" s="3">
        <v>6.0699999999999997E-7</v>
      </c>
      <c r="C876" s="2">
        <v>4.5560000000000003E-2</v>
      </c>
      <c r="D876" s="3">
        <v>181000</v>
      </c>
      <c r="E876" s="3">
        <v>82300000000</v>
      </c>
      <c r="F876" s="3">
        <v>76400000000</v>
      </c>
      <c r="G876" s="2">
        <v>0</v>
      </c>
      <c r="H876" s="3">
        <v>11800000000</v>
      </c>
      <c r="I876" s="2">
        <v>-2.9440000000000001E-2</v>
      </c>
      <c r="J876" s="3">
        <v>1.4000000000000001E-12</v>
      </c>
    </row>
    <row r="877" spans="1:10" x14ac:dyDescent="0.2">
      <c r="A877" s="3">
        <v>880</v>
      </c>
      <c r="B877" s="3">
        <v>6.0800000000000004E-7</v>
      </c>
      <c r="C877" s="2">
        <v>4.5609999999999998E-2</v>
      </c>
      <c r="D877" s="3">
        <v>197000</v>
      </c>
      <c r="E877" s="3">
        <v>88300000000</v>
      </c>
      <c r="F877" s="3">
        <v>81600000000</v>
      </c>
      <c r="G877" s="3">
        <v>5920000000</v>
      </c>
      <c r="H877" s="3">
        <v>11400000000</v>
      </c>
      <c r="I877" s="2">
        <v>7.2559999999999999E-2</v>
      </c>
      <c r="J877" s="3">
        <v>1.18E-12</v>
      </c>
    </row>
    <row r="878" spans="1:10" x14ac:dyDescent="0.2">
      <c r="A878" s="3">
        <v>880</v>
      </c>
      <c r="B878" s="3">
        <v>6.0800000000000004E-7</v>
      </c>
      <c r="C878" s="2">
        <v>4.5659999999999999E-2</v>
      </c>
      <c r="D878" s="3">
        <v>223000</v>
      </c>
      <c r="E878" s="3">
        <v>98500000000</v>
      </c>
      <c r="F878" s="3">
        <v>90200000000</v>
      </c>
      <c r="G878" s="3">
        <v>7820000000</v>
      </c>
      <c r="H878" s="3">
        <v>10900000000</v>
      </c>
      <c r="I878" s="2">
        <v>8.6699999999999999E-2</v>
      </c>
      <c r="J878" s="3">
        <v>9.2199999999999991E-13</v>
      </c>
    </row>
    <row r="879" spans="1:10" x14ac:dyDescent="0.2">
      <c r="A879" s="3">
        <v>880</v>
      </c>
      <c r="B879" s="3">
        <v>6.0900000000000001E-7</v>
      </c>
      <c r="C879" s="2">
        <v>4.5719999999999997E-2</v>
      </c>
      <c r="D879" s="3">
        <v>210000</v>
      </c>
      <c r="E879" s="3">
        <v>93400000000</v>
      </c>
      <c r="F879" s="3">
        <v>85900000000</v>
      </c>
      <c r="G879" s="2">
        <v>0</v>
      </c>
      <c r="H879" s="3">
        <v>11100000000</v>
      </c>
      <c r="I879" s="2">
        <v>-0.122</v>
      </c>
      <c r="J879" s="3">
        <v>1.04E-12</v>
      </c>
    </row>
    <row r="880" spans="1:10" x14ac:dyDescent="0.2">
      <c r="A880" s="3">
        <v>880</v>
      </c>
      <c r="B880" s="3">
        <v>6.0999999999999998E-7</v>
      </c>
      <c r="C880" s="2">
        <v>4.5769999999999998E-2</v>
      </c>
      <c r="D880" s="3">
        <v>211000</v>
      </c>
      <c r="E880" s="3">
        <v>93900000000</v>
      </c>
      <c r="F880" s="3">
        <v>86400000000</v>
      </c>
      <c r="G880" s="3">
        <v>285000000</v>
      </c>
      <c r="H880" s="3">
        <v>11100000000</v>
      </c>
      <c r="I880" s="2">
        <v>3.3029999999999999E-3</v>
      </c>
      <c r="J880" s="3">
        <v>1.0200000000000001E-12</v>
      </c>
    </row>
    <row r="881" spans="1:10" x14ac:dyDescent="0.2">
      <c r="A881" s="3">
        <v>880</v>
      </c>
      <c r="B881" s="3">
        <v>6.0999999999999998E-7</v>
      </c>
      <c r="C881" s="2">
        <v>4.582E-2</v>
      </c>
      <c r="D881" s="3">
        <v>219000</v>
      </c>
      <c r="E881" s="3">
        <v>96800000000</v>
      </c>
      <c r="F881" s="3">
        <v>88800000000</v>
      </c>
      <c r="G881" s="2">
        <v>0</v>
      </c>
      <c r="H881" s="3">
        <v>11000000000</v>
      </c>
      <c r="I881" s="2">
        <v>-2.632E-2</v>
      </c>
      <c r="J881" s="3">
        <v>9.5900000000000005E-13</v>
      </c>
    </row>
    <row r="882" spans="1:10" x14ac:dyDescent="0.2">
      <c r="A882" s="3">
        <v>880</v>
      </c>
      <c r="B882" s="3">
        <v>6.1099999999999995E-7</v>
      </c>
      <c r="C882" s="2">
        <v>4.5870000000000001E-2</v>
      </c>
      <c r="D882" s="3">
        <v>234000</v>
      </c>
      <c r="E882" s="3">
        <v>103000000000</v>
      </c>
      <c r="F882" s="3">
        <v>94000000000</v>
      </c>
      <c r="G882" s="3">
        <v>11100000</v>
      </c>
      <c r="H882" s="3">
        <v>10700000000</v>
      </c>
      <c r="I882" s="2">
        <v>1.176E-4</v>
      </c>
      <c r="J882" s="3">
        <v>8.3599999999999997E-13</v>
      </c>
    </row>
    <row r="883" spans="1:10" x14ac:dyDescent="0.2">
      <c r="A883" s="3">
        <v>880</v>
      </c>
      <c r="B883" s="3">
        <v>6.1200000000000003E-7</v>
      </c>
      <c r="C883" s="2">
        <v>4.5920000000000002E-2</v>
      </c>
      <c r="D883" s="3">
        <v>188000</v>
      </c>
      <c r="E883" s="3">
        <v>84700000000</v>
      </c>
      <c r="F883" s="3">
        <v>78500000000</v>
      </c>
      <c r="G883" s="3">
        <v>7010000000</v>
      </c>
      <c r="H883" s="3">
        <v>11600000000</v>
      </c>
      <c r="I883" s="2">
        <v>8.9359999999999995E-2</v>
      </c>
      <c r="J883" s="3">
        <v>1.2999999999999999E-12</v>
      </c>
    </row>
    <row r="884" spans="1:10" x14ac:dyDescent="0.2">
      <c r="A884" s="3">
        <v>880</v>
      </c>
      <c r="B884" s="3">
        <v>6.13E-7</v>
      </c>
      <c r="C884" s="2">
        <v>4.5969999999999997E-2</v>
      </c>
      <c r="D884" s="3">
        <v>214000</v>
      </c>
      <c r="E884" s="3">
        <v>94800000000</v>
      </c>
      <c r="F884" s="3">
        <v>87100000000</v>
      </c>
      <c r="G884" s="3">
        <v>1900000000</v>
      </c>
      <c r="H884" s="3">
        <v>11000000000</v>
      </c>
      <c r="I884" s="2">
        <v>2.181E-2</v>
      </c>
      <c r="J884" s="3">
        <v>9.9999999999999998E-13</v>
      </c>
    </row>
    <row r="885" spans="1:10" x14ac:dyDescent="0.2">
      <c r="A885" s="3">
        <v>880</v>
      </c>
      <c r="B885" s="3">
        <v>6.1399999999999997E-7</v>
      </c>
      <c r="C885" s="2">
        <v>4.6019999999999998E-2</v>
      </c>
      <c r="D885" s="3">
        <v>233000</v>
      </c>
      <c r="E885" s="3">
        <v>102000000000</v>
      </c>
      <c r="F885" s="3">
        <v>93300000000</v>
      </c>
      <c r="G885" s="3">
        <v>8400000000</v>
      </c>
      <c r="H885" s="3">
        <v>10700000000</v>
      </c>
      <c r="I885" s="2">
        <v>8.9990000000000001E-2</v>
      </c>
      <c r="J885" s="3">
        <v>8.4800000000000002E-13</v>
      </c>
    </row>
    <row r="886" spans="1:10" x14ac:dyDescent="0.2">
      <c r="A886" s="3">
        <v>880</v>
      </c>
      <c r="B886" s="3">
        <v>6.1399999999999997E-7</v>
      </c>
      <c r="C886" s="2">
        <v>4.6080000000000003E-2</v>
      </c>
      <c r="D886" s="3">
        <v>212000</v>
      </c>
      <c r="E886" s="3">
        <v>93800000000</v>
      </c>
      <c r="F886" s="3">
        <v>86300000000</v>
      </c>
      <c r="G886" s="3">
        <v>6460000000</v>
      </c>
      <c r="H886" s="3">
        <v>11100000000</v>
      </c>
      <c r="I886" s="2">
        <v>7.4829999999999994E-2</v>
      </c>
      <c r="J886" s="3">
        <v>1.0300000000000001E-12</v>
      </c>
    </row>
    <row r="887" spans="1:10" x14ac:dyDescent="0.2">
      <c r="A887" s="3">
        <v>890</v>
      </c>
      <c r="B887" s="3">
        <v>6.1500000000000004E-7</v>
      </c>
      <c r="C887" s="2">
        <v>4.6129999999999997E-2</v>
      </c>
      <c r="D887" s="3">
        <v>209000</v>
      </c>
      <c r="E887" s="3">
        <v>92400000000</v>
      </c>
      <c r="F887" s="3">
        <v>85100000000</v>
      </c>
      <c r="G887" s="2">
        <v>0</v>
      </c>
      <c r="H887" s="3">
        <v>11100000000</v>
      </c>
      <c r="I887" s="2">
        <v>-5.2690000000000001E-2</v>
      </c>
      <c r="J887" s="3">
        <v>1.0599999999999999E-12</v>
      </c>
    </row>
    <row r="888" spans="1:10" x14ac:dyDescent="0.2">
      <c r="A888" s="3">
        <v>890</v>
      </c>
      <c r="B888" s="3">
        <v>6.1600000000000001E-7</v>
      </c>
      <c r="C888" s="2">
        <v>4.6179999999999999E-2</v>
      </c>
      <c r="D888" s="3">
        <v>230000</v>
      </c>
      <c r="E888" s="3">
        <v>101000000000</v>
      </c>
      <c r="F888" s="3">
        <v>92100000000</v>
      </c>
      <c r="G888" s="3">
        <v>187000000</v>
      </c>
      <c r="H888" s="3">
        <v>10800000000</v>
      </c>
      <c r="I888" s="2">
        <v>2.0339999999999998E-3</v>
      </c>
      <c r="J888" s="3">
        <v>8.76E-13</v>
      </c>
    </row>
    <row r="889" spans="1:10" x14ac:dyDescent="0.2">
      <c r="A889" s="3">
        <v>890</v>
      </c>
      <c r="B889" s="3">
        <v>6.1600000000000001E-7</v>
      </c>
      <c r="C889" s="2">
        <v>4.623E-2</v>
      </c>
      <c r="D889" s="3">
        <v>212000</v>
      </c>
      <c r="E889" s="3">
        <v>93600000000</v>
      </c>
      <c r="F889" s="3">
        <v>86100000000</v>
      </c>
      <c r="G889" s="3">
        <v>6960000000</v>
      </c>
      <c r="H889" s="3">
        <v>11100000000</v>
      </c>
      <c r="I889" s="2">
        <v>8.0780000000000005E-2</v>
      </c>
      <c r="J889" s="3">
        <v>1.0300000000000001E-12</v>
      </c>
    </row>
    <row r="890" spans="1:10" x14ac:dyDescent="0.2">
      <c r="A890" s="3">
        <v>890</v>
      </c>
      <c r="B890" s="3">
        <v>6.1699999999999998E-7</v>
      </c>
      <c r="C890" s="2">
        <v>4.6280000000000002E-2</v>
      </c>
      <c r="D890" s="3">
        <v>239000</v>
      </c>
      <c r="E890" s="3">
        <v>104000000000</v>
      </c>
      <c r="F890" s="3">
        <v>95200000000</v>
      </c>
      <c r="G890" s="3">
        <v>12800000000</v>
      </c>
      <c r="H890" s="3">
        <v>10600000000</v>
      </c>
      <c r="I890" s="2">
        <v>0.1341</v>
      </c>
      <c r="J890" s="3">
        <v>8.0899999999999999E-13</v>
      </c>
    </row>
    <row r="891" spans="1:10" x14ac:dyDescent="0.2">
      <c r="A891" s="3">
        <v>890</v>
      </c>
      <c r="B891" s="3">
        <v>6.1799999999999995E-7</v>
      </c>
      <c r="C891" s="2">
        <v>4.6339999999999999E-2</v>
      </c>
      <c r="D891" s="3">
        <v>214000</v>
      </c>
      <c r="E891" s="3">
        <v>94300000000</v>
      </c>
      <c r="F891" s="3">
        <v>86700000000</v>
      </c>
      <c r="G891" s="3">
        <v>1630000000</v>
      </c>
      <c r="H891" s="3">
        <v>11000000000</v>
      </c>
      <c r="I891" s="2">
        <v>1.881E-2</v>
      </c>
      <c r="J891" s="3">
        <v>1.0099999999999999E-12</v>
      </c>
    </row>
    <row r="892" spans="1:10" x14ac:dyDescent="0.2">
      <c r="A892" s="3">
        <v>890</v>
      </c>
      <c r="B892" s="3">
        <v>6.1900000000000002E-7</v>
      </c>
      <c r="C892" s="2">
        <v>4.6390000000000001E-2</v>
      </c>
      <c r="D892" s="3">
        <v>186000</v>
      </c>
      <c r="E892" s="3">
        <v>83300000000</v>
      </c>
      <c r="F892" s="3">
        <v>77300000000</v>
      </c>
      <c r="G892" s="3">
        <v>12000000000</v>
      </c>
      <c r="H892" s="3">
        <v>11600000000</v>
      </c>
      <c r="I892" s="2">
        <v>0.15479999999999999</v>
      </c>
      <c r="J892" s="3">
        <v>1.3399999999999999E-12</v>
      </c>
    </row>
    <row r="893" spans="1:10" x14ac:dyDescent="0.2">
      <c r="A893" s="3">
        <v>890</v>
      </c>
      <c r="B893" s="3">
        <v>6.1900000000000002E-7</v>
      </c>
      <c r="C893" s="2">
        <v>4.6440000000000002E-2</v>
      </c>
      <c r="D893" s="3">
        <v>224000</v>
      </c>
      <c r="E893" s="3">
        <v>98000000000</v>
      </c>
      <c r="F893" s="3">
        <v>89800000000</v>
      </c>
      <c r="G893" s="3">
        <v>9230000000</v>
      </c>
      <c r="H893" s="3">
        <v>10900000000</v>
      </c>
      <c r="I893" s="2">
        <v>0.1028</v>
      </c>
      <c r="J893" s="3">
        <v>9.3000000000000008E-13</v>
      </c>
    </row>
    <row r="894" spans="1:10" x14ac:dyDescent="0.2">
      <c r="A894" s="3">
        <v>890</v>
      </c>
      <c r="B894" s="3">
        <v>6.1999999999999999E-7</v>
      </c>
      <c r="C894" s="2">
        <v>4.65E-2</v>
      </c>
      <c r="D894" s="3">
        <v>225000</v>
      </c>
      <c r="E894" s="3">
        <v>98400000000</v>
      </c>
      <c r="F894" s="3">
        <v>90200000000</v>
      </c>
      <c r="G894" s="3">
        <v>1310000000</v>
      </c>
      <c r="H894" s="3">
        <v>10800000000</v>
      </c>
      <c r="I894" s="2">
        <v>1.448E-2</v>
      </c>
      <c r="J894" s="3">
        <v>9.1900000000000002E-13</v>
      </c>
    </row>
    <row r="895" spans="1:10" x14ac:dyDescent="0.2">
      <c r="A895" s="3">
        <v>890</v>
      </c>
      <c r="B895" s="3">
        <v>6.2099999999999996E-7</v>
      </c>
      <c r="C895" s="2">
        <v>4.6550000000000001E-2</v>
      </c>
      <c r="D895" s="3">
        <v>203000</v>
      </c>
      <c r="E895" s="3">
        <v>89700000000</v>
      </c>
      <c r="F895" s="3">
        <v>82800000000</v>
      </c>
      <c r="G895" s="3">
        <v>13300000000</v>
      </c>
      <c r="H895" s="3">
        <v>11200000000</v>
      </c>
      <c r="I895" s="2">
        <v>0.16059999999999999</v>
      </c>
      <c r="J895" s="3">
        <v>1.13E-12</v>
      </c>
    </row>
    <row r="896" spans="1:10" x14ac:dyDescent="0.2">
      <c r="A896" s="3">
        <v>890</v>
      </c>
      <c r="B896" s="3">
        <v>6.2099999999999996E-7</v>
      </c>
      <c r="C896" s="2">
        <v>4.6600000000000003E-2</v>
      </c>
      <c r="D896" s="3">
        <v>223000</v>
      </c>
      <c r="E896" s="3">
        <v>97400000000</v>
      </c>
      <c r="F896" s="3">
        <v>89300000000</v>
      </c>
      <c r="G896" s="2">
        <v>0</v>
      </c>
      <c r="H896" s="3">
        <v>10900000000</v>
      </c>
      <c r="I896" s="2">
        <v>-4.7820000000000001E-2</v>
      </c>
      <c r="J896" s="3">
        <v>9.4000000000000003E-13</v>
      </c>
    </row>
    <row r="897" spans="1:10" x14ac:dyDescent="0.2">
      <c r="A897" s="3">
        <v>900</v>
      </c>
      <c r="B897" s="3">
        <v>6.2200000000000004E-7</v>
      </c>
      <c r="C897" s="2">
        <v>4.6649999999999997E-2</v>
      </c>
      <c r="D897" s="3">
        <v>234000</v>
      </c>
      <c r="E897" s="3">
        <v>102000000000</v>
      </c>
      <c r="F897" s="3">
        <v>93100000000</v>
      </c>
      <c r="G897" s="3">
        <v>15600000000</v>
      </c>
      <c r="H897" s="3">
        <v>10700000000</v>
      </c>
      <c r="I897" s="2">
        <v>0.1671</v>
      </c>
      <c r="J897" s="3">
        <v>8.5100000000000001E-13</v>
      </c>
    </row>
    <row r="898" spans="1:10" x14ac:dyDescent="0.2">
      <c r="A898" s="3">
        <v>900</v>
      </c>
      <c r="B898" s="3">
        <v>6.2300000000000001E-7</v>
      </c>
      <c r="C898" s="2">
        <v>4.6699999999999998E-2</v>
      </c>
      <c r="D898" s="3">
        <v>203000</v>
      </c>
      <c r="E898" s="3">
        <v>89500000000</v>
      </c>
      <c r="F898" s="3">
        <v>82600000000</v>
      </c>
      <c r="G898" s="3">
        <v>6220000000</v>
      </c>
      <c r="H898" s="3">
        <v>11200000000</v>
      </c>
      <c r="I898" s="2">
        <v>7.5300000000000006E-2</v>
      </c>
      <c r="J898" s="3">
        <v>1.13E-12</v>
      </c>
    </row>
    <row r="899" spans="1:10" x14ac:dyDescent="0.2">
      <c r="A899" s="3">
        <v>900</v>
      </c>
      <c r="B899" s="3">
        <v>6.2399999999999998E-7</v>
      </c>
      <c r="C899" s="2">
        <v>4.6760000000000003E-2</v>
      </c>
      <c r="D899" s="3">
        <v>218000</v>
      </c>
      <c r="E899" s="3">
        <v>95400000000</v>
      </c>
      <c r="F899" s="3">
        <v>87600000000</v>
      </c>
      <c r="G899" s="3">
        <v>4610000000</v>
      </c>
      <c r="H899" s="3">
        <v>10900000000</v>
      </c>
      <c r="I899" s="2">
        <v>5.2609999999999997E-2</v>
      </c>
      <c r="J899" s="3">
        <v>9.8299999999999995E-13</v>
      </c>
    </row>
    <row r="900" spans="1:10" x14ac:dyDescent="0.2">
      <c r="A900" s="3">
        <v>900</v>
      </c>
      <c r="B900" s="3">
        <v>6.2500000000000005E-7</v>
      </c>
      <c r="C900" s="2">
        <v>4.6809999999999997E-2</v>
      </c>
      <c r="D900" s="3">
        <v>244000</v>
      </c>
      <c r="E900" s="3">
        <v>106000000000</v>
      </c>
      <c r="F900" s="3">
        <v>96200000000</v>
      </c>
      <c r="G900" s="3">
        <v>10600000000</v>
      </c>
      <c r="H900" s="3">
        <v>10500000000</v>
      </c>
      <c r="I900" s="2">
        <v>0.1104</v>
      </c>
      <c r="J900" s="3">
        <v>7.8599999999999998E-13</v>
      </c>
    </row>
    <row r="901" spans="1:10" x14ac:dyDescent="0.2">
      <c r="A901" s="3">
        <v>900</v>
      </c>
      <c r="B901" s="3">
        <v>6.2500000000000005E-7</v>
      </c>
      <c r="C901" s="2">
        <v>4.6859999999999999E-2</v>
      </c>
      <c r="D901" s="3">
        <v>221000</v>
      </c>
      <c r="E901" s="3">
        <v>96600000000</v>
      </c>
      <c r="F901" s="3">
        <v>88600000000</v>
      </c>
      <c r="G901" s="3">
        <v>16100000000</v>
      </c>
      <c r="H901" s="3">
        <v>10900000000</v>
      </c>
      <c r="I901" s="2">
        <v>0.18210000000000001</v>
      </c>
      <c r="J901" s="3">
        <v>9.5599999999999997E-13</v>
      </c>
    </row>
    <row r="902" spans="1:10" x14ac:dyDescent="0.2">
      <c r="A902" s="3">
        <v>900</v>
      </c>
      <c r="B902" s="3">
        <v>6.2600000000000002E-7</v>
      </c>
      <c r="C902" s="2">
        <v>4.691E-2</v>
      </c>
      <c r="D902" s="3">
        <v>204000</v>
      </c>
      <c r="E902" s="3">
        <v>89800000000</v>
      </c>
      <c r="F902" s="3">
        <v>82900000000</v>
      </c>
      <c r="G902" s="3">
        <v>5560000000</v>
      </c>
      <c r="H902" s="3">
        <v>11200000000</v>
      </c>
      <c r="I902" s="2">
        <v>6.701E-2</v>
      </c>
      <c r="J902" s="3">
        <v>1.1200000000000001E-12</v>
      </c>
    </row>
    <row r="903" spans="1:10" x14ac:dyDescent="0.2">
      <c r="A903" s="3">
        <v>900</v>
      </c>
      <c r="B903" s="3">
        <v>6.2699999999999999E-7</v>
      </c>
      <c r="C903" s="2">
        <v>4.6960000000000002E-2</v>
      </c>
      <c r="D903" s="3">
        <v>232000</v>
      </c>
      <c r="E903" s="3">
        <v>101000000000</v>
      </c>
      <c r="F903" s="3">
        <v>92000000000</v>
      </c>
      <c r="G903" s="3">
        <v>1960000000</v>
      </c>
      <c r="H903" s="3">
        <v>10700000000</v>
      </c>
      <c r="I903" s="2">
        <v>2.1319999999999999E-2</v>
      </c>
      <c r="J903" s="3">
        <v>8.7300000000000002E-13</v>
      </c>
    </row>
    <row r="904" spans="1:10" x14ac:dyDescent="0.2">
      <c r="A904" s="3">
        <v>900</v>
      </c>
      <c r="B904" s="3">
        <v>6.2699999999999999E-7</v>
      </c>
      <c r="C904" s="2">
        <v>4.7019999999999999E-2</v>
      </c>
      <c r="D904" s="3">
        <v>232000</v>
      </c>
      <c r="E904" s="3">
        <v>101000000000</v>
      </c>
      <c r="F904" s="3">
        <v>92000000000</v>
      </c>
      <c r="G904" s="3">
        <v>4520000000</v>
      </c>
      <c r="H904" s="3">
        <v>10700000000</v>
      </c>
      <c r="I904" s="2">
        <v>4.9070000000000003E-2</v>
      </c>
      <c r="J904" s="3">
        <v>8.7300000000000002E-13</v>
      </c>
    </row>
    <row r="905" spans="1:10" x14ac:dyDescent="0.2">
      <c r="A905" s="3">
        <v>900</v>
      </c>
      <c r="B905" s="3">
        <v>6.2799999999999996E-7</v>
      </c>
      <c r="C905" s="2">
        <v>4.7070000000000001E-2</v>
      </c>
      <c r="D905" s="3">
        <v>214000</v>
      </c>
      <c r="E905" s="3">
        <v>93300000000</v>
      </c>
      <c r="F905" s="3">
        <v>85900000000</v>
      </c>
      <c r="G905" s="3">
        <v>1110000000</v>
      </c>
      <c r="H905" s="3">
        <v>11000000000</v>
      </c>
      <c r="I905" s="2">
        <v>1.2880000000000001E-2</v>
      </c>
      <c r="J905" s="3">
        <v>1.0300000000000001E-12</v>
      </c>
    </row>
    <row r="906" spans="1:10" x14ac:dyDescent="0.2">
      <c r="A906" s="3">
        <v>900</v>
      </c>
      <c r="B906" s="3">
        <v>6.2900000000000003E-7</v>
      </c>
      <c r="C906" s="2">
        <v>4.7120000000000002E-2</v>
      </c>
      <c r="D906" s="3">
        <v>246000</v>
      </c>
      <c r="E906" s="3">
        <v>106000000000</v>
      </c>
      <c r="F906" s="3">
        <v>96400000000</v>
      </c>
      <c r="G906" s="3">
        <v>8580000000</v>
      </c>
      <c r="H906" s="3">
        <v>10500000000</v>
      </c>
      <c r="I906" s="2">
        <v>8.9010000000000006E-2</v>
      </c>
      <c r="J906" s="3">
        <v>7.81E-13</v>
      </c>
    </row>
    <row r="907" spans="1:10" x14ac:dyDescent="0.2">
      <c r="A907" s="3">
        <v>910</v>
      </c>
      <c r="B907" s="3">
        <v>6.3E-7</v>
      </c>
      <c r="C907" s="2">
        <v>4.7169999999999997E-2</v>
      </c>
      <c r="D907" s="3">
        <v>226000</v>
      </c>
      <c r="E907" s="3">
        <v>97800000000</v>
      </c>
      <c r="F907" s="3">
        <v>89600000000</v>
      </c>
      <c r="G907" s="3">
        <v>16800000000</v>
      </c>
      <c r="H907" s="3">
        <v>10800000000</v>
      </c>
      <c r="I907" s="2">
        <v>0.18729999999999999</v>
      </c>
      <c r="J907" s="3">
        <v>9.2800000000000008E-13</v>
      </c>
    </row>
    <row r="908" spans="1:10" x14ac:dyDescent="0.2">
      <c r="A908" s="3">
        <v>910</v>
      </c>
      <c r="B908" s="3">
        <v>6.3099999999999997E-7</v>
      </c>
      <c r="C908" s="2">
        <v>4.7230000000000001E-2</v>
      </c>
      <c r="D908" s="3">
        <v>225000</v>
      </c>
      <c r="E908" s="3">
        <v>97400000000</v>
      </c>
      <c r="F908" s="3">
        <v>89300000000</v>
      </c>
      <c r="G908" s="2">
        <v>0</v>
      </c>
      <c r="H908" s="3">
        <v>10800000000</v>
      </c>
      <c r="I908" s="2">
        <v>-2.2599999999999999E-2</v>
      </c>
      <c r="J908" s="3">
        <v>9.3699999999999995E-13</v>
      </c>
    </row>
    <row r="909" spans="1:10" x14ac:dyDescent="0.2">
      <c r="A909" s="3">
        <v>910</v>
      </c>
      <c r="B909" s="3">
        <v>6.3200000000000005E-7</v>
      </c>
      <c r="C909" s="2">
        <v>4.7280000000000003E-2</v>
      </c>
      <c r="D909" s="3">
        <v>222000</v>
      </c>
      <c r="E909" s="3">
        <v>96100000000</v>
      </c>
      <c r="F909" s="3">
        <v>88300000000</v>
      </c>
      <c r="G909" s="2">
        <v>0</v>
      </c>
      <c r="H909" s="3">
        <v>10900000000</v>
      </c>
      <c r="I909" s="2">
        <v>-5.0990000000000001E-2</v>
      </c>
      <c r="J909" s="3">
        <v>9.6199999999999994E-13</v>
      </c>
    </row>
    <row r="910" spans="1:10" x14ac:dyDescent="0.2">
      <c r="A910" s="3">
        <v>910</v>
      </c>
      <c r="B910" s="3">
        <v>6.3300000000000002E-7</v>
      </c>
      <c r="C910" s="2">
        <v>4.7329999999999997E-2</v>
      </c>
      <c r="D910" s="3">
        <v>195000</v>
      </c>
      <c r="E910" s="3">
        <v>85500000000</v>
      </c>
      <c r="F910" s="3">
        <v>79200000000</v>
      </c>
      <c r="G910" s="3">
        <v>9390000000</v>
      </c>
      <c r="H910" s="3">
        <v>11400000000</v>
      </c>
      <c r="I910" s="2">
        <v>0.11849999999999999</v>
      </c>
      <c r="J910" s="3">
        <v>1.2499999999999999E-12</v>
      </c>
    </row>
    <row r="911" spans="1:10" x14ac:dyDescent="0.2">
      <c r="A911" s="3">
        <v>910</v>
      </c>
      <c r="B911" s="3">
        <v>6.3399999999999999E-7</v>
      </c>
      <c r="C911" s="2">
        <v>4.7379999999999999E-2</v>
      </c>
      <c r="D911" s="3">
        <v>230000</v>
      </c>
      <c r="E911" s="3">
        <v>99200000000</v>
      </c>
      <c r="F911" s="3">
        <v>90800000000</v>
      </c>
      <c r="G911" s="3">
        <v>3550000000</v>
      </c>
      <c r="H911" s="3">
        <v>10700000000</v>
      </c>
      <c r="I911" s="2">
        <v>3.9100000000000003E-2</v>
      </c>
      <c r="J911" s="3">
        <v>8.9700000000000001E-13</v>
      </c>
    </row>
    <row r="912" spans="1:10" x14ac:dyDescent="0.2">
      <c r="A912" s="3">
        <v>910</v>
      </c>
      <c r="B912" s="3">
        <v>6.3499999999999996E-7</v>
      </c>
      <c r="C912" s="2">
        <v>4.743E-2</v>
      </c>
      <c r="D912" s="3">
        <v>227000</v>
      </c>
      <c r="E912" s="3">
        <v>98100000000</v>
      </c>
      <c r="F912" s="3">
        <v>89900000000</v>
      </c>
      <c r="G912" s="3">
        <v>13300000000</v>
      </c>
      <c r="H912" s="3">
        <v>10800000000</v>
      </c>
      <c r="I912" s="2">
        <v>0.14810000000000001</v>
      </c>
      <c r="J912" s="3">
        <v>9.1700000000000003E-13</v>
      </c>
    </row>
    <row r="913" spans="1:10" x14ac:dyDescent="0.2">
      <c r="A913" s="3">
        <v>910</v>
      </c>
      <c r="B913" s="3">
        <v>6.3499999999999996E-7</v>
      </c>
      <c r="C913" s="2">
        <v>4.7480000000000001E-2</v>
      </c>
      <c r="D913" s="3">
        <v>219000</v>
      </c>
      <c r="E913" s="3">
        <v>94600000000</v>
      </c>
      <c r="F913" s="3">
        <v>87000000000</v>
      </c>
      <c r="G913" s="3">
        <v>4150000000</v>
      </c>
      <c r="H913" s="3">
        <v>10900000000</v>
      </c>
      <c r="I913" s="2">
        <v>4.7750000000000001E-2</v>
      </c>
      <c r="J913" s="3">
        <v>9.9299999999999991E-13</v>
      </c>
    </row>
    <row r="914" spans="1:10" x14ac:dyDescent="0.2">
      <c r="A914" s="3">
        <v>910</v>
      </c>
      <c r="B914" s="3">
        <v>6.3600000000000003E-7</v>
      </c>
      <c r="C914" s="2">
        <v>4.7539999999999999E-2</v>
      </c>
      <c r="D914" s="3">
        <v>227000</v>
      </c>
      <c r="E914" s="3">
        <v>97800000000</v>
      </c>
      <c r="F914" s="3">
        <v>89600000000</v>
      </c>
      <c r="G914" s="3">
        <v>4680000000</v>
      </c>
      <c r="H914" s="3">
        <v>10800000000</v>
      </c>
      <c r="I914" s="2">
        <v>5.2159999999999998E-2</v>
      </c>
      <c r="J914" s="3">
        <v>9.239999999999999E-13</v>
      </c>
    </row>
    <row r="915" spans="1:10" x14ac:dyDescent="0.2">
      <c r="A915" s="3">
        <v>910</v>
      </c>
      <c r="B915" s="3">
        <v>6.37E-7</v>
      </c>
      <c r="C915" s="2">
        <v>4.759E-2</v>
      </c>
      <c r="D915" s="3">
        <v>212000</v>
      </c>
      <c r="E915" s="3">
        <v>91900000000</v>
      </c>
      <c r="F915" s="3">
        <v>84700000000</v>
      </c>
      <c r="G915" s="2">
        <v>0</v>
      </c>
      <c r="H915" s="3">
        <v>11000000000</v>
      </c>
      <c r="I915" s="2">
        <v>-4.0050000000000002E-2</v>
      </c>
      <c r="J915" s="3">
        <v>1.0599999999999999E-12</v>
      </c>
    </row>
    <row r="916" spans="1:10" x14ac:dyDescent="0.2">
      <c r="A916" s="3">
        <v>910</v>
      </c>
      <c r="B916" s="3">
        <v>6.3799999999999997E-7</v>
      </c>
      <c r="C916" s="2">
        <v>4.7640000000000002E-2</v>
      </c>
      <c r="D916" s="3">
        <v>211000</v>
      </c>
      <c r="E916" s="3">
        <v>91400000000</v>
      </c>
      <c r="F916" s="3">
        <v>84200000000</v>
      </c>
      <c r="G916" s="2">
        <v>0</v>
      </c>
      <c r="H916" s="3">
        <v>11000000000</v>
      </c>
      <c r="I916" s="2">
        <v>-0.1116</v>
      </c>
      <c r="J916" s="3">
        <v>1.0700000000000001E-12</v>
      </c>
    </row>
    <row r="917" spans="1:10" x14ac:dyDescent="0.2">
      <c r="A917" s="3">
        <v>920</v>
      </c>
      <c r="B917" s="3">
        <v>6.3900000000000004E-7</v>
      </c>
      <c r="C917" s="2">
        <v>4.7699999999999999E-2</v>
      </c>
      <c r="D917" s="3">
        <v>210000</v>
      </c>
      <c r="E917" s="3">
        <v>91000000000</v>
      </c>
      <c r="F917" s="3">
        <v>83900000000</v>
      </c>
      <c r="G917" s="2">
        <v>0</v>
      </c>
      <c r="H917" s="3">
        <v>11000000000</v>
      </c>
      <c r="I917" s="2">
        <v>-1.7770000000000001E-2</v>
      </c>
      <c r="J917" s="3">
        <v>1.08E-12</v>
      </c>
    </row>
    <row r="918" spans="1:10" x14ac:dyDescent="0.2">
      <c r="A918" s="3">
        <v>920</v>
      </c>
      <c r="B918" s="3">
        <v>6.4099999999999998E-7</v>
      </c>
      <c r="C918" s="2">
        <v>4.7739999999999998E-2</v>
      </c>
      <c r="D918" s="3">
        <v>212000</v>
      </c>
      <c r="E918" s="3">
        <v>91700000000</v>
      </c>
      <c r="F918" s="3">
        <v>84500000000</v>
      </c>
      <c r="G918" s="2">
        <v>0</v>
      </c>
      <c r="H918" s="3">
        <v>10900000000</v>
      </c>
      <c r="I918" s="2">
        <v>-2.0739999999999999E-3</v>
      </c>
      <c r="J918" s="3">
        <v>1.0599999999999999E-12</v>
      </c>
    </row>
    <row r="919" spans="1:10" x14ac:dyDescent="0.2">
      <c r="A919" s="3">
        <v>920</v>
      </c>
      <c r="B919" s="3">
        <v>6.4199999999999995E-7</v>
      </c>
      <c r="C919" s="2">
        <v>4.7800000000000002E-2</v>
      </c>
      <c r="D919" s="3">
        <v>211000</v>
      </c>
      <c r="E919" s="3">
        <v>91100000000</v>
      </c>
      <c r="F919" s="3">
        <v>84000000000</v>
      </c>
      <c r="G919" s="2">
        <v>0</v>
      </c>
      <c r="H919" s="3">
        <v>11000000000</v>
      </c>
      <c r="I919" s="2">
        <v>-0.1162</v>
      </c>
      <c r="J919" s="3">
        <v>1.0700000000000001E-12</v>
      </c>
    </row>
    <row r="920" spans="1:10" x14ac:dyDescent="0.2">
      <c r="A920" s="3">
        <v>920</v>
      </c>
      <c r="B920" s="3">
        <v>6.44E-7</v>
      </c>
      <c r="C920" s="2">
        <v>4.7849999999999997E-2</v>
      </c>
      <c r="D920" s="3">
        <v>230000</v>
      </c>
      <c r="E920" s="3">
        <v>98300000000</v>
      </c>
      <c r="F920" s="3">
        <v>90000000000</v>
      </c>
      <c r="G920" s="3">
        <v>2150000000</v>
      </c>
      <c r="H920" s="3">
        <v>10600000000</v>
      </c>
      <c r="I920" s="2">
        <v>2.3869999999999999E-2</v>
      </c>
      <c r="J920" s="3">
        <v>9.0599999999999998E-13</v>
      </c>
    </row>
    <row r="921" spans="1:10" x14ac:dyDescent="0.2">
      <c r="A921" s="3">
        <v>920</v>
      </c>
      <c r="B921" s="3">
        <v>6.4499999999999997E-7</v>
      </c>
      <c r="C921" s="2">
        <v>4.7899999999999998E-2</v>
      </c>
      <c r="D921" s="3">
        <v>204000</v>
      </c>
      <c r="E921" s="3">
        <v>88200000000</v>
      </c>
      <c r="F921" s="3">
        <v>81500000000</v>
      </c>
      <c r="G921" s="2">
        <v>0</v>
      </c>
      <c r="H921" s="3">
        <v>11100000000</v>
      </c>
      <c r="I921" s="2">
        <v>-4.1700000000000001E-2</v>
      </c>
      <c r="J921" s="3">
        <v>1.1499999999999999E-12</v>
      </c>
    </row>
    <row r="922" spans="1:10" x14ac:dyDescent="0.2">
      <c r="A922" s="3">
        <v>920</v>
      </c>
      <c r="B922" s="3">
        <v>6.4600000000000004E-7</v>
      </c>
      <c r="C922" s="2">
        <v>4.795E-2</v>
      </c>
      <c r="D922" s="3">
        <v>230000</v>
      </c>
      <c r="E922" s="3">
        <v>98000000000</v>
      </c>
      <c r="F922" s="3">
        <v>89800000000</v>
      </c>
      <c r="G922" s="2">
        <v>0</v>
      </c>
      <c r="H922" s="3">
        <v>10600000000</v>
      </c>
      <c r="I922" s="2">
        <v>-1.136E-2</v>
      </c>
      <c r="J922" s="3">
        <v>9.0799999999999997E-13</v>
      </c>
    </row>
    <row r="923" spans="1:10" x14ac:dyDescent="0.2">
      <c r="A923" s="3">
        <v>920</v>
      </c>
      <c r="B923" s="3">
        <v>6.4600000000000004E-7</v>
      </c>
      <c r="C923" s="2">
        <v>4.8009999999999997E-2</v>
      </c>
      <c r="D923" s="3">
        <v>244000</v>
      </c>
      <c r="E923" s="3">
        <v>104000000000</v>
      </c>
      <c r="F923" s="3">
        <v>94600000000</v>
      </c>
      <c r="G923" s="3">
        <v>14400000000</v>
      </c>
      <c r="H923" s="3">
        <v>10400000000</v>
      </c>
      <c r="I923" s="2">
        <v>0.1527</v>
      </c>
      <c r="J923" s="3">
        <v>8.05E-13</v>
      </c>
    </row>
    <row r="924" spans="1:10" x14ac:dyDescent="0.2">
      <c r="A924" s="3">
        <v>920</v>
      </c>
      <c r="B924" s="3">
        <v>6.4799999999999998E-7</v>
      </c>
      <c r="C924" s="2">
        <v>4.8059999999999999E-2</v>
      </c>
      <c r="D924" s="3">
        <v>215000</v>
      </c>
      <c r="E924" s="3">
        <v>92100000000</v>
      </c>
      <c r="F924" s="3">
        <v>84800000000</v>
      </c>
      <c r="G924" s="3">
        <v>6640000000</v>
      </c>
      <c r="H924" s="3">
        <v>10900000000</v>
      </c>
      <c r="I924" s="2">
        <v>7.8259999999999996E-2</v>
      </c>
      <c r="J924" s="3">
        <v>1.04E-12</v>
      </c>
    </row>
    <row r="925" spans="1:10" x14ac:dyDescent="0.2">
      <c r="A925" s="3">
        <v>920</v>
      </c>
      <c r="B925" s="3">
        <v>6.4899999999999995E-7</v>
      </c>
      <c r="C925" s="2">
        <v>4.811E-2</v>
      </c>
      <c r="D925" s="3">
        <v>192000</v>
      </c>
      <c r="E925" s="3">
        <v>83300000000</v>
      </c>
      <c r="F925" s="3">
        <v>77300000000</v>
      </c>
      <c r="G925" s="3">
        <v>32200000</v>
      </c>
      <c r="H925" s="3">
        <v>11300000000</v>
      </c>
      <c r="I925" s="2">
        <v>4.1599999999999997E-4</v>
      </c>
      <c r="J925" s="3">
        <v>1.3100000000000001E-12</v>
      </c>
    </row>
    <row r="926" spans="1:10" x14ac:dyDescent="0.2">
      <c r="A926" s="3">
        <v>920</v>
      </c>
      <c r="B926" s="3">
        <v>6.5000000000000002E-7</v>
      </c>
      <c r="C926" s="2">
        <v>4.8160000000000001E-2</v>
      </c>
      <c r="D926" s="3">
        <v>214000</v>
      </c>
      <c r="E926" s="3">
        <v>91700000000</v>
      </c>
      <c r="F926" s="3">
        <v>84500000000</v>
      </c>
      <c r="G926" s="3">
        <v>11600000000</v>
      </c>
      <c r="H926" s="3">
        <v>10800000000</v>
      </c>
      <c r="I926" s="2">
        <v>0.13739999999999999</v>
      </c>
      <c r="J926" s="3">
        <v>1.05E-12</v>
      </c>
    </row>
    <row r="927" spans="1:10" x14ac:dyDescent="0.2">
      <c r="A927" s="3">
        <v>930</v>
      </c>
      <c r="B927" s="3">
        <v>6.5099999999999999E-7</v>
      </c>
      <c r="C927" s="2">
        <v>4.8210000000000003E-2</v>
      </c>
      <c r="D927" s="3">
        <v>208000</v>
      </c>
      <c r="E927" s="3">
        <v>89200000000</v>
      </c>
      <c r="F927" s="3">
        <v>82400000000</v>
      </c>
      <c r="G927" s="3">
        <v>1330000000</v>
      </c>
      <c r="H927" s="3">
        <v>11000000000</v>
      </c>
      <c r="I927" s="2">
        <v>1.6109999999999999E-2</v>
      </c>
      <c r="J927" s="3">
        <v>1.1099999999999999E-12</v>
      </c>
    </row>
    <row r="928" spans="1:10" x14ac:dyDescent="0.2">
      <c r="A928" s="3">
        <v>930</v>
      </c>
      <c r="B928" s="3">
        <v>6.5099999999999999E-7</v>
      </c>
      <c r="C928" s="2">
        <v>4.827E-2</v>
      </c>
      <c r="D928" s="3">
        <v>191000</v>
      </c>
      <c r="E928" s="3">
        <v>82800000000</v>
      </c>
      <c r="F928" s="3">
        <v>76900000000</v>
      </c>
      <c r="G928" s="3">
        <v>7730000000</v>
      </c>
      <c r="H928" s="3">
        <v>11300000000</v>
      </c>
      <c r="I928" s="2">
        <v>0.10059999999999999</v>
      </c>
      <c r="J928" s="3">
        <v>1.32E-12</v>
      </c>
    </row>
    <row r="929" spans="1:10" x14ac:dyDescent="0.2">
      <c r="A929" s="3">
        <v>930</v>
      </c>
      <c r="B929" s="3">
        <v>6.5199999999999996E-7</v>
      </c>
      <c r="C929" s="2">
        <v>4.8320000000000002E-2</v>
      </c>
      <c r="D929" s="3">
        <v>209000</v>
      </c>
      <c r="E929" s="3">
        <v>89400000000</v>
      </c>
      <c r="F929" s="3">
        <v>82600000000</v>
      </c>
      <c r="G929" s="3">
        <v>8430000000</v>
      </c>
      <c r="H929" s="3">
        <v>10900000000</v>
      </c>
      <c r="I929" s="2">
        <v>0.1021</v>
      </c>
      <c r="J929" s="3">
        <v>1.1099999999999999E-12</v>
      </c>
    </row>
    <row r="930" spans="1:10" x14ac:dyDescent="0.2">
      <c r="A930" s="3">
        <v>930</v>
      </c>
      <c r="B930" s="3">
        <v>6.5300000000000004E-7</v>
      </c>
      <c r="C930" s="2">
        <v>4.8370000000000003E-2</v>
      </c>
      <c r="D930" s="3">
        <v>204000</v>
      </c>
      <c r="E930" s="3">
        <v>87600000000</v>
      </c>
      <c r="F930" s="3">
        <v>81000000000</v>
      </c>
      <c r="G930" s="3">
        <v>5280000000</v>
      </c>
      <c r="H930" s="3">
        <v>11000000000</v>
      </c>
      <c r="I930" s="2">
        <v>6.5189999999999998E-2</v>
      </c>
      <c r="J930" s="3">
        <v>1.1599999999999999E-12</v>
      </c>
    </row>
    <row r="931" spans="1:10" x14ac:dyDescent="0.2">
      <c r="A931" s="3">
        <v>930</v>
      </c>
      <c r="B931" s="3">
        <v>6.5400000000000001E-7</v>
      </c>
      <c r="C931" s="2">
        <v>4.8419999999999998E-2</v>
      </c>
      <c r="D931" s="3">
        <v>224000</v>
      </c>
      <c r="E931" s="3">
        <v>94900000000</v>
      </c>
      <c r="F931" s="3">
        <v>87200000000</v>
      </c>
      <c r="G931" s="3">
        <v>11800000000</v>
      </c>
      <c r="H931" s="3">
        <v>10700000000</v>
      </c>
      <c r="I931" s="2">
        <v>0.1348</v>
      </c>
      <c r="J931" s="3">
        <v>9.6799999999999991E-13</v>
      </c>
    </row>
    <row r="932" spans="1:10" x14ac:dyDescent="0.2">
      <c r="A932" s="3">
        <v>930</v>
      </c>
      <c r="B932" s="3">
        <v>6.5499999999999998E-7</v>
      </c>
      <c r="C932" s="2">
        <v>4.8480000000000002E-2</v>
      </c>
      <c r="D932" s="3">
        <v>241000</v>
      </c>
      <c r="E932" s="3">
        <v>102000000000</v>
      </c>
      <c r="F932" s="3">
        <v>92800000000</v>
      </c>
      <c r="G932" s="3">
        <v>2980000000</v>
      </c>
      <c r="H932" s="3">
        <v>10400000000</v>
      </c>
      <c r="I932" s="2">
        <v>3.2129999999999999E-2</v>
      </c>
      <c r="J932" s="3">
        <v>8.3599999999999997E-13</v>
      </c>
    </row>
    <row r="933" spans="1:10" x14ac:dyDescent="0.2">
      <c r="A933" s="3">
        <v>930</v>
      </c>
      <c r="B933" s="3">
        <v>6.5600000000000005E-7</v>
      </c>
      <c r="C933" s="2">
        <v>4.8529999999999997E-2</v>
      </c>
      <c r="D933" s="3">
        <v>230000</v>
      </c>
      <c r="E933" s="3">
        <v>97200000000</v>
      </c>
      <c r="F933" s="3">
        <v>89100000000</v>
      </c>
      <c r="G933" s="2">
        <v>0</v>
      </c>
      <c r="H933" s="3">
        <v>10600000000</v>
      </c>
      <c r="I933" s="2">
        <v>-2.5100000000000001E-2</v>
      </c>
      <c r="J933" s="3">
        <v>9.1900000000000002E-13</v>
      </c>
    </row>
    <row r="934" spans="1:10" x14ac:dyDescent="0.2">
      <c r="A934" s="3">
        <v>930</v>
      </c>
      <c r="B934" s="3">
        <v>6.5700000000000002E-7</v>
      </c>
      <c r="C934" s="2">
        <v>4.8579999999999998E-2</v>
      </c>
      <c r="D934" s="3">
        <v>221000</v>
      </c>
      <c r="E934" s="3">
        <v>93500000000</v>
      </c>
      <c r="F934" s="3">
        <v>86100000000</v>
      </c>
      <c r="G934" s="3">
        <v>1210000000</v>
      </c>
      <c r="H934" s="3">
        <v>10700000000</v>
      </c>
      <c r="I934" s="2">
        <v>1.4E-2</v>
      </c>
      <c r="J934" s="3">
        <v>9.9900000000000009E-13</v>
      </c>
    </row>
    <row r="935" spans="1:10" x14ac:dyDescent="0.2">
      <c r="A935" s="3">
        <v>930</v>
      </c>
      <c r="B935" s="3">
        <v>6.5799999999999999E-7</v>
      </c>
      <c r="C935" s="2">
        <v>4.863E-2</v>
      </c>
      <c r="D935" s="3">
        <v>234000</v>
      </c>
      <c r="E935" s="3">
        <v>98600000000</v>
      </c>
      <c r="F935" s="3">
        <v>90300000000</v>
      </c>
      <c r="G935" s="2">
        <v>0</v>
      </c>
      <c r="H935" s="3">
        <v>10500000000</v>
      </c>
      <c r="I935" s="2">
        <v>-2.0729999999999998E-2</v>
      </c>
      <c r="J935" s="3">
        <v>8.8900000000000005E-13</v>
      </c>
    </row>
    <row r="936" spans="1:10" x14ac:dyDescent="0.2">
      <c r="A936" s="3">
        <v>930</v>
      </c>
      <c r="B936" s="3">
        <v>6.5799999999999999E-7</v>
      </c>
      <c r="C936" s="2">
        <v>4.8689999999999997E-2</v>
      </c>
      <c r="D936" s="3">
        <v>225000</v>
      </c>
      <c r="E936" s="3">
        <v>95100000000</v>
      </c>
      <c r="F936" s="3">
        <v>87400000000</v>
      </c>
      <c r="G936" s="2">
        <v>0</v>
      </c>
      <c r="H936" s="3">
        <v>10600000000</v>
      </c>
      <c r="I936" s="2">
        <v>-7.332E-3</v>
      </c>
      <c r="J936" s="3">
        <v>9.6199999999999994E-13</v>
      </c>
    </row>
    <row r="937" spans="1:10" x14ac:dyDescent="0.2">
      <c r="A937" s="3">
        <v>940</v>
      </c>
      <c r="B937" s="3">
        <v>6.5899999999999996E-7</v>
      </c>
      <c r="C937" s="2">
        <v>4.8739999999999999E-2</v>
      </c>
      <c r="D937" s="3">
        <v>216000</v>
      </c>
      <c r="E937" s="3">
        <v>91700000000</v>
      </c>
      <c r="F937" s="3">
        <v>84500000000</v>
      </c>
      <c r="G937" s="3">
        <v>1200000000</v>
      </c>
      <c r="H937" s="3">
        <v>10800000000</v>
      </c>
      <c r="I937" s="2">
        <v>1.414E-2</v>
      </c>
      <c r="J937" s="3">
        <v>1.04E-12</v>
      </c>
    </row>
    <row r="938" spans="1:10" x14ac:dyDescent="0.2">
      <c r="A938" s="3">
        <v>940</v>
      </c>
      <c r="B938" s="3">
        <v>6.6000000000000003E-7</v>
      </c>
      <c r="C938" s="2">
        <v>4.879E-2</v>
      </c>
      <c r="D938" s="3">
        <v>211000</v>
      </c>
      <c r="E938" s="3">
        <v>89700000000</v>
      </c>
      <c r="F938" s="3">
        <v>82800000000</v>
      </c>
      <c r="G938" s="3">
        <v>1960000000</v>
      </c>
      <c r="H938" s="3">
        <v>10900000000</v>
      </c>
      <c r="I938" s="2">
        <v>2.3709999999999998E-2</v>
      </c>
      <c r="J938" s="3">
        <v>1.1E-12</v>
      </c>
    </row>
    <row r="939" spans="1:10" x14ac:dyDescent="0.2">
      <c r="A939" s="3">
        <v>940</v>
      </c>
      <c r="B939" s="3">
        <v>6.61E-7</v>
      </c>
      <c r="C939" s="2">
        <v>4.8840000000000001E-2</v>
      </c>
      <c r="D939" s="3">
        <v>211000</v>
      </c>
      <c r="E939" s="3">
        <v>89700000000</v>
      </c>
      <c r="F939" s="3">
        <v>82800000000</v>
      </c>
      <c r="G939" s="3">
        <v>8910000000</v>
      </c>
      <c r="H939" s="3">
        <v>10900000000</v>
      </c>
      <c r="I939" s="2">
        <v>0.1076</v>
      </c>
      <c r="J939" s="3">
        <v>1.09E-12</v>
      </c>
    </row>
    <row r="940" spans="1:10" x14ac:dyDescent="0.2">
      <c r="A940" s="3">
        <v>940</v>
      </c>
      <c r="B940" s="3">
        <v>6.6199999999999997E-7</v>
      </c>
      <c r="C940" s="2">
        <v>4.8890000000000003E-2</v>
      </c>
      <c r="D940" s="3">
        <v>232000</v>
      </c>
      <c r="E940" s="3">
        <v>97400000000</v>
      </c>
      <c r="F940" s="3">
        <v>89300000000</v>
      </c>
      <c r="G940" s="3">
        <v>762000000</v>
      </c>
      <c r="H940" s="3">
        <v>10500000000</v>
      </c>
      <c r="I940" s="2">
        <v>8.5240000000000003E-3</v>
      </c>
      <c r="J940" s="3">
        <v>9.0999999999999996E-13</v>
      </c>
    </row>
    <row r="941" spans="1:10" x14ac:dyDescent="0.2">
      <c r="A941" s="3">
        <v>940</v>
      </c>
      <c r="B941" s="3">
        <v>6.6199999999999997E-7</v>
      </c>
      <c r="C941" s="2">
        <v>4.8939999999999997E-2</v>
      </c>
      <c r="D941" s="3">
        <v>234000</v>
      </c>
      <c r="E941" s="3">
        <v>98400000000</v>
      </c>
      <c r="F941" s="3">
        <v>90100000000</v>
      </c>
      <c r="G941" s="3">
        <v>2450000000</v>
      </c>
      <c r="H941" s="3">
        <v>10500000000</v>
      </c>
      <c r="I941" s="2">
        <v>2.7210000000000002E-2</v>
      </c>
      <c r="J941" s="3">
        <v>8.9200000000000004E-13</v>
      </c>
    </row>
    <row r="942" spans="1:10" x14ac:dyDescent="0.2">
      <c r="A942" s="3">
        <v>940</v>
      </c>
      <c r="B942" s="3">
        <v>6.6300000000000005E-7</v>
      </c>
      <c r="C942" s="2">
        <v>4.9000000000000002E-2</v>
      </c>
      <c r="D942" s="3">
        <v>206000</v>
      </c>
      <c r="E942" s="3">
        <v>87600000000</v>
      </c>
      <c r="F942" s="3">
        <v>81000000000</v>
      </c>
      <c r="G942" s="3">
        <v>5390000000</v>
      </c>
      <c r="H942" s="3">
        <v>11000000000</v>
      </c>
      <c r="I942" s="2">
        <v>6.6600000000000006E-2</v>
      </c>
      <c r="J942" s="3">
        <v>1.1499999999999999E-12</v>
      </c>
    </row>
    <row r="943" spans="1:10" x14ac:dyDescent="0.2">
      <c r="A943" s="3">
        <v>940</v>
      </c>
      <c r="B943" s="3">
        <v>6.6400000000000002E-7</v>
      </c>
      <c r="C943" s="2">
        <v>4.9050000000000003E-2</v>
      </c>
      <c r="D943" s="3">
        <v>214000</v>
      </c>
      <c r="E943" s="3">
        <v>90200000000</v>
      </c>
      <c r="F943" s="3">
        <v>83200000000</v>
      </c>
      <c r="G943" s="2">
        <v>0</v>
      </c>
      <c r="H943" s="3">
        <v>10800000000</v>
      </c>
      <c r="I943" s="2">
        <v>-3.3419999999999998E-2</v>
      </c>
      <c r="J943" s="3">
        <v>1.08E-12</v>
      </c>
    </row>
    <row r="944" spans="1:10" x14ac:dyDescent="0.2">
      <c r="A944" s="3">
        <v>940</v>
      </c>
      <c r="B944" s="3">
        <v>6.6499999999999999E-7</v>
      </c>
      <c r="C944" s="2">
        <v>4.9099999999999998E-2</v>
      </c>
      <c r="D944" s="3">
        <v>233000</v>
      </c>
      <c r="E944" s="3">
        <v>97800000000</v>
      </c>
      <c r="F944" s="3">
        <v>89600000000</v>
      </c>
      <c r="G944" s="3">
        <v>7500000000</v>
      </c>
      <c r="H944" s="3">
        <v>10500000000</v>
      </c>
      <c r="I944" s="2">
        <v>8.3690000000000001E-2</v>
      </c>
      <c r="J944" s="3">
        <v>9.0299999999999999E-13</v>
      </c>
    </row>
    <row r="945" spans="1:10" x14ac:dyDescent="0.2">
      <c r="A945" s="3">
        <v>940</v>
      </c>
      <c r="B945" s="3">
        <v>6.6499999999999999E-7</v>
      </c>
      <c r="C945" s="2">
        <v>4.9149999999999999E-2</v>
      </c>
      <c r="D945" s="3">
        <v>203000</v>
      </c>
      <c r="E945" s="3">
        <v>86200000000</v>
      </c>
      <c r="F945" s="3">
        <v>79800000000</v>
      </c>
      <c r="G945" s="3">
        <v>2290000000</v>
      </c>
      <c r="H945" s="3">
        <v>11000000000</v>
      </c>
      <c r="I945" s="2">
        <v>2.8639999999999999E-2</v>
      </c>
      <c r="J945" s="3">
        <v>1.19E-12</v>
      </c>
    </row>
    <row r="946" spans="1:10" x14ac:dyDescent="0.2">
      <c r="A946" s="3">
        <v>940</v>
      </c>
      <c r="B946" s="3">
        <v>6.6599999999999996E-7</v>
      </c>
      <c r="C946" s="2">
        <v>4.9209999999999997E-2</v>
      </c>
      <c r="D946" s="3">
        <v>226000</v>
      </c>
      <c r="E946" s="3">
        <v>94900000000</v>
      </c>
      <c r="F946" s="3">
        <v>87200000000</v>
      </c>
      <c r="G946" s="3">
        <v>971000000</v>
      </c>
      <c r="H946" s="3">
        <v>10600000000</v>
      </c>
      <c r="I946" s="2">
        <v>1.1140000000000001E-2</v>
      </c>
      <c r="J946" s="3">
        <v>9.6199999999999994E-13</v>
      </c>
    </row>
    <row r="947" spans="1:10" x14ac:dyDescent="0.2">
      <c r="A947" s="3">
        <v>950</v>
      </c>
      <c r="B947" s="3">
        <v>6.6700000000000003E-7</v>
      </c>
      <c r="C947" s="2">
        <v>4.9259999999999998E-2</v>
      </c>
      <c r="D947" s="3">
        <v>232000</v>
      </c>
      <c r="E947" s="3">
        <v>97200000000</v>
      </c>
      <c r="F947" s="3">
        <v>89100000000</v>
      </c>
      <c r="G947" s="3">
        <v>282000000</v>
      </c>
      <c r="H947" s="3">
        <v>10500000000</v>
      </c>
      <c r="I947" s="2">
        <v>3.1689999999999999E-3</v>
      </c>
      <c r="J947" s="3">
        <v>9.1399999999999994E-13</v>
      </c>
    </row>
    <row r="948" spans="1:10" x14ac:dyDescent="0.2">
      <c r="A948" s="3">
        <v>950</v>
      </c>
      <c r="B948" s="3">
        <v>6.68E-7</v>
      </c>
      <c r="C948" s="2">
        <v>4.931E-2</v>
      </c>
      <c r="D948" s="3">
        <v>249000</v>
      </c>
      <c r="E948" s="3">
        <v>104000000000</v>
      </c>
      <c r="F948" s="3">
        <v>94400000000</v>
      </c>
      <c r="G948" s="3">
        <v>3290000000</v>
      </c>
      <c r="H948" s="3">
        <v>10300000000</v>
      </c>
      <c r="I948" s="2">
        <v>3.4880000000000001E-2</v>
      </c>
      <c r="J948" s="3">
        <v>7.9800000000000003E-13</v>
      </c>
    </row>
    <row r="949" spans="1:10" x14ac:dyDescent="0.2">
      <c r="A949" s="3">
        <v>950</v>
      </c>
      <c r="B949" s="3">
        <v>6.6899999999999997E-7</v>
      </c>
      <c r="C949" s="2">
        <v>4.9360000000000001E-2</v>
      </c>
      <c r="D949" s="3">
        <v>209000</v>
      </c>
      <c r="E949" s="3">
        <v>88300000000</v>
      </c>
      <c r="F949" s="3">
        <v>81600000000</v>
      </c>
      <c r="G949" s="2">
        <v>0</v>
      </c>
      <c r="H949" s="3">
        <v>10900000000</v>
      </c>
      <c r="I949" s="2">
        <v>-6.2909999999999994E-2</v>
      </c>
      <c r="J949" s="3">
        <v>1.13E-12</v>
      </c>
    </row>
    <row r="950" spans="1:10" x14ac:dyDescent="0.2">
      <c r="A950" s="3">
        <v>950</v>
      </c>
      <c r="B950" s="3">
        <v>6.6899999999999997E-7</v>
      </c>
      <c r="C950" s="2">
        <v>4.9410000000000003E-2</v>
      </c>
      <c r="D950" s="3">
        <v>258000</v>
      </c>
      <c r="E950" s="3">
        <v>107000000000</v>
      </c>
      <c r="F950" s="3">
        <v>97400000000</v>
      </c>
      <c r="G950" s="2">
        <v>0</v>
      </c>
      <c r="H950" s="3">
        <v>10200000000</v>
      </c>
      <c r="I950" s="2">
        <v>-4.8039999999999999E-2</v>
      </c>
      <c r="J950" s="3">
        <v>7.4299999999999996E-13</v>
      </c>
    </row>
    <row r="951" spans="1:10" x14ac:dyDescent="0.2">
      <c r="A951" s="3">
        <v>950</v>
      </c>
      <c r="B951" s="3">
        <v>6.7000000000000004E-7</v>
      </c>
      <c r="C951" s="2">
        <v>4.947E-2</v>
      </c>
      <c r="D951" s="3">
        <v>209000</v>
      </c>
      <c r="E951" s="3">
        <v>88000000000</v>
      </c>
      <c r="F951" s="3">
        <v>81400000000</v>
      </c>
      <c r="G951" s="3">
        <v>8500000000</v>
      </c>
      <c r="H951" s="3">
        <v>10900000000</v>
      </c>
      <c r="I951" s="2">
        <v>0.10440000000000001</v>
      </c>
      <c r="J951" s="3">
        <v>1.14E-12</v>
      </c>
    </row>
    <row r="952" spans="1:10" x14ac:dyDescent="0.2">
      <c r="A952" s="3">
        <v>950</v>
      </c>
      <c r="B952" s="3">
        <v>6.7100000000000001E-7</v>
      </c>
      <c r="C952" s="2">
        <v>4.9520000000000002E-2</v>
      </c>
      <c r="D952" s="3">
        <v>226000</v>
      </c>
      <c r="E952" s="3">
        <v>94300000000</v>
      </c>
      <c r="F952" s="3">
        <v>86700000000</v>
      </c>
      <c r="G952" s="3">
        <v>8420000000</v>
      </c>
      <c r="H952" s="3">
        <v>10600000000</v>
      </c>
      <c r="I952" s="2">
        <v>9.7040000000000001E-2</v>
      </c>
      <c r="J952" s="3">
        <v>9.7400000000000009E-13</v>
      </c>
    </row>
    <row r="953" spans="1:10" x14ac:dyDescent="0.2">
      <c r="A953" s="3">
        <v>950</v>
      </c>
      <c r="B953" s="3">
        <v>6.7100000000000001E-7</v>
      </c>
      <c r="C953" s="2">
        <v>4.9570000000000003E-2</v>
      </c>
      <c r="D953" s="3">
        <v>210000</v>
      </c>
      <c r="E953" s="3">
        <v>88500000000</v>
      </c>
      <c r="F953" s="3">
        <v>81700000000</v>
      </c>
      <c r="G953" s="3">
        <v>7870000000</v>
      </c>
      <c r="H953" s="3">
        <v>10900000000</v>
      </c>
      <c r="I953" s="2">
        <v>9.6339999999999995E-2</v>
      </c>
      <c r="J953" s="3">
        <v>1.1200000000000001E-12</v>
      </c>
    </row>
    <row r="954" spans="1:10" x14ac:dyDescent="0.2">
      <c r="A954" s="3">
        <v>950</v>
      </c>
      <c r="B954" s="3">
        <v>6.7199999999999998E-7</v>
      </c>
      <c r="C954" s="2">
        <v>4.9619999999999997E-2</v>
      </c>
      <c r="D954" s="3">
        <v>213000</v>
      </c>
      <c r="E954" s="3">
        <v>89300000000</v>
      </c>
      <c r="F954" s="3">
        <v>82500000000</v>
      </c>
      <c r="G954" s="3">
        <v>2880000000</v>
      </c>
      <c r="H954" s="3">
        <v>10800000000</v>
      </c>
      <c r="I954" s="2">
        <v>3.4950000000000002E-2</v>
      </c>
      <c r="J954" s="3">
        <v>1.1E-12</v>
      </c>
    </row>
    <row r="955" spans="1:10" x14ac:dyDescent="0.2">
      <c r="A955" s="3">
        <v>950</v>
      </c>
      <c r="B955" s="3">
        <v>6.7299999999999995E-7</v>
      </c>
      <c r="C955" s="2">
        <v>4.9669999999999999E-2</v>
      </c>
      <c r="D955" s="3">
        <v>236000</v>
      </c>
      <c r="E955" s="3">
        <v>98300000000</v>
      </c>
      <c r="F955" s="3">
        <v>90100000000</v>
      </c>
      <c r="G955" s="3">
        <v>2820000000</v>
      </c>
      <c r="H955" s="3">
        <v>10500000000</v>
      </c>
      <c r="I955" s="2">
        <v>3.1280000000000002E-2</v>
      </c>
      <c r="J955" s="3">
        <v>8.8900000000000005E-13</v>
      </c>
    </row>
    <row r="956" spans="1:10" x14ac:dyDescent="0.2">
      <c r="A956" s="3">
        <v>950</v>
      </c>
      <c r="B956" s="3">
        <v>6.7400000000000003E-7</v>
      </c>
      <c r="C956" s="2">
        <v>4.9730000000000003E-2</v>
      </c>
      <c r="D956" s="3">
        <v>228000</v>
      </c>
      <c r="E956" s="3">
        <v>95200000000</v>
      </c>
      <c r="F956" s="3">
        <v>87400000000</v>
      </c>
      <c r="G956" s="3">
        <v>4910000000</v>
      </c>
      <c r="H956" s="3">
        <v>10600000000</v>
      </c>
      <c r="I956" s="2">
        <v>5.611E-2</v>
      </c>
      <c r="J956" s="3">
        <v>9.5399999999999997E-13</v>
      </c>
    </row>
    <row r="957" spans="1:10" x14ac:dyDescent="0.2">
      <c r="A957" s="3">
        <v>960</v>
      </c>
      <c r="B957" s="3">
        <v>6.7400000000000003E-7</v>
      </c>
      <c r="C957" s="2">
        <v>4.9779999999999998E-2</v>
      </c>
      <c r="D957" s="3">
        <v>221000</v>
      </c>
      <c r="E957" s="3">
        <v>92400000000</v>
      </c>
      <c r="F957" s="3">
        <v>85100000000</v>
      </c>
      <c r="G957" s="3">
        <v>2070000000</v>
      </c>
      <c r="H957" s="3">
        <v>10700000000</v>
      </c>
      <c r="I957" s="2">
        <v>2.4330000000000001E-2</v>
      </c>
      <c r="J957" s="3">
        <v>1.0200000000000001E-12</v>
      </c>
    </row>
    <row r="958" spans="1:10" x14ac:dyDescent="0.2">
      <c r="A958" s="3">
        <v>960</v>
      </c>
      <c r="B958" s="3">
        <v>6.75E-7</v>
      </c>
      <c r="C958" s="2">
        <v>4.9829999999999999E-2</v>
      </c>
      <c r="D958" s="3">
        <v>244000</v>
      </c>
      <c r="E958" s="3">
        <v>101000000000</v>
      </c>
      <c r="F958" s="3">
        <v>92500000000</v>
      </c>
      <c r="G958" s="3">
        <v>3340000000</v>
      </c>
      <c r="H958" s="3">
        <v>10300000000</v>
      </c>
      <c r="I958" s="2">
        <v>3.6049999999999999E-2</v>
      </c>
      <c r="J958" s="3">
        <v>8.3399999999999998E-13</v>
      </c>
    </row>
    <row r="959" spans="1:10" x14ac:dyDescent="0.2">
      <c r="A959" s="3">
        <v>960</v>
      </c>
      <c r="B959" s="3">
        <v>6.7599999999999997E-7</v>
      </c>
      <c r="C959" s="2">
        <v>4.9880000000000001E-2</v>
      </c>
      <c r="D959" s="3">
        <v>219000</v>
      </c>
      <c r="E959" s="3">
        <v>91500000000</v>
      </c>
      <c r="F959" s="3">
        <v>84300000000</v>
      </c>
      <c r="G959" s="3">
        <v>3680000000</v>
      </c>
      <c r="H959" s="3">
        <v>10700000000</v>
      </c>
      <c r="I959" s="2">
        <v>4.3709999999999999E-2</v>
      </c>
      <c r="J959" s="3">
        <v>1.04E-12</v>
      </c>
    </row>
    <row r="960" spans="1:10" x14ac:dyDescent="0.2">
      <c r="A960" s="3">
        <v>960</v>
      </c>
      <c r="B960" s="3">
        <v>6.7700000000000004E-7</v>
      </c>
      <c r="C960" s="2">
        <v>4.9939999999999998E-2</v>
      </c>
      <c r="D960" s="3">
        <v>222000</v>
      </c>
      <c r="E960" s="3">
        <v>92700000000</v>
      </c>
      <c r="F960" s="3">
        <v>85300000000</v>
      </c>
      <c r="G960" s="3">
        <v>5640000000</v>
      </c>
      <c r="H960" s="3">
        <v>10700000000</v>
      </c>
      <c r="I960" s="2">
        <v>6.6040000000000001E-2</v>
      </c>
      <c r="J960" s="3">
        <v>1.0099999999999999E-12</v>
      </c>
    </row>
    <row r="961" spans="1:10" x14ac:dyDescent="0.2">
      <c r="A961" s="3">
        <v>960</v>
      </c>
      <c r="B961" s="3">
        <v>6.7800000000000001E-7</v>
      </c>
      <c r="C961" s="2">
        <v>4.999E-2</v>
      </c>
      <c r="D961" s="3">
        <v>232000</v>
      </c>
      <c r="E961" s="3">
        <v>96000000000</v>
      </c>
      <c r="F961" s="3">
        <v>88200000000</v>
      </c>
      <c r="G961" s="3">
        <v>21500000000</v>
      </c>
      <c r="H961" s="3">
        <v>10500000000</v>
      </c>
      <c r="I961" s="2">
        <v>0.24360000000000001</v>
      </c>
      <c r="J961" s="3">
        <v>9.3299999999999996E-13</v>
      </c>
    </row>
    <row r="962" spans="1:10" x14ac:dyDescent="0.2">
      <c r="A962" s="3">
        <v>960</v>
      </c>
      <c r="B962" s="3">
        <v>6.7800000000000001E-7</v>
      </c>
      <c r="C962" s="2">
        <v>5.0040000000000001E-2</v>
      </c>
      <c r="D962" s="3">
        <v>224000</v>
      </c>
      <c r="E962" s="3">
        <v>93100000000</v>
      </c>
      <c r="F962" s="3">
        <v>85700000000</v>
      </c>
      <c r="G962" s="2">
        <v>0</v>
      </c>
      <c r="H962" s="3">
        <v>10600000000</v>
      </c>
      <c r="I962" s="2">
        <v>-1.8159999999999999E-2</v>
      </c>
      <c r="J962" s="3">
        <v>9.9799999999999999E-13</v>
      </c>
    </row>
    <row r="963" spans="1:10" x14ac:dyDescent="0.2">
      <c r="A963" s="3">
        <v>960</v>
      </c>
      <c r="B963" s="3">
        <v>6.7999999999999995E-7</v>
      </c>
      <c r="C963" s="2">
        <v>5.0090000000000003E-2</v>
      </c>
      <c r="D963" s="3">
        <v>242000</v>
      </c>
      <c r="E963" s="3">
        <v>99800000000</v>
      </c>
      <c r="F963" s="3">
        <v>91300000000</v>
      </c>
      <c r="G963" s="3">
        <v>5500000000</v>
      </c>
      <c r="H963" s="3">
        <v>10400000000</v>
      </c>
      <c r="I963" s="2">
        <v>6.0240000000000002E-2</v>
      </c>
      <c r="J963" s="3">
        <v>8.5799999999999998E-13</v>
      </c>
    </row>
    <row r="964" spans="1:10" x14ac:dyDescent="0.2">
      <c r="A964" s="3">
        <v>960</v>
      </c>
      <c r="B964" s="3">
        <v>6.7999999999999995E-7</v>
      </c>
      <c r="C964" s="2">
        <v>5.0139999999999997E-2</v>
      </c>
      <c r="D964" s="3">
        <v>213000</v>
      </c>
      <c r="E964" s="3">
        <v>88700000000</v>
      </c>
      <c r="F964" s="3">
        <v>81900000000</v>
      </c>
      <c r="G964" s="3">
        <v>1850000000</v>
      </c>
      <c r="H964" s="3">
        <v>10800000000</v>
      </c>
      <c r="I964" s="2">
        <v>2.2620000000000001E-2</v>
      </c>
      <c r="J964" s="3">
        <v>1.1099999999999999E-12</v>
      </c>
    </row>
    <row r="965" spans="1:10" x14ac:dyDescent="0.2">
      <c r="A965" s="3">
        <v>960</v>
      </c>
      <c r="B965" s="3">
        <v>6.8100000000000002E-7</v>
      </c>
      <c r="C965" s="2">
        <v>5.0200000000000002E-2</v>
      </c>
      <c r="D965" s="3">
        <v>222000</v>
      </c>
      <c r="E965" s="3">
        <v>92300000000</v>
      </c>
      <c r="F965" s="3">
        <v>85000000000</v>
      </c>
      <c r="G965" s="3">
        <v>5010000000</v>
      </c>
      <c r="H965" s="3">
        <v>10600000000</v>
      </c>
      <c r="I965" s="2">
        <v>5.8909999999999997E-2</v>
      </c>
      <c r="J965" s="3">
        <v>1.0200000000000001E-12</v>
      </c>
    </row>
    <row r="966" spans="1:10" x14ac:dyDescent="0.2">
      <c r="A966" s="3">
        <v>960</v>
      </c>
      <c r="B966" s="3">
        <v>6.8199999999999999E-7</v>
      </c>
      <c r="C966" s="2">
        <v>5.0250000000000003E-2</v>
      </c>
      <c r="D966" s="3">
        <v>231000</v>
      </c>
      <c r="E966" s="3">
        <v>95500000000</v>
      </c>
      <c r="F966" s="3">
        <v>87700000000</v>
      </c>
      <c r="G966" s="3">
        <v>9440000000</v>
      </c>
      <c r="H966" s="3">
        <v>10500000000</v>
      </c>
      <c r="I966" s="2">
        <v>0.1075</v>
      </c>
      <c r="J966" s="3">
        <v>9.4200000000000003E-13</v>
      </c>
    </row>
    <row r="967" spans="1:10" x14ac:dyDescent="0.2">
      <c r="A967" s="3">
        <v>970</v>
      </c>
      <c r="B967" s="3">
        <v>6.8299999999999996E-7</v>
      </c>
      <c r="C967" s="2">
        <v>5.0299999999999997E-2</v>
      </c>
      <c r="D967" s="3">
        <v>203000</v>
      </c>
      <c r="E967" s="3">
        <v>85100000000</v>
      </c>
      <c r="F967" s="3">
        <v>78900000000</v>
      </c>
      <c r="G967" s="3">
        <v>1390000000</v>
      </c>
      <c r="H967" s="3">
        <v>11000000000</v>
      </c>
      <c r="I967" s="2">
        <v>1.762E-2</v>
      </c>
      <c r="J967" s="3">
        <v>1.2200000000000001E-12</v>
      </c>
    </row>
    <row r="968" spans="1:10" x14ac:dyDescent="0.2">
      <c r="A968" s="3">
        <v>970</v>
      </c>
      <c r="B968" s="3">
        <v>6.8400000000000004E-7</v>
      </c>
      <c r="C968" s="2">
        <v>5.0349999999999999E-2</v>
      </c>
      <c r="D968" s="3">
        <v>250000</v>
      </c>
      <c r="E968" s="3">
        <v>103000000000</v>
      </c>
      <c r="F968" s="3">
        <v>93800000000</v>
      </c>
      <c r="G968" s="3">
        <v>4600000000</v>
      </c>
      <c r="H968" s="3">
        <v>10300000000</v>
      </c>
      <c r="I968" s="2">
        <v>4.9050000000000003E-2</v>
      </c>
      <c r="J968" s="3">
        <v>8.05E-13</v>
      </c>
    </row>
    <row r="969" spans="1:10" x14ac:dyDescent="0.2">
      <c r="A969" s="3">
        <v>970</v>
      </c>
      <c r="B969" s="3">
        <v>6.8400000000000004E-7</v>
      </c>
      <c r="C969" s="2">
        <v>5.04E-2</v>
      </c>
      <c r="D969" s="3">
        <v>238000</v>
      </c>
      <c r="E969" s="3">
        <v>97900000000</v>
      </c>
      <c r="F969" s="3">
        <v>89700000000</v>
      </c>
      <c r="G969" s="3">
        <v>7560000000</v>
      </c>
      <c r="H969" s="3">
        <v>10400000000</v>
      </c>
      <c r="I969" s="2">
        <v>8.4250000000000005E-2</v>
      </c>
      <c r="J969" s="3">
        <v>8.9200000000000004E-13</v>
      </c>
    </row>
    <row r="970" spans="1:10" x14ac:dyDescent="0.2">
      <c r="A970" s="3">
        <v>970</v>
      </c>
      <c r="B970" s="3">
        <v>6.8599999999999998E-7</v>
      </c>
      <c r="C970" s="2">
        <v>5.0459999999999998E-2</v>
      </c>
      <c r="D970" s="3">
        <v>217000</v>
      </c>
      <c r="E970" s="3">
        <v>89800000000</v>
      </c>
      <c r="F970" s="3">
        <v>82900000000</v>
      </c>
      <c r="G970" s="3">
        <v>8050000000</v>
      </c>
      <c r="H970" s="3">
        <v>10700000000</v>
      </c>
      <c r="I970" s="2">
        <v>9.7159999999999996E-2</v>
      </c>
      <c r="J970" s="3">
        <v>1.08E-12</v>
      </c>
    </row>
    <row r="971" spans="1:10" x14ac:dyDescent="0.2">
      <c r="A971" s="3">
        <v>970</v>
      </c>
      <c r="B971" s="3">
        <v>6.8599999999999998E-7</v>
      </c>
      <c r="C971" s="2">
        <v>5.0509999999999999E-2</v>
      </c>
      <c r="D971" s="3">
        <v>222000</v>
      </c>
      <c r="E971" s="3">
        <v>91600000000</v>
      </c>
      <c r="F971" s="3">
        <v>84400000000</v>
      </c>
      <c r="G971" s="3">
        <v>10300000000</v>
      </c>
      <c r="H971" s="3">
        <v>10600000000</v>
      </c>
      <c r="I971" s="2">
        <v>0.12239999999999999</v>
      </c>
      <c r="J971" s="3">
        <v>1.0300000000000001E-12</v>
      </c>
    </row>
    <row r="972" spans="1:10" x14ac:dyDescent="0.2">
      <c r="A972" s="3">
        <v>970</v>
      </c>
      <c r="B972" s="3">
        <v>6.8700000000000005E-7</v>
      </c>
      <c r="C972" s="2">
        <v>5.0560000000000001E-2</v>
      </c>
      <c r="D972" s="3">
        <v>220000</v>
      </c>
      <c r="E972" s="3">
        <v>91000000000</v>
      </c>
      <c r="F972" s="3">
        <v>83900000000</v>
      </c>
      <c r="G972" s="3">
        <v>10300000000</v>
      </c>
      <c r="H972" s="3">
        <v>10700000000</v>
      </c>
      <c r="I972" s="2">
        <v>0.1231</v>
      </c>
      <c r="J972" s="3">
        <v>1.04E-12</v>
      </c>
    </row>
    <row r="973" spans="1:10" x14ac:dyDescent="0.2">
      <c r="A973" s="3">
        <v>970</v>
      </c>
      <c r="B973" s="3">
        <v>6.8800000000000002E-7</v>
      </c>
      <c r="C973" s="2">
        <v>5.0610000000000002E-2</v>
      </c>
      <c r="D973" s="3">
        <v>197000</v>
      </c>
      <c r="E973" s="3">
        <v>82300000000</v>
      </c>
      <c r="F973" s="3">
        <v>76400000000</v>
      </c>
      <c r="G973" s="3">
        <v>2390000000</v>
      </c>
      <c r="H973" s="3">
        <v>11100000000</v>
      </c>
      <c r="I973" s="2">
        <v>3.124E-2</v>
      </c>
      <c r="J973" s="3">
        <v>1.3100000000000001E-12</v>
      </c>
    </row>
    <row r="974" spans="1:10" x14ac:dyDescent="0.2">
      <c r="A974" s="3">
        <v>970</v>
      </c>
      <c r="B974" s="3">
        <v>6.8899999999999999E-7</v>
      </c>
      <c r="C974" s="2">
        <v>5.067E-2</v>
      </c>
      <c r="D974" s="3">
        <v>224000</v>
      </c>
      <c r="E974" s="3">
        <v>92300000000</v>
      </c>
      <c r="F974" s="3">
        <v>85000000000</v>
      </c>
      <c r="G974" s="3">
        <v>7280000000</v>
      </c>
      <c r="H974" s="3">
        <v>10600000000</v>
      </c>
      <c r="I974" s="2">
        <v>8.5680000000000006E-2</v>
      </c>
      <c r="J974" s="3">
        <v>1.0099999999999999E-12</v>
      </c>
    </row>
    <row r="975" spans="1:10" x14ac:dyDescent="0.2">
      <c r="A975" s="3">
        <v>970</v>
      </c>
      <c r="B975" s="3">
        <v>6.8999999999999996E-7</v>
      </c>
      <c r="C975" s="2">
        <v>5.0720000000000001E-2</v>
      </c>
      <c r="D975" s="3">
        <v>207000</v>
      </c>
      <c r="E975" s="3">
        <v>85800000000</v>
      </c>
      <c r="F975" s="3">
        <v>79500000000</v>
      </c>
      <c r="G975" s="3">
        <v>3470000000</v>
      </c>
      <c r="H975" s="3">
        <v>10900000000</v>
      </c>
      <c r="I975" s="2">
        <v>4.3679999999999997E-2</v>
      </c>
      <c r="J975" s="3">
        <v>1.19E-12</v>
      </c>
    </row>
    <row r="976" spans="1:10" x14ac:dyDescent="0.2">
      <c r="A976" s="3">
        <v>970</v>
      </c>
      <c r="B976" s="3">
        <v>6.9100000000000003E-7</v>
      </c>
      <c r="C976" s="2">
        <v>5.0770000000000003E-2</v>
      </c>
      <c r="D976" s="3">
        <v>230000</v>
      </c>
      <c r="E976" s="3">
        <v>94600000000</v>
      </c>
      <c r="F976" s="3">
        <v>86900000000</v>
      </c>
      <c r="G976" s="2">
        <v>0</v>
      </c>
      <c r="H976" s="3">
        <v>10500000000</v>
      </c>
      <c r="I976" s="2">
        <v>-8.5099999999999995E-2</v>
      </c>
      <c r="J976" s="3">
        <v>9.5799999999999996E-13</v>
      </c>
    </row>
    <row r="977" spans="1:10" x14ac:dyDescent="0.2">
      <c r="A977" s="3">
        <v>980</v>
      </c>
      <c r="B977" s="3">
        <v>6.9100000000000003E-7</v>
      </c>
      <c r="C977" s="2">
        <v>5.0819999999999997E-2</v>
      </c>
      <c r="D977" s="3">
        <v>198000</v>
      </c>
      <c r="E977" s="3">
        <v>82400000000</v>
      </c>
      <c r="F977" s="3">
        <v>76500000000</v>
      </c>
      <c r="G977" s="3">
        <v>5810000000</v>
      </c>
      <c r="H977" s="3">
        <v>11100000000</v>
      </c>
      <c r="I977" s="2">
        <v>7.5889999999999999E-2</v>
      </c>
      <c r="J977" s="3">
        <v>1.2999999999999999E-12</v>
      </c>
    </row>
    <row r="978" spans="1:10" x14ac:dyDescent="0.2">
      <c r="A978" s="3">
        <v>980</v>
      </c>
      <c r="B978" s="3">
        <v>6.92E-7</v>
      </c>
      <c r="C978" s="2">
        <v>5.0869999999999999E-2</v>
      </c>
      <c r="D978" s="3">
        <v>199000</v>
      </c>
      <c r="E978" s="3">
        <v>83000000000</v>
      </c>
      <c r="F978" s="3">
        <v>77100000000</v>
      </c>
      <c r="G978" s="3">
        <v>1850000000</v>
      </c>
      <c r="H978" s="3">
        <v>11000000000</v>
      </c>
      <c r="I978" s="2">
        <v>2.4039999999999999E-2</v>
      </c>
      <c r="J978" s="3">
        <v>1.28E-12</v>
      </c>
    </row>
    <row r="979" spans="1:10" x14ac:dyDescent="0.2">
      <c r="A979" s="3">
        <v>980</v>
      </c>
      <c r="B979" s="3">
        <v>6.9299999999999997E-7</v>
      </c>
      <c r="C979" s="2">
        <v>5.0930000000000003E-2</v>
      </c>
      <c r="D979" s="3">
        <v>219000</v>
      </c>
      <c r="E979" s="3">
        <v>90100000000</v>
      </c>
      <c r="F979" s="3">
        <v>83100000000</v>
      </c>
      <c r="G979" s="2">
        <v>0</v>
      </c>
      <c r="H979" s="3">
        <v>10700000000</v>
      </c>
      <c r="I979" s="2">
        <v>-6.9370000000000001E-2</v>
      </c>
      <c r="J979" s="3">
        <v>1.0700000000000001E-12</v>
      </c>
    </row>
    <row r="980" spans="1:10" x14ac:dyDescent="0.2">
      <c r="A980" s="3">
        <v>980</v>
      </c>
      <c r="B980" s="3">
        <v>6.9400000000000005E-7</v>
      </c>
      <c r="C980" s="2">
        <v>5.0979999999999998E-2</v>
      </c>
      <c r="D980" s="3">
        <v>240000</v>
      </c>
      <c r="E980" s="3">
        <v>98100000000</v>
      </c>
      <c r="F980" s="3">
        <v>89900000000</v>
      </c>
      <c r="G980" s="2">
        <v>0</v>
      </c>
      <c r="H980" s="3">
        <v>10400000000</v>
      </c>
      <c r="I980" s="2">
        <v>-1.1209999999999999E-2</v>
      </c>
      <c r="J980" s="3">
        <v>8.8399999999999997E-13</v>
      </c>
    </row>
    <row r="981" spans="1:10" x14ac:dyDescent="0.2">
      <c r="A981" s="3">
        <v>980</v>
      </c>
      <c r="B981" s="3">
        <v>6.9500000000000002E-7</v>
      </c>
      <c r="C981" s="2">
        <v>5.1029999999999999E-2</v>
      </c>
      <c r="D981" s="3">
        <v>209000</v>
      </c>
      <c r="E981" s="3">
        <v>86200000000</v>
      </c>
      <c r="F981" s="3">
        <v>79800000000</v>
      </c>
      <c r="G981" s="2">
        <v>0</v>
      </c>
      <c r="H981" s="3">
        <v>10800000000</v>
      </c>
      <c r="I981" s="2">
        <v>-3.5580000000000001E-2</v>
      </c>
      <c r="J981" s="3">
        <v>1.1700000000000001E-12</v>
      </c>
    </row>
    <row r="982" spans="1:10" x14ac:dyDescent="0.2">
      <c r="A982" s="3">
        <v>980</v>
      </c>
      <c r="B982" s="3">
        <v>6.9500000000000002E-7</v>
      </c>
      <c r="C982" s="2">
        <v>5.108E-2</v>
      </c>
      <c r="D982" s="3">
        <v>212000</v>
      </c>
      <c r="E982" s="3">
        <v>87500000000</v>
      </c>
      <c r="F982" s="3">
        <v>80900000000</v>
      </c>
      <c r="G982" s="3">
        <v>5970000000</v>
      </c>
      <c r="H982" s="3">
        <v>10800000000</v>
      </c>
      <c r="I982" s="2">
        <v>7.3789999999999994E-2</v>
      </c>
      <c r="J982" s="3">
        <v>1.14E-12</v>
      </c>
    </row>
    <row r="983" spans="1:10" x14ac:dyDescent="0.2">
      <c r="A983" s="3">
        <v>980</v>
      </c>
      <c r="B983" s="3">
        <v>6.9699999999999995E-7</v>
      </c>
      <c r="C983" s="2">
        <v>5.1130000000000002E-2</v>
      </c>
      <c r="D983" s="3">
        <v>222000</v>
      </c>
      <c r="E983" s="3">
        <v>91000000000</v>
      </c>
      <c r="F983" s="3">
        <v>83900000000</v>
      </c>
      <c r="G983" s="3">
        <v>8490000000</v>
      </c>
      <c r="H983" s="3">
        <v>10600000000</v>
      </c>
      <c r="I983" s="2">
        <v>0.1012</v>
      </c>
      <c r="J983" s="3">
        <v>1.04E-12</v>
      </c>
    </row>
    <row r="984" spans="1:10" x14ac:dyDescent="0.2">
      <c r="A984" s="3">
        <v>980</v>
      </c>
      <c r="B984" s="3">
        <v>6.9699999999999995E-7</v>
      </c>
      <c r="C984" s="2">
        <v>5.1189999999999999E-2</v>
      </c>
      <c r="D984" s="3">
        <v>222000</v>
      </c>
      <c r="E984" s="3">
        <v>91000000000</v>
      </c>
      <c r="F984" s="3">
        <v>83900000000</v>
      </c>
      <c r="G984" s="3">
        <v>4150000000</v>
      </c>
      <c r="H984" s="3">
        <v>10600000000</v>
      </c>
      <c r="I984" s="2">
        <v>4.9480000000000003E-2</v>
      </c>
      <c r="J984" s="3">
        <v>1.04E-12</v>
      </c>
    </row>
    <row r="985" spans="1:10" x14ac:dyDescent="0.2">
      <c r="A985" s="3">
        <v>980</v>
      </c>
      <c r="B985" s="3">
        <v>6.99E-7</v>
      </c>
      <c r="C985" s="2">
        <v>5.1240000000000001E-2</v>
      </c>
      <c r="D985" s="3">
        <v>237000</v>
      </c>
      <c r="E985" s="3">
        <v>96600000000</v>
      </c>
      <c r="F985" s="3">
        <v>88600000000</v>
      </c>
      <c r="G985" s="2">
        <v>0</v>
      </c>
      <c r="H985" s="3">
        <v>10400000000</v>
      </c>
      <c r="I985" s="2">
        <v>-9.5099999999999994E-3</v>
      </c>
      <c r="J985" s="3">
        <v>9.0999999999999996E-13</v>
      </c>
    </row>
    <row r="986" spans="1:10" x14ac:dyDescent="0.2">
      <c r="A986" s="3">
        <v>980</v>
      </c>
      <c r="B986" s="3">
        <v>6.99E-7</v>
      </c>
      <c r="C986" s="2">
        <v>5.1290000000000002E-2</v>
      </c>
      <c r="D986" s="3">
        <v>197000</v>
      </c>
      <c r="E986" s="3">
        <v>81800000000</v>
      </c>
      <c r="F986" s="3">
        <v>76000000000</v>
      </c>
      <c r="G986" s="3">
        <v>2960000000</v>
      </c>
      <c r="H986" s="3">
        <v>11000000000</v>
      </c>
      <c r="I986" s="2">
        <v>3.8940000000000002E-2</v>
      </c>
      <c r="J986" s="3">
        <v>1.32E-12</v>
      </c>
    </row>
    <row r="987" spans="1:10" x14ac:dyDescent="0.2">
      <c r="A987" s="3">
        <v>990</v>
      </c>
      <c r="B987" s="3">
        <v>6.9999999999999997E-7</v>
      </c>
      <c r="C987" s="2">
        <v>5.1339999999999997E-2</v>
      </c>
      <c r="D987" s="3">
        <v>224000</v>
      </c>
      <c r="E987" s="3">
        <v>91400000000</v>
      </c>
      <c r="F987" s="3">
        <v>84200000000</v>
      </c>
      <c r="G987" s="2">
        <v>0</v>
      </c>
      <c r="H987" s="3">
        <v>10600000000</v>
      </c>
      <c r="I987" s="2">
        <v>-1.166E-2</v>
      </c>
      <c r="J987" s="3">
        <v>1.0300000000000001E-12</v>
      </c>
    </row>
    <row r="988" spans="1:10" x14ac:dyDescent="0.2">
      <c r="A988" s="3">
        <v>990</v>
      </c>
      <c r="B988" s="3">
        <v>7.0100000000000004E-7</v>
      </c>
      <c r="C988" s="2">
        <v>5.1400000000000001E-2</v>
      </c>
      <c r="D988" s="3">
        <v>221000</v>
      </c>
      <c r="E988" s="3">
        <v>90400000000</v>
      </c>
      <c r="F988" s="3">
        <v>83400000000</v>
      </c>
      <c r="G988" s="2">
        <v>0</v>
      </c>
      <c r="H988" s="3">
        <v>10600000000</v>
      </c>
      <c r="I988" s="2">
        <v>-8.5669999999999996E-2</v>
      </c>
      <c r="J988" s="3">
        <v>1.05E-12</v>
      </c>
    </row>
    <row r="989" spans="1:10" x14ac:dyDescent="0.2">
      <c r="A989" s="3">
        <v>990</v>
      </c>
      <c r="B989" s="3">
        <v>7.0200000000000001E-7</v>
      </c>
      <c r="C989" s="2">
        <v>5.1450000000000003E-2</v>
      </c>
      <c r="D989" s="3">
        <v>245000</v>
      </c>
      <c r="E989" s="3">
        <v>99300000000</v>
      </c>
      <c r="F989" s="3">
        <v>90900000000</v>
      </c>
      <c r="G989" s="3">
        <v>11900000000</v>
      </c>
      <c r="H989" s="3">
        <v>10300000000</v>
      </c>
      <c r="I989" s="2">
        <v>0.13120000000000001</v>
      </c>
      <c r="J989" s="3">
        <v>8.5699999999999998E-13</v>
      </c>
    </row>
    <row r="990" spans="1:10" x14ac:dyDescent="0.2">
      <c r="A990" s="3">
        <v>990</v>
      </c>
      <c r="B990" s="3">
        <v>7.0299999999999998E-7</v>
      </c>
      <c r="C990" s="2">
        <v>5.1499999999999997E-2</v>
      </c>
      <c r="D990" s="3">
        <v>218000</v>
      </c>
      <c r="E990" s="3">
        <v>89000000000</v>
      </c>
      <c r="F990" s="3">
        <v>82200000000</v>
      </c>
      <c r="G990" s="3">
        <v>3810000000</v>
      </c>
      <c r="H990" s="3">
        <v>10600000000</v>
      </c>
      <c r="I990" s="2">
        <v>4.6379999999999998E-2</v>
      </c>
      <c r="J990" s="3">
        <v>1.09E-12</v>
      </c>
    </row>
    <row r="991" spans="1:10" x14ac:dyDescent="0.2">
      <c r="A991" s="3">
        <v>990</v>
      </c>
      <c r="B991" s="3">
        <v>7.0399999999999995E-7</v>
      </c>
      <c r="C991" s="2">
        <v>5.1549999999999999E-2</v>
      </c>
      <c r="D991" s="3">
        <v>203000</v>
      </c>
      <c r="E991" s="3">
        <v>83400000000</v>
      </c>
      <c r="F991" s="3">
        <v>77400000000</v>
      </c>
      <c r="G991" s="3">
        <v>5040000000</v>
      </c>
      <c r="H991" s="3">
        <v>10900000000</v>
      </c>
      <c r="I991" s="2">
        <v>6.5119999999999997E-2</v>
      </c>
      <c r="J991" s="3">
        <v>1.2600000000000001E-12</v>
      </c>
    </row>
    <row r="992" spans="1:10" x14ac:dyDescent="0.2">
      <c r="A992" s="3">
        <v>990</v>
      </c>
      <c r="B992" s="3">
        <v>7.0399999999999995E-7</v>
      </c>
      <c r="C992" s="2">
        <v>5.16E-2</v>
      </c>
      <c r="D992" s="3">
        <v>204000</v>
      </c>
      <c r="E992" s="3">
        <v>84000000000</v>
      </c>
      <c r="F992" s="3">
        <v>77900000000</v>
      </c>
      <c r="G992" s="3">
        <v>5660000000</v>
      </c>
      <c r="H992" s="3">
        <v>10900000000</v>
      </c>
      <c r="I992" s="2">
        <v>7.2709999999999997E-2</v>
      </c>
      <c r="J992" s="3">
        <v>1.24E-12</v>
      </c>
    </row>
    <row r="993" spans="1:10" x14ac:dyDescent="0.2">
      <c r="A993" s="3">
        <v>990</v>
      </c>
      <c r="B993" s="3">
        <v>7.0500000000000003E-7</v>
      </c>
      <c r="C993" s="2">
        <v>5.1659999999999998E-2</v>
      </c>
      <c r="D993" s="3">
        <v>221000</v>
      </c>
      <c r="E993" s="3">
        <v>90000000000</v>
      </c>
      <c r="F993" s="3">
        <v>83000000000</v>
      </c>
      <c r="G993" s="2">
        <v>0</v>
      </c>
      <c r="H993" s="3">
        <v>10600000000</v>
      </c>
      <c r="I993" s="2">
        <v>-8.9289999999999994E-2</v>
      </c>
      <c r="J993" s="3">
        <v>1.0599999999999999E-12</v>
      </c>
    </row>
    <row r="994" spans="1:10" x14ac:dyDescent="0.2">
      <c r="A994" s="3">
        <v>990</v>
      </c>
      <c r="B994" s="3">
        <v>7.06E-7</v>
      </c>
      <c r="C994" s="2">
        <v>5.1709999999999999E-2</v>
      </c>
      <c r="D994" s="3">
        <v>229000</v>
      </c>
      <c r="E994" s="3">
        <v>92900000000</v>
      </c>
      <c r="F994" s="3">
        <v>85500000000</v>
      </c>
      <c r="G994" s="3">
        <v>5840000000</v>
      </c>
      <c r="H994" s="3">
        <v>10500000000</v>
      </c>
      <c r="I994" s="2">
        <v>6.8269999999999997E-2</v>
      </c>
      <c r="J994" s="3">
        <v>9.8600000000000004E-13</v>
      </c>
    </row>
    <row r="995" spans="1:10" x14ac:dyDescent="0.2">
      <c r="A995" s="3">
        <v>990</v>
      </c>
      <c r="B995" s="3">
        <v>7.06E-7</v>
      </c>
      <c r="C995" s="2">
        <v>5.176E-2</v>
      </c>
      <c r="D995" s="3">
        <v>230000</v>
      </c>
      <c r="E995" s="3">
        <v>93200000000</v>
      </c>
      <c r="F995" s="3">
        <v>85700000000</v>
      </c>
      <c r="G995" s="3">
        <v>31300000</v>
      </c>
      <c r="H995" s="3">
        <v>10500000000</v>
      </c>
      <c r="I995" s="2">
        <v>3.6539999999999999E-4</v>
      </c>
      <c r="J995" s="3">
        <v>9.8099999999999996E-13</v>
      </c>
    </row>
    <row r="996" spans="1:10" x14ac:dyDescent="0.2">
      <c r="A996" s="3">
        <v>990</v>
      </c>
      <c r="B996" s="3">
        <v>7.0699999999999996E-7</v>
      </c>
      <c r="C996" s="2">
        <v>5.1810000000000002E-2</v>
      </c>
      <c r="D996" s="3">
        <v>230000</v>
      </c>
      <c r="E996" s="3">
        <v>93400000000</v>
      </c>
      <c r="F996" s="3">
        <v>85900000000</v>
      </c>
      <c r="G996" s="3">
        <v>6520000000</v>
      </c>
      <c r="H996" s="3">
        <v>10400000000</v>
      </c>
      <c r="I996" s="2">
        <v>7.5929999999999997E-2</v>
      </c>
      <c r="J996" s="3">
        <v>9.7600000000000008E-13</v>
      </c>
    </row>
    <row r="997" spans="1:10" x14ac:dyDescent="0.2">
      <c r="A997" s="3">
        <v>1000</v>
      </c>
      <c r="B997" s="3">
        <v>7.0800000000000004E-7</v>
      </c>
      <c r="C997" s="2">
        <v>5.1860000000000003E-2</v>
      </c>
      <c r="D997" s="3">
        <v>229000</v>
      </c>
      <c r="E997" s="3">
        <v>92700000000</v>
      </c>
      <c r="F997" s="3">
        <v>85300000000</v>
      </c>
      <c r="G997" s="2">
        <v>0</v>
      </c>
      <c r="H997" s="3">
        <v>10500000000</v>
      </c>
      <c r="I997" s="2">
        <v>-8.9279999999999998E-2</v>
      </c>
      <c r="J997" s="3">
        <v>9.9299999999999991E-13</v>
      </c>
    </row>
    <row r="998" spans="1:10" x14ac:dyDescent="0.2">
      <c r="A998" s="3">
        <v>1000</v>
      </c>
      <c r="B998" s="3">
        <v>7.0900000000000001E-7</v>
      </c>
      <c r="C998" s="2">
        <v>5.1920000000000001E-2</v>
      </c>
      <c r="D998" s="3">
        <v>216000</v>
      </c>
      <c r="E998" s="3">
        <v>88000000000</v>
      </c>
      <c r="F998" s="3">
        <v>81300000000</v>
      </c>
      <c r="G998" s="2">
        <v>0</v>
      </c>
      <c r="H998" s="3">
        <v>10700000000</v>
      </c>
      <c r="I998" s="2">
        <v>-0.16650000000000001</v>
      </c>
      <c r="J998" s="3">
        <v>1.1099999999999999E-12</v>
      </c>
    </row>
    <row r="999" spans="1:10" x14ac:dyDescent="0.2">
      <c r="A999" s="3">
        <v>1000</v>
      </c>
      <c r="B999" s="3">
        <v>7.0999999999999998E-7</v>
      </c>
      <c r="C999" s="2">
        <v>5.1970000000000002E-2</v>
      </c>
      <c r="D999" s="3">
        <v>225000</v>
      </c>
      <c r="E999" s="3">
        <v>91000000000</v>
      </c>
      <c r="F999" s="3">
        <v>83900000000</v>
      </c>
      <c r="G999" s="3">
        <v>926000000</v>
      </c>
      <c r="H999" s="3">
        <v>10500000000</v>
      </c>
      <c r="I999" s="2">
        <v>1.103E-2</v>
      </c>
      <c r="J999" s="3">
        <v>1.0300000000000001E-12</v>
      </c>
    </row>
    <row r="1000" spans="1:10" x14ac:dyDescent="0.2">
      <c r="A1000" s="3">
        <v>1000</v>
      </c>
      <c r="B1000" s="3">
        <v>7.1099999999999995E-7</v>
      </c>
      <c r="C1000" s="2">
        <v>5.2019999999999997E-2</v>
      </c>
      <c r="D1000" s="3">
        <v>220000</v>
      </c>
      <c r="E1000" s="3">
        <v>89200000000</v>
      </c>
      <c r="F1000" s="3">
        <v>82300000000</v>
      </c>
      <c r="G1000" s="3">
        <v>2900000000</v>
      </c>
      <c r="H1000" s="3">
        <v>10600000000</v>
      </c>
      <c r="I1000" s="2">
        <v>3.5209999999999998E-2</v>
      </c>
      <c r="J1000" s="3">
        <v>1.08E-12</v>
      </c>
    </row>
    <row r="1001" spans="1:10" x14ac:dyDescent="0.2">
      <c r="A1001" s="3">
        <v>1000</v>
      </c>
      <c r="B1001" s="3">
        <v>7.1200000000000002E-7</v>
      </c>
      <c r="C1001" s="2">
        <v>5.2069999999999998E-2</v>
      </c>
      <c r="D1001" s="3">
        <v>250000</v>
      </c>
      <c r="E1001" s="3">
        <v>100000000000</v>
      </c>
      <c r="F1001" s="3">
        <v>91900000000</v>
      </c>
      <c r="G1001" s="3">
        <v>11200000000</v>
      </c>
      <c r="H1001" s="3">
        <v>10200000000</v>
      </c>
      <c r="I1001" s="2">
        <v>0.1216</v>
      </c>
      <c r="J1001" s="3">
        <v>8.3199999999999999E-13</v>
      </c>
    </row>
    <row r="1002" spans="1:10" x14ac:dyDescent="0.2">
      <c r="A1002" s="3">
        <v>1000</v>
      </c>
      <c r="B1002" s="3">
        <v>7.1299999999999999E-7</v>
      </c>
      <c r="C1002" s="2">
        <v>5.2130000000000003E-2</v>
      </c>
      <c r="D1002" s="3">
        <v>230000</v>
      </c>
      <c r="E1002" s="3">
        <v>92800000000</v>
      </c>
      <c r="F1002" s="3">
        <v>85500000000</v>
      </c>
      <c r="G1002" s="2">
        <v>0</v>
      </c>
      <c r="H1002" s="3">
        <v>10400000000</v>
      </c>
      <c r="I1002" s="2">
        <v>-6.5160000000000001E-4</v>
      </c>
      <c r="J1002" s="3">
        <v>9.8499999999999994E-13</v>
      </c>
    </row>
    <row r="1003" spans="1:10" x14ac:dyDescent="0.2">
      <c r="A1003" s="3">
        <v>1000</v>
      </c>
      <c r="B1003" s="3">
        <v>7.1299999999999999E-7</v>
      </c>
      <c r="C1003" s="2">
        <v>5.2179999999999997E-2</v>
      </c>
      <c r="D1003" s="3">
        <v>246000</v>
      </c>
      <c r="E1003" s="3">
        <v>98700000000</v>
      </c>
      <c r="F1003" s="3">
        <v>90400000000</v>
      </c>
      <c r="G1003" s="3">
        <v>7350000000</v>
      </c>
      <c r="H1003" s="3">
        <v>10200000000</v>
      </c>
      <c r="I1003" s="2">
        <v>8.1280000000000005E-2</v>
      </c>
      <c r="J1003" s="3">
        <v>8.6399999999999995E-13</v>
      </c>
    </row>
    <row r="1004" spans="1:10" x14ac:dyDescent="0.2">
      <c r="A1004" s="3">
        <v>1000</v>
      </c>
      <c r="B1004" s="3">
        <v>7.1399999999999996E-7</v>
      </c>
      <c r="C1004" s="2">
        <v>5.2229999999999999E-2</v>
      </c>
      <c r="D1004" s="3">
        <v>217000</v>
      </c>
      <c r="E1004" s="3">
        <v>87800000000</v>
      </c>
      <c r="F1004" s="3">
        <v>81100000000</v>
      </c>
      <c r="G1004" s="3">
        <v>5030000000</v>
      </c>
      <c r="H1004" s="3">
        <v>10600000000</v>
      </c>
      <c r="I1004" s="2">
        <v>6.1960000000000001E-2</v>
      </c>
      <c r="J1004" s="3">
        <v>1.1099999999999999E-12</v>
      </c>
    </row>
    <row r="1005" spans="1:10" x14ac:dyDescent="0.2">
      <c r="A1005" s="3">
        <v>1000</v>
      </c>
      <c r="B1005" s="3">
        <v>7.1500000000000004E-7</v>
      </c>
      <c r="C1005" s="2">
        <v>5.228E-2</v>
      </c>
      <c r="D1005" s="3">
        <v>221000</v>
      </c>
      <c r="E1005" s="3">
        <v>89300000000</v>
      </c>
      <c r="F1005" s="3">
        <v>82500000000</v>
      </c>
      <c r="G1005" s="2">
        <v>0</v>
      </c>
      <c r="H1005" s="3">
        <v>10500000000</v>
      </c>
      <c r="I1005" s="2">
        <v>-6.0290000000000003E-2</v>
      </c>
      <c r="J1005" s="3">
        <v>1.0700000000000001E-12</v>
      </c>
    </row>
    <row r="1006" spans="1:10" x14ac:dyDescent="0.2">
      <c r="A1006" s="3">
        <v>1000</v>
      </c>
      <c r="B1006" s="3">
        <v>7.1600000000000001E-7</v>
      </c>
      <c r="C1006" s="2">
        <v>5.2330000000000002E-2</v>
      </c>
      <c r="D1006" s="3">
        <v>253000</v>
      </c>
      <c r="E1006" s="3">
        <v>101000000000</v>
      </c>
      <c r="F1006" s="3">
        <v>92500000000</v>
      </c>
      <c r="G1006" s="3">
        <v>6140000000</v>
      </c>
      <c r="H1006" s="3">
        <v>10100000000</v>
      </c>
      <c r="I1006" s="2">
        <v>6.6350000000000006E-2</v>
      </c>
      <c r="J1006" s="3">
        <v>8.1699999999999995E-13</v>
      </c>
    </row>
    <row r="1007" spans="1:10" x14ac:dyDescent="0.2">
      <c r="A1007" s="3">
        <v>1000</v>
      </c>
      <c r="B1007" s="3">
        <v>7.1699999999999997E-7</v>
      </c>
      <c r="C1007" s="2">
        <v>5.2389999999999999E-2</v>
      </c>
      <c r="D1007" s="3">
        <v>219000</v>
      </c>
      <c r="E1007" s="3">
        <v>88300000000</v>
      </c>
      <c r="F1007" s="3">
        <v>81600000000</v>
      </c>
      <c r="G1007" s="3">
        <v>9040000000</v>
      </c>
      <c r="H1007" s="3">
        <v>10600000000</v>
      </c>
      <c r="I1007" s="2">
        <v>0.1108</v>
      </c>
      <c r="J1007" s="3">
        <v>1.1E-12</v>
      </c>
    </row>
    <row r="1008" spans="1:10" x14ac:dyDescent="0.2">
      <c r="A1008" s="3">
        <v>1000</v>
      </c>
      <c r="B1008" s="3">
        <v>7.1800000000000005E-7</v>
      </c>
      <c r="C1008" s="2">
        <v>5.2440000000000001E-2</v>
      </c>
      <c r="D1008" s="3">
        <v>213000</v>
      </c>
      <c r="E1008" s="3">
        <v>86200000000</v>
      </c>
      <c r="F1008" s="3">
        <v>79800000000</v>
      </c>
      <c r="G1008" s="2">
        <v>0</v>
      </c>
      <c r="H1008" s="3">
        <v>10700000000</v>
      </c>
      <c r="I1008" s="2">
        <v>-4.9590000000000002E-2</v>
      </c>
      <c r="J1008" s="3">
        <v>1.1599999999999999E-12</v>
      </c>
    </row>
    <row r="1009" spans="1:10" x14ac:dyDescent="0.2">
      <c r="A1009" s="3">
        <v>1000</v>
      </c>
      <c r="B1009" s="3">
        <v>7.1900000000000002E-7</v>
      </c>
      <c r="C1009" s="2">
        <v>5.2490000000000002E-2</v>
      </c>
      <c r="D1009" s="3">
        <v>220000</v>
      </c>
      <c r="E1009" s="3">
        <v>88600000000</v>
      </c>
      <c r="F1009" s="3">
        <v>81800000000</v>
      </c>
      <c r="G1009" s="3">
        <v>8930000</v>
      </c>
      <c r="H1009" s="3">
        <v>10600000000</v>
      </c>
      <c r="I1009" s="2">
        <v>1.091E-4</v>
      </c>
      <c r="J1009" s="3">
        <v>1.09E-12</v>
      </c>
    </row>
    <row r="1010" spans="1:10" x14ac:dyDescent="0.2">
      <c r="A1010" s="3">
        <v>1000</v>
      </c>
      <c r="B1010" s="3">
        <v>7.1999999999999999E-7</v>
      </c>
      <c r="C1010" s="2">
        <v>5.2540000000000003E-2</v>
      </c>
      <c r="D1010" s="3">
        <v>223000</v>
      </c>
      <c r="E1010" s="3">
        <v>89800000000</v>
      </c>
      <c r="F1010" s="3">
        <v>82900000000</v>
      </c>
      <c r="G1010" s="2">
        <v>0</v>
      </c>
      <c r="H1010" s="3">
        <v>10500000000</v>
      </c>
      <c r="I1010" s="2">
        <v>-5.8639999999999998E-2</v>
      </c>
      <c r="J1010" s="3">
        <v>1.0599999999999999E-12</v>
      </c>
    </row>
    <row r="1011" spans="1:10" x14ac:dyDescent="0.2">
      <c r="A1011" s="3">
        <v>1000</v>
      </c>
      <c r="B1011" s="3">
        <v>7.1999999999999999E-7</v>
      </c>
      <c r="C1011" s="2">
        <v>5.2589999999999998E-2</v>
      </c>
      <c r="D1011" s="3">
        <v>210000</v>
      </c>
      <c r="E1011" s="3">
        <v>85100000000</v>
      </c>
      <c r="F1011" s="3">
        <v>78900000000</v>
      </c>
      <c r="G1011" s="3">
        <v>8770000000</v>
      </c>
      <c r="H1011" s="3">
        <v>10700000000</v>
      </c>
      <c r="I1011" s="2">
        <v>0.1111</v>
      </c>
      <c r="J1011" s="3">
        <v>1.19E-12</v>
      </c>
    </row>
    <row r="1012" spans="1:10" x14ac:dyDescent="0.2">
      <c r="A1012" s="3">
        <v>1000</v>
      </c>
      <c r="B1012" s="3">
        <v>7.2200000000000003E-7</v>
      </c>
      <c r="C1012" s="2">
        <v>5.2650000000000002E-2</v>
      </c>
      <c r="D1012" s="3">
        <v>239000</v>
      </c>
      <c r="E1012" s="3">
        <v>95700000000</v>
      </c>
      <c r="F1012" s="3">
        <v>87800000000</v>
      </c>
      <c r="G1012" s="2">
        <v>0</v>
      </c>
      <c r="H1012" s="3">
        <v>10300000000</v>
      </c>
      <c r="I1012" s="2">
        <v>-5.5449999999999999E-2</v>
      </c>
      <c r="J1012" s="3">
        <v>9.1900000000000002E-13</v>
      </c>
    </row>
    <row r="1013" spans="1:10" x14ac:dyDescent="0.2">
      <c r="A1013" s="3">
        <v>1000</v>
      </c>
      <c r="B1013" s="3">
        <v>7.2200000000000003E-7</v>
      </c>
      <c r="C1013" s="2">
        <v>5.2699999999999997E-2</v>
      </c>
      <c r="D1013" s="3">
        <v>231000</v>
      </c>
      <c r="E1013" s="3">
        <v>92500000000</v>
      </c>
      <c r="F1013" s="3">
        <v>85200000000</v>
      </c>
      <c r="G1013" s="2">
        <v>0</v>
      </c>
      <c r="H1013" s="3">
        <v>10400000000</v>
      </c>
      <c r="I1013" s="2">
        <v>-7.5219999999999995E-2</v>
      </c>
      <c r="J1013" s="3">
        <v>9.8699999999999993E-13</v>
      </c>
    </row>
    <row r="1014" spans="1:10" x14ac:dyDescent="0.2">
      <c r="A1014" s="3">
        <v>1000</v>
      </c>
      <c r="B1014" s="3">
        <v>7.23E-7</v>
      </c>
      <c r="C1014" s="2">
        <v>5.2749999999999998E-2</v>
      </c>
      <c r="D1014" s="3">
        <v>229000</v>
      </c>
      <c r="E1014" s="3">
        <v>91800000000</v>
      </c>
      <c r="F1014" s="3">
        <v>84600000000</v>
      </c>
      <c r="G1014" s="3">
        <v>362000000</v>
      </c>
      <c r="H1014" s="3">
        <v>10400000000</v>
      </c>
      <c r="I1014" s="2">
        <v>4.2779999999999997E-3</v>
      </c>
      <c r="J1014" s="3">
        <v>1.0099999999999999E-12</v>
      </c>
    </row>
    <row r="1015" spans="1:10" x14ac:dyDescent="0.2">
      <c r="A1015" s="3">
        <v>1000</v>
      </c>
      <c r="B1015" s="3">
        <v>7.2399999999999997E-7</v>
      </c>
      <c r="C1015" s="2">
        <v>5.28E-2</v>
      </c>
      <c r="D1015" s="3">
        <v>246000</v>
      </c>
      <c r="E1015" s="3">
        <v>97900000000</v>
      </c>
      <c r="F1015" s="3">
        <v>89700000000</v>
      </c>
      <c r="G1015" s="3">
        <v>18500000000</v>
      </c>
      <c r="H1015" s="3">
        <v>10200000000</v>
      </c>
      <c r="I1015" s="2">
        <v>0.20649999999999999</v>
      </c>
      <c r="J1015" s="3">
        <v>8.7300000000000002E-13</v>
      </c>
    </row>
    <row r="1016" spans="1:10" x14ac:dyDescent="0.2">
      <c r="A1016" s="3">
        <v>1000</v>
      </c>
      <c r="B1016" s="3">
        <v>7.2399999999999997E-7</v>
      </c>
      <c r="C1016" s="2">
        <v>5.2859999999999997E-2</v>
      </c>
      <c r="D1016" s="3">
        <v>228000</v>
      </c>
      <c r="E1016" s="3">
        <v>91300000000</v>
      </c>
      <c r="F1016" s="3">
        <v>84200000000</v>
      </c>
      <c r="G1016" s="2">
        <v>0</v>
      </c>
      <c r="H1016" s="3">
        <v>10400000000</v>
      </c>
      <c r="I1016" s="2">
        <v>-1.234E-2</v>
      </c>
      <c r="J1016" s="3">
        <v>1.0200000000000001E-12</v>
      </c>
    </row>
    <row r="1017" spans="1:10" x14ac:dyDescent="0.2">
      <c r="A1017" s="3">
        <v>1000</v>
      </c>
      <c r="B1017" s="3">
        <v>7.2500000000000005E-7</v>
      </c>
      <c r="C1017" s="2">
        <v>5.2909999999999999E-2</v>
      </c>
      <c r="D1017" s="3">
        <v>208000</v>
      </c>
      <c r="E1017" s="3">
        <v>84000000000</v>
      </c>
      <c r="F1017" s="3">
        <v>77900000000</v>
      </c>
      <c r="G1017" s="3">
        <v>3140000000</v>
      </c>
      <c r="H1017" s="3">
        <v>10700000000</v>
      </c>
      <c r="I1017" s="2">
        <v>4.0320000000000002E-2</v>
      </c>
      <c r="J1017" s="3">
        <v>1.2200000000000001E-12</v>
      </c>
    </row>
    <row r="1018" spans="1:10" x14ac:dyDescent="0.2">
      <c r="A1018" s="3">
        <v>1000</v>
      </c>
      <c r="B1018" s="3">
        <v>7.2600000000000002E-7</v>
      </c>
      <c r="C1018" s="2">
        <v>5.296E-2</v>
      </c>
      <c r="D1018" s="3">
        <v>237000</v>
      </c>
      <c r="E1018" s="3">
        <v>94300000000</v>
      </c>
      <c r="F1018" s="3">
        <v>86700000000</v>
      </c>
      <c r="G1018" s="2">
        <v>0</v>
      </c>
      <c r="H1018" s="3">
        <v>10300000000</v>
      </c>
      <c r="I1018" s="2">
        <v>-3.5270000000000002E-3</v>
      </c>
      <c r="J1018" s="3">
        <v>9.4499999999999991E-13</v>
      </c>
    </row>
    <row r="1019" spans="1:10" x14ac:dyDescent="0.2">
      <c r="A1019" s="3">
        <v>1000</v>
      </c>
      <c r="B1019" s="3">
        <v>7.2699999999999999E-7</v>
      </c>
      <c r="C1019" s="2">
        <v>5.3010000000000002E-2</v>
      </c>
      <c r="D1019" s="3">
        <v>207000</v>
      </c>
      <c r="E1019" s="3">
        <v>83600000000</v>
      </c>
      <c r="F1019" s="3">
        <v>77600000000</v>
      </c>
      <c r="G1019" s="3">
        <v>2240000000</v>
      </c>
      <c r="H1019" s="3">
        <v>10700000000</v>
      </c>
      <c r="I1019" s="2">
        <v>2.8910000000000002E-2</v>
      </c>
      <c r="J1019" s="3">
        <v>1.23E-12</v>
      </c>
    </row>
    <row r="1020" spans="1:10" x14ac:dyDescent="0.2">
      <c r="A1020" s="3">
        <v>1000</v>
      </c>
      <c r="B1020" s="3">
        <v>7.2799999999999995E-7</v>
      </c>
      <c r="C1020" s="2">
        <v>5.3060000000000003E-2</v>
      </c>
      <c r="D1020" s="3">
        <v>214000</v>
      </c>
      <c r="E1020" s="3">
        <v>86000000000</v>
      </c>
      <c r="F1020" s="3">
        <v>79700000000</v>
      </c>
      <c r="G1020" s="3">
        <v>1790000000</v>
      </c>
      <c r="H1020" s="3">
        <v>10600000000</v>
      </c>
      <c r="I1020" s="2">
        <v>2.2460000000000001E-2</v>
      </c>
      <c r="J1020" s="3">
        <v>1.1599999999999999E-12</v>
      </c>
    </row>
    <row r="1021" spans="1:10" x14ac:dyDescent="0.2">
      <c r="A1021" s="3">
        <v>1000</v>
      </c>
      <c r="B1021" s="3">
        <v>7.2900000000000003E-7</v>
      </c>
      <c r="C1021" s="2">
        <v>5.3109999999999997E-2</v>
      </c>
      <c r="D1021" s="3">
        <v>215000</v>
      </c>
      <c r="E1021" s="3">
        <v>86100000000</v>
      </c>
      <c r="F1021" s="3">
        <v>79700000000</v>
      </c>
      <c r="G1021" s="3">
        <v>7720000000</v>
      </c>
      <c r="H1021" s="3">
        <v>10600000000</v>
      </c>
      <c r="I1021" s="2">
        <v>9.6790000000000001E-2</v>
      </c>
      <c r="J1021" s="3">
        <v>1.1499999999999999E-12</v>
      </c>
    </row>
    <row r="1022" spans="1:10" x14ac:dyDescent="0.2">
      <c r="A1022" s="3">
        <v>1000</v>
      </c>
      <c r="B1022" s="3">
        <v>7.2900000000000003E-7</v>
      </c>
      <c r="C1022" s="2">
        <v>5.3170000000000002E-2</v>
      </c>
      <c r="D1022" s="3">
        <v>235000</v>
      </c>
      <c r="E1022" s="3">
        <v>93400000000</v>
      </c>
      <c r="F1022" s="3">
        <v>85900000000</v>
      </c>
      <c r="G1022" s="3">
        <v>8890000000</v>
      </c>
      <c r="H1022" s="3">
        <v>10300000000</v>
      </c>
      <c r="I1022" s="2">
        <v>0.10340000000000001</v>
      </c>
      <c r="J1022" s="3">
        <v>9.6500000000000003E-13</v>
      </c>
    </row>
    <row r="1023" spans="1:10" x14ac:dyDescent="0.2">
      <c r="A1023" s="3">
        <v>1000</v>
      </c>
      <c r="B1023" s="3">
        <v>7.3E-7</v>
      </c>
      <c r="C1023" s="2">
        <v>5.3220000000000003E-2</v>
      </c>
      <c r="D1023" s="3">
        <v>218000</v>
      </c>
      <c r="E1023" s="3">
        <v>87300000000</v>
      </c>
      <c r="F1023" s="3">
        <v>80800000000</v>
      </c>
      <c r="G1023" s="3">
        <v>6510000000</v>
      </c>
      <c r="H1023" s="3">
        <v>10600000000</v>
      </c>
      <c r="I1023" s="2">
        <v>8.0589999999999995E-2</v>
      </c>
      <c r="J1023" s="3">
        <v>1.1200000000000001E-12</v>
      </c>
    </row>
    <row r="1024" spans="1:10" x14ac:dyDescent="0.2">
      <c r="A1024" s="3">
        <v>1000</v>
      </c>
      <c r="B1024" s="3">
        <v>7.3099999999999997E-7</v>
      </c>
      <c r="C1024" s="2">
        <v>5.3269999999999998E-2</v>
      </c>
      <c r="D1024" s="3">
        <v>223000</v>
      </c>
      <c r="E1024" s="3">
        <v>89000000000</v>
      </c>
      <c r="F1024" s="3">
        <v>82200000000</v>
      </c>
      <c r="G1024" s="3">
        <v>311000000</v>
      </c>
      <c r="H1024" s="3">
        <v>10500000000</v>
      </c>
      <c r="I1024" s="2">
        <v>3.7780000000000001E-3</v>
      </c>
      <c r="J1024" s="3">
        <v>1.0700000000000001E-12</v>
      </c>
    </row>
    <row r="1025" spans="1:10" x14ac:dyDescent="0.2">
      <c r="A1025" s="3">
        <v>1000</v>
      </c>
      <c r="B1025" s="3">
        <v>7.3200000000000004E-7</v>
      </c>
      <c r="C1025" s="2">
        <v>5.3319999999999999E-2</v>
      </c>
      <c r="D1025" s="3">
        <v>232000</v>
      </c>
      <c r="E1025" s="3">
        <v>92200000000</v>
      </c>
      <c r="F1025" s="3">
        <v>84900000000</v>
      </c>
      <c r="G1025" s="3">
        <v>2190000000</v>
      </c>
      <c r="H1025" s="3">
        <v>10300000000</v>
      </c>
      <c r="I1025" s="2">
        <v>2.5829999999999999E-2</v>
      </c>
      <c r="J1025" s="3">
        <v>9.9000000000000002E-13</v>
      </c>
    </row>
    <row r="1026" spans="1:10" x14ac:dyDescent="0.2">
      <c r="A1026" s="3">
        <v>1000</v>
      </c>
      <c r="B1026" s="3">
        <v>7.3300000000000001E-7</v>
      </c>
      <c r="C1026" s="2">
        <v>5.3379999999999997E-2</v>
      </c>
      <c r="D1026" s="3">
        <v>247000</v>
      </c>
      <c r="E1026" s="3">
        <v>97600000000</v>
      </c>
      <c r="F1026" s="3">
        <v>89500000000</v>
      </c>
      <c r="G1026" s="3">
        <v>7380000000</v>
      </c>
      <c r="H1026" s="3">
        <v>10200000000</v>
      </c>
      <c r="I1026" s="2">
        <v>8.2479999999999998E-2</v>
      </c>
      <c r="J1026" s="3">
        <v>8.76E-13</v>
      </c>
    </row>
    <row r="1027" spans="1:10" x14ac:dyDescent="0.2">
      <c r="A1027" s="3">
        <v>1000</v>
      </c>
      <c r="B1027" s="3">
        <v>7.3399999999999998E-7</v>
      </c>
      <c r="C1027" s="2">
        <v>5.3429999999999998E-2</v>
      </c>
      <c r="D1027" s="3">
        <v>218000</v>
      </c>
      <c r="E1027" s="3">
        <v>87000000000</v>
      </c>
      <c r="F1027" s="3">
        <v>80500000000</v>
      </c>
      <c r="G1027" s="3">
        <v>2900000000</v>
      </c>
      <c r="H1027" s="3">
        <v>10500000000</v>
      </c>
      <c r="I1027" s="2">
        <v>3.603E-2</v>
      </c>
      <c r="J1027" s="3">
        <v>1.1200000000000001E-12</v>
      </c>
    </row>
    <row r="1028" spans="1:10" x14ac:dyDescent="0.2">
      <c r="A1028" s="3">
        <v>1000</v>
      </c>
      <c r="B1028" s="3">
        <v>7.3499999999999995E-7</v>
      </c>
      <c r="C1028" s="2">
        <v>5.348E-2</v>
      </c>
      <c r="D1028" s="3">
        <v>216000</v>
      </c>
      <c r="E1028" s="3">
        <v>86100000000</v>
      </c>
      <c r="F1028" s="3">
        <v>79700000000</v>
      </c>
      <c r="G1028" s="3">
        <v>8740000000</v>
      </c>
      <c r="H1028" s="3">
        <v>10600000000</v>
      </c>
      <c r="I1028" s="2">
        <v>0.10970000000000001</v>
      </c>
      <c r="J1028" s="3">
        <v>1.1499999999999999E-12</v>
      </c>
    </row>
    <row r="1029" spans="1:10" x14ac:dyDescent="0.2">
      <c r="A1029" s="3">
        <v>1000</v>
      </c>
      <c r="B1029" s="3">
        <v>7.3499999999999995E-7</v>
      </c>
      <c r="C1029" s="2">
        <v>5.3530000000000001E-2</v>
      </c>
      <c r="D1029" s="3">
        <v>207000</v>
      </c>
      <c r="E1029" s="3">
        <v>82900000000</v>
      </c>
      <c r="F1029" s="3">
        <v>77000000000</v>
      </c>
      <c r="G1029" s="3">
        <v>7840000000</v>
      </c>
      <c r="H1029" s="3">
        <v>10700000000</v>
      </c>
      <c r="I1029" s="2">
        <v>0.1019</v>
      </c>
      <c r="J1029" s="3">
        <v>1.2499999999999999E-12</v>
      </c>
    </row>
    <row r="1030" spans="1:10" x14ac:dyDescent="0.2">
      <c r="A1030" s="3">
        <v>1000</v>
      </c>
      <c r="B1030" s="3">
        <v>7.3600000000000003E-7</v>
      </c>
      <c r="C1030" s="2">
        <v>5.3580000000000003E-2</v>
      </c>
      <c r="D1030" s="3">
        <v>206000</v>
      </c>
      <c r="E1030" s="3">
        <v>82600000000</v>
      </c>
      <c r="F1030" s="3">
        <v>76700000000</v>
      </c>
      <c r="G1030" s="3">
        <v>1240000000</v>
      </c>
      <c r="H1030" s="3">
        <v>10700000000</v>
      </c>
      <c r="I1030" s="2">
        <v>1.619E-2</v>
      </c>
      <c r="J1030" s="3">
        <v>1.2600000000000001E-12</v>
      </c>
    </row>
    <row r="1031" spans="1:10" x14ac:dyDescent="0.2">
      <c r="A1031" s="3">
        <v>1000</v>
      </c>
      <c r="B1031" s="3">
        <v>7.37E-7</v>
      </c>
      <c r="C1031" s="2">
        <v>5.364E-2</v>
      </c>
      <c r="D1031" s="3">
        <v>229000</v>
      </c>
      <c r="E1031" s="3">
        <v>90700000000</v>
      </c>
      <c r="F1031" s="3">
        <v>83600000000</v>
      </c>
      <c r="G1031" s="2">
        <v>0</v>
      </c>
      <c r="H1031" s="3">
        <v>10400000000</v>
      </c>
      <c r="I1031" s="2">
        <v>-5.8120000000000003E-3</v>
      </c>
      <c r="J1031" s="3">
        <v>1.0200000000000001E-12</v>
      </c>
    </row>
    <row r="1032" spans="1:10" x14ac:dyDescent="0.2">
      <c r="A1032" s="3">
        <v>1000</v>
      </c>
      <c r="B1032" s="3">
        <v>7.3799999999999996E-7</v>
      </c>
      <c r="C1032" s="2">
        <v>5.3690000000000002E-2</v>
      </c>
      <c r="D1032" s="3">
        <v>231000</v>
      </c>
      <c r="E1032" s="3">
        <v>91300000000</v>
      </c>
      <c r="F1032" s="3">
        <v>84200000000</v>
      </c>
      <c r="G1032" s="2">
        <v>0</v>
      </c>
      <c r="H1032" s="3">
        <v>10400000000</v>
      </c>
      <c r="I1032" s="2">
        <v>-1.291E-2</v>
      </c>
      <c r="J1032" s="3">
        <v>1.0099999999999999E-12</v>
      </c>
    </row>
    <row r="1033" spans="1:10" x14ac:dyDescent="0.2">
      <c r="A1033" s="3">
        <v>1000</v>
      </c>
      <c r="B1033" s="3">
        <v>7.3799999999999996E-7</v>
      </c>
      <c r="C1033" s="2">
        <v>5.3740000000000003E-2</v>
      </c>
      <c r="D1033" s="3">
        <v>224000</v>
      </c>
      <c r="E1033" s="3">
        <v>88700000000</v>
      </c>
      <c r="F1033" s="3">
        <v>81900000000</v>
      </c>
      <c r="G1033" s="3">
        <v>4020000000</v>
      </c>
      <c r="H1033" s="3">
        <v>10500000000</v>
      </c>
      <c r="I1033" s="2">
        <v>4.9079999999999999E-2</v>
      </c>
      <c r="J1033" s="3">
        <v>1.08E-12</v>
      </c>
    </row>
    <row r="1034" spans="1:10" x14ac:dyDescent="0.2">
      <c r="A1034" s="3">
        <v>1000</v>
      </c>
      <c r="B1034" s="3">
        <v>7.3900000000000004E-7</v>
      </c>
      <c r="C1034" s="2">
        <v>5.3789999999999998E-2</v>
      </c>
      <c r="D1034" s="3">
        <v>229000</v>
      </c>
      <c r="E1034" s="3">
        <v>90500000000</v>
      </c>
      <c r="F1034" s="3">
        <v>83500000000</v>
      </c>
      <c r="G1034" s="3">
        <v>2130000000</v>
      </c>
      <c r="H1034" s="3">
        <v>10400000000</v>
      </c>
      <c r="I1034" s="2">
        <v>2.5499999999999998E-2</v>
      </c>
      <c r="J1034" s="3">
        <v>1.0300000000000001E-12</v>
      </c>
    </row>
    <row r="1035" spans="1:10" x14ac:dyDescent="0.2">
      <c r="A1035" s="3">
        <v>1000</v>
      </c>
      <c r="B1035" s="3">
        <v>7.4000000000000001E-7</v>
      </c>
      <c r="C1035" s="2">
        <v>5.3839999999999999E-2</v>
      </c>
      <c r="D1035" s="3">
        <v>230000</v>
      </c>
      <c r="E1035" s="3">
        <v>90700000000</v>
      </c>
      <c r="F1035" s="3">
        <v>83700000000</v>
      </c>
      <c r="G1035" s="3">
        <v>8720000000</v>
      </c>
      <c r="H1035" s="3">
        <v>10400000000</v>
      </c>
      <c r="I1035" s="2">
        <v>0.1042</v>
      </c>
      <c r="J1035" s="3">
        <v>1.0200000000000001E-12</v>
      </c>
    </row>
    <row r="1036" spans="1:10" x14ac:dyDescent="0.2">
      <c r="A1036" s="3">
        <v>1000</v>
      </c>
      <c r="B1036" s="3">
        <v>7.4099999999999998E-7</v>
      </c>
      <c r="C1036" s="2">
        <v>5.3900000000000003E-2</v>
      </c>
      <c r="D1036" s="3">
        <v>220000</v>
      </c>
      <c r="E1036" s="3">
        <v>87200000000</v>
      </c>
      <c r="F1036" s="3">
        <v>80700000000</v>
      </c>
      <c r="G1036" s="3">
        <v>10200000000</v>
      </c>
      <c r="H1036" s="3">
        <v>10500000000</v>
      </c>
      <c r="I1036" s="2">
        <v>0.12640000000000001</v>
      </c>
      <c r="J1036" s="3">
        <v>1.1200000000000001E-12</v>
      </c>
    </row>
    <row r="1037" spans="1:10" x14ac:dyDescent="0.2">
      <c r="A1037" s="3">
        <v>1000</v>
      </c>
      <c r="B1037" s="3">
        <v>7.4099999999999998E-7</v>
      </c>
      <c r="C1037" s="2">
        <v>5.3949999999999998E-2</v>
      </c>
      <c r="D1037" s="3">
        <v>215000</v>
      </c>
      <c r="E1037" s="3">
        <v>85400000000</v>
      </c>
      <c r="F1037" s="3">
        <v>79100000000</v>
      </c>
      <c r="G1037" s="3">
        <v>7230000000</v>
      </c>
      <c r="H1037" s="3">
        <v>10600000000</v>
      </c>
      <c r="I1037" s="2">
        <v>9.1350000000000001E-2</v>
      </c>
      <c r="J1037" s="3">
        <v>1.1700000000000001E-12</v>
      </c>
    </row>
    <row r="1038" spans="1:10" x14ac:dyDescent="0.2">
      <c r="A1038" s="3">
        <v>1000</v>
      </c>
      <c r="B1038" s="3">
        <v>7.4199999999999995E-7</v>
      </c>
      <c r="C1038" s="2">
        <v>5.3999999999999999E-2</v>
      </c>
      <c r="D1038" s="3">
        <v>239000</v>
      </c>
      <c r="E1038" s="3">
        <v>93900000000</v>
      </c>
      <c r="F1038" s="3">
        <v>86300000000</v>
      </c>
      <c r="G1038" s="3">
        <v>12300000000</v>
      </c>
      <c r="H1038" s="3">
        <v>10200000000</v>
      </c>
      <c r="I1038" s="2">
        <v>0.14280000000000001</v>
      </c>
      <c r="J1038" s="3">
        <v>9.490000000000001E-13</v>
      </c>
    </row>
    <row r="1039" spans="1:10" x14ac:dyDescent="0.2">
      <c r="A1039" s="3">
        <v>1000</v>
      </c>
      <c r="B1039" s="3">
        <v>7.4300000000000002E-7</v>
      </c>
      <c r="C1039" s="2">
        <v>5.4050000000000001E-2</v>
      </c>
      <c r="D1039" s="3">
        <v>209000</v>
      </c>
      <c r="E1039" s="3">
        <v>83300000000</v>
      </c>
      <c r="F1039" s="3">
        <v>77300000000</v>
      </c>
      <c r="G1039" s="3">
        <v>6190000000</v>
      </c>
      <c r="H1039" s="3">
        <v>10700000000</v>
      </c>
      <c r="I1039" s="2">
        <v>8.0079999999999998E-2</v>
      </c>
      <c r="J1039" s="3">
        <v>1.23E-12</v>
      </c>
    </row>
    <row r="1040" spans="1:10" x14ac:dyDescent="0.2">
      <c r="A1040" s="3">
        <v>1000</v>
      </c>
      <c r="B1040" s="3">
        <v>7.4399999999999999E-7</v>
      </c>
      <c r="C1040" s="2">
        <v>5.4100000000000002E-2</v>
      </c>
      <c r="D1040" s="3">
        <v>244000</v>
      </c>
      <c r="E1040" s="3">
        <v>95600000000</v>
      </c>
      <c r="F1040" s="3">
        <v>87800000000</v>
      </c>
      <c r="G1040" s="3">
        <v>5210000000</v>
      </c>
      <c r="H1040" s="3">
        <v>10200000000</v>
      </c>
      <c r="I1040" s="2">
        <v>5.9319999999999998E-2</v>
      </c>
      <c r="J1040" s="3">
        <v>9.1199999999999995E-13</v>
      </c>
    </row>
    <row r="1041" spans="1:10" x14ac:dyDescent="0.2">
      <c r="A1041" s="3">
        <v>1000</v>
      </c>
      <c r="B1041" s="3">
        <v>7.4499999999999996E-7</v>
      </c>
      <c r="C1041" s="2">
        <v>5.416E-2</v>
      </c>
      <c r="D1041" s="3">
        <v>217000</v>
      </c>
      <c r="E1041" s="3">
        <v>86100000000</v>
      </c>
      <c r="F1041" s="3">
        <v>79700000000</v>
      </c>
      <c r="G1041" s="2">
        <v>0</v>
      </c>
      <c r="H1041" s="3">
        <v>10500000000</v>
      </c>
      <c r="I1041" s="2">
        <v>-2.2439999999999999E-3</v>
      </c>
      <c r="J1041" s="3">
        <v>1.1499999999999999E-12</v>
      </c>
    </row>
    <row r="1042" spans="1:10" x14ac:dyDescent="0.2">
      <c r="A1042" s="3">
        <v>1000</v>
      </c>
      <c r="B1042" s="3">
        <v>7.4499999999999996E-7</v>
      </c>
      <c r="C1042" s="2">
        <v>5.4210000000000001E-2</v>
      </c>
      <c r="D1042" s="3">
        <v>253000</v>
      </c>
      <c r="E1042" s="3">
        <v>99000000000</v>
      </c>
      <c r="F1042" s="3">
        <v>90600000000</v>
      </c>
      <c r="G1042" s="3">
        <v>3400000000</v>
      </c>
      <c r="H1042" s="3">
        <v>10100000000</v>
      </c>
      <c r="I1042" s="2">
        <v>3.7539999999999997E-2</v>
      </c>
      <c r="J1042" s="3">
        <v>8.4700000000000003E-13</v>
      </c>
    </row>
    <row r="1043" spans="1:10" x14ac:dyDescent="0.2">
      <c r="A1043" s="3">
        <v>1000</v>
      </c>
      <c r="B1043" s="3">
        <v>7.4600000000000004E-7</v>
      </c>
      <c r="C1043" s="2">
        <v>5.4260000000000003E-2</v>
      </c>
      <c r="D1043" s="3">
        <v>235000</v>
      </c>
      <c r="E1043" s="3">
        <v>92400000000</v>
      </c>
      <c r="F1043" s="3">
        <v>85100000000</v>
      </c>
      <c r="G1043" s="3">
        <v>6500000000</v>
      </c>
      <c r="H1043" s="3">
        <v>10300000000</v>
      </c>
      <c r="I1043" s="2">
        <v>7.6359999999999997E-2</v>
      </c>
      <c r="J1043" s="3">
        <v>9.8000000000000007E-13</v>
      </c>
    </row>
    <row r="1044" spans="1:10" x14ac:dyDescent="0.2">
      <c r="A1044" s="3">
        <v>1000</v>
      </c>
      <c r="B1044" s="3">
        <v>7.4600000000000004E-7</v>
      </c>
      <c r="C1044" s="2">
        <v>5.4309999999999997E-2</v>
      </c>
      <c r="D1044" s="3">
        <v>219000</v>
      </c>
      <c r="E1044" s="3">
        <v>86600000000</v>
      </c>
      <c r="F1044" s="3">
        <v>80100000000</v>
      </c>
      <c r="G1044" s="2">
        <v>0</v>
      </c>
      <c r="H1044" s="3">
        <v>10500000000</v>
      </c>
      <c r="I1044" s="2">
        <v>-2.5399999999999999E-2</v>
      </c>
      <c r="J1044" s="3">
        <v>1.13E-12</v>
      </c>
    </row>
    <row r="1045" spans="1:10" x14ac:dyDescent="0.2">
      <c r="A1045" s="3">
        <v>1000</v>
      </c>
      <c r="B1045" s="3">
        <v>7.4700000000000001E-7</v>
      </c>
      <c r="C1045" s="2">
        <v>5.4370000000000002E-2</v>
      </c>
      <c r="D1045" s="3">
        <v>206000</v>
      </c>
      <c r="E1045" s="3">
        <v>81800000000</v>
      </c>
      <c r="F1045" s="3">
        <v>76000000000</v>
      </c>
      <c r="G1045" s="3">
        <v>1780000000</v>
      </c>
      <c r="H1045" s="3">
        <v>10700000000</v>
      </c>
      <c r="I1045" s="2">
        <v>2.334E-2</v>
      </c>
      <c r="J1045" s="3">
        <v>1.28E-12</v>
      </c>
    </row>
    <row r="1046" spans="1:10" x14ac:dyDescent="0.2">
      <c r="A1046" s="3">
        <v>1000</v>
      </c>
      <c r="B1046" s="3">
        <v>7.4900000000000005E-7</v>
      </c>
      <c r="C1046" s="2">
        <v>5.4420000000000003E-2</v>
      </c>
      <c r="D1046" s="3">
        <v>226000</v>
      </c>
      <c r="E1046" s="3">
        <v>89100000000</v>
      </c>
      <c r="F1046" s="3">
        <v>82200000000</v>
      </c>
      <c r="G1046" s="2">
        <v>0</v>
      </c>
      <c r="H1046" s="3">
        <v>10400000000</v>
      </c>
      <c r="I1046" s="2">
        <v>-4.7600000000000003E-2</v>
      </c>
      <c r="J1046" s="3">
        <v>1.0599999999999999E-12</v>
      </c>
    </row>
    <row r="1047" spans="1:10" x14ac:dyDescent="0.2">
      <c r="A1047" s="3">
        <v>1000</v>
      </c>
      <c r="B1047" s="3">
        <v>7.4900000000000005E-7</v>
      </c>
      <c r="C1047" s="2">
        <v>5.4469999999999998E-2</v>
      </c>
      <c r="D1047" s="3">
        <v>228000</v>
      </c>
      <c r="E1047" s="3">
        <v>89700000000</v>
      </c>
      <c r="F1047" s="3">
        <v>82800000000</v>
      </c>
      <c r="G1047" s="3">
        <v>3570000000</v>
      </c>
      <c r="H1047" s="3">
        <v>10400000000</v>
      </c>
      <c r="I1047" s="2">
        <v>4.3159999999999997E-2</v>
      </c>
      <c r="J1047" s="3">
        <v>1.04E-12</v>
      </c>
    </row>
    <row r="1048" spans="1:10" x14ac:dyDescent="0.2">
      <c r="A1048" s="3">
        <v>1000</v>
      </c>
      <c r="B1048" s="3">
        <v>7.5000000000000002E-7</v>
      </c>
      <c r="C1048" s="2">
        <v>5.4519999999999999E-2</v>
      </c>
      <c r="D1048" s="3">
        <v>214000</v>
      </c>
      <c r="E1048" s="3">
        <v>84500000000</v>
      </c>
      <c r="F1048" s="3">
        <v>78300000000</v>
      </c>
      <c r="G1048" s="3">
        <v>5220000000</v>
      </c>
      <c r="H1048" s="3">
        <v>10600000000</v>
      </c>
      <c r="I1048" s="2">
        <v>6.6650000000000001E-2</v>
      </c>
      <c r="J1048" s="3">
        <v>1.19E-12</v>
      </c>
    </row>
    <row r="1049" spans="1:10" x14ac:dyDescent="0.2">
      <c r="A1049" s="3">
        <v>1000</v>
      </c>
      <c r="B1049" s="3">
        <v>7.5099999999999999E-7</v>
      </c>
      <c r="C1049" s="2">
        <v>5.4579999999999997E-2</v>
      </c>
      <c r="D1049" s="3">
        <v>202000</v>
      </c>
      <c r="E1049" s="3">
        <v>80200000000</v>
      </c>
      <c r="F1049" s="3">
        <v>74600000000</v>
      </c>
      <c r="G1049" s="3">
        <v>7060000000</v>
      </c>
      <c r="H1049" s="3">
        <v>10800000000</v>
      </c>
      <c r="I1049" s="2">
        <v>9.4579999999999997E-2</v>
      </c>
      <c r="J1049" s="3">
        <v>1.3399999999999999E-12</v>
      </c>
    </row>
    <row r="1050" spans="1:10" x14ac:dyDescent="0.2">
      <c r="A1050" s="3">
        <v>1000</v>
      </c>
      <c r="B1050" s="3">
        <v>7.5199999999999996E-7</v>
      </c>
      <c r="C1050" s="2">
        <v>5.4629999999999998E-2</v>
      </c>
      <c r="D1050" s="3">
        <v>223000</v>
      </c>
      <c r="E1050" s="3">
        <v>87500000000</v>
      </c>
      <c r="F1050" s="3">
        <v>81000000000</v>
      </c>
      <c r="G1050" s="3">
        <v>3370000000</v>
      </c>
      <c r="H1050" s="3">
        <v>10500000000</v>
      </c>
      <c r="I1050" s="2">
        <v>4.1669999999999999E-2</v>
      </c>
      <c r="J1050" s="3">
        <v>1.1E-12</v>
      </c>
    </row>
    <row r="1051" spans="1:10" x14ac:dyDescent="0.2">
      <c r="A1051" s="3">
        <v>1000</v>
      </c>
      <c r="B1051" s="3">
        <v>7.5199999999999996E-7</v>
      </c>
      <c r="C1051" s="2">
        <v>5.4679999999999999E-2</v>
      </c>
      <c r="D1051" s="3">
        <v>203000</v>
      </c>
      <c r="E1051" s="3">
        <v>80600000000</v>
      </c>
      <c r="F1051" s="3">
        <v>75000000000</v>
      </c>
      <c r="G1051" s="3">
        <v>7750000000</v>
      </c>
      <c r="H1051" s="3">
        <v>10800000000</v>
      </c>
      <c r="I1051" s="2">
        <v>0.10340000000000001</v>
      </c>
      <c r="J1051" s="3">
        <v>1.32E-12</v>
      </c>
    </row>
    <row r="1052" spans="1:10" x14ac:dyDescent="0.2">
      <c r="A1052" s="3">
        <v>1100</v>
      </c>
      <c r="B1052" s="3">
        <v>7.5300000000000003E-7</v>
      </c>
      <c r="C1052" s="2">
        <v>5.4730000000000001E-2</v>
      </c>
      <c r="D1052" s="3">
        <v>223000</v>
      </c>
      <c r="E1052" s="3">
        <v>87300000000</v>
      </c>
      <c r="F1052" s="3">
        <v>80800000000</v>
      </c>
      <c r="G1052" s="3">
        <v>5000000000</v>
      </c>
      <c r="H1052" s="3">
        <v>10500000000</v>
      </c>
      <c r="I1052" s="2">
        <v>6.191E-2</v>
      </c>
      <c r="J1052" s="3">
        <v>1.1099999999999999E-12</v>
      </c>
    </row>
    <row r="1053" spans="1:10" x14ac:dyDescent="0.2">
      <c r="A1053" s="3">
        <v>1100</v>
      </c>
      <c r="B1053" s="3">
        <v>7.54E-7</v>
      </c>
      <c r="C1053" s="2">
        <v>5.4780000000000002E-2</v>
      </c>
      <c r="D1053" s="3">
        <v>239000</v>
      </c>
      <c r="E1053" s="3">
        <v>93400000000</v>
      </c>
      <c r="F1053" s="3">
        <v>85900000000</v>
      </c>
      <c r="G1053" s="2">
        <v>0</v>
      </c>
      <c r="H1053" s="3">
        <v>10200000000</v>
      </c>
      <c r="I1053" s="2">
        <v>-6.0429999999999998E-2</v>
      </c>
      <c r="J1053" s="3">
        <v>9.5599999999999997E-13</v>
      </c>
    </row>
    <row r="1054" spans="1:10" x14ac:dyDescent="0.2">
      <c r="A1054" s="3">
        <v>1100</v>
      </c>
      <c r="B1054" s="3">
        <v>7.5499999999999997E-7</v>
      </c>
      <c r="C1054" s="2">
        <v>5.484E-2</v>
      </c>
      <c r="D1054" s="3">
        <v>217000</v>
      </c>
      <c r="E1054" s="3">
        <v>85400000000</v>
      </c>
      <c r="F1054" s="3">
        <v>79100000000</v>
      </c>
      <c r="G1054" s="2">
        <v>0</v>
      </c>
      <c r="H1054" s="3">
        <v>10500000000</v>
      </c>
      <c r="I1054" s="2">
        <v>-1.239E-2</v>
      </c>
      <c r="J1054" s="3">
        <v>1.1599999999999999E-12</v>
      </c>
    </row>
    <row r="1055" spans="1:10" x14ac:dyDescent="0.2">
      <c r="A1055" s="3">
        <v>1100</v>
      </c>
      <c r="B1055" s="3">
        <v>7.5499999999999997E-7</v>
      </c>
      <c r="C1055" s="2">
        <v>5.4890000000000001E-2</v>
      </c>
      <c r="D1055" s="3">
        <v>230000</v>
      </c>
      <c r="E1055" s="3">
        <v>89900000000</v>
      </c>
      <c r="F1055" s="3">
        <v>83000000000</v>
      </c>
      <c r="G1055" s="3">
        <v>188000000</v>
      </c>
      <c r="H1055" s="3">
        <v>10300000000</v>
      </c>
      <c r="I1055" s="2">
        <v>2.261E-3</v>
      </c>
      <c r="J1055" s="3">
        <v>1.04E-12</v>
      </c>
    </row>
    <row r="1056" spans="1:10" x14ac:dyDescent="0.2">
      <c r="A1056" s="3">
        <v>1100</v>
      </c>
      <c r="B1056" s="3">
        <v>7.5600000000000005E-7</v>
      </c>
      <c r="C1056" s="2">
        <v>5.4940000000000003E-2</v>
      </c>
      <c r="D1056" s="3">
        <v>268000</v>
      </c>
      <c r="E1056" s="3">
        <v>104000000000</v>
      </c>
      <c r="F1056" s="3">
        <v>94400000000</v>
      </c>
      <c r="G1056" s="3">
        <v>7960000000</v>
      </c>
      <c r="H1056" s="3">
        <v>9910000000</v>
      </c>
      <c r="I1056" s="2">
        <v>8.4279999999999994E-2</v>
      </c>
      <c r="J1056" s="3">
        <v>7.6799999999999996E-13</v>
      </c>
    </row>
    <row r="1057" spans="1:10" x14ac:dyDescent="0.2">
      <c r="A1057" s="3">
        <v>1100</v>
      </c>
      <c r="B1057" s="3">
        <v>7.5700000000000002E-7</v>
      </c>
      <c r="C1057" s="2">
        <v>5.4989999999999997E-2</v>
      </c>
      <c r="D1057" s="3">
        <v>241000</v>
      </c>
      <c r="E1057" s="3">
        <v>93800000000</v>
      </c>
      <c r="F1057" s="3">
        <v>86300000000</v>
      </c>
      <c r="G1057" s="3">
        <v>10900000000</v>
      </c>
      <c r="H1057" s="3">
        <v>10200000000</v>
      </c>
      <c r="I1057" s="2">
        <v>0.126</v>
      </c>
      <c r="J1057" s="3">
        <v>9.4499999999999991E-13</v>
      </c>
    </row>
    <row r="1058" spans="1:10" x14ac:dyDescent="0.2">
      <c r="A1058" s="3">
        <v>1100</v>
      </c>
      <c r="B1058" s="3">
        <v>7.5799999999999998E-7</v>
      </c>
      <c r="C1058" s="2">
        <v>5.5039999999999999E-2</v>
      </c>
      <c r="D1058" s="3">
        <v>220000</v>
      </c>
      <c r="E1058" s="3">
        <v>86000000000</v>
      </c>
      <c r="F1058" s="3">
        <v>79600000000</v>
      </c>
      <c r="G1058" s="3">
        <v>8590000000</v>
      </c>
      <c r="H1058" s="3">
        <v>10500000000</v>
      </c>
      <c r="I1058" s="2">
        <v>0.1079</v>
      </c>
      <c r="J1058" s="3">
        <v>1.14E-12</v>
      </c>
    </row>
    <row r="1059" spans="1:10" x14ac:dyDescent="0.2">
      <c r="A1059" s="3">
        <v>1100</v>
      </c>
      <c r="B1059" s="3">
        <v>7.5899999999999995E-7</v>
      </c>
      <c r="C1059" s="2">
        <v>5.5100000000000003E-2</v>
      </c>
      <c r="D1059" s="3">
        <v>240000</v>
      </c>
      <c r="E1059" s="3">
        <v>93400000000</v>
      </c>
      <c r="F1059" s="3">
        <v>85900000000</v>
      </c>
      <c r="G1059" s="3">
        <v>3690000000</v>
      </c>
      <c r="H1059" s="3">
        <v>10200000000</v>
      </c>
      <c r="I1059" s="2">
        <v>4.299E-2</v>
      </c>
      <c r="J1059" s="3">
        <v>9.5399999999999997E-13</v>
      </c>
    </row>
    <row r="1060" spans="1:10" x14ac:dyDescent="0.2">
      <c r="A1060" s="3">
        <v>1100</v>
      </c>
      <c r="B1060" s="3">
        <v>7.6000000000000003E-7</v>
      </c>
      <c r="C1060" s="2">
        <v>5.5149999999999998E-2</v>
      </c>
      <c r="D1060" s="3">
        <v>229000</v>
      </c>
      <c r="E1060" s="3">
        <v>89100000000</v>
      </c>
      <c r="F1060" s="3">
        <v>82300000000</v>
      </c>
      <c r="G1060" s="3">
        <v>1870000000</v>
      </c>
      <c r="H1060" s="3">
        <v>10300000000</v>
      </c>
      <c r="I1060" s="2">
        <v>2.2759999999999999E-2</v>
      </c>
      <c r="J1060" s="3">
        <v>1.05E-12</v>
      </c>
    </row>
    <row r="1061" spans="1:10" x14ac:dyDescent="0.2">
      <c r="A1061" s="3">
        <v>1100</v>
      </c>
      <c r="B1061" s="3">
        <v>7.61E-7</v>
      </c>
      <c r="C1061" s="2">
        <v>5.5199999999999999E-2</v>
      </c>
      <c r="D1061" s="3">
        <v>227000</v>
      </c>
      <c r="E1061" s="3">
        <v>88500000000</v>
      </c>
      <c r="F1061" s="3">
        <v>81700000000</v>
      </c>
      <c r="G1061" s="3">
        <v>9220000000</v>
      </c>
      <c r="H1061" s="3">
        <v>10400000000</v>
      </c>
      <c r="I1061" s="2">
        <v>0.1128</v>
      </c>
      <c r="J1061" s="3">
        <v>1.0700000000000001E-12</v>
      </c>
    </row>
    <row r="1062" spans="1:10" x14ac:dyDescent="0.2">
      <c r="A1062" s="3">
        <v>1100</v>
      </c>
      <c r="B1062" s="3">
        <v>7.6199999999999997E-7</v>
      </c>
      <c r="C1062" s="2">
        <v>5.525E-2</v>
      </c>
      <c r="D1062" s="3">
        <v>240000</v>
      </c>
      <c r="E1062" s="3">
        <v>93100000000</v>
      </c>
      <c r="F1062" s="3">
        <v>85700000000</v>
      </c>
      <c r="G1062" s="3">
        <v>3050000000</v>
      </c>
      <c r="H1062" s="3">
        <v>10200000000</v>
      </c>
      <c r="I1062" s="2">
        <v>3.5569999999999997E-2</v>
      </c>
      <c r="J1062" s="3">
        <v>9.5799999999999996E-13</v>
      </c>
    </row>
    <row r="1063" spans="1:10" x14ac:dyDescent="0.2">
      <c r="A1063" s="3">
        <v>1100</v>
      </c>
      <c r="B1063" s="3">
        <v>7.6300000000000004E-7</v>
      </c>
      <c r="C1063" s="2">
        <v>5.5309999999999998E-2</v>
      </c>
      <c r="D1063" s="3">
        <v>232000</v>
      </c>
      <c r="E1063" s="3">
        <v>90000000000</v>
      </c>
      <c r="F1063" s="3">
        <v>83000000000</v>
      </c>
      <c r="G1063" s="3">
        <v>935000000</v>
      </c>
      <c r="H1063" s="3">
        <v>10300000000</v>
      </c>
      <c r="I1063" s="2">
        <v>1.1270000000000001E-2</v>
      </c>
      <c r="J1063" s="3">
        <v>1.0300000000000001E-12</v>
      </c>
    </row>
    <row r="1064" spans="1:10" x14ac:dyDescent="0.2">
      <c r="A1064" s="3">
        <v>1100</v>
      </c>
      <c r="B1064" s="3">
        <v>7.6400000000000001E-7</v>
      </c>
      <c r="C1064" s="2">
        <v>5.5359999999999999E-2</v>
      </c>
      <c r="D1064" s="3">
        <v>197000</v>
      </c>
      <c r="E1064" s="3">
        <v>77600000000</v>
      </c>
      <c r="F1064" s="3">
        <v>72400000000</v>
      </c>
      <c r="G1064" s="2">
        <v>0</v>
      </c>
      <c r="H1064" s="3">
        <v>10900000000</v>
      </c>
      <c r="I1064" s="2">
        <v>-7.3029999999999998E-2</v>
      </c>
      <c r="J1064" s="3">
        <v>1.43E-12</v>
      </c>
    </row>
    <row r="1065" spans="1:10" x14ac:dyDescent="0.2">
      <c r="A1065" s="3">
        <v>1100</v>
      </c>
      <c r="B1065" s="3">
        <v>7.6499999999999998E-7</v>
      </c>
      <c r="C1065" s="2">
        <v>5.5410000000000001E-2</v>
      </c>
      <c r="D1065" s="3">
        <v>226000</v>
      </c>
      <c r="E1065" s="3">
        <v>88000000000</v>
      </c>
      <c r="F1065" s="3">
        <v>81300000000</v>
      </c>
      <c r="G1065" s="3">
        <v>5110000000</v>
      </c>
      <c r="H1065" s="3">
        <v>10400000000</v>
      </c>
      <c r="I1065" s="2">
        <v>6.2890000000000001E-2</v>
      </c>
      <c r="J1065" s="3">
        <v>1.08E-12</v>
      </c>
    </row>
    <row r="1066" spans="1:10" x14ac:dyDescent="0.2">
      <c r="A1066" s="3">
        <v>1100</v>
      </c>
      <c r="B1066" s="3">
        <v>7.6599999999999995E-7</v>
      </c>
      <c r="C1066" s="2">
        <v>5.5460000000000002E-2</v>
      </c>
      <c r="D1066" s="3">
        <v>205000</v>
      </c>
      <c r="E1066" s="3">
        <v>80400000000</v>
      </c>
      <c r="F1066" s="3">
        <v>74800000000</v>
      </c>
      <c r="G1066" s="3">
        <v>14100000000</v>
      </c>
      <c r="H1066" s="3">
        <v>10700000000</v>
      </c>
      <c r="I1066" s="2">
        <v>0.18870000000000001</v>
      </c>
      <c r="J1066" s="3">
        <v>1.32E-12</v>
      </c>
    </row>
    <row r="1067" spans="1:10" x14ac:dyDescent="0.2">
      <c r="A1067" s="3">
        <v>1100</v>
      </c>
      <c r="B1067" s="3">
        <v>7.6700000000000003E-7</v>
      </c>
      <c r="C1067" s="2">
        <v>5.5509999999999997E-2</v>
      </c>
      <c r="D1067" s="3">
        <v>247000</v>
      </c>
      <c r="E1067" s="3">
        <v>95400000000</v>
      </c>
      <c r="F1067" s="3">
        <v>87600000000</v>
      </c>
      <c r="G1067" s="3">
        <v>3020000000</v>
      </c>
      <c r="H1067" s="3">
        <v>10100000000</v>
      </c>
      <c r="I1067" s="2">
        <v>3.4479999999999997E-2</v>
      </c>
      <c r="J1067" s="3">
        <v>9.0699999999999997E-13</v>
      </c>
    </row>
    <row r="1068" spans="1:10" x14ac:dyDescent="0.2">
      <c r="A1068" s="3">
        <v>1100</v>
      </c>
      <c r="B1068" s="3">
        <v>7.6799999999999999E-7</v>
      </c>
      <c r="C1068" s="2">
        <v>5.5570000000000001E-2</v>
      </c>
      <c r="D1068" s="3">
        <v>201000</v>
      </c>
      <c r="E1068" s="3">
        <v>79000000000</v>
      </c>
      <c r="F1068" s="3">
        <v>73600000000</v>
      </c>
      <c r="G1068" s="3">
        <v>508000000</v>
      </c>
      <c r="H1068" s="3">
        <v>10800000000</v>
      </c>
      <c r="I1068" s="2">
        <v>6.9069999999999999E-3</v>
      </c>
      <c r="J1068" s="3">
        <v>1.37E-12</v>
      </c>
    </row>
    <row r="1069" spans="1:10" x14ac:dyDescent="0.2">
      <c r="A1069" s="3">
        <v>1100</v>
      </c>
      <c r="B1069" s="3">
        <v>7.6899999999999996E-7</v>
      </c>
      <c r="C1069" s="2">
        <v>5.5620000000000003E-2</v>
      </c>
      <c r="D1069" s="3">
        <v>216000</v>
      </c>
      <c r="E1069" s="3">
        <v>83900000000</v>
      </c>
      <c r="F1069" s="3">
        <v>77800000000</v>
      </c>
      <c r="G1069" s="3">
        <v>2090000000</v>
      </c>
      <c r="H1069" s="3">
        <v>10500000000</v>
      </c>
      <c r="I1069" s="2">
        <v>2.6839999999999999E-2</v>
      </c>
      <c r="J1069" s="3">
        <v>1.1999999999999999E-12</v>
      </c>
    </row>
    <row r="1070" spans="1:10" x14ac:dyDescent="0.2">
      <c r="A1070" s="3">
        <v>1100</v>
      </c>
      <c r="B1070" s="3">
        <v>7.7000000000000004E-7</v>
      </c>
      <c r="C1070" s="2">
        <v>5.5669999999999997E-2</v>
      </c>
      <c r="D1070" s="3">
        <v>231000</v>
      </c>
      <c r="E1070" s="3">
        <v>89300000000</v>
      </c>
      <c r="F1070" s="3">
        <v>82500000000</v>
      </c>
      <c r="G1070" s="3">
        <v>3320000000</v>
      </c>
      <c r="H1070" s="3">
        <v>10300000000</v>
      </c>
      <c r="I1070" s="2">
        <v>4.0210000000000003E-2</v>
      </c>
      <c r="J1070" s="3">
        <v>1.04E-12</v>
      </c>
    </row>
    <row r="1071" spans="1:10" x14ac:dyDescent="0.2">
      <c r="A1071" s="3">
        <v>1100</v>
      </c>
      <c r="B1071" s="3">
        <v>7.7100000000000001E-7</v>
      </c>
      <c r="C1071" s="2">
        <v>5.5719999999999999E-2</v>
      </c>
      <c r="D1071" s="3">
        <v>226000</v>
      </c>
      <c r="E1071" s="3">
        <v>87300000000</v>
      </c>
      <c r="F1071" s="3">
        <v>80800000000</v>
      </c>
      <c r="G1071" s="2">
        <v>0</v>
      </c>
      <c r="H1071" s="3">
        <v>10300000000</v>
      </c>
      <c r="I1071" s="2">
        <v>-2.154E-2</v>
      </c>
      <c r="J1071" s="3">
        <v>1.09E-12</v>
      </c>
    </row>
    <row r="1072" spans="1:10" x14ac:dyDescent="0.2">
      <c r="A1072" s="3">
        <v>1100</v>
      </c>
      <c r="B1072" s="3">
        <v>7.7199999999999998E-7</v>
      </c>
      <c r="C1072" s="2">
        <v>5.5780000000000003E-2</v>
      </c>
      <c r="D1072" s="3">
        <v>225000</v>
      </c>
      <c r="E1072" s="3">
        <v>87000000000</v>
      </c>
      <c r="F1072" s="3">
        <v>80500000000</v>
      </c>
      <c r="G1072" s="3">
        <v>2000000000</v>
      </c>
      <c r="H1072" s="3">
        <v>10300000000</v>
      </c>
      <c r="I1072" s="2">
        <v>2.487E-2</v>
      </c>
      <c r="J1072" s="3">
        <v>1.1E-12</v>
      </c>
    </row>
    <row r="1073" spans="1:10" x14ac:dyDescent="0.2">
      <c r="A1073" s="3">
        <v>1100</v>
      </c>
      <c r="B1073" s="3">
        <v>7.7300000000000005E-7</v>
      </c>
      <c r="C1073" s="2">
        <v>5.5829999999999998E-2</v>
      </c>
      <c r="D1073" s="3">
        <v>253000</v>
      </c>
      <c r="E1073" s="3">
        <v>96900000000</v>
      </c>
      <c r="F1073" s="3">
        <v>88900000000</v>
      </c>
      <c r="G1073" s="3">
        <v>8810000000</v>
      </c>
      <c r="H1073" s="3">
        <v>9990000000</v>
      </c>
      <c r="I1073" s="2">
        <v>9.912E-2</v>
      </c>
      <c r="J1073" s="3">
        <v>8.7400000000000001E-13</v>
      </c>
    </row>
    <row r="1074" spans="1:10" x14ac:dyDescent="0.2">
      <c r="A1074" s="3">
        <v>1100</v>
      </c>
      <c r="B1074" s="3">
        <v>7.7400000000000002E-7</v>
      </c>
      <c r="C1074" s="2">
        <v>5.5879999999999999E-2</v>
      </c>
      <c r="D1074" s="3">
        <v>217000</v>
      </c>
      <c r="E1074" s="3">
        <v>84000000000</v>
      </c>
      <c r="F1074" s="3">
        <v>77900000000</v>
      </c>
      <c r="G1074" s="3">
        <v>3780000000</v>
      </c>
      <c r="H1074" s="3">
        <v>10500000000</v>
      </c>
      <c r="I1074" s="2">
        <v>4.8579999999999998E-2</v>
      </c>
      <c r="J1074" s="3">
        <v>1.19E-12</v>
      </c>
    </row>
    <row r="1075" spans="1:10" x14ac:dyDescent="0.2">
      <c r="A1075" s="3">
        <v>1100</v>
      </c>
      <c r="B1075" s="3">
        <v>7.7400000000000002E-7</v>
      </c>
      <c r="C1075" s="2">
        <v>5.5930000000000001E-2</v>
      </c>
      <c r="D1075" s="3">
        <v>220000</v>
      </c>
      <c r="E1075" s="3">
        <v>85000000000</v>
      </c>
      <c r="F1075" s="3">
        <v>78800000000</v>
      </c>
      <c r="G1075" s="3">
        <v>5570000000</v>
      </c>
      <c r="H1075" s="3">
        <v>10400000000</v>
      </c>
      <c r="I1075" s="2">
        <v>7.0779999999999996E-2</v>
      </c>
      <c r="J1075" s="3">
        <v>1.1599999999999999E-12</v>
      </c>
    </row>
    <row r="1076" spans="1:10" x14ac:dyDescent="0.2">
      <c r="A1076" s="3">
        <v>1100</v>
      </c>
      <c r="B1076" s="3">
        <v>7.7599999999999996E-7</v>
      </c>
      <c r="C1076" s="2">
        <v>5.5980000000000002E-2</v>
      </c>
      <c r="D1076" s="3">
        <v>197000</v>
      </c>
      <c r="E1076" s="3">
        <v>77200000000</v>
      </c>
      <c r="F1076" s="3">
        <v>72000000000</v>
      </c>
      <c r="G1076" s="2">
        <v>0</v>
      </c>
      <c r="H1076" s="3">
        <v>10800000000</v>
      </c>
      <c r="I1076" s="2">
        <v>-6.9639999999999994E-2</v>
      </c>
      <c r="J1076" s="3">
        <v>1.4399999999999999E-12</v>
      </c>
    </row>
    <row r="1077" spans="1:10" x14ac:dyDescent="0.2">
      <c r="A1077" s="3">
        <v>1100</v>
      </c>
      <c r="B1077" s="3">
        <v>7.7700000000000004E-7</v>
      </c>
      <c r="C1077" s="2">
        <v>5.6030000000000003E-2</v>
      </c>
      <c r="D1077" s="3">
        <v>202000</v>
      </c>
      <c r="E1077" s="3">
        <v>78800000000</v>
      </c>
      <c r="F1077" s="3">
        <v>73500000000</v>
      </c>
      <c r="G1077" s="3">
        <v>14900000000</v>
      </c>
      <c r="H1077" s="3">
        <v>10700000000</v>
      </c>
      <c r="I1077" s="2">
        <v>0.2034</v>
      </c>
      <c r="J1077" s="3">
        <v>1.37E-12</v>
      </c>
    </row>
    <row r="1078" spans="1:10" x14ac:dyDescent="0.2">
      <c r="A1078" s="3">
        <v>1100</v>
      </c>
      <c r="B1078" s="3">
        <v>7.7700000000000004E-7</v>
      </c>
      <c r="C1078" s="2">
        <v>5.6090000000000001E-2</v>
      </c>
      <c r="D1078" s="3">
        <v>224000</v>
      </c>
      <c r="E1078" s="3">
        <v>86200000000</v>
      </c>
      <c r="F1078" s="3">
        <v>79800000000</v>
      </c>
      <c r="G1078" s="3">
        <v>7080000000</v>
      </c>
      <c r="H1078" s="3">
        <v>10300000000</v>
      </c>
      <c r="I1078" s="2">
        <v>8.8709999999999997E-2</v>
      </c>
      <c r="J1078" s="3">
        <v>1.1200000000000001E-12</v>
      </c>
    </row>
    <row r="1079" spans="1:10" x14ac:dyDescent="0.2">
      <c r="A1079" s="3">
        <v>1100</v>
      </c>
      <c r="B1079" s="3">
        <v>7.7800000000000001E-7</v>
      </c>
      <c r="C1079" s="2">
        <v>5.6140000000000002E-2</v>
      </c>
      <c r="D1079" s="3">
        <v>220000</v>
      </c>
      <c r="E1079" s="3">
        <v>84900000000</v>
      </c>
      <c r="F1079" s="3">
        <v>78700000000</v>
      </c>
      <c r="G1079" s="2">
        <v>0</v>
      </c>
      <c r="H1079" s="3">
        <v>10400000000</v>
      </c>
      <c r="I1079" s="2">
        <v>-2.521E-2</v>
      </c>
      <c r="J1079" s="3">
        <v>1.1599999999999999E-12</v>
      </c>
    </row>
    <row r="1080" spans="1:10" x14ac:dyDescent="0.2">
      <c r="A1080" s="3">
        <v>1100</v>
      </c>
      <c r="B1080" s="3">
        <v>7.7899999999999997E-7</v>
      </c>
      <c r="C1080" s="2">
        <v>5.6189999999999997E-2</v>
      </c>
      <c r="D1080" s="3">
        <v>240000</v>
      </c>
      <c r="E1080" s="3">
        <v>91700000000</v>
      </c>
      <c r="F1080" s="3">
        <v>84500000000</v>
      </c>
      <c r="G1080" s="3">
        <v>7170000000</v>
      </c>
      <c r="H1080" s="3">
        <v>10100000000</v>
      </c>
      <c r="I1080" s="2">
        <v>8.4820000000000007E-2</v>
      </c>
      <c r="J1080" s="3">
        <v>9.7800000000000007E-13</v>
      </c>
    </row>
    <row r="1081" spans="1:10" x14ac:dyDescent="0.2">
      <c r="A1081" s="3">
        <v>1100</v>
      </c>
      <c r="B1081" s="3">
        <v>7.8000000000000005E-7</v>
      </c>
      <c r="C1081" s="2">
        <v>5.6239999999999998E-2</v>
      </c>
      <c r="D1081" s="3">
        <v>248000</v>
      </c>
      <c r="E1081" s="3">
        <v>94600000000</v>
      </c>
      <c r="F1081" s="3">
        <v>86900000000</v>
      </c>
      <c r="G1081" s="3">
        <v>18900000000</v>
      </c>
      <c r="H1081" s="3">
        <v>10000000000</v>
      </c>
      <c r="I1081" s="2">
        <v>0.21790000000000001</v>
      </c>
      <c r="J1081" s="3">
        <v>9.1599999999999993E-13</v>
      </c>
    </row>
    <row r="1082" spans="1:10" x14ac:dyDescent="0.2">
      <c r="A1082" s="3">
        <v>1100</v>
      </c>
      <c r="B1082" s="3">
        <v>7.8100000000000002E-7</v>
      </c>
      <c r="C1082" s="2">
        <v>5.6300000000000003E-2</v>
      </c>
      <c r="D1082" s="3">
        <v>210000</v>
      </c>
      <c r="E1082" s="3">
        <v>81300000000</v>
      </c>
      <c r="F1082" s="3">
        <v>75500000000</v>
      </c>
      <c r="G1082" s="3">
        <v>11100000000</v>
      </c>
      <c r="H1082" s="3">
        <v>10500000000</v>
      </c>
      <c r="I1082" s="2">
        <v>0.1469</v>
      </c>
      <c r="J1082" s="3">
        <v>1.28E-12</v>
      </c>
    </row>
    <row r="1083" spans="1:10" x14ac:dyDescent="0.2">
      <c r="A1083" s="3">
        <v>1100</v>
      </c>
      <c r="B1083" s="3">
        <v>7.8199999999999999E-7</v>
      </c>
      <c r="C1083" s="2">
        <v>5.6349999999999997E-2</v>
      </c>
      <c r="D1083" s="3">
        <v>233000</v>
      </c>
      <c r="E1083" s="3">
        <v>89000000000</v>
      </c>
      <c r="F1083" s="3">
        <v>82200000000</v>
      </c>
      <c r="G1083" s="3">
        <v>5720000000</v>
      </c>
      <c r="H1083" s="3">
        <v>10200000000</v>
      </c>
      <c r="I1083" s="2">
        <v>6.9519999999999998E-2</v>
      </c>
      <c r="J1083" s="3">
        <v>1.04E-12</v>
      </c>
    </row>
    <row r="1084" spans="1:10" x14ac:dyDescent="0.2">
      <c r="A1084" s="3">
        <v>1100</v>
      </c>
      <c r="B1084" s="3">
        <v>7.8299999999999996E-7</v>
      </c>
      <c r="C1084" s="2">
        <v>5.6399999999999999E-2</v>
      </c>
      <c r="D1084" s="3">
        <v>239000</v>
      </c>
      <c r="E1084" s="3">
        <v>91300000000</v>
      </c>
      <c r="F1084" s="3">
        <v>84100000000</v>
      </c>
      <c r="G1084" s="3">
        <v>2480000000</v>
      </c>
      <c r="H1084" s="3">
        <v>10100000000</v>
      </c>
      <c r="I1084" s="2">
        <v>2.945E-2</v>
      </c>
      <c r="J1084" s="3">
        <v>9.8699999999999993E-13</v>
      </c>
    </row>
    <row r="1085" spans="1:10" x14ac:dyDescent="0.2">
      <c r="A1085" s="3">
        <v>1100</v>
      </c>
      <c r="B1085" s="3">
        <v>7.8299999999999996E-7</v>
      </c>
      <c r="C1085" s="2">
        <v>5.645E-2</v>
      </c>
      <c r="D1085" s="3">
        <v>202000</v>
      </c>
      <c r="E1085" s="3">
        <v>78400000000</v>
      </c>
      <c r="F1085" s="3">
        <v>73000000000</v>
      </c>
      <c r="G1085" s="3">
        <v>8270000000</v>
      </c>
      <c r="H1085" s="3">
        <v>10700000000</v>
      </c>
      <c r="I1085" s="2">
        <v>0.1132</v>
      </c>
      <c r="J1085" s="3">
        <v>1.38E-12</v>
      </c>
    </row>
    <row r="1086" spans="1:10" x14ac:dyDescent="0.2">
      <c r="A1086" s="3">
        <v>1100</v>
      </c>
      <c r="B1086" s="3">
        <v>7.8400000000000003E-7</v>
      </c>
      <c r="C1086" s="2">
        <v>5.6500000000000002E-2</v>
      </c>
      <c r="D1086" s="3">
        <v>245000</v>
      </c>
      <c r="E1086" s="3">
        <v>93300000000</v>
      </c>
      <c r="F1086" s="3">
        <v>85800000000</v>
      </c>
      <c r="G1086" s="3">
        <v>5080000000</v>
      </c>
      <c r="H1086" s="3">
        <v>10100000000</v>
      </c>
      <c r="I1086" s="2">
        <v>5.919E-2</v>
      </c>
      <c r="J1086" s="3">
        <v>9.4200000000000003E-13</v>
      </c>
    </row>
    <row r="1087" spans="1:10" x14ac:dyDescent="0.2">
      <c r="A1087" s="3">
        <v>1100</v>
      </c>
      <c r="B1087" s="3">
        <v>7.85E-7</v>
      </c>
      <c r="C1087" s="2">
        <v>5.6559999999999999E-2</v>
      </c>
      <c r="D1087" s="3">
        <v>220000</v>
      </c>
      <c r="E1087" s="3">
        <v>84400000000</v>
      </c>
      <c r="F1087" s="3">
        <v>78300000000</v>
      </c>
      <c r="G1087" s="3">
        <v>9650000000</v>
      </c>
      <c r="H1087" s="3">
        <v>10400000000</v>
      </c>
      <c r="I1087" s="2">
        <v>0.1232</v>
      </c>
      <c r="J1087" s="3">
        <v>1.1700000000000001E-12</v>
      </c>
    </row>
    <row r="1088" spans="1:10" x14ac:dyDescent="0.2">
      <c r="A1088" s="3">
        <v>1100</v>
      </c>
      <c r="B1088" s="3">
        <v>7.8599999999999997E-7</v>
      </c>
      <c r="C1088" s="2">
        <v>5.6610000000000001E-2</v>
      </c>
      <c r="D1088" s="3">
        <v>219000</v>
      </c>
      <c r="E1088" s="3">
        <v>84000000000</v>
      </c>
      <c r="F1088" s="3">
        <v>77900000000</v>
      </c>
      <c r="G1088" s="2">
        <v>0</v>
      </c>
      <c r="H1088" s="3">
        <v>10400000000</v>
      </c>
      <c r="I1088" s="2">
        <v>-3.1099999999999999E-3</v>
      </c>
      <c r="J1088" s="3">
        <v>1.18E-12</v>
      </c>
    </row>
    <row r="1089" spans="1:10" x14ac:dyDescent="0.2">
      <c r="A1089" s="3">
        <v>1100</v>
      </c>
      <c r="B1089" s="3">
        <v>7.8700000000000005E-7</v>
      </c>
      <c r="C1089" s="2">
        <v>5.6660000000000002E-2</v>
      </c>
      <c r="D1089" s="3">
        <v>223000</v>
      </c>
      <c r="E1089" s="3">
        <v>85500000000</v>
      </c>
      <c r="F1089" s="3">
        <v>79200000000</v>
      </c>
      <c r="G1089" s="3">
        <v>8610000000</v>
      </c>
      <c r="H1089" s="3">
        <v>10300000000</v>
      </c>
      <c r="I1089" s="2">
        <v>0.10879999999999999</v>
      </c>
      <c r="J1089" s="3">
        <v>1.14E-12</v>
      </c>
    </row>
    <row r="1090" spans="1:10" x14ac:dyDescent="0.2">
      <c r="A1090" s="3">
        <v>1100</v>
      </c>
      <c r="B1090" s="3">
        <v>7.8700000000000005E-7</v>
      </c>
      <c r="C1090" s="2">
        <v>5.6710000000000003E-2</v>
      </c>
      <c r="D1090" s="3">
        <v>240000</v>
      </c>
      <c r="E1090" s="3">
        <v>91300000000</v>
      </c>
      <c r="F1090" s="3">
        <v>84100000000</v>
      </c>
      <c r="G1090" s="3">
        <v>1650000000</v>
      </c>
      <c r="H1090" s="3">
        <v>10100000000</v>
      </c>
      <c r="I1090" s="2">
        <v>1.9609999999999999E-2</v>
      </c>
      <c r="J1090" s="3">
        <v>9.8600000000000004E-13</v>
      </c>
    </row>
    <row r="1091" spans="1:10" x14ac:dyDescent="0.2">
      <c r="A1091" s="3">
        <v>1100</v>
      </c>
      <c r="B1091" s="3">
        <v>7.8800000000000002E-7</v>
      </c>
      <c r="C1091" s="2">
        <v>5.6759999999999998E-2</v>
      </c>
      <c r="D1091" s="3">
        <v>247000</v>
      </c>
      <c r="E1091" s="3">
        <v>93900000000</v>
      </c>
      <c r="F1091" s="3">
        <v>86300000000</v>
      </c>
      <c r="G1091" s="3">
        <v>1590000000</v>
      </c>
      <c r="H1091" s="3">
        <v>10000000000</v>
      </c>
      <c r="I1091" s="2">
        <v>1.8370000000000001E-2</v>
      </c>
      <c r="J1091" s="3">
        <v>9.2800000000000008E-13</v>
      </c>
    </row>
    <row r="1092" spans="1:10" x14ac:dyDescent="0.2">
      <c r="A1092" s="3">
        <v>1100</v>
      </c>
      <c r="B1092" s="3">
        <v>7.8899999999999998E-7</v>
      </c>
      <c r="C1092" s="2">
        <v>5.6820000000000002E-2</v>
      </c>
      <c r="D1092" s="3">
        <v>214000</v>
      </c>
      <c r="E1092" s="3">
        <v>82100000000</v>
      </c>
      <c r="F1092" s="3">
        <v>76300000000</v>
      </c>
      <c r="G1092" s="3">
        <v>5420000000</v>
      </c>
      <c r="H1092" s="3">
        <v>10500000000</v>
      </c>
      <c r="I1092" s="2">
        <v>7.102E-2</v>
      </c>
      <c r="J1092" s="3">
        <v>1.24E-12</v>
      </c>
    </row>
    <row r="1093" spans="1:10" x14ac:dyDescent="0.2">
      <c r="A1093" s="3">
        <v>1100</v>
      </c>
      <c r="B1093" s="3">
        <v>7.8999999999999995E-7</v>
      </c>
      <c r="C1093" s="2">
        <v>5.6869999999999997E-2</v>
      </c>
      <c r="D1093" s="3">
        <v>225000</v>
      </c>
      <c r="E1093" s="3">
        <v>85900000000</v>
      </c>
      <c r="F1093" s="3">
        <v>79600000000</v>
      </c>
      <c r="G1093" s="3">
        <v>7790000000</v>
      </c>
      <c r="H1093" s="3">
        <v>10300000000</v>
      </c>
      <c r="I1093" s="2">
        <v>9.7869999999999999E-2</v>
      </c>
      <c r="J1093" s="3">
        <v>1.1200000000000001E-12</v>
      </c>
    </row>
    <row r="1094" spans="1:10" x14ac:dyDescent="0.2">
      <c r="A1094" s="3">
        <v>1100</v>
      </c>
      <c r="B1094" s="3">
        <v>7.9100000000000003E-7</v>
      </c>
      <c r="C1094" s="2">
        <v>5.6919999999999998E-2</v>
      </c>
      <c r="D1094" s="3">
        <v>209000</v>
      </c>
      <c r="E1094" s="3">
        <v>80300000000</v>
      </c>
      <c r="F1094" s="3">
        <v>74700000000</v>
      </c>
      <c r="G1094" s="3">
        <v>6940000000</v>
      </c>
      <c r="H1094" s="3">
        <v>10500000000</v>
      </c>
      <c r="I1094" s="2">
        <v>9.2960000000000001E-2</v>
      </c>
      <c r="J1094" s="3">
        <v>1.2999999999999999E-12</v>
      </c>
    </row>
    <row r="1095" spans="1:10" x14ac:dyDescent="0.2">
      <c r="A1095" s="3">
        <v>1100</v>
      </c>
      <c r="B1095" s="3">
        <v>7.92E-7</v>
      </c>
      <c r="C1095" s="2">
        <v>5.697E-2</v>
      </c>
      <c r="D1095" s="3">
        <v>249000</v>
      </c>
      <c r="E1095" s="3">
        <v>94200000000</v>
      </c>
      <c r="F1095" s="3">
        <v>86600000000</v>
      </c>
      <c r="G1095" s="3">
        <v>5500000000</v>
      </c>
      <c r="H1095" s="3">
        <v>10000000000</v>
      </c>
      <c r="I1095" s="2">
        <v>6.3500000000000001E-2</v>
      </c>
      <c r="J1095" s="3">
        <v>9.1999999999999992E-13</v>
      </c>
    </row>
    <row r="1096" spans="1:10" x14ac:dyDescent="0.2">
      <c r="A1096" s="3">
        <v>1100</v>
      </c>
      <c r="B1096" s="3">
        <v>7.9299999999999997E-7</v>
      </c>
      <c r="C1096" s="2">
        <v>5.7029999999999997E-2</v>
      </c>
      <c r="D1096" s="3">
        <v>234000</v>
      </c>
      <c r="E1096" s="3">
        <v>88700000000</v>
      </c>
      <c r="F1096" s="3">
        <v>82000000000</v>
      </c>
      <c r="G1096" s="3">
        <v>5370000000</v>
      </c>
      <c r="H1096" s="3">
        <v>10200000000</v>
      </c>
      <c r="I1096" s="2">
        <v>6.5519999999999995E-2</v>
      </c>
      <c r="J1096" s="3">
        <v>1.05E-12</v>
      </c>
    </row>
    <row r="1097" spans="1:10" x14ac:dyDescent="0.2">
      <c r="A1097" s="3">
        <v>1100</v>
      </c>
      <c r="B1097" s="3">
        <v>7.9400000000000004E-7</v>
      </c>
      <c r="C1097" s="2">
        <v>5.7079999999999999E-2</v>
      </c>
      <c r="D1097" s="3">
        <v>234000</v>
      </c>
      <c r="E1097" s="3">
        <v>88900000000</v>
      </c>
      <c r="F1097" s="3">
        <v>82100000000</v>
      </c>
      <c r="G1097" s="3">
        <v>6200000000</v>
      </c>
      <c r="H1097" s="3">
        <v>10200000000</v>
      </c>
      <c r="I1097" s="2">
        <v>7.5499999999999998E-2</v>
      </c>
      <c r="J1097" s="3">
        <v>1.04E-12</v>
      </c>
    </row>
    <row r="1098" spans="1:10" x14ac:dyDescent="0.2">
      <c r="A1098" s="3">
        <v>1100</v>
      </c>
      <c r="B1098" s="3">
        <v>7.9500000000000001E-7</v>
      </c>
      <c r="C1098" s="2">
        <v>5.713E-2</v>
      </c>
      <c r="D1098" s="3">
        <v>230000</v>
      </c>
      <c r="E1098" s="3">
        <v>87300000000</v>
      </c>
      <c r="F1098" s="3">
        <v>80700000000</v>
      </c>
      <c r="G1098" s="3">
        <v>7830000000</v>
      </c>
      <c r="H1098" s="3">
        <v>10200000000</v>
      </c>
      <c r="I1098" s="2">
        <v>9.7019999999999995E-2</v>
      </c>
      <c r="J1098" s="3">
        <v>1.08E-12</v>
      </c>
    </row>
    <row r="1099" spans="1:10" x14ac:dyDescent="0.2">
      <c r="A1099" s="3">
        <v>1100</v>
      </c>
      <c r="B1099" s="3">
        <v>7.9500000000000001E-7</v>
      </c>
      <c r="C1099" s="2">
        <v>5.7180000000000002E-2</v>
      </c>
      <c r="D1099" s="3">
        <v>229000</v>
      </c>
      <c r="E1099" s="3">
        <v>86900000000</v>
      </c>
      <c r="F1099" s="3">
        <v>80400000000</v>
      </c>
      <c r="G1099" s="3">
        <v>6140000000</v>
      </c>
      <c r="H1099" s="3">
        <v>10200000000</v>
      </c>
      <c r="I1099" s="2">
        <v>7.6420000000000002E-2</v>
      </c>
      <c r="J1099" s="3">
        <v>1.09E-12</v>
      </c>
    </row>
    <row r="1100" spans="1:10" x14ac:dyDescent="0.2">
      <c r="A1100" s="3">
        <v>1100</v>
      </c>
      <c r="B1100" s="3">
        <v>7.9599999999999998E-7</v>
      </c>
      <c r="C1100" s="2">
        <v>5.7230000000000003E-2</v>
      </c>
      <c r="D1100" s="3">
        <v>245000</v>
      </c>
      <c r="E1100" s="3">
        <v>92500000000</v>
      </c>
      <c r="F1100" s="3">
        <v>85100000000</v>
      </c>
      <c r="G1100" s="3">
        <v>738000000</v>
      </c>
      <c r="H1100" s="3">
        <v>10000000000</v>
      </c>
      <c r="I1100" s="2">
        <v>8.6730000000000002E-3</v>
      </c>
      <c r="J1100" s="3">
        <v>9.5500000000000007E-13</v>
      </c>
    </row>
    <row r="1101" spans="1:10" x14ac:dyDescent="0.2">
      <c r="A1101" s="3">
        <v>1100</v>
      </c>
      <c r="B1101" s="3">
        <v>7.9800000000000003E-7</v>
      </c>
      <c r="C1101" s="2">
        <v>5.7279999999999998E-2</v>
      </c>
      <c r="D1101" s="3">
        <v>247000</v>
      </c>
      <c r="E1101" s="3">
        <v>93300000000</v>
      </c>
      <c r="F1101" s="3">
        <v>85800000000</v>
      </c>
      <c r="G1101" s="3">
        <v>3830000000</v>
      </c>
      <c r="H1101" s="3">
        <v>9990000000</v>
      </c>
      <c r="I1101" s="2">
        <v>4.4600000000000001E-2</v>
      </c>
      <c r="J1101" s="3">
        <v>9.3699999999999995E-13</v>
      </c>
    </row>
    <row r="1102" spans="1:10" x14ac:dyDescent="0.2">
      <c r="A1102" s="3">
        <v>1100</v>
      </c>
      <c r="B1102" s="3">
        <v>7.9800000000000003E-7</v>
      </c>
      <c r="C1102" s="2">
        <v>5.7340000000000002E-2</v>
      </c>
      <c r="D1102" s="3">
        <v>250000</v>
      </c>
      <c r="E1102" s="3">
        <v>94000000000</v>
      </c>
      <c r="F1102" s="3">
        <v>86500000000</v>
      </c>
      <c r="G1102" s="3">
        <v>7480000000</v>
      </c>
      <c r="H1102" s="3">
        <v>9970000000</v>
      </c>
      <c r="I1102" s="2">
        <v>8.6480000000000001E-2</v>
      </c>
      <c r="J1102" s="3">
        <v>9.2100000000000001E-13</v>
      </c>
    </row>
    <row r="1103" spans="1:10" x14ac:dyDescent="0.2">
      <c r="A1103" s="3">
        <v>1100</v>
      </c>
      <c r="B1103" s="3">
        <v>7.9899999999999999E-7</v>
      </c>
      <c r="C1103" s="2">
        <v>5.7389999999999997E-2</v>
      </c>
      <c r="D1103" s="3">
        <v>235000</v>
      </c>
      <c r="E1103" s="3">
        <v>89000000000</v>
      </c>
      <c r="F1103" s="3">
        <v>82200000000</v>
      </c>
      <c r="G1103" s="3">
        <v>6030000000</v>
      </c>
      <c r="H1103" s="3">
        <v>10100000000</v>
      </c>
      <c r="I1103" s="2">
        <v>7.3429999999999995E-2</v>
      </c>
      <c r="J1103" s="3">
        <v>1.04E-12</v>
      </c>
    </row>
    <row r="1104" spans="1:10" x14ac:dyDescent="0.2">
      <c r="A1104" s="3">
        <v>1100</v>
      </c>
      <c r="B1104" s="3">
        <v>7.9999999999999996E-7</v>
      </c>
      <c r="C1104" s="2">
        <v>5.7439999999999998E-2</v>
      </c>
      <c r="D1104" s="3">
        <v>224000</v>
      </c>
      <c r="E1104" s="3">
        <v>85000000000</v>
      </c>
      <c r="F1104" s="3">
        <v>78700000000</v>
      </c>
      <c r="G1104" s="3">
        <v>1420000000</v>
      </c>
      <c r="H1104" s="3">
        <v>10300000000</v>
      </c>
      <c r="I1104" s="2">
        <v>1.7989999999999999E-2</v>
      </c>
      <c r="J1104" s="3">
        <v>1.1499999999999999E-12</v>
      </c>
    </row>
    <row r="1105" spans="1:10" x14ac:dyDescent="0.2">
      <c r="A1105" s="3">
        <v>1100</v>
      </c>
      <c r="B1105" s="3">
        <v>7.9999999999999996E-7</v>
      </c>
      <c r="C1105" s="2">
        <v>5.7489999999999999E-2</v>
      </c>
      <c r="D1105" s="3">
        <v>231000</v>
      </c>
      <c r="E1105" s="3">
        <v>87200000000</v>
      </c>
      <c r="F1105" s="3">
        <v>80700000000</v>
      </c>
      <c r="G1105" s="3">
        <v>5820000000</v>
      </c>
      <c r="H1105" s="3">
        <v>10200000000</v>
      </c>
      <c r="I1105" s="2">
        <v>7.2179999999999994E-2</v>
      </c>
      <c r="J1105" s="3">
        <v>1.08E-12</v>
      </c>
    </row>
    <row r="1106" spans="1:10" x14ac:dyDescent="0.2">
      <c r="A1106" s="3">
        <v>1100</v>
      </c>
      <c r="B1106" s="3">
        <v>8.0200000000000001E-7</v>
      </c>
      <c r="C1106" s="2">
        <v>5.7549999999999997E-2</v>
      </c>
      <c r="D1106" s="3">
        <v>221000</v>
      </c>
      <c r="E1106" s="3">
        <v>83600000000</v>
      </c>
      <c r="F1106" s="3">
        <v>77600000000</v>
      </c>
      <c r="G1106" s="3">
        <v>1920000000</v>
      </c>
      <c r="H1106" s="3">
        <v>10300000000</v>
      </c>
      <c r="I1106" s="2">
        <v>2.4750000000000001E-2</v>
      </c>
      <c r="J1106" s="3">
        <v>1.18E-12</v>
      </c>
    </row>
    <row r="1107" spans="1:10" x14ac:dyDescent="0.2">
      <c r="A1107" s="3">
        <v>1100</v>
      </c>
      <c r="B1107" s="3">
        <v>8.0299999999999998E-7</v>
      </c>
      <c r="C1107" s="2">
        <v>5.7599999999999998E-2</v>
      </c>
      <c r="D1107" s="3">
        <v>240000</v>
      </c>
      <c r="E1107" s="3">
        <v>90400000000</v>
      </c>
      <c r="F1107" s="3">
        <v>83400000000</v>
      </c>
      <c r="G1107" s="3">
        <v>4040000000</v>
      </c>
      <c r="H1107" s="3">
        <v>10100000000</v>
      </c>
      <c r="I1107" s="2">
        <v>4.8430000000000001E-2</v>
      </c>
      <c r="J1107" s="3">
        <v>9.9799999999999999E-13</v>
      </c>
    </row>
    <row r="1108" spans="1:10" x14ac:dyDescent="0.2">
      <c r="A1108" s="3">
        <v>1100</v>
      </c>
      <c r="B1108" s="3">
        <v>8.0400000000000005E-7</v>
      </c>
      <c r="C1108" s="2">
        <v>5.765E-2</v>
      </c>
      <c r="D1108" s="3">
        <v>254000</v>
      </c>
      <c r="E1108" s="3">
        <v>95300000000</v>
      </c>
      <c r="F1108" s="3">
        <v>87500000000</v>
      </c>
      <c r="G1108" s="2">
        <v>0</v>
      </c>
      <c r="H1108" s="3">
        <v>9900000000</v>
      </c>
      <c r="I1108" s="2">
        <v>-3.8010000000000002E-2</v>
      </c>
      <c r="J1108" s="3">
        <v>8.9200000000000004E-13</v>
      </c>
    </row>
    <row r="1109" spans="1:10" x14ac:dyDescent="0.2">
      <c r="A1109" s="3">
        <v>1100</v>
      </c>
      <c r="B1109" s="3">
        <v>8.0599999999999999E-7</v>
      </c>
      <c r="C1109" s="2">
        <v>5.7700000000000001E-2</v>
      </c>
      <c r="D1109" s="3">
        <v>226000</v>
      </c>
      <c r="E1109" s="3">
        <v>85100000000</v>
      </c>
      <c r="F1109" s="3">
        <v>78900000000</v>
      </c>
      <c r="G1109" s="3">
        <v>7670000000</v>
      </c>
      <c r="H1109" s="3">
        <v>10200000000</v>
      </c>
      <c r="I1109" s="2">
        <v>9.7220000000000001E-2</v>
      </c>
      <c r="J1109" s="3">
        <v>1.14E-12</v>
      </c>
    </row>
    <row r="1110" spans="1:10" x14ac:dyDescent="0.2">
      <c r="A1110" s="3">
        <v>1100</v>
      </c>
      <c r="B1110" s="3">
        <v>8.0699999999999996E-7</v>
      </c>
      <c r="C1110" s="2">
        <v>5.7759999999999999E-2</v>
      </c>
      <c r="D1110" s="3">
        <v>229000</v>
      </c>
      <c r="E1110" s="3">
        <v>86300000000</v>
      </c>
      <c r="F1110" s="3">
        <v>79900000000</v>
      </c>
      <c r="G1110" s="3">
        <v>3860000000</v>
      </c>
      <c r="H1110" s="3">
        <v>10200000000</v>
      </c>
      <c r="I1110" s="2">
        <v>4.8349999999999997E-2</v>
      </c>
      <c r="J1110" s="3">
        <v>1.1E-12</v>
      </c>
    </row>
    <row r="1111" spans="1:10" x14ac:dyDescent="0.2">
      <c r="A1111" s="3">
        <v>1100</v>
      </c>
      <c r="B1111" s="3">
        <v>8.09E-7</v>
      </c>
      <c r="C1111" s="2">
        <v>5.781E-2</v>
      </c>
      <c r="D1111" s="3">
        <v>233000</v>
      </c>
      <c r="E1111" s="3">
        <v>87600000000</v>
      </c>
      <c r="F1111" s="3">
        <v>81000000000</v>
      </c>
      <c r="G1111" s="3">
        <v>1340000000</v>
      </c>
      <c r="H1111" s="3">
        <v>10100000000</v>
      </c>
      <c r="I1111" s="2">
        <v>1.6490000000000001E-2</v>
      </c>
      <c r="J1111" s="3">
        <v>1.0599999999999999E-12</v>
      </c>
    </row>
    <row r="1112" spans="1:10" x14ac:dyDescent="0.2">
      <c r="A1112" s="3">
        <v>1100</v>
      </c>
      <c r="B1112" s="3">
        <v>8.1200000000000002E-7</v>
      </c>
      <c r="C1112" s="2">
        <v>5.7860000000000002E-2</v>
      </c>
      <c r="D1112" s="3">
        <v>247000</v>
      </c>
      <c r="E1112" s="3">
        <v>92300000000</v>
      </c>
      <c r="F1112" s="3">
        <v>85000000000</v>
      </c>
      <c r="G1112" s="3">
        <v>5430000000</v>
      </c>
      <c r="H1112" s="3">
        <v>9890000000</v>
      </c>
      <c r="I1112" s="2">
        <v>6.386E-2</v>
      </c>
      <c r="J1112" s="3">
        <v>9.4600000000000001E-13</v>
      </c>
    </row>
    <row r="1113" spans="1:10" x14ac:dyDescent="0.2">
      <c r="A1113" s="3">
        <v>1100</v>
      </c>
      <c r="B1113" s="3">
        <v>8.1399999999999996E-7</v>
      </c>
      <c r="C1113" s="2">
        <v>5.7910000000000003E-2</v>
      </c>
      <c r="D1113" s="3">
        <v>255000</v>
      </c>
      <c r="E1113" s="3">
        <v>94700000000</v>
      </c>
      <c r="F1113" s="3">
        <v>87000000000</v>
      </c>
      <c r="G1113" s="2">
        <v>0</v>
      </c>
      <c r="H1113" s="3">
        <v>9800000000</v>
      </c>
      <c r="I1113" s="2">
        <v>-2.002E-2</v>
      </c>
      <c r="J1113" s="3">
        <v>8.9300000000000003E-13</v>
      </c>
    </row>
    <row r="1114" spans="1:10" x14ac:dyDescent="0.2">
      <c r="A1114" s="3">
        <v>1100</v>
      </c>
      <c r="B1114" s="3">
        <v>8.16E-7</v>
      </c>
      <c r="C1114" s="2">
        <v>5.7959999999999998E-2</v>
      </c>
      <c r="D1114" s="3">
        <v>249000</v>
      </c>
      <c r="E1114" s="3">
        <v>92700000000</v>
      </c>
      <c r="F1114" s="3">
        <v>85400000000</v>
      </c>
      <c r="G1114" s="3">
        <v>5280000000</v>
      </c>
      <c r="H1114" s="3">
        <v>9840000000</v>
      </c>
      <c r="I1114" s="2">
        <v>6.1809999999999997E-2</v>
      </c>
      <c r="J1114" s="3">
        <v>9.3200000000000007E-13</v>
      </c>
    </row>
    <row r="1115" spans="1:10" x14ac:dyDescent="0.2">
      <c r="A1115" s="3">
        <v>1100</v>
      </c>
      <c r="B1115" s="3">
        <v>8.1699999999999997E-7</v>
      </c>
      <c r="C1115" s="2">
        <v>5.8009999999999999E-2</v>
      </c>
      <c r="D1115" s="3">
        <v>219000</v>
      </c>
      <c r="E1115" s="3">
        <v>82000000000</v>
      </c>
      <c r="F1115" s="3">
        <v>76200000000</v>
      </c>
      <c r="G1115" s="2">
        <v>0</v>
      </c>
      <c r="H1115" s="3">
        <v>10200000000</v>
      </c>
      <c r="I1115" s="2">
        <v>-1.0489999999999999E-2</v>
      </c>
      <c r="J1115" s="3">
        <v>1.2100000000000001E-12</v>
      </c>
    </row>
    <row r="1116" spans="1:10" x14ac:dyDescent="0.2">
      <c r="A1116" s="3">
        <v>1100</v>
      </c>
      <c r="B1116" s="3">
        <v>8.1800000000000005E-7</v>
      </c>
      <c r="C1116" s="2">
        <v>5.806E-2</v>
      </c>
      <c r="D1116" s="3">
        <v>242000</v>
      </c>
      <c r="E1116" s="3">
        <v>89900000000</v>
      </c>
      <c r="F1116" s="3">
        <v>83000000000</v>
      </c>
      <c r="G1116" s="3">
        <v>2150000000</v>
      </c>
      <c r="H1116" s="3">
        <v>9910000000</v>
      </c>
      <c r="I1116" s="2">
        <v>2.5940000000000001E-2</v>
      </c>
      <c r="J1116" s="3">
        <v>9.9400000000000001E-13</v>
      </c>
    </row>
    <row r="1117" spans="1:10" x14ac:dyDescent="0.2">
      <c r="A1117" s="3">
        <v>1100</v>
      </c>
      <c r="B1117" s="3">
        <v>8.1999999999999998E-7</v>
      </c>
      <c r="C1117" s="2">
        <v>5.8119999999999998E-2</v>
      </c>
      <c r="D1117" s="3">
        <v>234000</v>
      </c>
      <c r="E1117" s="3">
        <v>87200000000</v>
      </c>
      <c r="F1117" s="3">
        <v>80700000000</v>
      </c>
      <c r="G1117" s="3">
        <v>4930000000</v>
      </c>
      <c r="H1117" s="3">
        <v>9970000000</v>
      </c>
      <c r="I1117" s="2">
        <v>6.1120000000000001E-2</v>
      </c>
      <c r="J1117" s="3">
        <v>1.0599999999999999E-12</v>
      </c>
    </row>
    <row r="1118" spans="1:10" x14ac:dyDescent="0.2">
      <c r="A1118" s="3">
        <v>1100</v>
      </c>
      <c r="B1118" s="3">
        <v>8.2099999999999995E-7</v>
      </c>
      <c r="C1118" s="2">
        <v>5.8169999999999999E-2</v>
      </c>
      <c r="D1118" s="3">
        <v>244000</v>
      </c>
      <c r="E1118" s="3">
        <v>90400000000</v>
      </c>
      <c r="F1118" s="3">
        <v>83400000000</v>
      </c>
      <c r="G1118" s="3">
        <v>6540000000</v>
      </c>
      <c r="H1118" s="3">
        <v>9860000000</v>
      </c>
      <c r="I1118" s="2">
        <v>7.8380000000000005E-2</v>
      </c>
      <c r="J1118" s="3">
        <v>9.7899999999999997E-13</v>
      </c>
    </row>
    <row r="1119" spans="1:10" x14ac:dyDescent="0.2">
      <c r="A1119" s="3">
        <v>1100</v>
      </c>
      <c r="B1119" s="3">
        <v>8.23E-7</v>
      </c>
      <c r="C1119" s="2">
        <v>5.8220000000000001E-2</v>
      </c>
      <c r="D1119" s="3">
        <v>254000</v>
      </c>
      <c r="E1119" s="3">
        <v>93800000000</v>
      </c>
      <c r="F1119" s="3">
        <v>86300000000</v>
      </c>
      <c r="G1119" s="3">
        <v>1780000000</v>
      </c>
      <c r="H1119" s="3">
        <v>9750000000</v>
      </c>
      <c r="I1119" s="2">
        <v>2.0580000000000001E-2</v>
      </c>
      <c r="J1119" s="3">
        <v>9.0399999999999999E-13</v>
      </c>
    </row>
    <row r="1120" spans="1:10" x14ac:dyDescent="0.2">
      <c r="A1120" s="3">
        <v>1100</v>
      </c>
      <c r="B1120" s="3">
        <v>8.2399999999999997E-7</v>
      </c>
      <c r="C1120" s="2">
        <v>5.8279999999999998E-2</v>
      </c>
      <c r="D1120" s="3">
        <v>222000</v>
      </c>
      <c r="E1120" s="3">
        <v>82900000000</v>
      </c>
      <c r="F1120" s="3">
        <v>77000000000</v>
      </c>
      <c r="G1120" s="3">
        <v>138000000</v>
      </c>
      <c r="H1120" s="3">
        <v>10100000000</v>
      </c>
      <c r="I1120" s="2">
        <v>1.792E-3</v>
      </c>
      <c r="J1120" s="3">
        <v>1.18E-12</v>
      </c>
    </row>
    <row r="1121" spans="1:10" x14ac:dyDescent="0.2">
      <c r="A1121" s="3">
        <v>1100</v>
      </c>
      <c r="B1121" s="3">
        <v>8.2500000000000004E-7</v>
      </c>
      <c r="C1121" s="2">
        <v>5.833E-2</v>
      </c>
      <c r="D1121" s="3">
        <v>236000</v>
      </c>
      <c r="E1121" s="3">
        <v>87500000000</v>
      </c>
      <c r="F1121" s="3">
        <v>80900000000</v>
      </c>
      <c r="G1121" s="3">
        <v>4920000000</v>
      </c>
      <c r="H1121" s="3">
        <v>9930000000</v>
      </c>
      <c r="I1121" s="2">
        <v>6.0859999999999997E-2</v>
      </c>
      <c r="J1121" s="3">
        <v>1.05E-12</v>
      </c>
    </row>
    <row r="1122" spans="1:10" x14ac:dyDescent="0.2">
      <c r="A1122" s="3">
        <v>1100</v>
      </c>
      <c r="B1122" s="3">
        <v>8.2699999999999998E-7</v>
      </c>
      <c r="C1122" s="2">
        <v>5.8380000000000001E-2</v>
      </c>
      <c r="D1122" s="3">
        <v>248000</v>
      </c>
      <c r="E1122" s="3">
        <v>91400000000</v>
      </c>
      <c r="F1122" s="3">
        <v>84300000000</v>
      </c>
      <c r="G1122" s="2">
        <v>0</v>
      </c>
      <c r="H1122" s="3">
        <v>9780000000</v>
      </c>
      <c r="I1122" s="2">
        <v>-3.7940000000000002E-2</v>
      </c>
      <c r="J1122" s="3">
        <v>9.5100000000000009E-13</v>
      </c>
    </row>
    <row r="1123" spans="1:10" x14ac:dyDescent="0.2">
      <c r="A1123" s="3">
        <v>1100</v>
      </c>
      <c r="B1123" s="3">
        <v>8.2699999999999998E-7</v>
      </c>
      <c r="C1123" s="2">
        <v>5.8430000000000003E-2</v>
      </c>
      <c r="D1123" s="3">
        <v>256000</v>
      </c>
      <c r="E1123" s="3">
        <v>94100000000</v>
      </c>
      <c r="F1123" s="3">
        <v>86500000000</v>
      </c>
      <c r="G1123" s="3">
        <v>9260000000</v>
      </c>
      <c r="H1123" s="3">
        <v>9710000000</v>
      </c>
      <c r="I1123" s="2">
        <v>0.107</v>
      </c>
      <c r="J1123" s="3">
        <v>8.9500000000000002E-13</v>
      </c>
    </row>
    <row r="1124" spans="1:10" x14ac:dyDescent="0.2">
      <c r="A1124" s="3">
        <v>1100</v>
      </c>
      <c r="B1124" s="3">
        <v>8.2900000000000002E-7</v>
      </c>
      <c r="C1124" s="2">
        <v>5.8479999999999997E-2</v>
      </c>
      <c r="D1124" s="3">
        <v>223000</v>
      </c>
      <c r="E1124" s="3">
        <v>82600000000</v>
      </c>
      <c r="F1124" s="3">
        <v>76700000000</v>
      </c>
      <c r="G1124" s="3">
        <v>279000000</v>
      </c>
      <c r="H1124" s="3">
        <v>10100000000</v>
      </c>
      <c r="I1124" s="2">
        <v>3.6350000000000002E-3</v>
      </c>
      <c r="J1124" s="3">
        <v>1.18E-12</v>
      </c>
    </row>
    <row r="1125" spans="1:10" x14ac:dyDescent="0.2">
      <c r="A1125" s="3">
        <v>1100</v>
      </c>
      <c r="B1125" s="3">
        <v>8.2999999999999999E-7</v>
      </c>
      <c r="C1125" s="2">
        <v>5.8540000000000002E-2</v>
      </c>
      <c r="D1125" s="3">
        <v>235000</v>
      </c>
      <c r="E1125" s="3">
        <v>86900000000</v>
      </c>
      <c r="F1125" s="3">
        <v>80400000000</v>
      </c>
      <c r="G1125" s="2">
        <v>0</v>
      </c>
      <c r="H1125" s="3">
        <v>9910000000</v>
      </c>
      <c r="I1125" s="2">
        <v>-7.6289999999999997E-2</v>
      </c>
      <c r="J1125" s="3">
        <v>1.0599999999999999E-12</v>
      </c>
    </row>
    <row r="1126" spans="1:10" x14ac:dyDescent="0.2">
      <c r="A1126" s="3">
        <v>1100</v>
      </c>
      <c r="B1126" s="3">
        <v>8.3099999999999996E-7</v>
      </c>
      <c r="C1126" s="2">
        <v>5.8590000000000003E-2</v>
      </c>
      <c r="D1126" s="3">
        <v>222000</v>
      </c>
      <c r="E1126" s="3">
        <v>82200000000</v>
      </c>
      <c r="F1126" s="3">
        <v>76300000000</v>
      </c>
      <c r="G1126" s="3">
        <v>10400000000</v>
      </c>
      <c r="H1126" s="3">
        <v>10100000000</v>
      </c>
      <c r="I1126" s="2">
        <v>0.13589999999999999</v>
      </c>
      <c r="J1126" s="3">
        <v>1.19E-12</v>
      </c>
    </row>
    <row r="1127" spans="1:10" x14ac:dyDescent="0.2">
      <c r="A1127" s="3">
        <v>1100</v>
      </c>
      <c r="B1127" s="3">
        <v>8.3200000000000004E-7</v>
      </c>
      <c r="C1127" s="2">
        <v>5.8639999999999998E-2</v>
      </c>
      <c r="D1127" s="3">
        <v>208000</v>
      </c>
      <c r="E1127" s="3">
        <v>77700000000</v>
      </c>
      <c r="F1127" s="3">
        <v>72500000000</v>
      </c>
      <c r="G1127" s="2">
        <v>0</v>
      </c>
      <c r="H1127" s="3">
        <v>10300000000</v>
      </c>
      <c r="I1127" s="2">
        <v>-4.5760000000000002E-3</v>
      </c>
      <c r="J1127" s="3">
        <v>1.3499999999999999E-12</v>
      </c>
    </row>
    <row r="1128" spans="1:10" x14ac:dyDescent="0.2">
      <c r="A1128" s="3">
        <v>1100</v>
      </c>
      <c r="B1128" s="3">
        <v>8.3300000000000001E-7</v>
      </c>
      <c r="C1128" s="2">
        <v>5.8700000000000002E-2</v>
      </c>
      <c r="D1128" s="3">
        <v>234000</v>
      </c>
      <c r="E1128" s="3">
        <v>86400000000</v>
      </c>
      <c r="F1128" s="3">
        <v>80000000000</v>
      </c>
      <c r="G1128" s="3">
        <v>4840000000</v>
      </c>
      <c r="H1128" s="3">
        <v>9910000000</v>
      </c>
      <c r="I1128" s="2">
        <v>6.0470000000000003E-2</v>
      </c>
      <c r="J1128" s="3">
        <v>1.0700000000000001E-12</v>
      </c>
    </row>
    <row r="1129" spans="1:10" x14ac:dyDescent="0.2">
      <c r="A1129" s="3">
        <v>1100</v>
      </c>
      <c r="B1129" s="3">
        <v>8.3399999999999998E-7</v>
      </c>
      <c r="C1129" s="2">
        <v>5.8749999999999997E-2</v>
      </c>
      <c r="D1129" s="3">
        <v>237000</v>
      </c>
      <c r="E1129" s="3">
        <v>87100000000</v>
      </c>
      <c r="F1129" s="3">
        <v>80600000000</v>
      </c>
      <c r="G1129" s="3">
        <v>8090000000</v>
      </c>
      <c r="H1129" s="3">
        <v>9870000000</v>
      </c>
      <c r="I1129" s="2">
        <v>0.1004</v>
      </c>
      <c r="J1129" s="3">
        <v>1.05E-12</v>
      </c>
    </row>
    <row r="1130" spans="1:10" x14ac:dyDescent="0.2">
      <c r="A1130" s="3">
        <v>1100</v>
      </c>
      <c r="B1130" s="3">
        <v>8.3500000000000005E-7</v>
      </c>
      <c r="C1130" s="2">
        <v>5.8799999999999998E-2</v>
      </c>
      <c r="D1130" s="3">
        <v>247000</v>
      </c>
      <c r="E1130" s="3">
        <v>90800000000</v>
      </c>
      <c r="F1130" s="3">
        <v>83700000000</v>
      </c>
      <c r="G1130" s="3">
        <v>9060000000</v>
      </c>
      <c r="H1130" s="3">
        <v>9750000000</v>
      </c>
      <c r="I1130" s="2">
        <v>0.10829999999999999</v>
      </c>
      <c r="J1130" s="3">
        <v>9.6100000000000005E-13</v>
      </c>
    </row>
    <row r="1131" spans="1:10" x14ac:dyDescent="0.2">
      <c r="A1131" s="3">
        <v>1100</v>
      </c>
      <c r="B1131" s="3">
        <v>8.3600000000000002E-7</v>
      </c>
      <c r="C1131" s="2">
        <v>5.885E-2</v>
      </c>
      <c r="D1131" s="3">
        <v>230000</v>
      </c>
      <c r="E1131" s="3">
        <v>84600000000</v>
      </c>
      <c r="F1131" s="3">
        <v>78500000000</v>
      </c>
      <c r="G1131" s="3">
        <v>3320000000</v>
      </c>
      <c r="H1131" s="3">
        <v>9950000000</v>
      </c>
      <c r="I1131" s="2">
        <v>4.2340000000000003E-2</v>
      </c>
      <c r="J1131" s="3">
        <v>1.1200000000000001E-12</v>
      </c>
    </row>
    <row r="1132" spans="1:10" x14ac:dyDescent="0.2">
      <c r="A1132" s="3">
        <v>1100</v>
      </c>
      <c r="B1132" s="3">
        <v>8.3699999999999999E-7</v>
      </c>
      <c r="C1132" s="2">
        <v>5.8900000000000001E-2</v>
      </c>
      <c r="D1132" s="3">
        <v>227000</v>
      </c>
      <c r="E1132" s="3">
        <v>83600000000</v>
      </c>
      <c r="F1132" s="3">
        <v>77600000000</v>
      </c>
      <c r="G1132" s="3">
        <v>5800000000</v>
      </c>
      <c r="H1132" s="3">
        <v>9980000000</v>
      </c>
      <c r="I1132" s="2">
        <v>7.4700000000000003E-2</v>
      </c>
      <c r="J1132" s="3">
        <v>1.14E-12</v>
      </c>
    </row>
    <row r="1133" spans="1:10" x14ac:dyDescent="0.2">
      <c r="A1133" s="3">
        <v>1100</v>
      </c>
      <c r="B1133" s="3">
        <v>8.3799999999999996E-7</v>
      </c>
      <c r="C1133" s="2">
        <v>5.8959999999999999E-2</v>
      </c>
      <c r="D1133" s="3">
        <v>228000</v>
      </c>
      <c r="E1133" s="3">
        <v>83900000000</v>
      </c>
      <c r="F1133" s="3">
        <v>77800000000</v>
      </c>
      <c r="G1133" s="3">
        <v>2320000000</v>
      </c>
      <c r="H1133" s="3">
        <v>9970000000</v>
      </c>
      <c r="I1133" s="2">
        <v>2.9790000000000001E-2</v>
      </c>
      <c r="J1133" s="3">
        <v>1.14E-12</v>
      </c>
    </row>
    <row r="1134" spans="1:10" x14ac:dyDescent="0.2">
      <c r="A1134" s="3">
        <v>1100</v>
      </c>
      <c r="B1134" s="3">
        <v>8.3900000000000004E-7</v>
      </c>
      <c r="C1134" s="2">
        <v>5.901E-2</v>
      </c>
      <c r="D1134" s="3">
        <v>221000</v>
      </c>
      <c r="E1134" s="3">
        <v>81600000000</v>
      </c>
      <c r="F1134" s="3">
        <v>75800000000</v>
      </c>
      <c r="G1134" s="3">
        <v>2340000000</v>
      </c>
      <c r="H1134" s="3">
        <v>10100000000</v>
      </c>
      <c r="I1134" s="2">
        <v>3.0800000000000001E-2</v>
      </c>
      <c r="J1134" s="3">
        <v>1.2100000000000001E-12</v>
      </c>
    </row>
    <row r="1135" spans="1:10" x14ac:dyDescent="0.2">
      <c r="A1135" s="3">
        <v>1100</v>
      </c>
      <c r="B1135" s="3">
        <v>8.4E-7</v>
      </c>
      <c r="C1135" s="2">
        <v>5.9060000000000001E-2</v>
      </c>
      <c r="D1135" s="3">
        <v>235000</v>
      </c>
      <c r="E1135" s="3">
        <v>86400000000</v>
      </c>
      <c r="F1135" s="3">
        <v>79900000000</v>
      </c>
      <c r="G1135" s="3">
        <v>4370000000</v>
      </c>
      <c r="H1135" s="3">
        <v>9870000000</v>
      </c>
      <c r="I1135" s="2">
        <v>5.4719999999999998E-2</v>
      </c>
      <c r="J1135" s="3">
        <v>1.0700000000000001E-12</v>
      </c>
    </row>
    <row r="1136" spans="1:10" x14ac:dyDescent="0.2">
      <c r="A1136" s="3">
        <v>1100</v>
      </c>
      <c r="B1136" s="3">
        <v>8.4099999999999997E-7</v>
      </c>
      <c r="C1136" s="2">
        <v>5.9110000000000003E-2</v>
      </c>
      <c r="D1136" s="3">
        <v>230000</v>
      </c>
      <c r="E1136" s="3">
        <v>84500000000</v>
      </c>
      <c r="F1136" s="3">
        <v>78300000000</v>
      </c>
      <c r="G1136" s="3">
        <v>560000000</v>
      </c>
      <c r="H1136" s="3">
        <v>9930000000</v>
      </c>
      <c r="I1136" s="2">
        <v>7.1549999999999999E-3</v>
      </c>
      <c r="J1136" s="3">
        <v>1.1200000000000001E-12</v>
      </c>
    </row>
    <row r="1137" spans="1:10" x14ac:dyDescent="0.2">
      <c r="A1137" s="3">
        <v>1100</v>
      </c>
      <c r="B1137" s="3">
        <v>8.4200000000000005E-7</v>
      </c>
      <c r="C1137" s="2">
        <v>5.9159999999999997E-2</v>
      </c>
      <c r="D1137" s="3">
        <v>242000</v>
      </c>
      <c r="E1137" s="3">
        <v>88400000000</v>
      </c>
      <c r="F1137" s="3">
        <v>81700000000</v>
      </c>
      <c r="G1137" s="2">
        <v>0</v>
      </c>
      <c r="H1137" s="3">
        <v>9790000000</v>
      </c>
      <c r="I1137" s="2">
        <v>-9.3090000000000006E-2</v>
      </c>
      <c r="J1137" s="3">
        <v>1.0099999999999999E-12</v>
      </c>
    </row>
    <row r="1138" spans="1:10" x14ac:dyDescent="0.2">
      <c r="A1138" s="3">
        <v>1100</v>
      </c>
      <c r="B1138" s="3">
        <v>8.4300000000000002E-7</v>
      </c>
      <c r="C1138" s="2">
        <v>5.9220000000000002E-2</v>
      </c>
      <c r="D1138" s="3">
        <v>240000</v>
      </c>
      <c r="E1138" s="3">
        <v>87600000000</v>
      </c>
      <c r="F1138" s="3">
        <v>81000000000</v>
      </c>
      <c r="G1138" s="3">
        <v>3760000000</v>
      </c>
      <c r="H1138" s="3">
        <v>9810000000</v>
      </c>
      <c r="I1138" s="2">
        <v>4.6420000000000003E-2</v>
      </c>
      <c r="J1138" s="3">
        <v>1.0300000000000001E-12</v>
      </c>
    </row>
    <row r="1139" spans="1:10" x14ac:dyDescent="0.2">
      <c r="A1139" s="3">
        <v>1100</v>
      </c>
      <c r="B1139" s="3">
        <v>8.4399999999999999E-7</v>
      </c>
      <c r="C1139" s="2">
        <v>5.9270000000000003E-2</v>
      </c>
      <c r="D1139" s="3">
        <v>254000</v>
      </c>
      <c r="E1139" s="3">
        <v>92600000000</v>
      </c>
      <c r="F1139" s="3">
        <v>85200000000</v>
      </c>
      <c r="G1139" s="3">
        <v>3660000000</v>
      </c>
      <c r="H1139" s="3">
        <v>9650000000</v>
      </c>
      <c r="I1139" s="2">
        <v>4.2959999999999998E-2</v>
      </c>
      <c r="J1139" s="3">
        <v>9.1700000000000003E-13</v>
      </c>
    </row>
    <row r="1140" spans="1:10" x14ac:dyDescent="0.2">
      <c r="A1140" s="3">
        <v>1100</v>
      </c>
      <c r="B1140" s="3">
        <v>8.4499999999999996E-7</v>
      </c>
      <c r="C1140" s="2">
        <v>5.9319999999999998E-2</v>
      </c>
      <c r="D1140" s="3">
        <v>236000</v>
      </c>
      <c r="E1140" s="3">
        <v>86200000000</v>
      </c>
      <c r="F1140" s="3">
        <v>79800000000</v>
      </c>
      <c r="G1140" s="3">
        <v>9990000000</v>
      </c>
      <c r="H1140" s="3">
        <v>9840000000</v>
      </c>
      <c r="I1140" s="2">
        <v>0.12529999999999999</v>
      </c>
      <c r="J1140" s="3">
        <v>1.0700000000000001E-12</v>
      </c>
    </row>
    <row r="1141" spans="1:10" x14ac:dyDescent="0.2">
      <c r="A1141" s="3">
        <v>1100</v>
      </c>
      <c r="B1141" s="3">
        <v>8.4600000000000003E-7</v>
      </c>
      <c r="C1141" s="2">
        <v>5.9369999999999999E-2</v>
      </c>
      <c r="D1141" s="3">
        <v>235000</v>
      </c>
      <c r="E1141" s="3">
        <v>85900000000</v>
      </c>
      <c r="F1141" s="3">
        <v>79500000000</v>
      </c>
      <c r="G1141" s="3">
        <v>10400000000</v>
      </c>
      <c r="H1141" s="3">
        <v>9850000000</v>
      </c>
      <c r="I1141" s="2">
        <v>0.13039999999999999</v>
      </c>
      <c r="J1141" s="3">
        <v>1.08E-12</v>
      </c>
    </row>
    <row r="1142" spans="1:10" x14ac:dyDescent="0.2">
      <c r="A1142" s="3">
        <v>1100</v>
      </c>
      <c r="B1142" s="3">
        <v>8.47E-7</v>
      </c>
      <c r="C1142" s="2">
        <v>5.9420000000000001E-2</v>
      </c>
      <c r="D1142" s="3">
        <v>241000</v>
      </c>
      <c r="E1142" s="3">
        <v>87900000000</v>
      </c>
      <c r="F1142" s="3">
        <v>81200000000</v>
      </c>
      <c r="G1142" s="2">
        <v>0</v>
      </c>
      <c r="H1142" s="3">
        <v>9780000000</v>
      </c>
      <c r="I1142" s="2">
        <v>-4.0940000000000004E-3</v>
      </c>
      <c r="J1142" s="3">
        <v>1.0200000000000001E-12</v>
      </c>
    </row>
    <row r="1143" spans="1:10" x14ac:dyDescent="0.2">
      <c r="A1143" s="3">
        <v>1100</v>
      </c>
      <c r="B1143" s="3">
        <v>8.4799999999999997E-7</v>
      </c>
      <c r="C1143" s="2">
        <v>5.9479999999999998E-2</v>
      </c>
      <c r="D1143" s="3">
        <v>258000</v>
      </c>
      <c r="E1143" s="3">
        <v>93700000000</v>
      </c>
      <c r="F1143" s="3">
        <v>86200000000</v>
      </c>
      <c r="G1143" s="3">
        <v>6720000000</v>
      </c>
      <c r="H1143" s="3">
        <v>9610000000</v>
      </c>
      <c r="I1143" s="2">
        <v>7.7920000000000003E-2</v>
      </c>
      <c r="J1143" s="3">
        <v>8.9200000000000004E-13</v>
      </c>
    </row>
    <row r="1144" spans="1:10" x14ac:dyDescent="0.2">
      <c r="A1144" s="3">
        <v>1100</v>
      </c>
      <c r="B1144" s="3">
        <v>8.4900000000000005E-7</v>
      </c>
      <c r="C1144" s="2">
        <v>5.953E-2</v>
      </c>
      <c r="D1144" s="3">
        <v>239000</v>
      </c>
      <c r="E1144" s="3">
        <v>87000000000</v>
      </c>
      <c r="F1144" s="3">
        <v>80500000000</v>
      </c>
      <c r="G1144" s="3">
        <v>6420000000</v>
      </c>
      <c r="H1144" s="3">
        <v>9800000000</v>
      </c>
      <c r="I1144" s="2">
        <v>7.9759999999999998E-2</v>
      </c>
      <c r="J1144" s="3">
        <v>1.05E-12</v>
      </c>
    </row>
    <row r="1145" spans="1:10" x14ac:dyDescent="0.2">
      <c r="A1145" s="3">
        <v>1100</v>
      </c>
      <c r="B1145" s="3">
        <v>8.5000000000000001E-7</v>
      </c>
      <c r="C1145" s="2">
        <v>5.9580000000000001E-2</v>
      </c>
      <c r="D1145" s="3">
        <v>246000</v>
      </c>
      <c r="E1145" s="3">
        <v>89400000000</v>
      </c>
      <c r="F1145" s="3">
        <v>82500000000</v>
      </c>
      <c r="G1145" s="2">
        <v>0</v>
      </c>
      <c r="H1145" s="3">
        <v>9720000000</v>
      </c>
      <c r="I1145" s="2">
        <v>-9.5910000000000006E-3</v>
      </c>
      <c r="J1145" s="3">
        <v>9.8600000000000004E-13</v>
      </c>
    </row>
    <row r="1146" spans="1:10" x14ac:dyDescent="0.2">
      <c r="A1146" s="3">
        <v>1100</v>
      </c>
      <c r="B1146" s="3">
        <v>8.5099999999999998E-7</v>
      </c>
      <c r="C1146" s="2">
        <v>5.9630000000000002E-2</v>
      </c>
      <c r="D1146" s="3">
        <v>236000</v>
      </c>
      <c r="E1146" s="3">
        <v>86100000000</v>
      </c>
      <c r="F1146" s="3">
        <v>79700000000</v>
      </c>
      <c r="G1146" s="2">
        <v>0</v>
      </c>
      <c r="H1146" s="3">
        <v>9820000000</v>
      </c>
      <c r="I1146" s="2">
        <v>-1.125E-2</v>
      </c>
      <c r="J1146" s="3">
        <v>1.0700000000000001E-12</v>
      </c>
    </row>
    <row r="1147" spans="1:10" x14ac:dyDescent="0.2">
      <c r="A1147" s="3">
        <v>1100</v>
      </c>
      <c r="B1147" s="3">
        <v>8.5199999999999995E-7</v>
      </c>
      <c r="C1147" s="2">
        <v>5.9679999999999997E-2</v>
      </c>
      <c r="D1147" s="3">
        <v>241000</v>
      </c>
      <c r="E1147" s="3">
        <v>87600000000</v>
      </c>
      <c r="F1147" s="3">
        <v>81000000000</v>
      </c>
      <c r="G1147" s="3">
        <v>3620000000</v>
      </c>
      <c r="H1147" s="3">
        <v>9770000000</v>
      </c>
      <c r="I1147" s="2">
        <v>4.4690000000000001E-2</v>
      </c>
      <c r="J1147" s="3">
        <v>1.0300000000000001E-12</v>
      </c>
    </row>
    <row r="1148" spans="1:10" x14ac:dyDescent="0.2">
      <c r="A1148" s="3">
        <v>1100</v>
      </c>
      <c r="B1148" s="3">
        <v>8.5300000000000003E-7</v>
      </c>
      <c r="C1148" s="2">
        <v>5.9740000000000001E-2</v>
      </c>
      <c r="D1148" s="3">
        <v>232000</v>
      </c>
      <c r="E1148" s="3">
        <v>84400000000</v>
      </c>
      <c r="F1148" s="3">
        <v>78300000000</v>
      </c>
      <c r="G1148" s="3">
        <v>7690000000</v>
      </c>
      <c r="H1148" s="3">
        <v>9870000000</v>
      </c>
      <c r="I1148" s="2">
        <v>9.826E-2</v>
      </c>
      <c r="J1148" s="3">
        <v>1.1099999999999999E-12</v>
      </c>
    </row>
    <row r="1149" spans="1:10" x14ac:dyDescent="0.2">
      <c r="A1149" s="3">
        <v>1100</v>
      </c>
      <c r="B1149" s="3">
        <v>8.54E-7</v>
      </c>
      <c r="C1149" s="2">
        <v>5.9790000000000003E-2</v>
      </c>
      <c r="D1149" s="3">
        <v>240000</v>
      </c>
      <c r="E1149" s="3">
        <v>87200000000</v>
      </c>
      <c r="F1149" s="3">
        <v>80700000000</v>
      </c>
      <c r="G1149" s="3">
        <v>4530000000</v>
      </c>
      <c r="H1149" s="3">
        <v>9770000000</v>
      </c>
      <c r="I1149" s="2">
        <v>5.6090000000000001E-2</v>
      </c>
      <c r="J1149" s="3">
        <v>1.04E-12</v>
      </c>
    </row>
    <row r="1150" spans="1:10" x14ac:dyDescent="0.2">
      <c r="A1150" s="3">
        <v>1100</v>
      </c>
      <c r="B1150" s="3">
        <v>8.5499999999999997E-7</v>
      </c>
      <c r="C1150" s="2">
        <v>5.9839999999999997E-2</v>
      </c>
      <c r="D1150" s="3">
        <v>248000</v>
      </c>
      <c r="E1150" s="3">
        <v>89900000000</v>
      </c>
      <c r="F1150" s="3">
        <v>82900000000</v>
      </c>
      <c r="G1150" s="3">
        <v>5990000000</v>
      </c>
      <c r="H1150" s="3">
        <v>9670000000</v>
      </c>
      <c r="I1150" s="2">
        <v>7.2169999999999998E-2</v>
      </c>
      <c r="J1150" s="3">
        <v>9.71E-13</v>
      </c>
    </row>
    <row r="1151" spans="1:10" x14ac:dyDescent="0.2">
      <c r="A1151" s="3">
        <v>1100</v>
      </c>
      <c r="B1151" s="3">
        <v>8.5600000000000004E-7</v>
      </c>
      <c r="C1151" s="2">
        <v>5.9889999999999999E-2</v>
      </c>
      <c r="D1151" s="3">
        <v>220000</v>
      </c>
      <c r="E1151" s="3">
        <v>80300000000</v>
      </c>
      <c r="F1151" s="3">
        <v>74700000000</v>
      </c>
      <c r="G1151" s="3">
        <v>3110000000</v>
      </c>
      <c r="H1151" s="3">
        <v>10000000000</v>
      </c>
      <c r="I1151" s="2">
        <v>4.1610000000000001E-2</v>
      </c>
      <c r="J1151" s="3">
        <v>1.24E-12</v>
      </c>
    </row>
    <row r="1152" spans="1:10" x14ac:dyDescent="0.2">
      <c r="A1152" s="3">
        <v>1200</v>
      </c>
      <c r="B1152" s="3">
        <v>8.5700000000000001E-7</v>
      </c>
      <c r="C1152" s="2">
        <v>5.994E-2</v>
      </c>
      <c r="D1152" s="3">
        <v>236000</v>
      </c>
      <c r="E1152" s="3">
        <v>85700000000</v>
      </c>
      <c r="F1152" s="3">
        <v>79300000000</v>
      </c>
      <c r="G1152" s="3">
        <v>714000000</v>
      </c>
      <c r="H1152" s="3">
        <v>9800000000</v>
      </c>
      <c r="I1152" s="2">
        <v>9.0019999999999996E-3</v>
      </c>
      <c r="J1152" s="3">
        <v>1.08E-12</v>
      </c>
    </row>
    <row r="1153" spans="1:10" x14ac:dyDescent="0.2">
      <c r="A1153" s="3">
        <v>1200</v>
      </c>
      <c r="B1153" s="3">
        <v>8.5799999999999998E-7</v>
      </c>
      <c r="C1153" s="2">
        <v>0.06</v>
      </c>
      <c r="D1153" s="3">
        <v>233000</v>
      </c>
      <c r="E1153" s="3">
        <v>84400000000</v>
      </c>
      <c r="F1153" s="3">
        <v>78200000000</v>
      </c>
      <c r="G1153" s="3">
        <v>2610000000</v>
      </c>
      <c r="H1153" s="3">
        <v>9830000000</v>
      </c>
      <c r="I1153" s="2">
        <v>3.3340000000000002E-2</v>
      </c>
      <c r="J1153" s="3">
        <v>1.1099999999999999E-12</v>
      </c>
    </row>
    <row r="1154" spans="1:10" x14ac:dyDescent="0.2">
      <c r="A1154" s="3">
        <v>1200</v>
      </c>
      <c r="B1154" s="3">
        <v>8.5899999999999995E-7</v>
      </c>
      <c r="C1154" s="2">
        <v>6.0049999999999999E-2</v>
      </c>
      <c r="D1154" s="3">
        <v>194000</v>
      </c>
      <c r="E1154" s="3">
        <v>71700000000</v>
      </c>
      <c r="F1154" s="3">
        <v>67200000000</v>
      </c>
      <c r="G1154" s="3">
        <v>9110000000</v>
      </c>
      <c r="H1154" s="3">
        <v>10400000000</v>
      </c>
      <c r="I1154" s="2">
        <v>0.1356</v>
      </c>
      <c r="J1154" s="3">
        <v>1.5900000000000001E-12</v>
      </c>
    </row>
    <row r="1155" spans="1:10" x14ac:dyDescent="0.2">
      <c r="A1155" s="3">
        <v>1200</v>
      </c>
      <c r="B1155" s="3">
        <v>8.6000000000000002E-7</v>
      </c>
      <c r="C1155" s="2">
        <v>6.0100000000000001E-2</v>
      </c>
      <c r="D1155" s="3">
        <v>223000</v>
      </c>
      <c r="E1155" s="3">
        <v>81000000000</v>
      </c>
      <c r="F1155" s="3">
        <v>75300000000</v>
      </c>
      <c r="G1155" s="3">
        <v>3640000000</v>
      </c>
      <c r="H1155" s="3">
        <v>9950000000</v>
      </c>
      <c r="I1155" s="2">
        <v>4.8300000000000003E-2</v>
      </c>
      <c r="J1155" s="3">
        <v>1.2100000000000001E-12</v>
      </c>
    </row>
    <row r="1156" spans="1:10" x14ac:dyDescent="0.2">
      <c r="A1156" s="3">
        <v>1200</v>
      </c>
      <c r="B1156" s="3">
        <v>8.6199999999999996E-7</v>
      </c>
      <c r="C1156" s="2">
        <v>6.0150000000000002E-2</v>
      </c>
      <c r="D1156" s="3">
        <v>214000</v>
      </c>
      <c r="E1156" s="3">
        <v>77900000000</v>
      </c>
      <c r="F1156" s="3">
        <v>72700000000</v>
      </c>
      <c r="G1156" s="3">
        <v>3340000000</v>
      </c>
      <c r="H1156" s="3">
        <v>10100000000</v>
      </c>
      <c r="I1156" s="2">
        <v>4.5999999999999999E-2</v>
      </c>
      <c r="J1156" s="3">
        <v>1.32E-12</v>
      </c>
    </row>
    <row r="1157" spans="1:10" x14ac:dyDescent="0.2">
      <c r="A1157" s="3">
        <v>1200</v>
      </c>
      <c r="B1157" s="3">
        <v>8.6300000000000004E-7</v>
      </c>
      <c r="C1157" s="2">
        <v>6.0199999999999997E-2</v>
      </c>
      <c r="D1157" s="3">
        <v>246000</v>
      </c>
      <c r="E1157" s="3">
        <v>88500000000</v>
      </c>
      <c r="F1157" s="3">
        <v>81800000000</v>
      </c>
      <c r="G1157" s="3">
        <v>2980000000</v>
      </c>
      <c r="H1157" s="3">
        <v>9670000000</v>
      </c>
      <c r="I1157" s="2">
        <v>3.6470000000000002E-2</v>
      </c>
      <c r="J1157" s="3">
        <v>9.9900000000000009E-13</v>
      </c>
    </row>
    <row r="1158" spans="1:10" x14ac:dyDescent="0.2">
      <c r="A1158" s="3">
        <v>1200</v>
      </c>
      <c r="B1158" s="3">
        <v>8.6300000000000004E-7</v>
      </c>
      <c r="C1158" s="2">
        <v>6.0260000000000001E-2</v>
      </c>
      <c r="D1158" s="3">
        <v>232000</v>
      </c>
      <c r="E1158" s="3">
        <v>83800000000</v>
      </c>
      <c r="F1158" s="3">
        <v>77700000000</v>
      </c>
      <c r="G1158" s="3">
        <v>14700000000</v>
      </c>
      <c r="H1158" s="3">
        <v>9830000000</v>
      </c>
      <c r="I1158" s="2">
        <v>0.18920000000000001</v>
      </c>
      <c r="J1158" s="3">
        <v>1.1200000000000001E-12</v>
      </c>
    </row>
    <row r="1159" spans="1:10" x14ac:dyDescent="0.2">
      <c r="A1159" s="3">
        <v>1200</v>
      </c>
      <c r="B1159" s="3">
        <v>8.6400000000000001E-7</v>
      </c>
      <c r="C1159" s="2">
        <v>6.0310000000000002E-2</v>
      </c>
      <c r="D1159" s="3">
        <v>245000</v>
      </c>
      <c r="E1159" s="3">
        <v>88300000000</v>
      </c>
      <c r="F1159" s="3">
        <v>81600000000</v>
      </c>
      <c r="G1159" s="3">
        <v>11800000000</v>
      </c>
      <c r="H1159" s="3">
        <v>9670000000</v>
      </c>
      <c r="I1159" s="2">
        <v>0.1447</v>
      </c>
      <c r="J1159" s="3">
        <v>9.9999999999999998E-13</v>
      </c>
    </row>
    <row r="1160" spans="1:10" x14ac:dyDescent="0.2">
      <c r="A1160" s="3">
        <v>1200</v>
      </c>
      <c r="B1160" s="3">
        <v>8.6600000000000005E-7</v>
      </c>
      <c r="C1160" s="2">
        <v>6.0359999999999997E-2</v>
      </c>
      <c r="D1160" s="3">
        <v>222000</v>
      </c>
      <c r="E1160" s="3">
        <v>80500000000</v>
      </c>
      <c r="F1160" s="3">
        <v>74900000000</v>
      </c>
      <c r="G1160" s="3">
        <v>6430000000</v>
      </c>
      <c r="H1160" s="3">
        <v>9930000000</v>
      </c>
      <c r="I1160" s="2">
        <v>8.5870000000000002E-2</v>
      </c>
      <c r="J1160" s="3">
        <v>1.2200000000000001E-12</v>
      </c>
    </row>
    <row r="1161" spans="1:10" x14ac:dyDescent="0.2">
      <c r="A1161" s="3">
        <v>1200</v>
      </c>
      <c r="B1161" s="3">
        <v>8.6700000000000002E-7</v>
      </c>
      <c r="C1161" s="2">
        <v>6.0420000000000001E-2</v>
      </c>
      <c r="D1161" s="3">
        <v>237000</v>
      </c>
      <c r="E1161" s="3">
        <v>85200000000</v>
      </c>
      <c r="F1161" s="3">
        <v>78900000000</v>
      </c>
      <c r="G1161" s="3">
        <v>2050000000</v>
      </c>
      <c r="H1161" s="3">
        <v>9750000000</v>
      </c>
      <c r="I1161" s="2">
        <v>2.5950000000000001E-2</v>
      </c>
      <c r="J1161" s="3">
        <v>1.08E-12</v>
      </c>
    </row>
    <row r="1162" spans="1:10" x14ac:dyDescent="0.2">
      <c r="A1162" s="3">
        <v>1200</v>
      </c>
      <c r="B1162" s="3">
        <v>8.6799999999999999E-7</v>
      </c>
      <c r="C1162" s="2">
        <v>6.0470000000000003E-2</v>
      </c>
      <c r="D1162" s="3">
        <v>217000</v>
      </c>
      <c r="E1162" s="3">
        <v>78600000000</v>
      </c>
      <c r="F1162" s="3">
        <v>73300000000</v>
      </c>
      <c r="G1162" s="3">
        <v>4290000000</v>
      </c>
      <c r="H1162" s="3">
        <v>10000000000</v>
      </c>
      <c r="I1162" s="2">
        <v>5.8549999999999998E-2</v>
      </c>
      <c r="J1162" s="3">
        <v>1.29E-12</v>
      </c>
    </row>
    <row r="1163" spans="1:10" x14ac:dyDescent="0.2">
      <c r="A1163" s="3">
        <v>1200</v>
      </c>
      <c r="B1163" s="3">
        <v>8.6899999999999996E-7</v>
      </c>
      <c r="C1163" s="2">
        <v>6.0519999999999997E-2</v>
      </c>
      <c r="D1163" s="3">
        <v>230000</v>
      </c>
      <c r="E1163" s="3">
        <v>83000000000</v>
      </c>
      <c r="F1163" s="3">
        <v>77000000000</v>
      </c>
      <c r="G1163" s="3">
        <v>1650000000</v>
      </c>
      <c r="H1163" s="3">
        <v>9820000000</v>
      </c>
      <c r="I1163" s="2">
        <v>2.1440000000000001E-2</v>
      </c>
      <c r="J1163" s="3">
        <v>1.14E-12</v>
      </c>
    </row>
    <row r="1164" spans="1:10" x14ac:dyDescent="0.2">
      <c r="A1164" s="3">
        <v>1200</v>
      </c>
      <c r="B1164" s="3">
        <v>8.7000000000000003E-7</v>
      </c>
      <c r="C1164" s="2">
        <v>6.0569999999999999E-2</v>
      </c>
      <c r="D1164" s="3">
        <v>245000</v>
      </c>
      <c r="E1164" s="3">
        <v>87800000000</v>
      </c>
      <c r="F1164" s="3">
        <v>81200000000</v>
      </c>
      <c r="G1164" s="2">
        <v>0</v>
      </c>
      <c r="H1164" s="3">
        <v>9650000000</v>
      </c>
      <c r="I1164" s="2">
        <v>-1.0540000000000001E-2</v>
      </c>
      <c r="J1164" s="3">
        <v>1.0099999999999999E-12</v>
      </c>
    </row>
    <row r="1165" spans="1:10" x14ac:dyDescent="0.2">
      <c r="A1165" s="3">
        <v>1200</v>
      </c>
      <c r="B1165" s="3">
        <v>8.71E-7</v>
      </c>
      <c r="C1165" s="2">
        <v>6.062E-2</v>
      </c>
      <c r="D1165" s="3">
        <v>249000</v>
      </c>
      <c r="E1165" s="3">
        <v>89100000000</v>
      </c>
      <c r="F1165" s="3">
        <v>82300000000</v>
      </c>
      <c r="G1165" s="3">
        <v>4220000000</v>
      </c>
      <c r="H1165" s="3">
        <v>9610000000</v>
      </c>
      <c r="I1165" s="2">
        <v>5.1319999999999998E-2</v>
      </c>
      <c r="J1165" s="3">
        <v>9.8000000000000007E-13</v>
      </c>
    </row>
    <row r="1166" spans="1:10" x14ac:dyDescent="0.2">
      <c r="A1166" s="3">
        <v>1200</v>
      </c>
      <c r="B1166" s="3">
        <v>8.7300000000000005E-7</v>
      </c>
      <c r="C1166" s="2">
        <v>6.0670000000000002E-2</v>
      </c>
      <c r="D1166" s="3">
        <v>235000</v>
      </c>
      <c r="E1166" s="3">
        <v>84200000000</v>
      </c>
      <c r="F1166" s="3">
        <v>78100000000</v>
      </c>
      <c r="G1166" s="3">
        <v>2340000000</v>
      </c>
      <c r="H1166" s="3">
        <v>9750000000</v>
      </c>
      <c r="I1166" s="2">
        <v>2.9919999999999999E-2</v>
      </c>
      <c r="J1166" s="3">
        <v>1.1E-12</v>
      </c>
    </row>
    <row r="1167" spans="1:10" x14ac:dyDescent="0.2">
      <c r="A1167" s="3">
        <v>1200</v>
      </c>
      <c r="B1167" s="3">
        <v>8.7400000000000002E-7</v>
      </c>
      <c r="C1167" s="2">
        <v>6.0729999999999999E-2</v>
      </c>
      <c r="D1167" s="3">
        <v>240000</v>
      </c>
      <c r="E1167" s="3">
        <v>85800000000</v>
      </c>
      <c r="F1167" s="3">
        <v>79500000000</v>
      </c>
      <c r="G1167" s="2">
        <v>0</v>
      </c>
      <c r="H1167" s="3">
        <v>9690000000</v>
      </c>
      <c r="I1167" s="2">
        <v>-6.9720000000000004E-2</v>
      </c>
      <c r="J1167" s="3">
        <v>1.0599999999999999E-12</v>
      </c>
    </row>
    <row r="1168" spans="1:10" x14ac:dyDescent="0.2">
      <c r="A1168" s="3">
        <v>1200</v>
      </c>
      <c r="B1168" s="3">
        <v>8.7499999999999999E-7</v>
      </c>
      <c r="C1168" s="2">
        <v>6.0780000000000001E-2</v>
      </c>
      <c r="D1168" s="3">
        <v>242000</v>
      </c>
      <c r="E1168" s="3">
        <v>86500000000</v>
      </c>
      <c r="F1168" s="3">
        <v>80100000000</v>
      </c>
      <c r="G1168" s="3">
        <v>9320000000</v>
      </c>
      <c r="H1168" s="3">
        <v>9660000000</v>
      </c>
      <c r="I1168" s="2">
        <v>0.1164</v>
      </c>
      <c r="J1168" s="3">
        <v>1.04E-12</v>
      </c>
    </row>
    <row r="1169" spans="1:10" x14ac:dyDescent="0.2">
      <c r="A1169" s="3">
        <v>1200</v>
      </c>
      <c r="B1169" s="3">
        <v>8.7599999999999996E-7</v>
      </c>
      <c r="C1169" s="2">
        <v>6.0830000000000002E-2</v>
      </c>
      <c r="D1169" s="3">
        <v>257000</v>
      </c>
      <c r="E1169" s="3">
        <v>91600000000</v>
      </c>
      <c r="F1169" s="3">
        <v>84400000000</v>
      </c>
      <c r="G1169" s="3">
        <v>2260000000</v>
      </c>
      <c r="H1169" s="3">
        <v>9510000000</v>
      </c>
      <c r="I1169" s="2">
        <v>2.6769999999999999E-2</v>
      </c>
      <c r="J1169" s="3">
        <v>9.2199999999999991E-13</v>
      </c>
    </row>
    <row r="1170" spans="1:10" x14ac:dyDescent="0.2">
      <c r="A1170" s="3">
        <v>1200</v>
      </c>
      <c r="B1170" s="3">
        <v>8.7700000000000003E-7</v>
      </c>
      <c r="C1170" s="2">
        <v>6.0879999999999997E-2</v>
      </c>
      <c r="D1170" s="3">
        <v>216000</v>
      </c>
      <c r="E1170" s="3">
        <v>78000000000</v>
      </c>
      <c r="F1170" s="3">
        <v>72700000000</v>
      </c>
      <c r="G1170" s="3">
        <v>2980000000</v>
      </c>
      <c r="H1170" s="3">
        <v>9970000000</v>
      </c>
      <c r="I1170" s="2">
        <v>4.1000000000000002E-2</v>
      </c>
      <c r="J1170" s="3">
        <v>1.2999999999999999E-12</v>
      </c>
    </row>
    <row r="1171" spans="1:10" x14ac:dyDescent="0.2">
      <c r="A1171" s="3">
        <v>1200</v>
      </c>
      <c r="B1171" s="3">
        <v>8.78E-7</v>
      </c>
      <c r="C1171" s="2">
        <v>6.0940000000000001E-2</v>
      </c>
      <c r="D1171" s="3">
        <v>224000</v>
      </c>
      <c r="E1171" s="3">
        <v>80300000000</v>
      </c>
      <c r="F1171" s="3">
        <v>74700000000</v>
      </c>
      <c r="G1171" s="3">
        <v>9900000000</v>
      </c>
      <c r="H1171" s="3">
        <v>9860000000</v>
      </c>
      <c r="I1171" s="2">
        <v>0.1326</v>
      </c>
      <c r="J1171" s="3">
        <v>1.2200000000000001E-12</v>
      </c>
    </row>
    <row r="1172" spans="1:10" x14ac:dyDescent="0.2">
      <c r="A1172" s="3">
        <v>1200</v>
      </c>
      <c r="B1172" s="3">
        <v>8.7899999999999997E-7</v>
      </c>
      <c r="C1172" s="2">
        <v>6.0990000000000003E-2</v>
      </c>
      <c r="D1172" s="3">
        <v>259000</v>
      </c>
      <c r="E1172" s="3">
        <v>91900000000</v>
      </c>
      <c r="F1172" s="3">
        <v>84700000000</v>
      </c>
      <c r="G1172" s="2">
        <v>0</v>
      </c>
      <c r="H1172" s="3">
        <v>9480000000</v>
      </c>
      <c r="I1172" s="2">
        <v>-6.5420000000000006E-2</v>
      </c>
      <c r="J1172" s="3">
        <v>9.1199999999999995E-13</v>
      </c>
    </row>
    <row r="1173" spans="1:10" x14ac:dyDescent="0.2">
      <c r="A1173" s="3">
        <v>1200</v>
      </c>
      <c r="B1173" s="3">
        <v>8.8000000000000004E-7</v>
      </c>
      <c r="C1173" s="2">
        <v>6.1039999999999997E-2</v>
      </c>
      <c r="D1173" s="3">
        <v>248000</v>
      </c>
      <c r="E1173" s="3">
        <v>88100000000</v>
      </c>
      <c r="F1173" s="3">
        <v>81500000000</v>
      </c>
      <c r="G1173" s="2">
        <v>0</v>
      </c>
      <c r="H1173" s="3">
        <v>9580000000</v>
      </c>
      <c r="I1173" s="2">
        <v>-3.0269999999999998E-2</v>
      </c>
      <c r="J1173" s="3">
        <v>9.9700000000000009E-13</v>
      </c>
    </row>
    <row r="1174" spans="1:10" x14ac:dyDescent="0.2">
      <c r="A1174" s="3">
        <v>1200</v>
      </c>
      <c r="B1174" s="3">
        <v>8.8199999999999998E-7</v>
      </c>
      <c r="C1174" s="2">
        <v>6.1089999999999998E-2</v>
      </c>
      <c r="D1174" s="3">
        <v>261000</v>
      </c>
      <c r="E1174" s="3">
        <v>92700000000</v>
      </c>
      <c r="F1174" s="3">
        <v>85300000000</v>
      </c>
      <c r="G1174" s="3">
        <v>4140000000</v>
      </c>
      <c r="H1174" s="3">
        <v>9440000000</v>
      </c>
      <c r="I1174" s="2">
        <v>4.854E-2</v>
      </c>
      <c r="J1174" s="3">
        <v>8.9500000000000002E-13</v>
      </c>
    </row>
    <row r="1175" spans="1:10" x14ac:dyDescent="0.2">
      <c r="A1175" s="3">
        <v>1200</v>
      </c>
      <c r="B1175" s="3">
        <v>8.8299999999999995E-7</v>
      </c>
      <c r="C1175" s="2">
        <v>6.114E-2</v>
      </c>
      <c r="D1175" s="3">
        <v>247000</v>
      </c>
      <c r="E1175" s="3">
        <v>87700000000</v>
      </c>
      <c r="F1175" s="3">
        <v>81100000000</v>
      </c>
      <c r="G1175" s="3">
        <v>4650000000</v>
      </c>
      <c r="H1175" s="3">
        <v>9570000000</v>
      </c>
      <c r="I1175" s="2">
        <v>5.7320000000000003E-2</v>
      </c>
      <c r="J1175" s="3">
        <v>1.0099999999999999E-12</v>
      </c>
    </row>
    <row r="1176" spans="1:10" x14ac:dyDescent="0.2">
      <c r="A1176" s="3">
        <v>1200</v>
      </c>
      <c r="B1176" s="3">
        <v>8.8400000000000003E-7</v>
      </c>
      <c r="C1176" s="2">
        <v>6.1199999999999997E-2</v>
      </c>
      <c r="D1176" s="3">
        <v>239000</v>
      </c>
      <c r="E1176" s="3">
        <v>85200000000</v>
      </c>
      <c r="F1176" s="3">
        <v>79000000000</v>
      </c>
      <c r="G1176" s="3">
        <v>8540000000</v>
      </c>
      <c r="H1176" s="3">
        <v>9640000000</v>
      </c>
      <c r="I1176" s="2">
        <v>0.1081</v>
      </c>
      <c r="J1176" s="3">
        <v>1.0700000000000001E-12</v>
      </c>
    </row>
    <row r="1177" spans="1:10" x14ac:dyDescent="0.2">
      <c r="A1177" s="3">
        <v>1200</v>
      </c>
      <c r="B1177" s="3">
        <v>8.8599999999999997E-7</v>
      </c>
      <c r="C1177" s="2">
        <v>6.1249999999999999E-2</v>
      </c>
      <c r="D1177" s="3">
        <v>236000</v>
      </c>
      <c r="E1177" s="3">
        <v>83900000000</v>
      </c>
      <c r="F1177" s="3">
        <v>77800000000</v>
      </c>
      <c r="G1177" s="3">
        <v>2700000000</v>
      </c>
      <c r="H1177" s="3">
        <v>9680000000</v>
      </c>
      <c r="I1177" s="2">
        <v>3.4630000000000001E-2</v>
      </c>
      <c r="J1177" s="3">
        <v>1.1E-12</v>
      </c>
    </row>
    <row r="1178" spans="1:10" x14ac:dyDescent="0.2">
      <c r="A1178" s="3">
        <v>1200</v>
      </c>
      <c r="B1178" s="3">
        <v>8.8700000000000004E-7</v>
      </c>
      <c r="C1178" s="2">
        <v>6.13E-2</v>
      </c>
      <c r="D1178" s="3">
        <v>229000</v>
      </c>
      <c r="E1178" s="3">
        <v>81600000000</v>
      </c>
      <c r="F1178" s="3">
        <v>75800000000</v>
      </c>
      <c r="G1178" s="2">
        <v>0</v>
      </c>
      <c r="H1178" s="3">
        <v>9750000000</v>
      </c>
      <c r="I1178" s="2">
        <v>-1.014E-2</v>
      </c>
      <c r="J1178" s="3">
        <v>1.1700000000000001E-12</v>
      </c>
    </row>
    <row r="1179" spans="1:10" x14ac:dyDescent="0.2">
      <c r="A1179" s="3">
        <v>1200</v>
      </c>
      <c r="B1179" s="3">
        <v>8.8899999999999998E-7</v>
      </c>
      <c r="C1179" s="2">
        <v>6.1350000000000002E-2</v>
      </c>
      <c r="D1179" s="3">
        <v>232000</v>
      </c>
      <c r="E1179" s="3">
        <v>82400000000</v>
      </c>
      <c r="F1179" s="3">
        <v>76500000000</v>
      </c>
      <c r="G1179" s="3">
        <v>5460000000</v>
      </c>
      <c r="H1179" s="3">
        <v>9700000000</v>
      </c>
      <c r="I1179" s="2">
        <v>7.1340000000000001E-2</v>
      </c>
      <c r="J1179" s="3">
        <v>1.14E-12</v>
      </c>
    </row>
    <row r="1180" spans="1:10" x14ac:dyDescent="0.2">
      <c r="A1180" s="3">
        <v>1200</v>
      </c>
      <c r="B1180" s="3">
        <v>8.8999999999999995E-7</v>
      </c>
      <c r="C1180" s="2">
        <v>6.1409999999999999E-2</v>
      </c>
      <c r="D1180" s="3">
        <v>243000</v>
      </c>
      <c r="E1180" s="3">
        <v>86100000000</v>
      </c>
      <c r="F1180" s="3">
        <v>79700000000</v>
      </c>
      <c r="G1180" s="3">
        <v>1700000000</v>
      </c>
      <c r="H1180" s="3">
        <v>9580000000</v>
      </c>
      <c r="I1180" s="2">
        <v>2.1350000000000001E-2</v>
      </c>
      <c r="J1180" s="3">
        <v>1.04E-12</v>
      </c>
    </row>
    <row r="1181" spans="1:10" x14ac:dyDescent="0.2">
      <c r="A1181" s="3">
        <v>1200</v>
      </c>
      <c r="B1181" s="3">
        <v>8.9100000000000002E-7</v>
      </c>
      <c r="C1181" s="2">
        <v>6.1460000000000001E-2</v>
      </c>
      <c r="D1181" s="3">
        <v>223000</v>
      </c>
      <c r="E1181" s="3">
        <v>79400000000</v>
      </c>
      <c r="F1181" s="3">
        <v>74000000000</v>
      </c>
      <c r="G1181" s="3">
        <v>1110000000</v>
      </c>
      <c r="H1181" s="3">
        <v>9800000000</v>
      </c>
      <c r="I1181" s="2">
        <v>1.504E-2</v>
      </c>
      <c r="J1181" s="3">
        <v>1.24E-12</v>
      </c>
    </row>
    <row r="1182" spans="1:10" x14ac:dyDescent="0.2">
      <c r="A1182" s="3">
        <v>1200</v>
      </c>
      <c r="B1182" s="3">
        <v>8.9199999999999999E-7</v>
      </c>
      <c r="C1182" s="2">
        <v>6.1510000000000002E-2</v>
      </c>
      <c r="D1182" s="3">
        <v>243000</v>
      </c>
      <c r="E1182" s="3">
        <v>86100000000</v>
      </c>
      <c r="F1182" s="3">
        <v>79700000000</v>
      </c>
      <c r="G1182" s="3">
        <v>8240000000</v>
      </c>
      <c r="H1182" s="3">
        <v>9560000000</v>
      </c>
      <c r="I1182" s="2">
        <v>0.1033</v>
      </c>
      <c r="J1182" s="3">
        <v>1.04E-12</v>
      </c>
    </row>
    <row r="1183" spans="1:10" x14ac:dyDescent="0.2">
      <c r="A1183" s="3">
        <v>1200</v>
      </c>
      <c r="B1183" s="3">
        <v>8.9400000000000004E-7</v>
      </c>
      <c r="C1183" s="2">
        <v>6.1559999999999997E-2</v>
      </c>
      <c r="D1183" s="3">
        <v>233000</v>
      </c>
      <c r="E1183" s="3">
        <v>82700000000</v>
      </c>
      <c r="F1183" s="3">
        <v>76800000000</v>
      </c>
      <c r="G1183" s="3">
        <v>4970000000</v>
      </c>
      <c r="H1183" s="3">
        <v>9660000000</v>
      </c>
      <c r="I1183" s="2">
        <v>6.479E-2</v>
      </c>
      <c r="J1183" s="3">
        <v>1.13E-12</v>
      </c>
    </row>
    <row r="1184" spans="1:10" x14ac:dyDescent="0.2">
      <c r="A1184" s="3">
        <v>1200</v>
      </c>
      <c r="B1184" s="3">
        <v>8.9500000000000001E-7</v>
      </c>
      <c r="C1184" s="2">
        <v>6.1609999999999998E-2</v>
      </c>
      <c r="D1184" s="3">
        <v>229000</v>
      </c>
      <c r="E1184" s="3">
        <v>81100000000</v>
      </c>
      <c r="F1184" s="3">
        <v>75400000000</v>
      </c>
      <c r="G1184" s="2">
        <v>0</v>
      </c>
      <c r="H1184" s="3">
        <v>9700000000</v>
      </c>
      <c r="I1184" s="2">
        <v>-6.1899999999999997E-2</v>
      </c>
      <c r="J1184" s="3">
        <v>1.18E-12</v>
      </c>
    </row>
    <row r="1185" spans="1:10" x14ac:dyDescent="0.2">
      <c r="A1185" s="3">
        <v>1200</v>
      </c>
      <c r="B1185" s="3">
        <v>8.9599999999999998E-7</v>
      </c>
      <c r="C1185" s="2">
        <v>6.1670000000000003E-2</v>
      </c>
      <c r="D1185" s="3">
        <v>227000</v>
      </c>
      <c r="E1185" s="3">
        <v>80600000000</v>
      </c>
      <c r="F1185" s="3">
        <v>74900000000</v>
      </c>
      <c r="G1185" s="3">
        <v>1550000000</v>
      </c>
      <c r="H1185" s="3">
        <v>9720000000</v>
      </c>
      <c r="I1185" s="2">
        <v>2.0729999999999998E-2</v>
      </c>
      <c r="J1185" s="3">
        <v>1.19E-12</v>
      </c>
    </row>
    <row r="1186" spans="1:10" x14ac:dyDescent="0.2">
      <c r="A1186" s="3">
        <v>1200</v>
      </c>
      <c r="B1186" s="3">
        <v>8.9700000000000005E-7</v>
      </c>
      <c r="C1186" s="2">
        <v>6.1719999999999997E-2</v>
      </c>
      <c r="D1186" s="3">
        <v>229000</v>
      </c>
      <c r="E1186" s="3">
        <v>81000000000</v>
      </c>
      <c r="F1186" s="3">
        <v>75300000000</v>
      </c>
      <c r="G1186" s="3">
        <v>4740000000</v>
      </c>
      <c r="H1186" s="3">
        <v>9690000000</v>
      </c>
      <c r="I1186" s="2">
        <v>6.2839999999999993E-2</v>
      </c>
      <c r="J1186" s="3">
        <v>1.18E-12</v>
      </c>
    </row>
    <row r="1187" spans="1:10" x14ac:dyDescent="0.2">
      <c r="A1187" s="3">
        <v>1200</v>
      </c>
      <c r="B1187" s="3">
        <v>8.9800000000000002E-7</v>
      </c>
      <c r="C1187" s="2">
        <v>6.1769999999999999E-2</v>
      </c>
      <c r="D1187" s="3">
        <v>247000</v>
      </c>
      <c r="E1187" s="3">
        <v>86900000000</v>
      </c>
      <c r="F1187" s="3">
        <v>80400000000</v>
      </c>
      <c r="G1187" s="3">
        <v>9510000000</v>
      </c>
      <c r="H1187" s="3">
        <v>9490000000</v>
      </c>
      <c r="I1187" s="2">
        <v>0.1182</v>
      </c>
      <c r="J1187" s="3">
        <v>1.0099999999999999E-12</v>
      </c>
    </row>
    <row r="1188" spans="1:10" x14ac:dyDescent="0.2">
      <c r="A1188" s="3">
        <v>1200</v>
      </c>
      <c r="B1188" s="3">
        <v>8.9899999999999999E-7</v>
      </c>
      <c r="C1188" s="2">
        <v>6.182E-2</v>
      </c>
      <c r="D1188" s="3">
        <v>242000</v>
      </c>
      <c r="E1188" s="3">
        <v>85200000000</v>
      </c>
      <c r="F1188" s="3">
        <v>78900000000</v>
      </c>
      <c r="G1188" s="3">
        <v>6140000000</v>
      </c>
      <c r="H1188" s="3">
        <v>9540000000</v>
      </c>
      <c r="I1188" s="2">
        <v>7.782E-2</v>
      </c>
      <c r="J1188" s="3">
        <v>1.0599999999999999E-12</v>
      </c>
    </row>
    <row r="1189" spans="1:10" x14ac:dyDescent="0.2">
      <c r="A1189" s="3">
        <v>1200</v>
      </c>
      <c r="B1189" s="3">
        <v>9.0100000000000003E-7</v>
      </c>
      <c r="C1189" s="2">
        <v>6.1870000000000001E-2</v>
      </c>
      <c r="D1189" s="3">
        <v>235000</v>
      </c>
      <c r="E1189" s="3">
        <v>82900000000</v>
      </c>
      <c r="F1189" s="3">
        <v>77000000000</v>
      </c>
      <c r="G1189" s="3">
        <v>843000000</v>
      </c>
      <c r="H1189" s="3">
        <v>9600000000</v>
      </c>
      <c r="I1189" s="2">
        <v>1.095E-2</v>
      </c>
      <c r="J1189" s="3">
        <v>1.1200000000000001E-12</v>
      </c>
    </row>
    <row r="1190" spans="1:10" x14ac:dyDescent="0.2">
      <c r="A1190" s="3">
        <v>1200</v>
      </c>
      <c r="B1190" s="3">
        <v>9.02E-7</v>
      </c>
      <c r="C1190" s="2">
        <v>6.1929999999999999E-2</v>
      </c>
      <c r="D1190" s="3">
        <v>235000</v>
      </c>
      <c r="E1190" s="3">
        <v>82800000000</v>
      </c>
      <c r="F1190" s="3">
        <v>76800000000</v>
      </c>
      <c r="G1190" s="3">
        <v>6890000000</v>
      </c>
      <c r="H1190" s="3">
        <v>9600000000</v>
      </c>
      <c r="I1190" s="2">
        <v>8.9719999999999994E-2</v>
      </c>
      <c r="J1190" s="3">
        <v>1.1200000000000001E-12</v>
      </c>
    </row>
    <row r="1191" spans="1:10" x14ac:dyDescent="0.2">
      <c r="A1191" s="3">
        <v>1200</v>
      </c>
      <c r="B1191" s="3">
        <v>9.0400000000000005E-7</v>
      </c>
      <c r="C1191" s="2">
        <v>6.198E-2</v>
      </c>
      <c r="D1191" s="3">
        <v>230000</v>
      </c>
      <c r="E1191" s="3">
        <v>81200000000</v>
      </c>
      <c r="F1191" s="3">
        <v>75500000000</v>
      </c>
      <c r="G1191" s="3">
        <v>11500000000</v>
      </c>
      <c r="H1191" s="3">
        <v>9640000000</v>
      </c>
      <c r="I1191" s="2">
        <v>0.1522</v>
      </c>
      <c r="J1191" s="3">
        <v>1.1700000000000001E-12</v>
      </c>
    </row>
    <row r="1192" spans="1:10" x14ac:dyDescent="0.2">
      <c r="A1192" s="3">
        <v>1200</v>
      </c>
      <c r="B1192" s="3">
        <v>9.0400000000000005E-7</v>
      </c>
      <c r="C1192" s="2">
        <v>6.2030000000000002E-2</v>
      </c>
      <c r="D1192" s="3">
        <v>239000</v>
      </c>
      <c r="E1192" s="3">
        <v>84100000000</v>
      </c>
      <c r="F1192" s="3">
        <v>78000000000</v>
      </c>
      <c r="G1192" s="3">
        <v>6560000000</v>
      </c>
      <c r="H1192" s="3">
        <v>9540000000</v>
      </c>
      <c r="I1192" s="2">
        <v>8.4070000000000006E-2</v>
      </c>
      <c r="J1192" s="3">
        <v>1.08E-12</v>
      </c>
    </row>
    <row r="1193" spans="1:10" x14ac:dyDescent="0.2">
      <c r="A1193" s="3">
        <v>1200</v>
      </c>
      <c r="B1193" s="3">
        <v>9.0500000000000002E-7</v>
      </c>
      <c r="C1193" s="2">
        <v>6.2080000000000003E-2</v>
      </c>
      <c r="D1193" s="3">
        <v>223000</v>
      </c>
      <c r="E1193" s="3">
        <v>78800000000</v>
      </c>
      <c r="F1193" s="3">
        <v>73400000000</v>
      </c>
      <c r="G1193" s="3">
        <v>6350000000</v>
      </c>
      <c r="H1193" s="3">
        <v>9730000000</v>
      </c>
      <c r="I1193" s="2">
        <v>8.6540000000000006E-2</v>
      </c>
      <c r="J1193" s="3">
        <v>1.2499999999999999E-12</v>
      </c>
    </row>
    <row r="1194" spans="1:10" x14ac:dyDescent="0.2">
      <c r="A1194" s="3">
        <v>1200</v>
      </c>
      <c r="B1194" s="3">
        <v>9.0699999999999996E-7</v>
      </c>
      <c r="C1194" s="2">
        <v>6.2140000000000001E-2</v>
      </c>
      <c r="D1194" s="3">
        <v>247000</v>
      </c>
      <c r="E1194" s="3">
        <v>86700000000</v>
      </c>
      <c r="F1194" s="3">
        <v>80200000000</v>
      </c>
      <c r="G1194" s="3">
        <v>10200000000</v>
      </c>
      <c r="H1194" s="3">
        <v>9450000000</v>
      </c>
      <c r="I1194" s="2">
        <v>0.12720000000000001</v>
      </c>
      <c r="J1194" s="3">
        <v>1.0200000000000001E-12</v>
      </c>
    </row>
    <row r="1195" spans="1:10" x14ac:dyDescent="0.2">
      <c r="A1195" s="3">
        <v>1200</v>
      </c>
      <c r="B1195" s="3">
        <v>9.0800000000000003E-7</v>
      </c>
      <c r="C1195" s="2">
        <v>6.2190000000000002E-2</v>
      </c>
      <c r="D1195" s="3">
        <v>232000</v>
      </c>
      <c r="E1195" s="3">
        <v>81400000000</v>
      </c>
      <c r="F1195" s="3">
        <v>75700000000</v>
      </c>
      <c r="G1195" s="3">
        <v>6150000000</v>
      </c>
      <c r="H1195" s="3">
        <v>9610000000</v>
      </c>
      <c r="I1195" s="2">
        <v>8.1229999999999997E-2</v>
      </c>
      <c r="J1195" s="3">
        <v>1.1599999999999999E-12</v>
      </c>
    </row>
    <row r="1196" spans="1:10" x14ac:dyDescent="0.2">
      <c r="A1196" s="3">
        <v>1200</v>
      </c>
      <c r="B1196" s="3">
        <v>9.09E-7</v>
      </c>
      <c r="C1196" s="2">
        <v>6.2239999999999997E-2</v>
      </c>
      <c r="D1196" s="3">
        <v>240000</v>
      </c>
      <c r="E1196" s="3">
        <v>83900000000</v>
      </c>
      <c r="F1196" s="3">
        <v>77800000000</v>
      </c>
      <c r="G1196" s="3">
        <v>10100000000</v>
      </c>
      <c r="H1196" s="3">
        <v>9530000000</v>
      </c>
      <c r="I1196" s="2">
        <v>0.1295</v>
      </c>
      <c r="J1196" s="3">
        <v>1.09E-12</v>
      </c>
    </row>
    <row r="1197" spans="1:10" x14ac:dyDescent="0.2">
      <c r="A1197" s="3">
        <v>1200</v>
      </c>
      <c r="B1197" s="3">
        <v>9.0999999999999997E-7</v>
      </c>
      <c r="C1197" s="2">
        <v>6.2289999999999998E-2</v>
      </c>
      <c r="D1197" s="3">
        <v>265000</v>
      </c>
      <c r="E1197" s="3">
        <v>92300000000</v>
      </c>
      <c r="F1197" s="3">
        <v>85000000000</v>
      </c>
      <c r="G1197" s="3">
        <v>1710000000</v>
      </c>
      <c r="H1197" s="3">
        <v>9290000000</v>
      </c>
      <c r="I1197" s="2">
        <v>2.0119999999999999E-2</v>
      </c>
      <c r="J1197" s="3">
        <v>8.8799999999999995E-13</v>
      </c>
    </row>
    <row r="1198" spans="1:10" x14ac:dyDescent="0.2">
      <c r="A1198" s="3">
        <v>1200</v>
      </c>
      <c r="B1198" s="3">
        <v>9.1100000000000004E-7</v>
      </c>
      <c r="C1198" s="2">
        <v>6.234E-2</v>
      </c>
      <c r="D1198" s="3">
        <v>253000</v>
      </c>
      <c r="E1198" s="3">
        <v>88200000000</v>
      </c>
      <c r="F1198" s="3">
        <v>81500000000</v>
      </c>
      <c r="G1198" s="3">
        <v>230000000</v>
      </c>
      <c r="H1198" s="3">
        <v>9380000000</v>
      </c>
      <c r="I1198" s="2">
        <v>2.8249999999999998E-3</v>
      </c>
      <c r="J1198" s="3">
        <v>9.7600000000000008E-13</v>
      </c>
    </row>
    <row r="1199" spans="1:10" x14ac:dyDescent="0.2">
      <c r="A1199" s="3">
        <v>1200</v>
      </c>
      <c r="B1199" s="3">
        <v>9.1299999999999998E-7</v>
      </c>
      <c r="C1199" s="2">
        <v>6.2399999999999997E-2</v>
      </c>
      <c r="D1199" s="3">
        <v>281000</v>
      </c>
      <c r="E1199" s="3">
        <v>97400000000</v>
      </c>
      <c r="F1199" s="3">
        <v>89300000000</v>
      </c>
      <c r="G1199" s="3">
        <v>2690000000</v>
      </c>
      <c r="H1199" s="3">
        <v>9160000000</v>
      </c>
      <c r="I1199" s="2">
        <v>3.0120000000000001E-2</v>
      </c>
      <c r="J1199" s="3">
        <v>7.9299999999999995E-13</v>
      </c>
    </row>
    <row r="1200" spans="1:10" x14ac:dyDescent="0.2">
      <c r="A1200" s="3">
        <v>1200</v>
      </c>
      <c r="B1200" s="3">
        <v>9.1399999999999995E-7</v>
      </c>
      <c r="C1200" s="2">
        <v>6.2449999999999999E-2</v>
      </c>
      <c r="D1200" s="3">
        <v>232000</v>
      </c>
      <c r="E1200" s="3">
        <v>81100000000</v>
      </c>
      <c r="F1200" s="3">
        <v>75400000000</v>
      </c>
      <c r="G1200" s="2">
        <v>0</v>
      </c>
      <c r="H1200" s="3">
        <v>9590000000</v>
      </c>
      <c r="I1200" s="2">
        <v>-3.5810000000000002E-2</v>
      </c>
      <c r="J1200" s="3">
        <v>1.1599999999999999E-12</v>
      </c>
    </row>
    <row r="1201" spans="1:10" x14ac:dyDescent="0.2">
      <c r="A1201" s="3">
        <v>1200</v>
      </c>
      <c r="B1201" s="3">
        <v>9.1500000000000003E-7</v>
      </c>
      <c r="C1201" s="2">
        <v>6.25E-2</v>
      </c>
      <c r="D1201" s="3">
        <v>226000</v>
      </c>
      <c r="E1201" s="3">
        <v>79300000000</v>
      </c>
      <c r="F1201" s="3">
        <v>73800000000</v>
      </c>
      <c r="G1201" s="2">
        <v>0</v>
      </c>
      <c r="H1201" s="3">
        <v>9640000000</v>
      </c>
      <c r="I1201" s="2">
        <v>-2.9219999999999999E-2</v>
      </c>
      <c r="J1201" s="3">
        <v>1.2200000000000001E-12</v>
      </c>
    </row>
    <row r="1202" spans="1:10" x14ac:dyDescent="0.2">
      <c r="A1202" s="3">
        <v>1200</v>
      </c>
      <c r="B1202" s="3">
        <v>9.1699999999999997E-7</v>
      </c>
      <c r="C1202" s="2">
        <v>6.2549999999999994E-2</v>
      </c>
      <c r="D1202" s="3">
        <v>220000</v>
      </c>
      <c r="E1202" s="3">
        <v>77200000000</v>
      </c>
      <c r="F1202" s="3">
        <v>72000000000</v>
      </c>
      <c r="G1202" s="2">
        <v>0</v>
      </c>
      <c r="H1202" s="3">
        <v>9710000000</v>
      </c>
      <c r="I1202" s="2">
        <v>-1.443E-2</v>
      </c>
      <c r="J1202" s="3">
        <v>1.29E-12</v>
      </c>
    </row>
    <row r="1203" spans="1:10" x14ac:dyDescent="0.2">
      <c r="A1203" s="3">
        <v>1200</v>
      </c>
      <c r="B1203" s="3">
        <v>9.1800000000000004E-7</v>
      </c>
      <c r="C1203" s="2">
        <v>6.2600000000000003E-2</v>
      </c>
      <c r="D1203" s="3">
        <v>261000</v>
      </c>
      <c r="E1203" s="3">
        <v>90600000000</v>
      </c>
      <c r="F1203" s="3">
        <v>83500000000</v>
      </c>
      <c r="G1203" s="3">
        <v>3080000000</v>
      </c>
      <c r="H1203" s="3">
        <v>9280000000</v>
      </c>
      <c r="I1203" s="2">
        <v>3.6909999999999998E-2</v>
      </c>
      <c r="J1203" s="3">
        <v>9.1799999999999993E-13</v>
      </c>
    </row>
    <row r="1204" spans="1:10" x14ac:dyDescent="0.2">
      <c r="A1204" s="3">
        <v>1200</v>
      </c>
      <c r="B1204" s="3">
        <v>9.1900000000000001E-7</v>
      </c>
      <c r="C1204" s="2">
        <v>6.2659999999999993E-2</v>
      </c>
      <c r="D1204" s="3">
        <v>215000</v>
      </c>
      <c r="E1204" s="3">
        <v>75300000000</v>
      </c>
      <c r="F1204" s="3">
        <v>70400000000</v>
      </c>
      <c r="G1204" s="3">
        <v>12000000000</v>
      </c>
      <c r="H1204" s="3">
        <v>9770000000</v>
      </c>
      <c r="I1204" s="2">
        <v>0.17019999999999999</v>
      </c>
      <c r="J1204" s="3">
        <v>1.3600000000000001E-12</v>
      </c>
    </row>
    <row r="1205" spans="1:10" x14ac:dyDescent="0.2">
      <c r="A1205" s="3">
        <v>1200</v>
      </c>
      <c r="B1205" s="3">
        <v>9.1999999999999998E-7</v>
      </c>
      <c r="C1205" s="2">
        <v>6.2710000000000002E-2</v>
      </c>
      <c r="D1205" s="3">
        <v>272000</v>
      </c>
      <c r="E1205" s="3">
        <v>94100000000</v>
      </c>
      <c r="F1205" s="3">
        <v>86500000000</v>
      </c>
      <c r="G1205" s="3">
        <v>7960000000</v>
      </c>
      <c r="H1205" s="3">
        <v>9190000000</v>
      </c>
      <c r="I1205" s="2">
        <v>9.2030000000000001E-2</v>
      </c>
      <c r="J1205" s="3">
        <v>8.4700000000000003E-13</v>
      </c>
    </row>
    <row r="1206" spans="1:10" x14ac:dyDescent="0.2">
      <c r="A1206" s="3">
        <v>1200</v>
      </c>
      <c r="B1206" s="3">
        <v>9.2099999999999995E-7</v>
      </c>
      <c r="C1206" s="2">
        <v>6.2759999999999996E-2</v>
      </c>
      <c r="D1206" s="3">
        <v>273000</v>
      </c>
      <c r="E1206" s="3">
        <v>94400000000</v>
      </c>
      <c r="F1206" s="3">
        <v>86800000000</v>
      </c>
      <c r="G1206" s="3">
        <v>7160000000</v>
      </c>
      <c r="H1206" s="3">
        <v>9180000000</v>
      </c>
      <c r="I1206" s="2">
        <v>8.2470000000000002E-2</v>
      </c>
      <c r="J1206" s="3">
        <v>8.3999999999999995E-13</v>
      </c>
    </row>
    <row r="1207" spans="1:10" x14ac:dyDescent="0.2">
      <c r="A1207" s="3">
        <v>1200</v>
      </c>
      <c r="B1207" s="3">
        <v>9.2299999999999999E-7</v>
      </c>
      <c r="C1207" s="2">
        <v>6.2810000000000005E-2</v>
      </c>
      <c r="D1207" s="3">
        <v>244000</v>
      </c>
      <c r="E1207" s="3">
        <v>84600000000</v>
      </c>
      <c r="F1207" s="3">
        <v>78400000000</v>
      </c>
      <c r="G1207" s="2">
        <v>0</v>
      </c>
      <c r="H1207" s="3">
        <v>9410000000</v>
      </c>
      <c r="I1207" s="2">
        <v>-3.7659999999999998E-3</v>
      </c>
      <c r="J1207" s="3">
        <v>1.0599999999999999E-12</v>
      </c>
    </row>
    <row r="1208" spans="1:10" x14ac:dyDescent="0.2">
      <c r="A1208" s="3">
        <v>1200</v>
      </c>
      <c r="B1208" s="3">
        <v>9.2399999999999996E-7</v>
      </c>
      <c r="C1208" s="2">
        <v>6.2869999999999995E-2</v>
      </c>
      <c r="D1208" s="3">
        <v>269000</v>
      </c>
      <c r="E1208" s="3">
        <v>92700000000</v>
      </c>
      <c r="F1208" s="3">
        <v>85300000000</v>
      </c>
      <c r="G1208" s="3">
        <v>5840000000</v>
      </c>
      <c r="H1208" s="3">
        <v>9190000000</v>
      </c>
      <c r="I1208" s="2">
        <v>6.8470000000000003E-2</v>
      </c>
      <c r="J1208" s="3">
        <v>8.7200000000000002E-13</v>
      </c>
    </row>
    <row r="1209" spans="1:10" x14ac:dyDescent="0.2">
      <c r="A1209" s="3">
        <v>1200</v>
      </c>
      <c r="B1209" s="3">
        <v>9.2500000000000004E-7</v>
      </c>
      <c r="C1209" s="2">
        <v>6.2920000000000004E-2</v>
      </c>
      <c r="D1209" s="3">
        <v>232000</v>
      </c>
      <c r="E1209" s="3">
        <v>80700000000</v>
      </c>
      <c r="F1209" s="3">
        <v>75100000000</v>
      </c>
      <c r="G1209" s="3">
        <v>6870000000</v>
      </c>
      <c r="H1209" s="3">
        <v>9520000000</v>
      </c>
      <c r="I1209" s="2">
        <v>9.1560000000000002E-2</v>
      </c>
      <c r="J1209" s="3">
        <v>1.1700000000000001E-12</v>
      </c>
    </row>
    <row r="1210" spans="1:10" x14ac:dyDescent="0.2">
      <c r="A1210" s="3">
        <v>1200</v>
      </c>
      <c r="B1210" s="3">
        <v>9.2699999999999998E-7</v>
      </c>
      <c r="C1210" s="2">
        <v>6.2969999999999998E-2</v>
      </c>
      <c r="D1210" s="3">
        <v>239000</v>
      </c>
      <c r="E1210" s="3">
        <v>82800000000</v>
      </c>
      <c r="F1210" s="3">
        <v>76900000000</v>
      </c>
      <c r="G1210" s="3">
        <v>3170000000</v>
      </c>
      <c r="H1210" s="3">
        <v>9440000000</v>
      </c>
      <c r="I1210" s="2">
        <v>4.1259999999999998E-2</v>
      </c>
      <c r="J1210" s="3">
        <v>1.1E-12</v>
      </c>
    </row>
    <row r="1211" spans="1:10" x14ac:dyDescent="0.2">
      <c r="A1211" s="3">
        <v>1200</v>
      </c>
      <c r="B1211" s="3">
        <v>9.2800000000000005E-7</v>
      </c>
      <c r="C1211" s="2">
        <v>6.3020000000000007E-2</v>
      </c>
      <c r="D1211" s="3">
        <v>228000</v>
      </c>
      <c r="E1211" s="3">
        <v>79200000000</v>
      </c>
      <c r="F1211" s="3">
        <v>73800000000</v>
      </c>
      <c r="G1211" s="3">
        <v>3710000000</v>
      </c>
      <c r="H1211" s="3">
        <v>9550000000</v>
      </c>
      <c r="I1211" s="2">
        <v>5.0229999999999997E-2</v>
      </c>
      <c r="J1211" s="3">
        <v>1.2100000000000001E-12</v>
      </c>
    </row>
    <row r="1212" spans="1:10" x14ac:dyDescent="0.2">
      <c r="A1212" s="3">
        <v>1200</v>
      </c>
      <c r="B1212" s="3">
        <v>9.2900000000000002E-7</v>
      </c>
      <c r="C1212" s="2">
        <v>6.3070000000000001E-2</v>
      </c>
      <c r="D1212" s="3">
        <v>246000</v>
      </c>
      <c r="E1212" s="3">
        <v>84800000000</v>
      </c>
      <c r="F1212" s="3">
        <v>78600000000</v>
      </c>
      <c r="G1212" s="2">
        <v>0</v>
      </c>
      <c r="H1212" s="3">
        <v>9370000000</v>
      </c>
      <c r="I1212" s="2">
        <v>-9.3009999999999995E-2</v>
      </c>
      <c r="J1212" s="3">
        <v>1.05E-12</v>
      </c>
    </row>
    <row r="1213" spans="1:10" x14ac:dyDescent="0.2">
      <c r="A1213" s="3">
        <v>1200</v>
      </c>
      <c r="B1213" s="3">
        <v>9.2999999999999999E-7</v>
      </c>
      <c r="C1213" s="2">
        <v>6.3130000000000006E-2</v>
      </c>
      <c r="D1213" s="3">
        <v>248000</v>
      </c>
      <c r="E1213" s="3">
        <v>85500000000</v>
      </c>
      <c r="F1213" s="3">
        <v>79200000000</v>
      </c>
      <c r="G1213" s="3">
        <v>9830000000</v>
      </c>
      <c r="H1213" s="3">
        <v>9340000000</v>
      </c>
      <c r="I1213" s="2">
        <v>0.1241</v>
      </c>
      <c r="J1213" s="3">
        <v>1.0300000000000001E-12</v>
      </c>
    </row>
    <row r="1214" spans="1:10" x14ac:dyDescent="0.2">
      <c r="A1214" s="3">
        <v>1200</v>
      </c>
      <c r="B1214" s="3">
        <v>9.3099999999999996E-7</v>
      </c>
      <c r="C1214" s="2">
        <v>6.318E-2</v>
      </c>
      <c r="D1214" s="3">
        <v>253000</v>
      </c>
      <c r="E1214" s="3">
        <v>87100000000</v>
      </c>
      <c r="F1214" s="3">
        <v>80500000000</v>
      </c>
      <c r="G1214" s="3">
        <v>6760000000</v>
      </c>
      <c r="H1214" s="3">
        <v>9300000000</v>
      </c>
      <c r="I1214" s="2">
        <v>8.3879999999999996E-2</v>
      </c>
      <c r="J1214" s="3">
        <v>9.9000000000000002E-13</v>
      </c>
    </row>
    <row r="1215" spans="1:10" x14ac:dyDescent="0.2">
      <c r="A1215" s="3">
        <v>1200</v>
      </c>
      <c r="B1215" s="3">
        <v>9.3200000000000003E-7</v>
      </c>
      <c r="C1215" s="2">
        <v>6.3229999999999995E-2</v>
      </c>
      <c r="D1215" s="3">
        <v>247000</v>
      </c>
      <c r="E1215" s="3">
        <v>85100000000</v>
      </c>
      <c r="F1215" s="3">
        <v>78900000000</v>
      </c>
      <c r="G1215" s="2">
        <v>0</v>
      </c>
      <c r="H1215" s="3">
        <v>9350000000</v>
      </c>
      <c r="I1215" s="2">
        <v>-1.282E-2</v>
      </c>
      <c r="J1215" s="3">
        <v>1.04E-12</v>
      </c>
    </row>
    <row r="1216" spans="1:10" x14ac:dyDescent="0.2">
      <c r="A1216" s="3">
        <v>1200</v>
      </c>
      <c r="B1216" s="3">
        <v>9.3399999999999997E-7</v>
      </c>
      <c r="C1216" s="2">
        <v>6.3280000000000003E-2</v>
      </c>
      <c r="D1216" s="3">
        <v>216000</v>
      </c>
      <c r="E1216" s="3">
        <v>75200000000</v>
      </c>
      <c r="F1216" s="3">
        <v>70300000000</v>
      </c>
      <c r="G1216" s="3">
        <v>4830000000</v>
      </c>
      <c r="H1216" s="3">
        <v>9680000000</v>
      </c>
      <c r="I1216" s="2">
        <v>6.8739999999999996E-2</v>
      </c>
      <c r="J1216" s="3">
        <v>1.3499999999999999E-12</v>
      </c>
    </row>
    <row r="1217" spans="1:10" x14ac:dyDescent="0.2">
      <c r="A1217" s="3">
        <v>1200</v>
      </c>
      <c r="B1217" s="3">
        <v>9.3500000000000005E-7</v>
      </c>
      <c r="C1217" s="2">
        <v>6.3339999999999994E-2</v>
      </c>
      <c r="D1217" s="3">
        <v>233000</v>
      </c>
      <c r="E1217" s="3">
        <v>80300000000</v>
      </c>
      <c r="F1217" s="3">
        <v>74800000000</v>
      </c>
      <c r="G1217" s="2">
        <v>0</v>
      </c>
      <c r="H1217" s="3">
        <v>9480000000</v>
      </c>
      <c r="I1217" s="2">
        <v>-7.2069999999999999E-3</v>
      </c>
      <c r="J1217" s="3">
        <v>1.1700000000000001E-12</v>
      </c>
    </row>
    <row r="1218" spans="1:10" x14ac:dyDescent="0.2">
      <c r="A1218" s="3">
        <v>1200</v>
      </c>
      <c r="B1218" s="3">
        <v>9.3600000000000002E-7</v>
      </c>
      <c r="C1218" s="2">
        <v>6.3390000000000002E-2</v>
      </c>
      <c r="D1218" s="3">
        <v>222000</v>
      </c>
      <c r="E1218" s="3">
        <v>77000000000</v>
      </c>
      <c r="F1218" s="3">
        <v>71800000000</v>
      </c>
      <c r="G1218" s="3">
        <v>7190000000</v>
      </c>
      <c r="H1218" s="3">
        <v>9600000000</v>
      </c>
      <c r="I1218" s="2">
        <v>0.10009999999999999</v>
      </c>
      <c r="J1218" s="3">
        <v>1.29E-12</v>
      </c>
    </row>
    <row r="1219" spans="1:10" x14ac:dyDescent="0.2">
      <c r="A1219" s="3">
        <v>1200</v>
      </c>
      <c r="B1219" s="3">
        <v>9.3699999999999999E-7</v>
      </c>
      <c r="C1219" s="2">
        <v>6.3439999999999996E-2</v>
      </c>
      <c r="D1219" s="3">
        <v>221000</v>
      </c>
      <c r="E1219" s="3">
        <v>76600000000</v>
      </c>
      <c r="F1219" s="3">
        <v>71500000000</v>
      </c>
      <c r="G1219" s="3">
        <v>4040000000</v>
      </c>
      <c r="H1219" s="3">
        <v>9600000000</v>
      </c>
      <c r="I1219" s="2">
        <v>5.6469999999999999E-2</v>
      </c>
      <c r="J1219" s="3">
        <v>1.2999999999999999E-12</v>
      </c>
    </row>
    <row r="1220" spans="1:10" x14ac:dyDescent="0.2">
      <c r="A1220" s="3">
        <v>1200</v>
      </c>
      <c r="B1220" s="3">
        <v>9.3799999999999996E-7</v>
      </c>
      <c r="C1220" s="2">
        <v>6.3490000000000005E-2</v>
      </c>
      <c r="D1220" s="3">
        <v>219000</v>
      </c>
      <c r="E1220" s="3">
        <v>76000000000</v>
      </c>
      <c r="F1220" s="3">
        <v>71000000000</v>
      </c>
      <c r="G1220" s="3">
        <v>4270000000</v>
      </c>
      <c r="H1220" s="3">
        <v>9630000000</v>
      </c>
      <c r="I1220" s="2">
        <v>6.0199999999999997E-2</v>
      </c>
      <c r="J1220" s="3">
        <v>1.32E-12</v>
      </c>
    </row>
    <row r="1221" spans="1:10" x14ac:dyDescent="0.2">
      <c r="A1221" s="3">
        <v>1200</v>
      </c>
      <c r="B1221" s="3">
        <v>9.3900000000000003E-7</v>
      </c>
      <c r="C1221" s="2">
        <v>6.3539999999999999E-2</v>
      </c>
      <c r="D1221" s="3">
        <v>229000</v>
      </c>
      <c r="E1221" s="3">
        <v>79100000000</v>
      </c>
      <c r="F1221" s="3">
        <v>73700000000</v>
      </c>
      <c r="G1221" s="3">
        <v>3120000000</v>
      </c>
      <c r="H1221" s="3">
        <v>9500000000</v>
      </c>
      <c r="I1221" s="2">
        <v>4.2320000000000003E-2</v>
      </c>
      <c r="J1221" s="3">
        <v>1.2100000000000001E-12</v>
      </c>
    </row>
    <row r="1222" spans="1:10" x14ac:dyDescent="0.2">
      <c r="A1222" s="3">
        <v>1200</v>
      </c>
      <c r="B1222" s="3">
        <v>9.4099999999999997E-7</v>
      </c>
      <c r="C1222" s="2">
        <v>6.3600000000000004E-2</v>
      </c>
      <c r="D1222" s="3">
        <v>228000</v>
      </c>
      <c r="E1222" s="3">
        <v>78500000000</v>
      </c>
      <c r="F1222" s="3">
        <v>73200000000</v>
      </c>
      <c r="G1222" s="3">
        <v>11900000000</v>
      </c>
      <c r="H1222" s="3">
        <v>9510000000</v>
      </c>
      <c r="I1222" s="2">
        <v>0.16189999999999999</v>
      </c>
      <c r="J1222" s="3">
        <v>1.23E-12</v>
      </c>
    </row>
    <row r="1223" spans="1:10" x14ac:dyDescent="0.2">
      <c r="A1223" s="3">
        <v>1200</v>
      </c>
      <c r="B1223" s="3">
        <v>9.4200000000000004E-7</v>
      </c>
      <c r="C1223" s="2">
        <v>6.3649999999999998E-2</v>
      </c>
      <c r="D1223" s="3">
        <v>235000</v>
      </c>
      <c r="E1223" s="3">
        <v>80700000000</v>
      </c>
      <c r="F1223" s="3">
        <v>75100000000</v>
      </c>
      <c r="G1223" s="3">
        <v>3150000000</v>
      </c>
      <c r="H1223" s="3">
        <v>9430000000</v>
      </c>
      <c r="I1223" s="2">
        <v>4.197E-2</v>
      </c>
      <c r="J1223" s="3">
        <v>1.1599999999999999E-12</v>
      </c>
    </row>
    <row r="1224" spans="1:10" x14ac:dyDescent="0.2">
      <c r="A1224" s="3">
        <v>1200</v>
      </c>
      <c r="B1224" s="3">
        <v>9.4300000000000001E-7</v>
      </c>
      <c r="C1224" s="2">
        <v>6.3700000000000007E-2</v>
      </c>
      <c r="D1224" s="3">
        <v>226000</v>
      </c>
      <c r="E1224" s="3">
        <v>77800000000</v>
      </c>
      <c r="F1224" s="3">
        <v>72600000000</v>
      </c>
      <c r="G1224" s="3">
        <v>2170000000</v>
      </c>
      <c r="H1224" s="3">
        <v>9520000000</v>
      </c>
      <c r="I1224" s="2">
        <v>2.9909999999999999E-2</v>
      </c>
      <c r="J1224" s="3">
        <v>1.2499999999999999E-12</v>
      </c>
    </row>
    <row r="1225" spans="1:10" x14ac:dyDescent="0.2">
      <c r="A1225" s="3">
        <v>1200</v>
      </c>
      <c r="B1225" s="3">
        <v>9.4499999999999995E-7</v>
      </c>
      <c r="C1225" s="2">
        <v>6.3750000000000001E-2</v>
      </c>
      <c r="D1225" s="3">
        <v>237000</v>
      </c>
      <c r="E1225" s="3">
        <v>81200000000</v>
      </c>
      <c r="F1225" s="3">
        <v>75500000000</v>
      </c>
      <c r="G1225" s="3">
        <v>1460000000</v>
      </c>
      <c r="H1225" s="3">
        <v>9390000000</v>
      </c>
      <c r="I1225" s="2">
        <v>1.9300000000000001E-2</v>
      </c>
      <c r="J1225" s="3">
        <v>1.14E-12</v>
      </c>
    </row>
    <row r="1226" spans="1:10" x14ac:dyDescent="0.2">
      <c r="A1226" s="3">
        <v>1200</v>
      </c>
      <c r="B1226" s="3">
        <v>9.4600000000000003E-7</v>
      </c>
      <c r="C1226" s="2">
        <v>6.3799999999999996E-2</v>
      </c>
      <c r="D1226" s="3">
        <v>222000</v>
      </c>
      <c r="E1226" s="3">
        <v>76500000000</v>
      </c>
      <c r="F1226" s="3">
        <v>71400000000</v>
      </c>
      <c r="G1226" s="3">
        <v>12000000000</v>
      </c>
      <c r="H1226" s="3">
        <v>9550000000</v>
      </c>
      <c r="I1226" s="2">
        <v>0.16769999999999999</v>
      </c>
      <c r="J1226" s="3">
        <v>1.29E-12</v>
      </c>
    </row>
    <row r="1227" spans="1:10" x14ac:dyDescent="0.2">
      <c r="A1227" s="3">
        <v>1200</v>
      </c>
      <c r="B1227" s="3">
        <v>9.4799999999999997E-7</v>
      </c>
      <c r="C1227" s="2">
        <v>6.386E-2</v>
      </c>
      <c r="D1227" s="3">
        <v>243000</v>
      </c>
      <c r="E1227" s="3">
        <v>83000000000</v>
      </c>
      <c r="F1227" s="3">
        <v>77100000000</v>
      </c>
      <c r="G1227" s="3">
        <v>8360000000</v>
      </c>
      <c r="H1227" s="3">
        <v>9320000000</v>
      </c>
      <c r="I1227" s="2">
        <v>0.1084</v>
      </c>
      <c r="J1227" s="3">
        <v>1.08E-12</v>
      </c>
    </row>
    <row r="1228" spans="1:10" x14ac:dyDescent="0.2">
      <c r="A1228" s="3">
        <v>1200</v>
      </c>
      <c r="B1228" s="3">
        <v>9.4900000000000004E-7</v>
      </c>
      <c r="C1228" s="2">
        <v>6.3909999999999995E-2</v>
      </c>
      <c r="D1228" s="3">
        <v>244000</v>
      </c>
      <c r="E1228" s="3">
        <v>83300000000</v>
      </c>
      <c r="F1228" s="3">
        <v>77300000000</v>
      </c>
      <c r="G1228" s="3">
        <v>6030000000</v>
      </c>
      <c r="H1228" s="3">
        <v>9300000000</v>
      </c>
      <c r="I1228" s="2">
        <v>7.7979999999999994E-2</v>
      </c>
      <c r="J1228" s="3">
        <v>1.08E-12</v>
      </c>
    </row>
    <row r="1229" spans="1:10" x14ac:dyDescent="0.2">
      <c r="A1229" s="3">
        <v>1200</v>
      </c>
      <c r="B1229" s="3">
        <v>9.5000000000000001E-7</v>
      </c>
      <c r="C1229" s="2">
        <v>6.3960000000000003E-2</v>
      </c>
      <c r="D1229" s="3">
        <v>237000</v>
      </c>
      <c r="E1229" s="3">
        <v>81200000000</v>
      </c>
      <c r="F1229" s="3">
        <v>75500000000</v>
      </c>
      <c r="G1229" s="3">
        <v>7340000000</v>
      </c>
      <c r="H1229" s="3">
        <v>9360000000</v>
      </c>
      <c r="I1229" s="2">
        <v>9.7280000000000005E-2</v>
      </c>
      <c r="J1229" s="3">
        <v>1.13E-12</v>
      </c>
    </row>
    <row r="1230" spans="1:10" x14ac:dyDescent="0.2">
      <c r="A1230" s="3">
        <v>1200</v>
      </c>
      <c r="B1230" s="3">
        <v>9.540000000000001E-7</v>
      </c>
      <c r="C1230" s="2">
        <v>6.4009999999999997E-2</v>
      </c>
      <c r="D1230" s="3">
        <v>241000</v>
      </c>
      <c r="E1230" s="3">
        <v>82000000000</v>
      </c>
      <c r="F1230" s="3">
        <v>76200000000</v>
      </c>
      <c r="G1230" s="3">
        <v>7180000000</v>
      </c>
      <c r="H1230" s="3">
        <v>9300000000</v>
      </c>
      <c r="I1230" s="2">
        <v>9.4329999999999997E-2</v>
      </c>
      <c r="J1230" s="3">
        <v>1.1099999999999999E-12</v>
      </c>
    </row>
    <row r="1231" spans="1:10" x14ac:dyDescent="0.2">
      <c r="A1231" s="3">
        <v>1200</v>
      </c>
      <c r="B1231" s="3">
        <v>9.569999999999999E-7</v>
      </c>
      <c r="C1231" s="2">
        <v>6.4060000000000006E-2</v>
      </c>
      <c r="D1231" s="3">
        <v>248000</v>
      </c>
      <c r="E1231" s="3">
        <v>84200000000</v>
      </c>
      <c r="F1231" s="3">
        <v>78100000000</v>
      </c>
      <c r="G1231" s="2">
        <v>0</v>
      </c>
      <c r="H1231" s="3">
        <v>9210000000</v>
      </c>
      <c r="I1231" s="2">
        <v>-4.5409999999999999E-2</v>
      </c>
      <c r="J1231" s="3">
        <v>1.04E-12</v>
      </c>
    </row>
    <row r="1232" spans="1:10" x14ac:dyDescent="0.2">
      <c r="A1232" s="3">
        <v>1200</v>
      </c>
      <c r="B1232" s="3">
        <v>9.5900000000000005E-7</v>
      </c>
      <c r="C1232" s="2">
        <v>6.411E-2</v>
      </c>
      <c r="D1232" s="3">
        <v>275000</v>
      </c>
      <c r="E1232" s="3">
        <v>93000000000</v>
      </c>
      <c r="F1232" s="3">
        <v>85600000000</v>
      </c>
      <c r="G1232" s="3">
        <v>8700000000</v>
      </c>
      <c r="H1232" s="3">
        <v>8970000000</v>
      </c>
      <c r="I1232" s="2">
        <v>0.1017</v>
      </c>
      <c r="J1232" s="3">
        <v>8.4600000000000003E-13</v>
      </c>
    </row>
    <row r="1233" spans="1:10" x14ac:dyDescent="0.2">
      <c r="A1233" s="3">
        <v>1200</v>
      </c>
      <c r="B1233" s="3">
        <v>9.6200000000000006E-7</v>
      </c>
      <c r="C1233" s="2">
        <v>6.4159999999999995E-2</v>
      </c>
      <c r="D1233" s="3">
        <v>260000</v>
      </c>
      <c r="E1233" s="3">
        <v>87800000000</v>
      </c>
      <c r="F1233" s="3">
        <v>81200000000</v>
      </c>
      <c r="G1233" s="3">
        <v>10600000000</v>
      </c>
      <c r="H1233" s="3">
        <v>9060000000</v>
      </c>
      <c r="I1233" s="2">
        <v>0.13</v>
      </c>
      <c r="J1233" s="3">
        <v>9.490000000000001E-13</v>
      </c>
    </row>
    <row r="1234" spans="1:10" x14ac:dyDescent="0.2">
      <c r="A1234" s="3">
        <v>1200</v>
      </c>
      <c r="B1234" s="3">
        <v>9.6500000000000008E-7</v>
      </c>
      <c r="C1234" s="2">
        <v>6.4219999999999999E-2</v>
      </c>
      <c r="D1234" s="3">
        <v>231000</v>
      </c>
      <c r="E1234" s="3">
        <v>78200000000</v>
      </c>
      <c r="F1234" s="3">
        <v>72900000000</v>
      </c>
      <c r="G1234" s="3">
        <v>2520000000</v>
      </c>
      <c r="H1234" s="3">
        <v>9300000000</v>
      </c>
      <c r="I1234" s="2">
        <v>3.4529999999999998E-2</v>
      </c>
      <c r="J1234" s="3">
        <v>1.2100000000000001E-12</v>
      </c>
    </row>
    <row r="1235" spans="1:10" x14ac:dyDescent="0.2">
      <c r="A1235" s="3">
        <v>1200</v>
      </c>
      <c r="B1235" s="3">
        <v>9.6800000000000009E-7</v>
      </c>
      <c r="C1235" s="2">
        <v>6.4269999999999994E-2</v>
      </c>
      <c r="D1235" s="3">
        <v>222000</v>
      </c>
      <c r="E1235" s="3">
        <v>75400000000</v>
      </c>
      <c r="F1235" s="3">
        <v>70500000000</v>
      </c>
      <c r="G1235" s="3">
        <v>2800000000</v>
      </c>
      <c r="H1235" s="3">
        <v>9380000000</v>
      </c>
      <c r="I1235" s="2">
        <v>3.9669999999999997E-2</v>
      </c>
      <c r="J1235" s="3">
        <v>1.2999999999999999E-12</v>
      </c>
    </row>
    <row r="1236" spans="1:10" x14ac:dyDescent="0.2">
      <c r="A1236" s="3">
        <v>1200</v>
      </c>
      <c r="B1236" s="3">
        <v>9.7000000000000003E-7</v>
      </c>
      <c r="C1236" s="2">
        <v>6.4320000000000002E-2</v>
      </c>
      <c r="D1236" s="3">
        <v>255000</v>
      </c>
      <c r="E1236" s="3">
        <v>85800000000</v>
      </c>
      <c r="F1236" s="3">
        <v>79500000000</v>
      </c>
      <c r="G1236" s="3">
        <v>8890000000</v>
      </c>
      <c r="H1236" s="3">
        <v>9050000000</v>
      </c>
      <c r="I1236" s="2">
        <v>0.1119</v>
      </c>
      <c r="J1236" s="3">
        <v>9.9000000000000002E-13</v>
      </c>
    </row>
    <row r="1237" spans="1:10" x14ac:dyDescent="0.2">
      <c r="A1237" s="3">
        <v>1200</v>
      </c>
      <c r="B1237" s="3">
        <v>9.7199999999999997E-7</v>
      </c>
      <c r="C1237" s="2">
        <v>6.4380000000000007E-2</v>
      </c>
      <c r="D1237" s="3">
        <v>245000</v>
      </c>
      <c r="E1237" s="3">
        <v>82400000000</v>
      </c>
      <c r="F1237" s="3">
        <v>76500000000</v>
      </c>
      <c r="G1237" s="2">
        <v>0</v>
      </c>
      <c r="H1237" s="3">
        <v>9120000000</v>
      </c>
      <c r="I1237" s="2">
        <v>-6.3399999999999998E-2</v>
      </c>
      <c r="J1237" s="3">
        <v>1.08E-12</v>
      </c>
    </row>
    <row r="1238" spans="1:10" x14ac:dyDescent="0.2">
      <c r="A1238" s="3">
        <v>1200</v>
      </c>
      <c r="B1238" s="3">
        <v>9.7399999999999991E-7</v>
      </c>
      <c r="C1238" s="2">
        <v>6.4430000000000001E-2</v>
      </c>
      <c r="D1238" s="3">
        <v>231000</v>
      </c>
      <c r="E1238" s="3">
        <v>78000000000</v>
      </c>
      <c r="F1238" s="3">
        <v>72700000000</v>
      </c>
      <c r="G1238" s="3">
        <v>5950000000</v>
      </c>
      <c r="H1238" s="3">
        <v>9240000000</v>
      </c>
      <c r="I1238" s="2">
        <v>8.1860000000000002E-2</v>
      </c>
      <c r="J1238" s="3">
        <v>1.2100000000000001E-12</v>
      </c>
    </row>
    <row r="1239" spans="1:10" x14ac:dyDescent="0.2">
      <c r="A1239" s="3">
        <v>1200</v>
      </c>
      <c r="B1239" s="3">
        <v>9.7499999999999998E-7</v>
      </c>
      <c r="C1239" s="2">
        <v>6.4479999999999996E-2</v>
      </c>
      <c r="D1239" s="3">
        <v>231000</v>
      </c>
      <c r="E1239" s="3">
        <v>77900000000</v>
      </c>
      <c r="F1239" s="3">
        <v>72700000000</v>
      </c>
      <c r="G1239" s="3">
        <v>6770000000</v>
      </c>
      <c r="H1239" s="3">
        <v>9230000000</v>
      </c>
      <c r="I1239" s="2">
        <v>9.3079999999999996E-2</v>
      </c>
      <c r="J1239" s="3">
        <v>1.2100000000000001E-12</v>
      </c>
    </row>
    <row r="1240" spans="1:10" x14ac:dyDescent="0.2">
      <c r="A1240" s="3">
        <v>1200</v>
      </c>
      <c r="B1240" s="3">
        <v>9.78E-7</v>
      </c>
      <c r="C1240" s="2">
        <v>6.4530000000000004E-2</v>
      </c>
      <c r="D1240" s="3">
        <v>231000</v>
      </c>
      <c r="E1240" s="3">
        <v>77900000000</v>
      </c>
      <c r="F1240" s="3">
        <v>72600000000</v>
      </c>
      <c r="G1240" s="3">
        <v>8200000000</v>
      </c>
      <c r="H1240" s="3">
        <v>9210000000</v>
      </c>
      <c r="I1240" s="2">
        <v>0.1129</v>
      </c>
      <c r="J1240" s="3">
        <v>1.2100000000000001E-12</v>
      </c>
    </row>
    <row r="1241" spans="1:10" x14ac:dyDescent="0.2">
      <c r="A1241" s="3">
        <v>1200</v>
      </c>
      <c r="B1241" s="3">
        <v>9.7999999999999993E-7</v>
      </c>
      <c r="C1241" s="2">
        <v>6.4579999999999999E-2</v>
      </c>
      <c r="D1241" s="3">
        <v>261000</v>
      </c>
      <c r="E1241" s="3">
        <v>87300000000</v>
      </c>
      <c r="F1241" s="3">
        <v>80800000000</v>
      </c>
      <c r="G1241" s="3">
        <v>8150000000</v>
      </c>
      <c r="H1241" s="3">
        <v>8930000000</v>
      </c>
      <c r="I1241" s="2">
        <v>0.1009</v>
      </c>
      <c r="J1241" s="3">
        <v>9.4600000000000001E-13</v>
      </c>
    </row>
    <row r="1242" spans="1:10" x14ac:dyDescent="0.2">
      <c r="A1242" s="3">
        <v>1200</v>
      </c>
      <c r="B1242" s="3">
        <v>9.8299999999999995E-7</v>
      </c>
      <c r="C1242" s="2">
        <v>6.4640000000000003E-2</v>
      </c>
      <c r="D1242" s="3">
        <v>254000</v>
      </c>
      <c r="E1242" s="3">
        <v>84800000000</v>
      </c>
      <c r="F1242" s="3">
        <v>78600000000</v>
      </c>
      <c r="G1242" s="3">
        <v>2910000000</v>
      </c>
      <c r="H1242" s="3">
        <v>8970000000</v>
      </c>
      <c r="I1242" s="2">
        <v>3.703E-2</v>
      </c>
      <c r="J1242" s="3">
        <v>9.9999999999999998E-13</v>
      </c>
    </row>
    <row r="1243" spans="1:10" x14ac:dyDescent="0.2">
      <c r="A1243" s="3">
        <v>1200</v>
      </c>
      <c r="B1243" s="3">
        <v>9.8599999999999996E-7</v>
      </c>
      <c r="C1243" s="2">
        <v>6.4689999999999998E-2</v>
      </c>
      <c r="D1243" s="3">
        <v>260000</v>
      </c>
      <c r="E1243" s="3">
        <v>86500000000</v>
      </c>
      <c r="F1243" s="3">
        <v>80100000000</v>
      </c>
      <c r="G1243" s="2">
        <v>0</v>
      </c>
      <c r="H1243" s="3">
        <v>8900000000</v>
      </c>
      <c r="I1243" s="2">
        <v>-1.8280000000000001E-2</v>
      </c>
      <c r="J1243" s="3">
        <v>9.5900000000000005E-13</v>
      </c>
    </row>
    <row r="1244" spans="1:10" x14ac:dyDescent="0.2">
      <c r="A1244" s="3">
        <v>1200</v>
      </c>
      <c r="B1244" s="3">
        <v>9.8899999999999998E-7</v>
      </c>
      <c r="C1244" s="2">
        <v>6.4740000000000006E-2</v>
      </c>
      <c r="D1244" s="3">
        <v>257000</v>
      </c>
      <c r="E1244" s="3">
        <v>85500000000</v>
      </c>
      <c r="F1244" s="3">
        <v>79200000000</v>
      </c>
      <c r="G1244" s="3">
        <v>18500000000</v>
      </c>
      <c r="H1244" s="3">
        <v>8900000000</v>
      </c>
      <c r="I1244" s="2">
        <v>0.2331</v>
      </c>
      <c r="J1244" s="3">
        <v>9.7899999999999997E-13</v>
      </c>
    </row>
    <row r="1245" spans="1:10" x14ac:dyDescent="0.2">
      <c r="A1245" s="3">
        <v>1200</v>
      </c>
      <c r="B1245" s="3">
        <v>9.9099999999999991E-7</v>
      </c>
      <c r="C1245" s="2">
        <v>6.479E-2</v>
      </c>
      <c r="D1245" s="3">
        <v>242000</v>
      </c>
      <c r="E1245" s="3">
        <v>80500000000</v>
      </c>
      <c r="F1245" s="3">
        <v>74900000000</v>
      </c>
      <c r="G1245" s="3">
        <v>9920000000</v>
      </c>
      <c r="H1245" s="3">
        <v>9010000000</v>
      </c>
      <c r="I1245" s="2">
        <v>0.13239999999999999</v>
      </c>
      <c r="J1245" s="3">
        <v>1.1099999999999999E-12</v>
      </c>
    </row>
    <row r="1246" spans="1:10" x14ac:dyDescent="0.2">
      <c r="A1246" s="3">
        <v>1200</v>
      </c>
      <c r="B1246" s="3">
        <v>9.9300000000000006E-7</v>
      </c>
      <c r="C1246" s="2">
        <v>6.4850000000000005E-2</v>
      </c>
      <c r="D1246" s="3">
        <v>249000</v>
      </c>
      <c r="E1246" s="3">
        <v>82800000000</v>
      </c>
      <c r="F1246" s="3">
        <v>76800000000</v>
      </c>
      <c r="G1246" s="3">
        <v>5820000000</v>
      </c>
      <c r="H1246" s="3">
        <v>8940000000</v>
      </c>
      <c r="I1246" s="2">
        <v>7.571E-2</v>
      </c>
      <c r="J1246" s="3">
        <v>1.05E-12</v>
      </c>
    </row>
    <row r="1247" spans="1:10" x14ac:dyDescent="0.2">
      <c r="A1247" s="3">
        <v>1200</v>
      </c>
      <c r="B1247" s="3">
        <v>9.95E-7</v>
      </c>
      <c r="C1247" s="2">
        <v>6.4899999999999999E-2</v>
      </c>
      <c r="D1247" s="3">
        <v>232000</v>
      </c>
      <c r="E1247" s="3">
        <v>77200000000</v>
      </c>
      <c r="F1247" s="3">
        <v>72000000000</v>
      </c>
      <c r="G1247" s="3">
        <v>4440000000</v>
      </c>
      <c r="H1247" s="3">
        <v>9080000000</v>
      </c>
      <c r="I1247" s="2">
        <v>6.1629999999999997E-2</v>
      </c>
      <c r="J1247" s="3">
        <v>1.2100000000000001E-12</v>
      </c>
    </row>
    <row r="1248" spans="1:10" x14ac:dyDescent="0.2">
      <c r="A1248" s="3">
        <v>1200</v>
      </c>
      <c r="B1248" s="3">
        <v>9.9699999999999994E-7</v>
      </c>
      <c r="C1248" s="2">
        <v>6.4949999999999994E-2</v>
      </c>
      <c r="D1248" s="3">
        <v>253000</v>
      </c>
      <c r="E1248" s="3">
        <v>83700000000</v>
      </c>
      <c r="F1248" s="3">
        <v>77600000000</v>
      </c>
      <c r="G1248" s="3">
        <v>5820000000</v>
      </c>
      <c r="H1248" s="3">
        <v>8890000000</v>
      </c>
      <c r="I1248" s="2">
        <v>7.4999999999999997E-2</v>
      </c>
      <c r="J1248" s="3">
        <v>1.0200000000000001E-12</v>
      </c>
    </row>
    <row r="1249" spans="1:10" x14ac:dyDescent="0.2">
      <c r="A1249" s="3">
        <v>1200</v>
      </c>
      <c r="B1249" s="3">
        <v>9.9900000000000009E-7</v>
      </c>
      <c r="C1249" s="2">
        <v>6.5000000000000002E-2</v>
      </c>
      <c r="D1249" s="3">
        <v>255000</v>
      </c>
      <c r="E1249" s="3">
        <v>84500000000</v>
      </c>
      <c r="F1249" s="3">
        <v>78300000000</v>
      </c>
      <c r="G1249" s="2">
        <v>0</v>
      </c>
      <c r="H1249" s="3">
        <v>8860000000</v>
      </c>
      <c r="I1249" s="2">
        <v>-2.6339999999999999E-2</v>
      </c>
      <c r="J1249" s="3">
        <v>9.9700000000000009E-13</v>
      </c>
    </row>
    <row r="1250" spans="1:10" x14ac:dyDescent="0.2">
      <c r="A1250" s="3">
        <v>1200</v>
      </c>
      <c r="B1250" s="3">
        <v>9.9999999999999995E-7</v>
      </c>
      <c r="C1250" s="2">
        <v>6.5049999999999997E-2</v>
      </c>
      <c r="D1250" s="3">
        <v>249000</v>
      </c>
      <c r="E1250" s="3">
        <v>82400000000</v>
      </c>
      <c r="F1250" s="3">
        <v>76500000000</v>
      </c>
      <c r="G1250" s="3">
        <v>2160000000</v>
      </c>
      <c r="H1250" s="3">
        <v>8900000000</v>
      </c>
      <c r="I1250" s="2">
        <v>2.827E-2</v>
      </c>
      <c r="J1250" s="3">
        <v>1.05E-12</v>
      </c>
    </row>
    <row r="1251" spans="1:10" x14ac:dyDescent="0.2">
      <c r="A1251" s="3">
        <v>1200</v>
      </c>
      <c r="B1251" s="3">
        <v>9.9999999999999995E-7</v>
      </c>
      <c r="C1251" s="2">
        <v>6.5110000000000001E-2</v>
      </c>
      <c r="D1251" s="3">
        <v>249000</v>
      </c>
      <c r="E1251" s="3">
        <v>82300000000</v>
      </c>
      <c r="F1251" s="3">
        <v>76400000000</v>
      </c>
      <c r="G1251" s="3">
        <v>581000000</v>
      </c>
      <c r="H1251" s="3">
        <v>8890000000</v>
      </c>
      <c r="I1251" s="2">
        <v>7.607E-3</v>
      </c>
      <c r="J1251" s="3">
        <v>1.05E-12</v>
      </c>
    </row>
    <row r="1252" spans="1:10" x14ac:dyDescent="0.2">
      <c r="A1252" s="3">
        <v>1300</v>
      </c>
      <c r="B1252" s="3">
        <v>9.9999999999999995E-7</v>
      </c>
      <c r="C1252" s="2">
        <v>6.5159999999999996E-2</v>
      </c>
      <c r="D1252" s="3">
        <v>238000</v>
      </c>
      <c r="E1252" s="3">
        <v>78900000000</v>
      </c>
      <c r="F1252" s="3">
        <v>73500000000</v>
      </c>
      <c r="G1252" s="3">
        <v>13200000000</v>
      </c>
      <c r="H1252" s="3">
        <v>8970000000</v>
      </c>
      <c r="I1252" s="2">
        <v>0.1792</v>
      </c>
      <c r="J1252" s="3">
        <v>1.1499999999999999E-12</v>
      </c>
    </row>
    <row r="1253" spans="1:10" x14ac:dyDescent="0.2">
      <c r="A1253" s="3">
        <v>1300</v>
      </c>
      <c r="B1253" s="3">
        <v>1.0100000000000001E-6</v>
      </c>
      <c r="C1253" s="2">
        <v>6.5210000000000004E-2</v>
      </c>
      <c r="D1253" s="3">
        <v>241000</v>
      </c>
      <c r="E1253" s="3">
        <v>79700000000</v>
      </c>
      <c r="F1253" s="3">
        <v>74200000000</v>
      </c>
      <c r="G1253" s="3">
        <v>8240000000</v>
      </c>
      <c r="H1253" s="3">
        <v>8940000000</v>
      </c>
      <c r="I1253" s="2">
        <v>0.111</v>
      </c>
      <c r="J1253" s="3">
        <v>1.1200000000000001E-12</v>
      </c>
    </row>
    <row r="1254" spans="1:10" x14ac:dyDescent="0.2">
      <c r="A1254" s="3">
        <v>1300</v>
      </c>
      <c r="B1254" s="3">
        <v>1.0100000000000001E-6</v>
      </c>
      <c r="C1254" s="2">
        <v>6.5269999999999995E-2</v>
      </c>
      <c r="D1254" s="3">
        <v>228000</v>
      </c>
      <c r="E1254" s="3">
        <v>75500000000</v>
      </c>
      <c r="F1254" s="3">
        <v>70600000000</v>
      </c>
      <c r="G1254" s="3">
        <v>1930000000</v>
      </c>
      <c r="H1254" s="3">
        <v>9040000000</v>
      </c>
      <c r="I1254" s="2">
        <v>2.7289999999999998E-2</v>
      </c>
      <c r="J1254" s="3">
        <v>1.2499999999999999E-12</v>
      </c>
    </row>
    <row r="1255" spans="1:10" x14ac:dyDescent="0.2">
      <c r="A1255" s="3">
        <v>1300</v>
      </c>
      <c r="B1255" s="3">
        <v>1.0100000000000001E-6</v>
      </c>
      <c r="C1255" s="2">
        <v>6.5320000000000003E-2</v>
      </c>
      <c r="D1255" s="3">
        <v>259000</v>
      </c>
      <c r="E1255" s="3">
        <v>85200000000</v>
      </c>
      <c r="F1255" s="3">
        <v>78900000000</v>
      </c>
      <c r="G1255" s="3">
        <v>12200000000</v>
      </c>
      <c r="H1255" s="3">
        <v>8770000000</v>
      </c>
      <c r="I1255" s="2">
        <v>0.15429999999999999</v>
      </c>
      <c r="J1255" s="3">
        <v>9.7299999999999999E-13</v>
      </c>
    </row>
    <row r="1256" spans="1:10" x14ac:dyDescent="0.2">
      <c r="A1256" s="3">
        <v>1300</v>
      </c>
      <c r="B1256" s="3">
        <v>1.0100000000000001E-6</v>
      </c>
      <c r="C1256" s="2">
        <v>6.5369999999999998E-2</v>
      </c>
      <c r="D1256" s="3">
        <v>275000</v>
      </c>
      <c r="E1256" s="3">
        <v>90200000000</v>
      </c>
      <c r="F1256" s="3">
        <v>83200000000</v>
      </c>
      <c r="G1256" s="3">
        <v>4120000000</v>
      </c>
      <c r="H1256" s="3">
        <v>8660000000</v>
      </c>
      <c r="I1256" s="2">
        <v>4.9509999999999998E-2</v>
      </c>
      <c r="J1256" s="3">
        <v>8.6299999999999996E-13</v>
      </c>
    </row>
    <row r="1257" spans="1:10" x14ac:dyDescent="0.2">
      <c r="A1257" s="3">
        <v>1300</v>
      </c>
      <c r="B1257" s="3">
        <v>1.02E-6</v>
      </c>
      <c r="C1257" s="2">
        <v>6.5420000000000006E-2</v>
      </c>
      <c r="D1257" s="3">
        <v>243000</v>
      </c>
      <c r="E1257" s="3">
        <v>79800000000</v>
      </c>
      <c r="F1257" s="3">
        <v>74300000000</v>
      </c>
      <c r="G1257" s="3">
        <v>5420000000</v>
      </c>
      <c r="H1257" s="3">
        <v>8870000000</v>
      </c>
      <c r="I1257" s="2">
        <v>7.2910000000000003E-2</v>
      </c>
      <c r="J1257" s="3">
        <v>1.1099999999999999E-12</v>
      </c>
    </row>
    <row r="1258" spans="1:10" x14ac:dyDescent="0.2">
      <c r="A1258" s="3">
        <v>1300</v>
      </c>
      <c r="B1258" s="3">
        <v>1.02E-6</v>
      </c>
      <c r="C1258" s="2">
        <v>6.547E-2</v>
      </c>
      <c r="D1258" s="3">
        <v>276000</v>
      </c>
      <c r="E1258" s="3">
        <v>90200000000</v>
      </c>
      <c r="F1258" s="3">
        <v>83300000000</v>
      </c>
      <c r="G1258" s="3">
        <v>462000000</v>
      </c>
      <c r="H1258" s="3">
        <v>8620000000</v>
      </c>
      <c r="I1258" s="2">
        <v>5.5510000000000004E-3</v>
      </c>
      <c r="J1258" s="3">
        <v>8.5899999999999997E-13</v>
      </c>
    </row>
    <row r="1259" spans="1:10" x14ac:dyDescent="0.2">
      <c r="A1259" s="3">
        <v>1300</v>
      </c>
      <c r="B1259" s="3">
        <v>1.02E-6</v>
      </c>
      <c r="C1259" s="2">
        <v>6.5530000000000005E-2</v>
      </c>
      <c r="D1259" s="3">
        <v>258000</v>
      </c>
      <c r="E1259" s="3">
        <v>84500000000</v>
      </c>
      <c r="F1259" s="3">
        <v>78300000000</v>
      </c>
      <c r="G1259" s="3">
        <v>12200000000</v>
      </c>
      <c r="H1259" s="3">
        <v>8720000000</v>
      </c>
      <c r="I1259" s="2">
        <v>0.15620000000000001</v>
      </c>
      <c r="J1259" s="3">
        <v>9.8200000000000006E-13</v>
      </c>
    </row>
    <row r="1260" spans="1:10" x14ac:dyDescent="0.2">
      <c r="A1260" s="3">
        <v>1300</v>
      </c>
      <c r="B1260" s="3">
        <v>1.02E-6</v>
      </c>
      <c r="C1260" s="2">
        <v>6.5579999999999999E-2</v>
      </c>
      <c r="D1260" s="3">
        <v>254000</v>
      </c>
      <c r="E1260" s="3">
        <v>83100000000</v>
      </c>
      <c r="F1260" s="3">
        <v>77100000000</v>
      </c>
      <c r="G1260" s="2">
        <v>0</v>
      </c>
      <c r="H1260" s="3">
        <v>8730000000</v>
      </c>
      <c r="I1260" s="2">
        <v>-4.8239999999999998E-2</v>
      </c>
      <c r="J1260" s="3">
        <v>1.0099999999999999E-12</v>
      </c>
    </row>
    <row r="1261" spans="1:10" x14ac:dyDescent="0.2">
      <c r="A1261" s="3">
        <v>1300</v>
      </c>
      <c r="B1261" s="3">
        <v>1.02E-6</v>
      </c>
      <c r="C1261" s="2">
        <v>6.5629999999999994E-2</v>
      </c>
      <c r="D1261" s="3">
        <v>247000</v>
      </c>
      <c r="E1261" s="3">
        <v>80600000000</v>
      </c>
      <c r="F1261" s="3">
        <v>75000000000</v>
      </c>
      <c r="G1261" s="3">
        <v>4310000000</v>
      </c>
      <c r="H1261" s="3">
        <v>8780000000</v>
      </c>
      <c r="I1261" s="2">
        <v>5.7450000000000001E-2</v>
      </c>
      <c r="J1261" s="3">
        <v>1.08E-12</v>
      </c>
    </row>
    <row r="1262" spans="1:10" x14ac:dyDescent="0.2">
      <c r="A1262" s="3">
        <v>1300</v>
      </c>
      <c r="B1262" s="3">
        <v>1.0300000000000001E-6</v>
      </c>
      <c r="C1262" s="2">
        <v>6.5680000000000002E-2</v>
      </c>
      <c r="D1262" s="3">
        <v>244000</v>
      </c>
      <c r="E1262" s="3">
        <v>79700000000</v>
      </c>
      <c r="F1262" s="3">
        <v>74200000000</v>
      </c>
      <c r="G1262" s="2">
        <v>0</v>
      </c>
      <c r="H1262" s="3">
        <v>8780000000</v>
      </c>
      <c r="I1262" s="2">
        <v>-5.7570000000000003E-2</v>
      </c>
      <c r="J1262" s="3">
        <v>1.1E-12</v>
      </c>
    </row>
    <row r="1263" spans="1:10" x14ac:dyDescent="0.2">
      <c r="A1263" s="3">
        <v>1300</v>
      </c>
      <c r="B1263" s="3">
        <v>1.0300000000000001E-6</v>
      </c>
      <c r="C1263" s="2">
        <v>6.5729999999999997E-2</v>
      </c>
      <c r="D1263" s="3">
        <v>263000</v>
      </c>
      <c r="E1263" s="3">
        <v>85300000000</v>
      </c>
      <c r="F1263" s="3">
        <v>79100000000</v>
      </c>
      <c r="G1263" s="3">
        <v>7780000000</v>
      </c>
      <c r="H1263" s="3">
        <v>8630000000</v>
      </c>
      <c r="I1263" s="2">
        <v>9.8449999999999996E-2</v>
      </c>
      <c r="J1263" s="3">
        <v>9.5300000000000008E-13</v>
      </c>
    </row>
    <row r="1264" spans="1:10" x14ac:dyDescent="0.2">
      <c r="A1264" s="3">
        <v>1300</v>
      </c>
      <c r="B1264" s="3">
        <v>1.0300000000000001E-6</v>
      </c>
      <c r="C1264" s="2">
        <v>6.5780000000000005E-2</v>
      </c>
      <c r="D1264" s="3">
        <v>242000</v>
      </c>
      <c r="E1264" s="3">
        <v>78600000000</v>
      </c>
      <c r="F1264" s="3">
        <v>73200000000</v>
      </c>
      <c r="G1264" s="3">
        <v>8300000000</v>
      </c>
      <c r="H1264" s="3">
        <v>8750000000</v>
      </c>
      <c r="I1264" s="2">
        <v>0.1133</v>
      </c>
      <c r="J1264" s="3">
        <v>1.13E-12</v>
      </c>
    </row>
    <row r="1265" spans="1:10" x14ac:dyDescent="0.2">
      <c r="A1265" s="3">
        <v>1300</v>
      </c>
      <c r="B1265" s="3">
        <v>1.04E-6</v>
      </c>
      <c r="C1265" s="2">
        <v>6.5839999999999996E-2</v>
      </c>
      <c r="D1265" s="3">
        <v>243000</v>
      </c>
      <c r="E1265" s="3">
        <v>78900000000</v>
      </c>
      <c r="F1265" s="3">
        <v>73500000000</v>
      </c>
      <c r="G1265" s="3">
        <v>2540000000</v>
      </c>
      <c r="H1265" s="3">
        <v>8710000000</v>
      </c>
      <c r="I1265" s="2">
        <v>3.4520000000000002E-2</v>
      </c>
      <c r="J1265" s="3">
        <v>1.1099999999999999E-12</v>
      </c>
    </row>
    <row r="1266" spans="1:10" x14ac:dyDescent="0.2">
      <c r="A1266" s="3">
        <v>1300</v>
      </c>
      <c r="B1266" s="3">
        <v>1.04E-6</v>
      </c>
      <c r="C1266" s="2">
        <v>6.5890000000000004E-2</v>
      </c>
      <c r="D1266" s="3">
        <v>267000</v>
      </c>
      <c r="E1266" s="3">
        <v>86100000000</v>
      </c>
      <c r="F1266" s="3">
        <v>79700000000</v>
      </c>
      <c r="G1266" s="3">
        <v>5560000000</v>
      </c>
      <c r="H1266" s="3">
        <v>8530000000</v>
      </c>
      <c r="I1266" s="2">
        <v>6.9769999999999999E-2</v>
      </c>
      <c r="J1266" s="3">
        <v>9.2699999999999999E-13</v>
      </c>
    </row>
    <row r="1267" spans="1:10" x14ac:dyDescent="0.2">
      <c r="A1267" s="3">
        <v>1300</v>
      </c>
      <c r="B1267" s="3">
        <v>1.04E-6</v>
      </c>
      <c r="C1267" s="2">
        <v>6.5939999999999999E-2</v>
      </c>
      <c r="D1267" s="3">
        <v>268000</v>
      </c>
      <c r="E1267" s="3">
        <v>86300000000</v>
      </c>
      <c r="F1267" s="3">
        <v>79900000000</v>
      </c>
      <c r="G1267" s="3">
        <v>10000000000</v>
      </c>
      <c r="H1267" s="3">
        <v>8510000000</v>
      </c>
      <c r="I1267" s="2">
        <v>0.1255</v>
      </c>
      <c r="J1267" s="3">
        <v>9.1900000000000002E-13</v>
      </c>
    </row>
    <row r="1268" spans="1:10" x14ac:dyDescent="0.2">
      <c r="A1268" s="3">
        <v>1300</v>
      </c>
      <c r="B1268" s="3">
        <v>1.0499999999999999E-6</v>
      </c>
      <c r="C1268" s="2">
        <v>6.5989999999999993E-2</v>
      </c>
      <c r="D1268" s="3">
        <v>231000</v>
      </c>
      <c r="E1268" s="3">
        <v>74600000000</v>
      </c>
      <c r="F1268" s="3">
        <v>69800000000</v>
      </c>
      <c r="G1268" s="3">
        <v>3860000000</v>
      </c>
      <c r="H1268" s="3">
        <v>8750000000</v>
      </c>
      <c r="I1268" s="2">
        <v>5.5280000000000003E-2</v>
      </c>
      <c r="J1268" s="3">
        <v>1.24E-12</v>
      </c>
    </row>
    <row r="1269" spans="1:10" x14ac:dyDescent="0.2">
      <c r="A1269" s="3">
        <v>1300</v>
      </c>
      <c r="B1269" s="3">
        <v>1.0499999999999999E-6</v>
      </c>
      <c r="C1269" s="2">
        <v>6.6049999999999998E-2</v>
      </c>
      <c r="D1269" s="3">
        <v>241000</v>
      </c>
      <c r="E1269" s="3">
        <v>77800000000</v>
      </c>
      <c r="F1269" s="3">
        <v>72500000000</v>
      </c>
      <c r="G1269" s="3">
        <v>790000000</v>
      </c>
      <c r="H1269" s="3">
        <v>8650000000</v>
      </c>
      <c r="I1269" s="2">
        <v>1.089E-2</v>
      </c>
      <c r="J1269" s="3">
        <v>1.14E-12</v>
      </c>
    </row>
    <row r="1270" spans="1:10" x14ac:dyDescent="0.2">
      <c r="A1270" s="3">
        <v>1300</v>
      </c>
      <c r="B1270" s="3">
        <v>1.0499999999999999E-6</v>
      </c>
      <c r="C1270" s="2">
        <v>6.6100000000000006E-2</v>
      </c>
      <c r="D1270" s="3">
        <v>235000</v>
      </c>
      <c r="E1270" s="3">
        <v>75800000000</v>
      </c>
      <c r="F1270" s="3">
        <v>70800000000</v>
      </c>
      <c r="G1270" s="3">
        <v>2980000000</v>
      </c>
      <c r="H1270" s="3">
        <v>8680000000</v>
      </c>
      <c r="I1270" s="2">
        <v>4.2099999999999999E-2</v>
      </c>
      <c r="J1270" s="3">
        <v>1.1999999999999999E-12</v>
      </c>
    </row>
    <row r="1271" spans="1:10" x14ac:dyDescent="0.2">
      <c r="A1271" s="3">
        <v>1300</v>
      </c>
      <c r="B1271" s="3">
        <v>1.06E-6</v>
      </c>
      <c r="C1271" s="2">
        <v>6.615E-2</v>
      </c>
      <c r="D1271" s="3">
        <v>253000</v>
      </c>
      <c r="E1271" s="3">
        <v>81100000000</v>
      </c>
      <c r="F1271" s="3">
        <v>75400000000</v>
      </c>
      <c r="G1271" s="3">
        <v>7000000000</v>
      </c>
      <c r="H1271" s="3">
        <v>8540000000</v>
      </c>
      <c r="I1271" s="2">
        <v>9.2840000000000006E-2</v>
      </c>
      <c r="J1271" s="3">
        <v>1.04E-12</v>
      </c>
    </row>
    <row r="1272" spans="1:10" x14ac:dyDescent="0.2">
      <c r="A1272" s="3">
        <v>1300</v>
      </c>
      <c r="B1272" s="3">
        <v>1.06E-6</v>
      </c>
      <c r="C1272" s="2">
        <v>6.6210000000000005E-2</v>
      </c>
      <c r="D1272" s="3">
        <v>235000</v>
      </c>
      <c r="E1272" s="3">
        <v>75700000000</v>
      </c>
      <c r="F1272" s="3">
        <v>70700000000</v>
      </c>
      <c r="G1272" s="3">
        <v>6650000000</v>
      </c>
      <c r="H1272" s="3">
        <v>8660000000</v>
      </c>
      <c r="I1272" s="2">
        <v>9.4039999999999999E-2</v>
      </c>
      <c r="J1272" s="3">
        <v>1.1999999999999999E-12</v>
      </c>
    </row>
    <row r="1273" spans="1:10" x14ac:dyDescent="0.2">
      <c r="A1273" s="3">
        <v>1300</v>
      </c>
      <c r="B1273" s="3">
        <v>1.06E-6</v>
      </c>
      <c r="C1273" s="2">
        <v>6.6259999999999999E-2</v>
      </c>
      <c r="D1273" s="3">
        <v>264000</v>
      </c>
      <c r="E1273" s="3">
        <v>84500000000</v>
      </c>
      <c r="F1273" s="3">
        <v>78300000000</v>
      </c>
      <c r="G1273" s="2">
        <v>0</v>
      </c>
      <c r="H1273" s="3">
        <v>8460000000</v>
      </c>
      <c r="I1273" s="2">
        <v>-2.9569999999999999E-2</v>
      </c>
      <c r="J1273" s="3">
        <v>9.5199999999999998E-13</v>
      </c>
    </row>
    <row r="1274" spans="1:10" x14ac:dyDescent="0.2">
      <c r="A1274" s="3">
        <v>1300</v>
      </c>
      <c r="B1274" s="3">
        <v>1.06E-6</v>
      </c>
      <c r="C1274" s="2">
        <v>6.6309999999999994E-2</v>
      </c>
      <c r="D1274" s="3">
        <v>242000</v>
      </c>
      <c r="E1274" s="3">
        <v>77600000000</v>
      </c>
      <c r="F1274" s="3">
        <v>72400000000</v>
      </c>
      <c r="G1274" s="3">
        <v>2660000000</v>
      </c>
      <c r="H1274" s="3">
        <v>8580000000</v>
      </c>
      <c r="I1274" s="2">
        <v>3.6740000000000002E-2</v>
      </c>
      <c r="J1274" s="3">
        <v>1.13E-12</v>
      </c>
    </row>
    <row r="1275" spans="1:10" x14ac:dyDescent="0.2">
      <c r="A1275" s="3">
        <v>1300</v>
      </c>
      <c r="B1275" s="3">
        <v>1.06E-6</v>
      </c>
      <c r="C1275" s="2">
        <v>6.6360000000000002E-2</v>
      </c>
      <c r="D1275" s="3">
        <v>236000</v>
      </c>
      <c r="E1275" s="3">
        <v>75500000000</v>
      </c>
      <c r="F1275" s="3">
        <v>70500000000</v>
      </c>
      <c r="G1275" s="3">
        <v>8340000000</v>
      </c>
      <c r="H1275" s="3">
        <v>8620000000</v>
      </c>
      <c r="I1275" s="2">
        <v>0.1182</v>
      </c>
      <c r="J1275" s="3">
        <v>1.1999999999999999E-12</v>
      </c>
    </row>
    <row r="1276" spans="1:10" x14ac:dyDescent="0.2">
      <c r="A1276" s="3">
        <v>1300</v>
      </c>
      <c r="B1276" s="3">
        <v>1.0699999999999999E-6</v>
      </c>
      <c r="C1276" s="2">
        <v>6.6420000000000007E-2</v>
      </c>
      <c r="D1276" s="3">
        <v>238000</v>
      </c>
      <c r="E1276" s="3">
        <v>76000000000</v>
      </c>
      <c r="F1276" s="3">
        <v>71000000000</v>
      </c>
      <c r="G1276" s="3">
        <v>4690000000</v>
      </c>
      <c r="H1276" s="3">
        <v>8600000000</v>
      </c>
      <c r="I1276" s="2">
        <v>6.6100000000000006E-2</v>
      </c>
      <c r="J1276" s="3">
        <v>1.18E-12</v>
      </c>
    </row>
    <row r="1277" spans="1:10" x14ac:dyDescent="0.2">
      <c r="A1277" s="3">
        <v>1300</v>
      </c>
      <c r="B1277" s="3">
        <v>1.0699999999999999E-6</v>
      </c>
      <c r="C1277" s="2">
        <v>6.6470000000000001E-2</v>
      </c>
      <c r="D1277" s="3">
        <v>244000</v>
      </c>
      <c r="E1277" s="3">
        <v>77900000000</v>
      </c>
      <c r="F1277" s="3">
        <v>72600000000</v>
      </c>
      <c r="G1277" s="3">
        <v>7130000000</v>
      </c>
      <c r="H1277" s="3">
        <v>8550000000</v>
      </c>
      <c r="I1277" s="2">
        <v>9.8180000000000003E-2</v>
      </c>
      <c r="J1277" s="3">
        <v>1.1200000000000001E-12</v>
      </c>
    </row>
    <row r="1278" spans="1:10" x14ac:dyDescent="0.2">
      <c r="A1278" s="3">
        <v>1300</v>
      </c>
      <c r="B1278" s="3">
        <v>1.0699999999999999E-6</v>
      </c>
      <c r="C1278" s="2">
        <v>6.6519999999999996E-2</v>
      </c>
      <c r="D1278" s="3">
        <v>246000</v>
      </c>
      <c r="E1278" s="3">
        <v>78400000000</v>
      </c>
      <c r="F1278" s="3">
        <v>73000000000</v>
      </c>
      <c r="G1278" s="3">
        <v>2200000000</v>
      </c>
      <c r="H1278" s="3">
        <v>8530000000</v>
      </c>
      <c r="I1278" s="2">
        <v>3.0079999999999999E-2</v>
      </c>
      <c r="J1278" s="3">
        <v>1.1E-12</v>
      </c>
    </row>
    <row r="1279" spans="1:10" x14ac:dyDescent="0.2">
      <c r="A1279" s="3">
        <v>1300</v>
      </c>
      <c r="B1279" s="3">
        <v>1.0699999999999999E-6</v>
      </c>
      <c r="C1279" s="2">
        <v>6.6570000000000004E-2</v>
      </c>
      <c r="D1279" s="3">
        <v>260000</v>
      </c>
      <c r="E1279" s="3">
        <v>82900000000</v>
      </c>
      <c r="F1279" s="3">
        <v>76900000000</v>
      </c>
      <c r="G1279" s="3">
        <v>4620000000</v>
      </c>
      <c r="H1279" s="3">
        <v>8430000000</v>
      </c>
      <c r="I1279" s="2">
        <v>5.9979999999999999E-2</v>
      </c>
      <c r="J1279" s="3">
        <v>9.8299999999999995E-13</v>
      </c>
    </row>
    <row r="1280" spans="1:10" x14ac:dyDescent="0.2">
      <c r="A1280" s="3">
        <v>1300</v>
      </c>
      <c r="B1280" s="3">
        <v>1.0699999999999999E-6</v>
      </c>
      <c r="C1280" s="2">
        <v>6.6619999999999999E-2</v>
      </c>
      <c r="D1280" s="3">
        <v>228000</v>
      </c>
      <c r="E1280" s="3">
        <v>72700000000</v>
      </c>
      <c r="F1280" s="3">
        <v>68100000000</v>
      </c>
      <c r="G1280" s="3">
        <v>12800000000</v>
      </c>
      <c r="H1280" s="3">
        <v>8650000000</v>
      </c>
      <c r="I1280" s="2">
        <v>0.18720000000000001</v>
      </c>
      <c r="J1280" s="3">
        <v>1.29E-12</v>
      </c>
    </row>
    <row r="1281" spans="1:10" x14ac:dyDescent="0.2">
      <c r="A1281" s="3">
        <v>1300</v>
      </c>
      <c r="B1281" s="3">
        <v>1.08E-6</v>
      </c>
      <c r="C1281" s="2">
        <v>6.6680000000000003E-2</v>
      </c>
      <c r="D1281" s="3">
        <v>246000</v>
      </c>
      <c r="E1281" s="3">
        <v>78300000000</v>
      </c>
      <c r="F1281" s="3">
        <v>73000000000</v>
      </c>
      <c r="G1281" s="3">
        <v>3120000000</v>
      </c>
      <c r="H1281" s="3">
        <v>8510000000</v>
      </c>
      <c r="I1281" s="2">
        <v>4.2720000000000001E-2</v>
      </c>
      <c r="J1281" s="3">
        <v>1.1E-12</v>
      </c>
    </row>
    <row r="1282" spans="1:10" x14ac:dyDescent="0.2">
      <c r="A1282" s="3">
        <v>1300</v>
      </c>
      <c r="B1282" s="3">
        <v>1.08E-6</v>
      </c>
      <c r="C1282" s="2">
        <v>6.6729999999999998E-2</v>
      </c>
      <c r="D1282" s="3">
        <v>232000</v>
      </c>
      <c r="E1282" s="3">
        <v>74000000000</v>
      </c>
      <c r="F1282" s="3">
        <v>69200000000</v>
      </c>
      <c r="G1282" s="3">
        <v>1770000000</v>
      </c>
      <c r="H1282" s="3">
        <v>8600000000</v>
      </c>
      <c r="I1282" s="2">
        <v>2.5590000000000002E-2</v>
      </c>
      <c r="J1282" s="3">
        <v>1.24E-12</v>
      </c>
    </row>
    <row r="1283" spans="1:10" x14ac:dyDescent="0.2">
      <c r="A1283" s="3">
        <v>1300</v>
      </c>
      <c r="B1283" s="3">
        <v>1.08E-6</v>
      </c>
      <c r="C1283" s="2">
        <v>6.6780000000000006E-2</v>
      </c>
      <c r="D1283" s="3">
        <v>218000</v>
      </c>
      <c r="E1283" s="3">
        <v>69600000000</v>
      </c>
      <c r="F1283" s="3">
        <v>65400000000</v>
      </c>
      <c r="G1283" s="3">
        <v>2670000000</v>
      </c>
      <c r="H1283" s="3">
        <v>8720000000</v>
      </c>
      <c r="I1283" s="2">
        <v>4.0800000000000003E-2</v>
      </c>
      <c r="J1283" s="3">
        <v>1.4100000000000001E-12</v>
      </c>
    </row>
    <row r="1284" spans="1:10" x14ac:dyDescent="0.2">
      <c r="A1284" s="3">
        <v>1300</v>
      </c>
      <c r="B1284" s="3">
        <v>1.08E-6</v>
      </c>
      <c r="C1284" s="2">
        <v>6.6830000000000001E-2</v>
      </c>
      <c r="D1284" s="3">
        <v>244000</v>
      </c>
      <c r="E1284" s="3">
        <v>77400000000</v>
      </c>
      <c r="F1284" s="3">
        <v>72200000000</v>
      </c>
      <c r="G1284" s="2">
        <v>0</v>
      </c>
      <c r="H1284" s="3">
        <v>8510000000</v>
      </c>
      <c r="I1284" s="2">
        <v>-2.4649999999999998E-2</v>
      </c>
      <c r="J1284" s="3">
        <v>1.13E-12</v>
      </c>
    </row>
    <row r="1285" spans="1:10" x14ac:dyDescent="0.2">
      <c r="A1285" s="3">
        <v>1300</v>
      </c>
      <c r="B1285" s="3">
        <v>1.08E-6</v>
      </c>
      <c r="C1285" s="2">
        <v>6.6879999999999995E-2</v>
      </c>
      <c r="D1285" s="3">
        <v>239000</v>
      </c>
      <c r="E1285" s="3">
        <v>75900000000</v>
      </c>
      <c r="F1285" s="3">
        <v>70900000000</v>
      </c>
      <c r="G1285" s="3">
        <v>3040000000</v>
      </c>
      <c r="H1285" s="3">
        <v>8540000000</v>
      </c>
      <c r="I1285" s="2">
        <v>4.283E-2</v>
      </c>
      <c r="J1285" s="3">
        <v>1.1700000000000001E-12</v>
      </c>
    </row>
    <row r="1286" spans="1:10" x14ac:dyDescent="0.2">
      <c r="A1286" s="3">
        <v>1300</v>
      </c>
      <c r="B1286" s="3">
        <v>1.08E-6</v>
      </c>
      <c r="C1286" s="2">
        <v>6.694E-2</v>
      </c>
      <c r="D1286" s="3">
        <v>242000</v>
      </c>
      <c r="E1286" s="3">
        <v>76900000000</v>
      </c>
      <c r="F1286" s="3">
        <v>71800000000</v>
      </c>
      <c r="G1286" s="3">
        <v>7150000000</v>
      </c>
      <c r="H1286" s="3">
        <v>8510000000</v>
      </c>
      <c r="I1286" s="2">
        <v>9.962E-2</v>
      </c>
      <c r="J1286" s="3">
        <v>1.14E-12</v>
      </c>
    </row>
    <row r="1287" spans="1:10" x14ac:dyDescent="0.2">
      <c r="A1287" s="3">
        <v>1300</v>
      </c>
      <c r="B1287" s="3">
        <v>1.08E-6</v>
      </c>
      <c r="C1287" s="2">
        <v>6.6989999999999994E-2</v>
      </c>
      <c r="D1287" s="3">
        <v>218000</v>
      </c>
      <c r="E1287" s="3">
        <v>69600000000</v>
      </c>
      <c r="F1287" s="3">
        <v>65400000000</v>
      </c>
      <c r="G1287" s="3">
        <v>4690000000</v>
      </c>
      <c r="H1287" s="3">
        <v>8690000000</v>
      </c>
      <c r="I1287" s="2">
        <v>7.1669999999999998E-2</v>
      </c>
      <c r="J1287" s="3">
        <v>1.4000000000000001E-12</v>
      </c>
    </row>
    <row r="1288" spans="1:10" x14ac:dyDescent="0.2">
      <c r="A1288" s="3">
        <v>1300</v>
      </c>
      <c r="B1288" s="3">
        <v>1.0899999999999999E-6</v>
      </c>
      <c r="C1288" s="2">
        <v>6.7040000000000002E-2</v>
      </c>
      <c r="D1288" s="3">
        <v>256000</v>
      </c>
      <c r="E1288" s="3">
        <v>81100000000</v>
      </c>
      <c r="F1288" s="3">
        <v>75400000000</v>
      </c>
      <c r="G1288" s="3">
        <v>7830000000</v>
      </c>
      <c r="H1288" s="3">
        <v>8410000000</v>
      </c>
      <c r="I1288" s="2">
        <v>0.1038</v>
      </c>
      <c r="J1288" s="3">
        <v>1.0200000000000001E-12</v>
      </c>
    </row>
    <row r="1289" spans="1:10" x14ac:dyDescent="0.2">
      <c r="A1289" s="3">
        <v>1300</v>
      </c>
      <c r="B1289" s="3">
        <v>1.0899999999999999E-6</v>
      </c>
      <c r="C1289" s="2">
        <v>6.7089999999999997E-2</v>
      </c>
      <c r="D1289" s="3">
        <v>256000</v>
      </c>
      <c r="E1289" s="3">
        <v>80900000000</v>
      </c>
      <c r="F1289" s="3">
        <v>75300000000</v>
      </c>
      <c r="G1289" s="3">
        <v>5020000000</v>
      </c>
      <c r="H1289" s="3">
        <v>8410000000</v>
      </c>
      <c r="I1289" s="2">
        <v>6.6729999999999998E-2</v>
      </c>
      <c r="J1289" s="3">
        <v>1.0300000000000001E-12</v>
      </c>
    </row>
    <row r="1290" spans="1:10" x14ac:dyDescent="0.2">
      <c r="A1290" s="3">
        <v>1300</v>
      </c>
      <c r="B1290" s="3">
        <v>1.0899999999999999E-6</v>
      </c>
      <c r="C1290" s="2">
        <v>6.7140000000000005E-2</v>
      </c>
      <c r="D1290" s="3">
        <v>254000</v>
      </c>
      <c r="E1290" s="3">
        <v>80400000000</v>
      </c>
      <c r="F1290" s="3">
        <v>74800000000</v>
      </c>
      <c r="G1290" s="3">
        <v>3880000000</v>
      </c>
      <c r="H1290" s="3">
        <v>8410000000</v>
      </c>
      <c r="I1290" s="2">
        <v>5.185E-2</v>
      </c>
      <c r="J1290" s="3">
        <v>1.04E-12</v>
      </c>
    </row>
    <row r="1291" spans="1:10" x14ac:dyDescent="0.2">
      <c r="A1291" s="3">
        <v>1300</v>
      </c>
      <c r="B1291" s="3">
        <v>1.0899999999999999E-6</v>
      </c>
      <c r="C1291" s="2">
        <v>6.7199999999999996E-2</v>
      </c>
      <c r="D1291" s="3">
        <v>259000</v>
      </c>
      <c r="E1291" s="3">
        <v>81800000000</v>
      </c>
      <c r="F1291" s="3">
        <v>76000000000</v>
      </c>
      <c r="G1291" s="3">
        <v>1350000000</v>
      </c>
      <c r="H1291" s="3">
        <v>8380000000</v>
      </c>
      <c r="I1291" s="2">
        <v>1.7819999999999999E-2</v>
      </c>
      <c r="J1291" s="3">
        <v>9.9999999999999998E-13</v>
      </c>
    </row>
    <row r="1292" spans="1:10" x14ac:dyDescent="0.2">
      <c r="A1292" s="3">
        <v>1300</v>
      </c>
      <c r="B1292" s="3">
        <v>1.0899999999999999E-6</v>
      </c>
      <c r="C1292" s="2">
        <v>6.7250000000000004E-2</v>
      </c>
      <c r="D1292" s="3">
        <v>258000</v>
      </c>
      <c r="E1292" s="3">
        <v>81300000000</v>
      </c>
      <c r="F1292" s="3">
        <v>75600000000</v>
      </c>
      <c r="G1292" s="3">
        <v>8820000000</v>
      </c>
      <c r="H1292" s="3">
        <v>8380000000</v>
      </c>
      <c r="I1292" s="2">
        <v>0.1167</v>
      </c>
      <c r="J1292" s="3">
        <v>1.0099999999999999E-12</v>
      </c>
    </row>
    <row r="1293" spans="1:10" x14ac:dyDescent="0.2">
      <c r="A1293" s="3">
        <v>1300</v>
      </c>
      <c r="B1293" s="3">
        <v>1.0899999999999999E-6</v>
      </c>
      <c r="C1293" s="2">
        <v>6.7299999999999999E-2</v>
      </c>
      <c r="D1293" s="3">
        <v>233000</v>
      </c>
      <c r="E1293" s="3">
        <v>73700000000</v>
      </c>
      <c r="F1293" s="3">
        <v>69000000000</v>
      </c>
      <c r="G1293" s="3">
        <v>3580000000</v>
      </c>
      <c r="H1293" s="3">
        <v>8540000000</v>
      </c>
      <c r="I1293" s="2">
        <v>5.1889999999999999E-2</v>
      </c>
      <c r="J1293" s="3">
        <v>1.24E-12</v>
      </c>
    </row>
    <row r="1294" spans="1:10" x14ac:dyDescent="0.2">
      <c r="A1294" s="3">
        <v>1300</v>
      </c>
      <c r="B1294" s="3">
        <v>1.1000000000000001E-6</v>
      </c>
      <c r="C1294" s="2">
        <v>6.7360000000000003E-2</v>
      </c>
      <c r="D1294" s="3">
        <v>253000</v>
      </c>
      <c r="E1294" s="3">
        <v>79600000000</v>
      </c>
      <c r="F1294" s="3">
        <v>74200000000</v>
      </c>
      <c r="G1294" s="3">
        <v>1950000000</v>
      </c>
      <c r="H1294" s="3">
        <v>8400000000</v>
      </c>
      <c r="I1294" s="2">
        <v>2.6290000000000001E-2</v>
      </c>
      <c r="J1294" s="3">
        <v>1.0599999999999999E-12</v>
      </c>
    </row>
    <row r="1295" spans="1:10" x14ac:dyDescent="0.2">
      <c r="A1295" s="3">
        <v>1300</v>
      </c>
      <c r="B1295" s="3">
        <v>1.1000000000000001E-6</v>
      </c>
      <c r="C1295" s="2">
        <v>6.7409999999999998E-2</v>
      </c>
      <c r="D1295" s="3">
        <v>234000</v>
      </c>
      <c r="E1295" s="3">
        <v>73900000000</v>
      </c>
      <c r="F1295" s="3">
        <v>69200000000</v>
      </c>
      <c r="G1295" s="3">
        <v>9960000000</v>
      </c>
      <c r="H1295" s="3">
        <v>8520000000</v>
      </c>
      <c r="I1295" s="2">
        <v>0.14399999999999999</v>
      </c>
      <c r="J1295" s="3">
        <v>1.23E-12</v>
      </c>
    </row>
    <row r="1296" spans="1:10" x14ac:dyDescent="0.2">
      <c r="A1296" s="3">
        <v>1300</v>
      </c>
      <c r="B1296" s="3">
        <v>1.1000000000000001E-6</v>
      </c>
      <c r="C1296" s="2">
        <v>6.7460000000000006E-2</v>
      </c>
      <c r="D1296" s="3">
        <v>238000</v>
      </c>
      <c r="E1296" s="3">
        <v>74900000000</v>
      </c>
      <c r="F1296" s="3">
        <v>70000000000</v>
      </c>
      <c r="G1296" s="3">
        <v>10900000000</v>
      </c>
      <c r="H1296" s="3">
        <v>8490000000</v>
      </c>
      <c r="I1296" s="2">
        <v>0.15579999999999999</v>
      </c>
      <c r="J1296" s="3">
        <v>1.1999999999999999E-12</v>
      </c>
    </row>
    <row r="1297" spans="1:10" x14ac:dyDescent="0.2">
      <c r="A1297" s="3">
        <v>1300</v>
      </c>
      <c r="B1297" s="3">
        <v>1.1000000000000001E-6</v>
      </c>
      <c r="C1297" s="2">
        <v>6.7510000000000001E-2</v>
      </c>
      <c r="D1297" s="3">
        <v>250000</v>
      </c>
      <c r="E1297" s="3">
        <v>78500000000</v>
      </c>
      <c r="F1297" s="3">
        <v>73100000000</v>
      </c>
      <c r="G1297" s="3">
        <v>1620000000</v>
      </c>
      <c r="H1297" s="3">
        <v>8400000000</v>
      </c>
      <c r="I1297" s="2">
        <v>2.2120000000000001E-2</v>
      </c>
      <c r="J1297" s="3">
        <v>1.08E-12</v>
      </c>
    </row>
    <row r="1298" spans="1:10" x14ac:dyDescent="0.2">
      <c r="A1298" s="3">
        <v>1300</v>
      </c>
      <c r="B1298" s="3">
        <v>1.1000000000000001E-6</v>
      </c>
      <c r="C1298" s="2">
        <v>6.7559999999999995E-2</v>
      </c>
      <c r="D1298" s="3">
        <v>248000</v>
      </c>
      <c r="E1298" s="3">
        <v>78000000000</v>
      </c>
      <c r="F1298" s="3">
        <v>72800000000</v>
      </c>
      <c r="G1298" s="3">
        <v>3910000000</v>
      </c>
      <c r="H1298" s="3">
        <v>8400000000</v>
      </c>
      <c r="I1298" s="2">
        <v>5.3789999999999998E-2</v>
      </c>
      <c r="J1298" s="3">
        <v>1.1E-12</v>
      </c>
    </row>
    <row r="1299" spans="1:10" x14ac:dyDescent="0.2">
      <c r="A1299" s="3">
        <v>1300</v>
      </c>
      <c r="B1299" s="3">
        <v>1.1000000000000001E-6</v>
      </c>
      <c r="C1299" s="2">
        <v>6.7610000000000003E-2</v>
      </c>
      <c r="D1299" s="3">
        <v>272000</v>
      </c>
      <c r="E1299" s="3">
        <v>85200000000</v>
      </c>
      <c r="F1299" s="3">
        <v>78900000000</v>
      </c>
      <c r="G1299" s="3">
        <v>9510000000</v>
      </c>
      <c r="H1299" s="3">
        <v>8260000000</v>
      </c>
      <c r="I1299" s="2">
        <v>0.1206</v>
      </c>
      <c r="J1299" s="3">
        <v>9.1599999999999993E-13</v>
      </c>
    </row>
    <row r="1300" spans="1:10" x14ac:dyDescent="0.2">
      <c r="A1300" s="3">
        <v>1300</v>
      </c>
      <c r="B1300" s="3">
        <v>1.11E-6</v>
      </c>
      <c r="C1300" s="2">
        <v>6.7669999999999994E-2</v>
      </c>
      <c r="D1300" s="3">
        <v>264000</v>
      </c>
      <c r="E1300" s="3">
        <v>82700000000</v>
      </c>
      <c r="F1300" s="3">
        <v>76800000000</v>
      </c>
      <c r="G1300" s="2">
        <v>0</v>
      </c>
      <c r="H1300" s="3">
        <v>8290000000</v>
      </c>
      <c r="I1300" s="2">
        <v>-3.2420000000000001E-3</v>
      </c>
      <c r="J1300" s="3">
        <v>9.720000000000001E-13</v>
      </c>
    </row>
    <row r="1301" spans="1:10" x14ac:dyDescent="0.2">
      <c r="A1301" s="3">
        <v>1300</v>
      </c>
      <c r="B1301" s="3">
        <v>1.11E-6</v>
      </c>
      <c r="C1301" s="2">
        <v>6.7720000000000002E-2</v>
      </c>
      <c r="D1301" s="3">
        <v>262000</v>
      </c>
      <c r="E1301" s="3">
        <v>81800000000</v>
      </c>
      <c r="F1301" s="3">
        <v>76000000000</v>
      </c>
      <c r="G1301" s="3">
        <v>620000000</v>
      </c>
      <c r="H1301" s="3">
        <v>8300000000</v>
      </c>
      <c r="I1301" s="2">
        <v>8.1469999999999997E-3</v>
      </c>
      <c r="J1301" s="3">
        <v>9.9099999999999992E-13</v>
      </c>
    </row>
    <row r="1302" spans="1:10" x14ac:dyDescent="0.2">
      <c r="A1302" s="3">
        <v>1300</v>
      </c>
      <c r="B1302" s="3">
        <v>1.11E-6</v>
      </c>
      <c r="C1302" s="2">
        <v>6.7769999999999997E-2</v>
      </c>
      <c r="D1302" s="3">
        <v>220000</v>
      </c>
      <c r="E1302" s="3">
        <v>69300000000</v>
      </c>
      <c r="F1302" s="3">
        <v>65100000000</v>
      </c>
      <c r="G1302" s="3">
        <v>8120000000</v>
      </c>
      <c r="H1302" s="3">
        <v>8580000000</v>
      </c>
      <c r="I1302" s="2">
        <v>0.12470000000000001</v>
      </c>
      <c r="J1302" s="3">
        <v>1.4000000000000001E-12</v>
      </c>
    </row>
    <row r="1303" spans="1:10" x14ac:dyDescent="0.2">
      <c r="A1303" s="3">
        <v>1300</v>
      </c>
      <c r="B1303" s="3">
        <v>1.11E-6</v>
      </c>
      <c r="C1303" s="2">
        <v>6.7820000000000005E-2</v>
      </c>
      <c r="D1303" s="3">
        <v>244000</v>
      </c>
      <c r="E1303" s="3">
        <v>76200000000</v>
      </c>
      <c r="F1303" s="3">
        <v>71200000000</v>
      </c>
      <c r="G1303" s="3">
        <v>8070000000</v>
      </c>
      <c r="H1303" s="3">
        <v>8390000000</v>
      </c>
      <c r="I1303" s="2">
        <v>0.1134</v>
      </c>
      <c r="J1303" s="3">
        <v>1.14E-12</v>
      </c>
    </row>
    <row r="1304" spans="1:10" x14ac:dyDescent="0.2">
      <c r="A1304" s="3">
        <v>1300</v>
      </c>
      <c r="B1304" s="3">
        <v>1.1200000000000001E-6</v>
      </c>
      <c r="C1304" s="2">
        <v>6.7879999999999996E-2</v>
      </c>
      <c r="D1304" s="3">
        <v>241000</v>
      </c>
      <c r="E1304" s="3">
        <v>75500000000</v>
      </c>
      <c r="F1304" s="3">
        <v>70600000000</v>
      </c>
      <c r="G1304" s="3">
        <v>10300000000</v>
      </c>
      <c r="H1304" s="3">
        <v>8400000000</v>
      </c>
      <c r="I1304" s="2">
        <v>0.1454</v>
      </c>
      <c r="J1304" s="3">
        <v>1.1599999999999999E-12</v>
      </c>
    </row>
    <row r="1305" spans="1:10" x14ac:dyDescent="0.2">
      <c r="A1305" s="3">
        <v>1300</v>
      </c>
      <c r="B1305" s="3">
        <v>1.1200000000000001E-6</v>
      </c>
      <c r="C1305" s="2">
        <v>6.7930000000000004E-2</v>
      </c>
      <c r="D1305" s="3">
        <v>261000</v>
      </c>
      <c r="E1305" s="3">
        <v>81400000000</v>
      </c>
      <c r="F1305" s="3">
        <v>75700000000</v>
      </c>
      <c r="G1305" s="3">
        <v>11500000000</v>
      </c>
      <c r="H1305" s="3">
        <v>8270000000</v>
      </c>
      <c r="I1305" s="2">
        <v>0.1525</v>
      </c>
      <c r="J1305" s="3">
        <v>9.96E-13</v>
      </c>
    </row>
    <row r="1306" spans="1:10" x14ac:dyDescent="0.2">
      <c r="A1306" s="3">
        <v>1300</v>
      </c>
      <c r="B1306" s="3">
        <v>1.1200000000000001E-6</v>
      </c>
      <c r="C1306" s="2">
        <v>6.7979999999999999E-2</v>
      </c>
      <c r="D1306" s="3">
        <v>243000</v>
      </c>
      <c r="E1306" s="3">
        <v>75800000000</v>
      </c>
      <c r="F1306" s="3">
        <v>70800000000</v>
      </c>
      <c r="G1306" s="3">
        <v>4380000000</v>
      </c>
      <c r="H1306" s="3">
        <v>8360000000</v>
      </c>
      <c r="I1306" s="2">
        <v>6.1850000000000002E-2</v>
      </c>
      <c r="J1306" s="3">
        <v>1.1499999999999999E-12</v>
      </c>
    </row>
    <row r="1307" spans="1:10" x14ac:dyDescent="0.2">
      <c r="A1307" s="3">
        <v>1300</v>
      </c>
      <c r="B1307" s="3">
        <v>1.1200000000000001E-6</v>
      </c>
      <c r="C1307" s="2">
        <v>6.8029999999999993E-2</v>
      </c>
      <c r="D1307" s="3">
        <v>247000</v>
      </c>
      <c r="E1307" s="3">
        <v>77100000000</v>
      </c>
      <c r="F1307" s="3">
        <v>71900000000</v>
      </c>
      <c r="G1307" s="3">
        <v>1210000000</v>
      </c>
      <c r="H1307" s="3">
        <v>8320000000</v>
      </c>
      <c r="I1307" s="2">
        <v>1.6840000000000001E-2</v>
      </c>
      <c r="J1307" s="3">
        <v>1.1099999999999999E-12</v>
      </c>
    </row>
    <row r="1308" spans="1:10" x14ac:dyDescent="0.2">
      <c r="A1308" s="3">
        <v>1300</v>
      </c>
      <c r="B1308" s="3">
        <v>1.13E-6</v>
      </c>
      <c r="C1308" s="2">
        <v>6.8080000000000002E-2</v>
      </c>
      <c r="D1308" s="3">
        <v>238000</v>
      </c>
      <c r="E1308" s="3">
        <v>74000000000</v>
      </c>
      <c r="F1308" s="3">
        <v>69300000000</v>
      </c>
      <c r="G1308" s="3">
        <v>13600000000</v>
      </c>
      <c r="H1308" s="3">
        <v>8380000000</v>
      </c>
      <c r="I1308" s="2">
        <v>0.19620000000000001</v>
      </c>
      <c r="J1308" s="3">
        <v>1.2100000000000001E-12</v>
      </c>
    </row>
    <row r="1309" spans="1:10" x14ac:dyDescent="0.2">
      <c r="A1309" s="3">
        <v>1300</v>
      </c>
      <c r="B1309" s="3">
        <v>1.13E-6</v>
      </c>
      <c r="C1309" s="2">
        <v>6.8129999999999996E-2</v>
      </c>
      <c r="D1309" s="3">
        <v>224000</v>
      </c>
      <c r="E1309" s="3">
        <v>69900000000</v>
      </c>
      <c r="F1309" s="3">
        <v>65600000000</v>
      </c>
      <c r="G1309" s="3">
        <v>5020000000</v>
      </c>
      <c r="H1309" s="3">
        <v>8470000000</v>
      </c>
      <c r="I1309" s="2">
        <v>7.6480000000000006E-2</v>
      </c>
      <c r="J1309" s="3">
        <v>1.3600000000000001E-12</v>
      </c>
    </row>
    <row r="1310" spans="1:10" x14ac:dyDescent="0.2">
      <c r="A1310" s="3">
        <v>1300</v>
      </c>
      <c r="B1310" s="3">
        <v>1.13E-6</v>
      </c>
      <c r="C1310" s="2">
        <v>6.8190000000000001E-2</v>
      </c>
      <c r="D1310" s="3">
        <v>249000</v>
      </c>
      <c r="E1310" s="3">
        <v>77300000000</v>
      </c>
      <c r="F1310" s="3">
        <v>72200000000</v>
      </c>
      <c r="G1310" s="3">
        <v>3950000000</v>
      </c>
      <c r="H1310" s="3">
        <v>8280000000</v>
      </c>
      <c r="I1310" s="2">
        <v>5.475E-2</v>
      </c>
      <c r="J1310" s="3">
        <v>1.1E-12</v>
      </c>
    </row>
    <row r="1311" spans="1:10" x14ac:dyDescent="0.2">
      <c r="A1311" s="3">
        <v>1300</v>
      </c>
      <c r="B1311" s="3">
        <v>1.13E-6</v>
      </c>
      <c r="C1311" s="2">
        <v>6.8239999999999995E-2</v>
      </c>
      <c r="D1311" s="3">
        <v>253000</v>
      </c>
      <c r="E1311" s="3">
        <v>78300000000</v>
      </c>
      <c r="F1311" s="3">
        <v>73000000000</v>
      </c>
      <c r="G1311" s="3">
        <v>7380000000</v>
      </c>
      <c r="H1311" s="3">
        <v>8250000000</v>
      </c>
      <c r="I1311" s="2">
        <v>0.1011</v>
      </c>
      <c r="J1311" s="3">
        <v>1.0700000000000001E-12</v>
      </c>
    </row>
    <row r="1312" spans="1:10" x14ac:dyDescent="0.2">
      <c r="A1312" s="3">
        <v>1300</v>
      </c>
      <c r="B1312" s="3">
        <v>1.13E-6</v>
      </c>
      <c r="C1312" s="2">
        <v>6.8290000000000003E-2</v>
      </c>
      <c r="D1312" s="3">
        <v>296000</v>
      </c>
      <c r="E1312" s="3">
        <v>91500000000</v>
      </c>
      <c r="F1312" s="3">
        <v>84400000000</v>
      </c>
      <c r="G1312" s="3">
        <v>4370000000</v>
      </c>
      <c r="H1312" s="3">
        <v>8030000000</v>
      </c>
      <c r="I1312" s="2">
        <v>5.185E-2</v>
      </c>
      <c r="J1312" s="3">
        <v>7.7900000000000001E-13</v>
      </c>
    </row>
    <row r="1313" spans="1:10" x14ac:dyDescent="0.2">
      <c r="A1313" s="3">
        <v>1300</v>
      </c>
      <c r="B1313" s="3">
        <v>1.1400000000000001E-6</v>
      </c>
      <c r="C1313" s="2">
        <v>6.8349999999999994E-2</v>
      </c>
      <c r="D1313" s="3">
        <v>225000</v>
      </c>
      <c r="E1313" s="3">
        <v>70000000000</v>
      </c>
      <c r="F1313" s="3">
        <v>65700000000</v>
      </c>
      <c r="G1313" s="3">
        <v>6440000000</v>
      </c>
      <c r="H1313" s="3">
        <v>8420000000</v>
      </c>
      <c r="I1313" s="2">
        <v>9.8030000000000006E-2</v>
      </c>
      <c r="J1313" s="3">
        <v>1.3499999999999999E-12</v>
      </c>
    </row>
    <row r="1314" spans="1:10" x14ac:dyDescent="0.2">
      <c r="A1314" s="3">
        <v>1300</v>
      </c>
      <c r="B1314" s="3">
        <v>1.1400000000000001E-6</v>
      </c>
      <c r="C1314" s="2">
        <v>6.8400000000000002E-2</v>
      </c>
      <c r="D1314" s="3">
        <v>271000</v>
      </c>
      <c r="E1314" s="3">
        <v>83700000000</v>
      </c>
      <c r="F1314" s="3">
        <v>77700000000</v>
      </c>
      <c r="G1314" s="3">
        <v>6470000000</v>
      </c>
      <c r="H1314" s="3">
        <v>8120000000</v>
      </c>
      <c r="I1314" s="2">
        <v>8.3260000000000001E-2</v>
      </c>
      <c r="J1314" s="3">
        <v>9.2899999999999998E-13</v>
      </c>
    </row>
    <row r="1315" spans="1:10" x14ac:dyDescent="0.2">
      <c r="A1315" s="3">
        <v>1300</v>
      </c>
      <c r="B1315" s="3">
        <v>1.1400000000000001E-6</v>
      </c>
      <c r="C1315" s="2">
        <v>6.8449999999999997E-2</v>
      </c>
      <c r="D1315" s="3">
        <v>261000</v>
      </c>
      <c r="E1315" s="3">
        <v>80500000000</v>
      </c>
      <c r="F1315" s="3">
        <v>74900000000</v>
      </c>
      <c r="G1315" s="3">
        <v>4470000000</v>
      </c>
      <c r="H1315" s="3">
        <v>8170000000</v>
      </c>
      <c r="I1315" s="2">
        <v>5.9729999999999998E-2</v>
      </c>
      <c r="J1315" s="3">
        <v>1.0099999999999999E-12</v>
      </c>
    </row>
    <row r="1316" spans="1:10" x14ac:dyDescent="0.2">
      <c r="A1316" s="3">
        <v>1300</v>
      </c>
      <c r="B1316" s="3">
        <v>1.1400000000000001E-6</v>
      </c>
      <c r="C1316" s="2">
        <v>6.8500000000000005E-2</v>
      </c>
      <c r="D1316" s="3">
        <v>255000</v>
      </c>
      <c r="E1316" s="3">
        <v>78500000000</v>
      </c>
      <c r="F1316" s="3">
        <v>73200000000</v>
      </c>
      <c r="G1316" s="3">
        <v>6270000000</v>
      </c>
      <c r="H1316" s="3">
        <v>8200000000</v>
      </c>
      <c r="I1316" s="2">
        <v>8.5750000000000007E-2</v>
      </c>
      <c r="J1316" s="3">
        <v>1.0599999999999999E-12</v>
      </c>
    </row>
    <row r="1317" spans="1:10" x14ac:dyDescent="0.2">
      <c r="A1317" s="3">
        <v>1300</v>
      </c>
      <c r="B1317" s="3">
        <v>1.15E-6</v>
      </c>
      <c r="C1317" s="2">
        <v>6.855E-2</v>
      </c>
      <c r="D1317" s="3">
        <v>229000</v>
      </c>
      <c r="E1317" s="3">
        <v>70900000000</v>
      </c>
      <c r="F1317" s="3">
        <v>66500000000</v>
      </c>
      <c r="G1317" s="3">
        <v>10300000000</v>
      </c>
      <c r="H1317" s="3">
        <v>8350000000</v>
      </c>
      <c r="I1317" s="2">
        <v>0.155</v>
      </c>
      <c r="J1317" s="3">
        <v>1.2999999999999999E-12</v>
      </c>
    </row>
    <row r="1318" spans="1:10" x14ac:dyDescent="0.2">
      <c r="A1318" s="3">
        <v>1300</v>
      </c>
      <c r="B1318" s="3">
        <v>1.15E-6</v>
      </c>
      <c r="C1318" s="2">
        <v>6.8599999999999994E-2</v>
      </c>
      <c r="D1318" s="3">
        <v>261000</v>
      </c>
      <c r="E1318" s="3">
        <v>80200000000</v>
      </c>
      <c r="F1318" s="3">
        <v>74600000000</v>
      </c>
      <c r="G1318" s="3">
        <v>1730000000</v>
      </c>
      <c r="H1318" s="3">
        <v>8140000000</v>
      </c>
      <c r="I1318" s="2">
        <v>2.3220000000000001E-2</v>
      </c>
      <c r="J1318" s="3">
        <v>1.0099999999999999E-12</v>
      </c>
    </row>
    <row r="1319" spans="1:10" x14ac:dyDescent="0.2">
      <c r="A1319" s="3">
        <v>1300</v>
      </c>
      <c r="B1319" s="3">
        <v>1.15E-6</v>
      </c>
      <c r="C1319" s="2">
        <v>6.8659999999999999E-2</v>
      </c>
      <c r="D1319" s="3">
        <v>256000</v>
      </c>
      <c r="E1319" s="3">
        <v>78800000000</v>
      </c>
      <c r="F1319" s="3">
        <v>73400000000</v>
      </c>
      <c r="G1319" s="3">
        <v>9580000000</v>
      </c>
      <c r="H1319" s="3">
        <v>8160000000</v>
      </c>
      <c r="I1319" s="2">
        <v>0.1305</v>
      </c>
      <c r="J1319" s="3">
        <v>1.05E-12</v>
      </c>
    </row>
    <row r="1320" spans="1:10" x14ac:dyDescent="0.2">
      <c r="A1320" s="3">
        <v>1300</v>
      </c>
      <c r="B1320" s="3">
        <v>1.15E-6</v>
      </c>
      <c r="C1320" s="2">
        <v>6.8709999999999993E-2</v>
      </c>
      <c r="D1320" s="3">
        <v>256000</v>
      </c>
      <c r="E1320" s="3">
        <v>78600000000</v>
      </c>
      <c r="F1320" s="3">
        <v>73200000000</v>
      </c>
      <c r="G1320" s="3">
        <v>4530000000</v>
      </c>
      <c r="H1320" s="3">
        <v>8150000000</v>
      </c>
      <c r="I1320" s="2">
        <v>6.1809999999999997E-2</v>
      </c>
      <c r="J1320" s="3">
        <v>1.05E-12</v>
      </c>
    </row>
    <row r="1321" spans="1:10" x14ac:dyDescent="0.2">
      <c r="A1321" s="3">
        <v>1300</v>
      </c>
      <c r="B1321" s="3">
        <v>1.1599999999999999E-6</v>
      </c>
      <c r="C1321" s="2">
        <v>6.8760000000000002E-2</v>
      </c>
      <c r="D1321" s="3">
        <v>232000</v>
      </c>
      <c r="E1321" s="3">
        <v>71400000000</v>
      </c>
      <c r="F1321" s="3">
        <v>66900000000</v>
      </c>
      <c r="G1321" s="3">
        <v>4980000000</v>
      </c>
      <c r="H1321" s="3">
        <v>8290000000</v>
      </c>
      <c r="I1321" s="2">
        <v>7.4389999999999998E-2</v>
      </c>
      <c r="J1321" s="3">
        <v>1.28E-12</v>
      </c>
    </row>
    <row r="1322" spans="1:10" x14ac:dyDescent="0.2">
      <c r="A1322" s="3">
        <v>1300</v>
      </c>
      <c r="B1322" s="3">
        <v>1.1599999999999999E-6</v>
      </c>
      <c r="C1322" s="2">
        <v>6.8809999999999996E-2</v>
      </c>
      <c r="D1322" s="3">
        <v>263000</v>
      </c>
      <c r="E1322" s="3">
        <v>80500000000</v>
      </c>
      <c r="F1322" s="3">
        <v>74900000000</v>
      </c>
      <c r="G1322" s="3">
        <v>1020000000</v>
      </c>
      <c r="H1322" s="3">
        <v>8100000000</v>
      </c>
      <c r="I1322" s="2">
        <v>1.355E-2</v>
      </c>
      <c r="J1322" s="3">
        <v>9.9700000000000009E-13</v>
      </c>
    </row>
    <row r="1323" spans="1:10" x14ac:dyDescent="0.2">
      <c r="A1323" s="3">
        <v>1300</v>
      </c>
      <c r="B1323" s="3">
        <v>1.1599999999999999E-6</v>
      </c>
      <c r="C1323" s="2">
        <v>6.8870000000000001E-2</v>
      </c>
      <c r="D1323" s="3">
        <v>254000</v>
      </c>
      <c r="E1323" s="3">
        <v>77900000000</v>
      </c>
      <c r="F1323" s="3">
        <v>72600000000</v>
      </c>
      <c r="G1323" s="3">
        <v>973000000</v>
      </c>
      <c r="H1323" s="3">
        <v>8130000000</v>
      </c>
      <c r="I1323" s="2">
        <v>1.34E-2</v>
      </c>
      <c r="J1323" s="3">
        <v>1.0700000000000001E-12</v>
      </c>
    </row>
    <row r="1324" spans="1:10" x14ac:dyDescent="0.2">
      <c r="A1324" s="3">
        <v>1300</v>
      </c>
      <c r="B1324" s="3">
        <v>1.1599999999999999E-6</v>
      </c>
      <c r="C1324" s="2">
        <v>6.8919999999999995E-2</v>
      </c>
      <c r="D1324" s="3">
        <v>224000</v>
      </c>
      <c r="E1324" s="3">
        <v>68800000000</v>
      </c>
      <c r="F1324" s="3">
        <v>64700000000</v>
      </c>
      <c r="G1324" s="3">
        <v>3970000000</v>
      </c>
      <c r="H1324" s="3">
        <v>8320000000</v>
      </c>
      <c r="I1324" s="2">
        <v>6.1350000000000002E-2</v>
      </c>
      <c r="J1324" s="3">
        <v>1.37E-12</v>
      </c>
    </row>
    <row r="1325" spans="1:10" x14ac:dyDescent="0.2">
      <c r="A1325" s="3">
        <v>1300</v>
      </c>
      <c r="B1325" s="3">
        <v>1.1599999999999999E-6</v>
      </c>
      <c r="C1325" s="2">
        <v>6.8970000000000004E-2</v>
      </c>
      <c r="D1325" s="3">
        <v>251000</v>
      </c>
      <c r="E1325" s="3">
        <v>76700000000</v>
      </c>
      <c r="F1325" s="3">
        <v>71600000000</v>
      </c>
      <c r="G1325" s="3">
        <v>9030000000</v>
      </c>
      <c r="H1325" s="3">
        <v>8150000000</v>
      </c>
      <c r="I1325" s="2">
        <v>0.12609999999999999</v>
      </c>
      <c r="J1325" s="3">
        <v>1.1E-12</v>
      </c>
    </row>
    <row r="1326" spans="1:10" x14ac:dyDescent="0.2">
      <c r="A1326" s="3">
        <v>1300</v>
      </c>
      <c r="B1326" s="3">
        <v>1.17E-6</v>
      </c>
      <c r="C1326" s="2">
        <v>6.9019999999999998E-2</v>
      </c>
      <c r="D1326" s="3">
        <v>244000</v>
      </c>
      <c r="E1326" s="3">
        <v>74500000000</v>
      </c>
      <c r="F1326" s="3">
        <v>69600000000</v>
      </c>
      <c r="G1326" s="3">
        <v>3500000000</v>
      </c>
      <c r="H1326" s="3">
        <v>8180000000</v>
      </c>
      <c r="I1326" s="2">
        <v>5.0250000000000003E-2</v>
      </c>
      <c r="J1326" s="3">
        <v>1.1700000000000001E-12</v>
      </c>
    </row>
    <row r="1327" spans="1:10" x14ac:dyDescent="0.2">
      <c r="A1327" s="3">
        <v>1300</v>
      </c>
      <c r="B1327" s="3">
        <v>1.17E-6</v>
      </c>
      <c r="C1327" s="2">
        <v>6.9070000000000006E-2</v>
      </c>
      <c r="D1327" s="3">
        <v>273000</v>
      </c>
      <c r="E1327" s="3">
        <v>83200000000</v>
      </c>
      <c r="F1327" s="3">
        <v>77200000000</v>
      </c>
      <c r="G1327" s="3">
        <v>6760000000</v>
      </c>
      <c r="H1327" s="3">
        <v>8020000000</v>
      </c>
      <c r="I1327" s="2">
        <v>8.7590000000000001E-2</v>
      </c>
      <c r="J1327" s="3">
        <v>9.2899999999999998E-13</v>
      </c>
    </row>
    <row r="1328" spans="1:10" x14ac:dyDescent="0.2">
      <c r="A1328" s="3">
        <v>1300</v>
      </c>
      <c r="B1328" s="3">
        <v>1.17E-6</v>
      </c>
      <c r="C1328" s="2">
        <v>6.9129999999999997E-2</v>
      </c>
      <c r="D1328" s="3">
        <v>240000</v>
      </c>
      <c r="E1328" s="3">
        <v>73300000000</v>
      </c>
      <c r="F1328" s="3">
        <v>68600000000</v>
      </c>
      <c r="G1328" s="2">
        <v>0</v>
      </c>
      <c r="H1328" s="3">
        <v>8190000000</v>
      </c>
      <c r="I1328" s="2">
        <v>-1.3780000000000001E-2</v>
      </c>
      <c r="J1328" s="3">
        <v>1.1999999999999999E-12</v>
      </c>
    </row>
    <row r="1329" spans="1:10" x14ac:dyDescent="0.2">
      <c r="A1329" s="3">
        <v>1300</v>
      </c>
      <c r="B1329" s="3">
        <v>1.17E-6</v>
      </c>
      <c r="C1329" s="2">
        <v>6.9180000000000005E-2</v>
      </c>
      <c r="D1329" s="3">
        <v>240000</v>
      </c>
      <c r="E1329" s="3">
        <v>73200000000</v>
      </c>
      <c r="F1329" s="3">
        <v>68500000000</v>
      </c>
      <c r="G1329" s="3">
        <v>4530000000</v>
      </c>
      <c r="H1329" s="3">
        <v>8180000000</v>
      </c>
      <c r="I1329" s="2">
        <v>6.608E-2</v>
      </c>
      <c r="J1329" s="3">
        <v>1.1999999999999999E-12</v>
      </c>
    </row>
    <row r="1330" spans="1:10" x14ac:dyDescent="0.2">
      <c r="A1330" s="3">
        <v>1300</v>
      </c>
      <c r="B1330" s="3">
        <v>1.17E-6</v>
      </c>
      <c r="C1330" s="2">
        <v>6.9239999999999996E-2</v>
      </c>
      <c r="D1330" s="3">
        <v>268000</v>
      </c>
      <c r="E1330" s="3">
        <v>81400000000</v>
      </c>
      <c r="F1330" s="3">
        <v>75700000000</v>
      </c>
      <c r="G1330" s="3">
        <v>8340000000</v>
      </c>
      <c r="H1330" s="3">
        <v>8030000000</v>
      </c>
      <c r="I1330" s="2">
        <v>0.11020000000000001</v>
      </c>
      <c r="J1330" s="3">
        <v>9.6799999999999991E-13</v>
      </c>
    </row>
    <row r="1331" spans="1:10" x14ac:dyDescent="0.2">
      <c r="A1331" s="3">
        <v>1300</v>
      </c>
      <c r="B1331" s="3">
        <v>1.1799999999999999E-6</v>
      </c>
      <c r="C1331" s="2">
        <v>6.9290000000000004E-2</v>
      </c>
      <c r="D1331" s="3">
        <v>233000</v>
      </c>
      <c r="E1331" s="3">
        <v>71000000000</v>
      </c>
      <c r="F1331" s="3">
        <v>66600000000</v>
      </c>
      <c r="G1331" s="3">
        <v>9420000000</v>
      </c>
      <c r="H1331" s="3">
        <v>8210000000</v>
      </c>
      <c r="I1331" s="2">
        <v>0.14149999999999999</v>
      </c>
      <c r="J1331" s="3">
        <v>1.28E-12</v>
      </c>
    </row>
    <row r="1332" spans="1:10" x14ac:dyDescent="0.2">
      <c r="A1332" s="3">
        <v>1300</v>
      </c>
      <c r="B1332" s="3">
        <v>1.1799999999999999E-6</v>
      </c>
      <c r="C1332" s="2">
        <v>6.9339999999999999E-2</v>
      </c>
      <c r="D1332" s="3">
        <v>264000</v>
      </c>
      <c r="E1332" s="3">
        <v>80100000000</v>
      </c>
      <c r="F1332" s="3">
        <v>74500000000</v>
      </c>
      <c r="G1332" s="3">
        <v>7890000000</v>
      </c>
      <c r="H1332" s="3">
        <v>8030000000</v>
      </c>
      <c r="I1332" s="2">
        <v>0.10589999999999999</v>
      </c>
      <c r="J1332" s="3">
        <v>9.9799999999999999E-13</v>
      </c>
    </row>
    <row r="1333" spans="1:10" x14ac:dyDescent="0.2">
      <c r="A1333" s="3">
        <v>1300</v>
      </c>
      <c r="B1333" s="3">
        <v>1.1799999999999999E-6</v>
      </c>
      <c r="C1333" s="2">
        <v>6.9389999999999993E-2</v>
      </c>
      <c r="D1333" s="3">
        <v>244000</v>
      </c>
      <c r="E1333" s="3">
        <v>74200000000</v>
      </c>
      <c r="F1333" s="3">
        <v>69400000000</v>
      </c>
      <c r="G1333" s="2">
        <v>0</v>
      </c>
      <c r="H1333" s="3">
        <v>8130000000</v>
      </c>
      <c r="I1333" s="2">
        <v>-4.333E-2</v>
      </c>
      <c r="J1333" s="3">
        <v>1.1599999999999999E-12</v>
      </c>
    </row>
    <row r="1334" spans="1:10" x14ac:dyDescent="0.2">
      <c r="A1334" s="3">
        <v>1300</v>
      </c>
      <c r="B1334" s="3">
        <v>1.1799999999999999E-6</v>
      </c>
      <c r="C1334" s="2">
        <v>6.9440000000000002E-2</v>
      </c>
      <c r="D1334" s="3">
        <v>277000</v>
      </c>
      <c r="E1334" s="3">
        <v>83900000000</v>
      </c>
      <c r="F1334" s="3">
        <v>77800000000</v>
      </c>
      <c r="G1334" s="3">
        <v>5800000000</v>
      </c>
      <c r="H1334" s="3">
        <v>7960000000</v>
      </c>
      <c r="I1334" s="2">
        <v>7.4550000000000005E-2</v>
      </c>
      <c r="J1334" s="3">
        <v>9.0799999999999997E-13</v>
      </c>
    </row>
    <row r="1335" spans="1:10" x14ac:dyDescent="0.2">
      <c r="A1335" s="3">
        <v>1300</v>
      </c>
      <c r="B1335" s="3">
        <v>1.1799999999999999E-6</v>
      </c>
      <c r="C1335" s="2">
        <v>6.9489999999999996E-2</v>
      </c>
      <c r="D1335" s="3">
        <v>247000</v>
      </c>
      <c r="E1335" s="3">
        <v>75000000000</v>
      </c>
      <c r="F1335" s="3">
        <v>70100000000</v>
      </c>
      <c r="G1335" s="3">
        <v>6090000000</v>
      </c>
      <c r="H1335" s="3">
        <v>8100000000</v>
      </c>
      <c r="I1335" s="2">
        <v>8.6860000000000007E-2</v>
      </c>
      <c r="J1335" s="3">
        <v>1.14E-12</v>
      </c>
    </row>
    <row r="1336" spans="1:10" x14ac:dyDescent="0.2">
      <c r="A1336" s="3">
        <v>1300</v>
      </c>
      <c r="B1336" s="3">
        <v>1.19E-6</v>
      </c>
      <c r="C1336" s="2">
        <v>6.9550000000000001E-2</v>
      </c>
      <c r="D1336" s="3">
        <v>262000</v>
      </c>
      <c r="E1336" s="3">
        <v>79200000000</v>
      </c>
      <c r="F1336" s="3">
        <v>73800000000</v>
      </c>
      <c r="G1336" s="3">
        <v>387000000</v>
      </c>
      <c r="H1336" s="3">
        <v>8010000000</v>
      </c>
      <c r="I1336" s="2">
        <v>5.2420000000000001E-3</v>
      </c>
      <c r="J1336" s="3">
        <v>1.0200000000000001E-12</v>
      </c>
    </row>
    <row r="1337" spans="1:10" x14ac:dyDescent="0.2">
      <c r="A1337" s="3">
        <v>1300</v>
      </c>
      <c r="B1337" s="3">
        <v>1.19E-6</v>
      </c>
      <c r="C1337" s="2">
        <v>6.9599999999999995E-2</v>
      </c>
      <c r="D1337" s="3">
        <v>263000</v>
      </c>
      <c r="E1337" s="3">
        <v>79500000000</v>
      </c>
      <c r="F1337" s="3">
        <v>74000000000</v>
      </c>
      <c r="G1337" s="3">
        <v>8580000000</v>
      </c>
      <c r="H1337" s="3">
        <v>8000000000</v>
      </c>
      <c r="I1337" s="2">
        <v>0.1159</v>
      </c>
      <c r="J1337" s="3">
        <v>1.0099999999999999E-12</v>
      </c>
    </row>
    <row r="1338" spans="1:10" x14ac:dyDescent="0.2">
      <c r="A1338" s="3">
        <v>1300</v>
      </c>
      <c r="B1338" s="3">
        <v>1.19E-6</v>
      </c>
      <c r="C1338" s="2">
        <v>6.9650000000000004E-2</v>
      </c>
      <c r="D1338" s="3">
        <v>233000</v>
      </c>
      <c r="E1338" s="3">
        <v>70500000000</v>
      </c>
      <c r="F1338" s="3">
        <v>66200000000</v>
      </c>
      <c r="G1338" s="3">
        <v>6580000000</v>
      </c>
      <c r="H1338" s="3">
        <v>8160000000</v>
      </c>
      <c r="I1338" s="2">
        <v>9.9409999999999998E-2</v>
      </c>
      <c r="J1338" s="3">
        <v>1.29E-12</v>
      </c>
    </row>
    <row r="1339" spans="1:10" x14ac:dyDescent="0.2">
      <c r="A1339" s="3">
        <v>1300</v>
      </c>
      <c r="B1339" s="3">
        <v>1.19E-6</v>
      </c>
      <c r="C1339" s="2">
        <v>6.9699999999999998E-2</v>
      </c>
      <c r="D1339" s="3">
        <v>250000</v>
      </c>
      <c r="E1339" s="3">
        <v>75600000000</v>
      </c>
      <c r="F1339" s="3">
        <v>70700000000</v>
      </c>
      <c r="G1339" s="3">
        <v>99600000</v>
      </c>
      <c r="H1339" s="3">
        <v>8040000000</v>
      </c>
      <c r="I1339" s="2">
        <v>1.41E-3</v>
      </c>
      <c r="J1339" s="3">
        <v>1.1099999999999999E-12</v>
      </c>
    </row>
    <row r="1340" spans="1:10" x14ac:dyDescent="0.2">
      <c r="A1340" s="3">
        <v>1300</v>
      </c>
      <c r="B1340" s="3">
        <v>1.1999999999999999E-6</v>
      </c>
      <c r="C1340" s="2">
        <v>6.9750000000000006E-2</v>
      </c>
      <c r="D1340" s="3">
        <v>235000</v>
      </c>
      <c r="E1340" s="3">
        <v>71000000000</v>
      </c>
      <c r="F1340" s="3">
        <v>66600000000</v>
      </c>
      <c r="G1340" s="3">
        <v>8930000000</v>
      </c>
      <c r="H1340" s="3">
        <v>8100000000</v>
      </c>
      <c r="I1340" s="2">
        <v>0.13400000000000001</v>
      </c>
      <c r="J1340" s="3">
        <v>1.2600000000000001E-12</v>
      </c>
    </row>
    <row r="1341" spans="1:10" x14ac:dyDescent="0.2">
      <c r="A1341" s="3">
        <v>1300</v>
      </c>
      <c r="B1341" s="3">
        <v>1.2100000000000001E-6</v>
      </c>
      <c r="C1341" s="2">
        <v>6.9800000000000001E-2</v>
      </c>
      <c r="D1341" s="3">
        <v>232000</v>
      </c>
      <c r="E1341" s="3">
        <v>69900000000</v>
      </c>
      <c r="F1341" s="3">
        <v>65600000000</v>
      </c>
      <c r="G1341" s="3">
        <v>3590000000</v>
      </c>
      <c r="H1341" s="3">
        <v>8080000000</v>
      </c>
      <c r="I1341" s="2">
        <v>5.4690000000000003E-2</v>
      </c>
      <c r="J1341" s="3">
        <v>1.2999999999999999E-12</v>
      </c>
    </row>
    <row r="1342" spans="1:10" x14ac:dyDescent="0.2">
      <c r="A1342" s="3">
        <v>1300</v>
      </c>
      <c r="B1342" s="3">
        <v>1.2100000000000001E-6</v>
      </c>
      <c r="C1342" s="2">
        <v>6.9849999999999995E-2</v>
      </c>
      <c r="D1342" s="3">
        <v>257000</v>
      </c>
      <c r="E1342" s="3">
        <v>77200000000</v>
      </c>
      <c r="F1342" s="3">
        <v>72000000000</v>
      </c>
      <c r="G1342" s="3">
        <v>574000000</v>
      </c>
      <c r="H1342" s="3">
        <v>7920000000</v>
      </c>
      <c r="I1342" s="2">
        <v>7.9729999999999992E-3</v>
      </c>
      <c r="J1342" s="3">
        <v>1.05E-12</v>
      </c>
    </row>
    <row r="1343" spans="1:10" x14ac:dyDescent="0.2">
      <c r="A1343" s="3">
        <v>1300</v>
      </c>
      <c r="B1343" s="3">
        <v>1.22E-6</v>
      </c>
      <c r="C1343" s="2">
        <v>6.9900000000000004E-2</v>
      </c>
      <c r="D1343" s="3">
        <v>235000</v>
      </c>
      <c r="E1343" s="3">
        <v>70300000000</v>
      </c>
      <c r="F1343" s="3">
        <v>66000000000</v>
      </c>
      <c r="G1343" s="3">
        <v>1610000000</v>
      </c>
      <c r="H1343" s="3">
        <v>8020000000</v>
      </c>
      <c r="I1343" s="2">
        <v>2.4320000000000001E-2</v>
      </c>
      <c r="J1343" s="3">
        <v>1.27E-12</v>
      </c>
    </row>
    <row r="1344" spans="1:10" x14ac:dyDescent="0.2">
      <c r="A1344" s="3">
        <v>1300</v>
      </c>
      <c r="B1344" s="3">
        <v>1.22E-6</v>
      </c>
      <c r="C1344" s="2">
        <v>6.9959999999999994E-2</v>
      </c>
      <c r="D1344" s="3">
        <v>250000</v>
      </c>
      <c r="E1344" s="3">
        <v>74600000000</v>
      </c>
      <c r="F1344" s="3">
        <v>69700000000</v>
      </c>
      <c r="G1344" s="2">
        <v>0</v>
      </c>
      <c r="H1344" s="3">
        <v>7920000000</v>
      </c>
      <c r="I1344" s="2">
        <v>-2.7799999999999998E-2</v>
      </c>
      <c r="J1344" s="3">
        <v>1.1200000000000001E-12</v>
      </c>
    </row>
    <row r="1345" spans="1:10" x14ac:dyDescent="0.2">
      <c r="A1345" s="3">
        <v>1300</v>
      </c>
      <c r="B1345" s="3">
        <v>1.22E-6</v>
      </c>
      <c r="C1345" s="2">
        <v>7.0010000000000003E-2</v>
      </c>
      <c r="D1345" s="3">
        <v>254000</v>
      </c>
      <c r="E1345" s="3">
        <v>75800000000</v>
      </c>
      <c r="F1345" s="3">
        <v>70800000000</v>
      </c>
      <c r="G1345" s="3">
        <v>5400000000</v>
      </c>
      <c r="H1345" s="3">
        <v>7880000000</v>
      </c>
      <c r="I1345" s="2">
        <v>7.6170000000000002E-2</v>
      </c>
      <c r="J1345" s="3">
        <v>1.08E-12</v>
      </c>
    </row>
    <row r="1346" spans="1:10" x14ac:dyDescent="0.2">
      <c r="A1346" s="3">
        <v>1300</v>
      </c>
      <c r="B1346" s="3">
        <v>1.2300000000000001E-6</v>
      </c>
      <c r="C1346" s="2">
        <v>7.0059999999999997E-2</v>
      </c>
      <c r="D1346" s="3">
        <v>271000</v>
      </c>
      <c r="E1346" s="3">
        <v>80700000000</v>
      </c>
      <c r="F1346" s="3">
        <v>75100000000</v>
      </c>
      <c r="G1346" s="3">
        <v>129000000</v>
      </c>
      <c r="H1346" s="3">
        <v>7780000000</v>
      </c>
      <c r="I1346" s="2">
        <v>1.719E-3</v>
      </c>
      <c r="J1346" s="3">
        <v>9.5300000000000008E-13</v>
      </c>
    </row>
    <row r="1347" spans="1:10" x14ac:dyDescent="0.2">
      <c r="A1347" s="3">
        <v>1300</v>
      </c>
      <c r="B1347" s="3">
        <v>1.2300000000000001E-6</v>
      </c>
      <c r="C1347" s="2">
        <v>7.0120000000000002E-2</v>
      </c>
      <c r="D1347" s="3">
        <v>257000</v>
      </c>
      <c r="E1347" s="3">
        <v>76500000000</v>
      </c>
      <c r="F1347" s="3">
        <v>71400000000</v>
      </c>
      <c r="G1347" s="3">
        <v>6450000000</v>
      </c>
      <c r="H1347" s="3">
        <v>7830000000</v>
      </c>
      <c r="I1347" s="2">
        <v>9.0300000000000005E-2</v>
      </c>
      <c r="J1347" s="3">
        <v>1.0599999999999999E-12</v>
      </c>
    </row>
    <row r="1348" spans="1:10" x14ac:dyDescent="0.2">
      <c r="A1348" s="3">
        <v>1300</v>
      </c>
      <c r="B1348" s="3">
        <v>1.2300000000000001E-6</v>
      </c>
      <c r="C1348" s="2">
        <v>7.0169999999999996E-2</v>
      </c>
      <c r="D1348" s="3">
        <v>265000</v>
      </c>
      <c r="E1348" s="3">
        <v>78700000000</v>
      </c>
      <c r="F1348" s="3">
        <v>73300000000</v>
      </c>
      <c r="G1348" s="3">
        <v>4830000000</v>
      </c>
      <c r="H1348" s="3">
        <v>7780000000</v>
      </c>
      <c r="I1348" s="2">
        <v>6.583E-2</v>
      </c>
      <c r="J1348" s="3">
        <v>9.9900000000000009E-13</v>
      </c>
    </row>
    <row r="1349" spans="1:10" x14ac:dyDescent="0.2">
      <c r="A1349" s="3">
        <v>1300</v>
      </c>
      <c r="B1349" s="3">
        <v>1.24E-6</v>
      </c>
      <c r="C1349" s="2">
        <v>7.0220000000000005E-2</v>
      </c>
      <c r="D1349" s="3">
        <v>245000</v>
      </c>
      <c r="E1349" s="3">
        <v>72800000000</v>
      </c>
      <c r="F1349" s="3">
        <v>68100000000</v>
      </c>
      <c r="G1349" s="3">
        <v>8000000000</v>
      </c>
      <c r="H1349" s="3">
        <v>7870000000</v>
      </c>
      <c r="I1349" s="2">
        <v>0.1174</v>
      </c>
      <c r="J1349" s="3">
        <v>1.1700000000000001E-12</v>
      </c>
    </row>
    <row r="1350" spans="1:10" x14ac:dyDescent="0.2">
      <c r="A1350" s="3">
        <v>1300</v>
      </c>
      <c r="B1350" s="3">
        <v>1.24E-6</v>
      </c>
      <c r="C1350" s="2">
        <v>7.0279999999999995E-2</v>
      </c>
      <c r="D1350" s="3">
        <v>253000</v>
      </c>
      <c r="E1350" s="3">
        <v>75000000000</v>
      </c>
      <c r="F1350" s="3">
        <v>70100000000</v>
      </c>
      <c r="G1350" s="3">
        <v>7120000000</v>
      </c>
      <c r="H1350" s="3">
        <v>7820000000</v>
      </c>
      <c r="I1350" s="2">
        <v>0.1016</v>
      </c>
      <c r="J1350" s="3">
        <v>1.1E-12</v>
      </c>
    </row>
    <row r="1351" spans="1:10" x14ac:dyDescent="0.2">
      <c r="A1351" s="3">
        <v>1300</v>
      </c>
      <c r="B1351" s="3">
        <v>1.24E-6</v>
      </c>
      <c r="C1351" s="2">
        <v>7.0330000000000004E-2</v>
      </c>
      <c r="D1351" s="3">
        <v>246000</v>
      </c>
      <c r="E1351" s="3">
        <v>72800000000</v>
      </c>
      <c r="F1351" s="3">
        <v>68100000000</v>
      </c>
      <c r="G1351" s="3">
        <v>3060000000</v>
      </c>
      <c r="H1351" s="3">
        <v>7850000000</v>
      </c>
      <c r="I1351" s="2">
        <v>4.496E-2</v>
      </c>
      <c r="J1351" s="3">
        <v>1.1700000000000001E-12</v>
      </c>
    </row>
    <row r="1352" spans="1:10" x14ac:dyDescent="0.2">
      <c r="A1352" s="3">
        <v>1400</v>
      </c>
      <c r="B1352" s="3">
        <v>1.24E-6</v>
      </c>
      <c r="C1352" s="2">
        <v>7.0379999999999998E-2</v>
      </c>
      <c r="D1352" s="3">
        <v>238000</v>
      </c>
      <c r="E1352" s="3">
        <v>70500000000</v>
      </c>
      <c r="F1352" s="3">
        <v>66100000000</v>
      </c>
      <c r="G1352" s="3">
        <v>4470000000</v>
      </c>
      <c r="H1352" s="3">
        <v>7880000000</v>
      </c>
      <c r="I1352" s="2">
        <v>6.762E-2</v>
      </c>
      <c r="J1352" s="3">
        <v>1.24E-12</v>
      </c>
    </row>
    <row r="1353" spans="1:10" x14ac:dyDescent="0.2">
      <c r="A1353" s="3">
        <v>1400</v>
      </c>
      <c r="B1353" s="3">
        <v>1.2500000000000001E-6</v>
      </c>
      <c r="C1353" s="2">
        <v>7.0430000000000006E-2</v>
      </c>
      <c r="D1353" s="3">
        <v>259000</v>
      </c>
      <c r="E1353" s="3">
        <v>76500000000</v>
      </c>
      <c r="F1353" s="3">
        <v>71400000000</v>
      </c>
      <c r="G1353" s="3">
        <v>7090000000</v>
      </c>
      <c r="H1353" s="3">
        <v>7770000000</v>
      </c>
      <c r="I1353" s="2">
        <v>9.9260000000000001E-2</v>
      </c>
      <c r="J1353" s="3">
        <v>1.05E-12</v>
      </c>
    </row>
    <row r="1354" spans="1:10" x14ac:dyDescent="0.2">
      <c r="A1354" s="3">
        <v>1400</v>
      </c>
      <c r="B1354" s="3">
        <v>1.2500000000000001E-6</v>
      </c>
      <c r="C1354" s="2">
        <v>7.0489999999999997E-2</v>
      </c>
      <c r="D1354" s="3">
        <v>242000</v>
      </c>
      <c r="E1354" s="3">
        <v>71500000000</v>
      </c>
      <c r="F1354" s="3">
        <v>67100000000</v>
      </c>
      <c r="G1354" s="3">
        <v>7030000000</v>
      </c>
      <c r="H1354" s="3">
        <v>7850000000</v>
      </c>
      <c r="I1354" s="2">
        <v>0.1048</v>
      </c>
      <c r="J1354" s="3">
        <v>1.2100000000000001E-12</v>
      </c>
    </row>
    <row r="1355" spans="1:10" x14ac:dyDescent="0.2">
      <c r="A1355" s="3">
        <v>1400</v>
      </c>
      <c r="B1355" s="3">
        <v>1.2500000000000001E-6</v>
      </c>
      <c r="C1355" s="2">
        <v>7.0540000000000005E-2</v>
      </c>
      <c r="D1355" s="3">
        <v>261000</v>
      </c>
      <c r="E1355" s="3">
        <v>77100000000</v>
      </c>
      <c r="F1355" s="3">
        <v>71900000000</v>
      </c>
      <c r="G1355" s="3">
        <v>12200000000</v>
      </c>
      <c r="H1355" s="3">
        <v>7750000000</v>
      </c>
      <c r="I1355" s="2">
        <v>0.1701</v>
      </c>
      <c r="J1355" s="3">
        <v>1.0300000000000001E-12</v>
      </c>
    </row>
    <row r="1356" spans="1:10" x14ac:dyDescent="0.2">
      <c r="A1356" s="3">
        <v>1400</v>
      </c>
      <c r="B1356" s="3">
        <v>1.2500000000000001E-6</v>
      </c>
      <c r="C1356" s="2">
        <v>7.059E-2</v>
      </c>
      <c r="D1356" s="3">
        <v>279000</v>
      </c>
      <c r="E1356" s="3">
        <v>82100000000</v>
      </c>
      <c r="F1356" s="3">
        <v>76300000000</v>
      </c>
      <c r="G1356" s="3">
        <v>7740000000</v>
      </c>
      <c r="H1356" s="3">
        <v>7670000000</v>
      </c>
      <c r="I1356" s="2">
        <v>0.1014</v>
      </c>
      <c r="J1356" s="3">
        <v>9.0999999999999996E-13</v>
      </c>
    </row>
    <row r="1357" spans="1:10" x14ac:dyDescent="0.2">
      <c r="A1357" s="3">
        <v>1400</v>
      </c>
      <c r="B1357" s="3">
        <v>1.26E-6</v>
      </c>
      <c r="C1357" s="2">
        <v>7.0639999999999994E-2</v>
      </c>
      <c r="D1357" s="3">
        <v>223000</v>
      </c>
      <c r="E1357" s="3">
        <v>65900000000</v>
      </c>
      <c r="F1357" s="3">
        <v>62100000000</v>
      </c>
      <c r="G1357" s="3">
        <v>8320000000</v>
      </c>
      <c r="H1357" s="3">
        <v>7930000000</v>
      </c>
      <c r="I1357" s="2">
        <v>0.13400000000000001</v>
      </c>
      <c r="J1357" s="3">
        <v>1.42E-12</v>
      </c>
    </row>
    <row r="1358" spans="1:10" x14ac:dyDescent="0.2">
      <c r="A1358" s="3">
        <v>1400</v>
      </c>
      <c r="B1358" s="3">
        <v>1.26E-6</v>
      </c>
      <c r="C1358" s="2">
        <v>7.0699999999999999E-2</v>
      </c>
      <c r="D1358" s="3">
        <v>248000</v>
      </c>
      <c r="E1358" s="3">
        <v>73100000000</v>
      </c>
      <c r="F1358" s="3">
        <v>68500000000</v>
      </c>
      <c r="G1358" s="3">
        <v>7870000000</v>
      </c>
      <c r="H1358" s="3">
        <v>7790000000</v>
      </c>
      <c r="I1358" s="2">
        <v>0.115</v>
      </c>
      <c r="J1358" s="3">
        <v>1.1499999999999999E-12</v>
      </c>
    </row>
    <row r="1359" spans="1:10" x14ac:dyDescent="0.2">
      <c r="A1359" s="3">
        <v>1400</v>
      </c>
      <c r="B1359" s="3">
        <v>1.26E-6</v>
      </c>
      <c r="C1359" s="2">
        <v>7.0749999999999993E-2</v>
      </c>
      <c r="D1359" s="3">
        <v>259000</v>
      </c>
      <c r="E1359" s="3">
        <v>76100000000</v>
      </c>
      <c r="F1359" s="3">
        <v>71000000000</v>
      </c>
      <c r="G1359" s="3">
        <v>5780000000</v>
      </c>
      <c r="H1359" s="3">
        <v>7730000000</v>
      </c>
      <c r="I1359" s="2">
        <v>8.1320000000000003E-2</v>
      </c>
      <c r="J1359" s="3">
        <v>1.0599999999999999E-12</v>
      </c>
    </row>
    <row r="1360" spans="1:10" x14ac:dyDescent="0.2">
      <c r="A1360" s="3">
        <v>1400</v>
      </c>
      <c r="B1360" s="3">
        <v>1.26E-6</v>
      </c>
      <c r="C1360" s="2">
        <v>7.0800000000000002E-2</v>
      </c>
      <c r="D1360" s="3">
        <v>253000</v>
      </c>
      <c r="E1360" s="3">
        <v>74300000000</v>
      </c>
      <c r="F1360" s="3">
        <v>69500000000</v>
      </c>
      <c r="G1360" s="3">
        <v>14600000000</v>
      </c>
      <c r="H1360" s="3">
        <v>7750000000</v>
      </c>
      <c r="I1360" s="2">
        <v>0.2107</v>
      </c>
      <c r="J1360" s="3">
        <v>1.1099999999999999E-12</v>
      </c>
    </row>
    <row r="1361" spans="1:10" x14ac:dyDescent="0.2">
      <c r="A1361" s="3">
        <v>1400</v>
      </c>
      <c r="B1361" s="3">
        <v>1.2699999999999999E-6</v>
      </c>
      <c r="C1361" s="2">
        <v>7.0849999999999996E-2</v>
      </c>
      <c r="D1361" s="3">
        <v>254000</v>
      </c>
      <c r="E1361" s="3">
        <v>74500000000</v>
      </c>
      <c r="F1361" s="3">
        <v>69600000000</v>
      </c>
      <c r="G1361" s="3">
        <v>1610000000</v>
      </c>
      <c r="H1361" s="3">
        <v>7740000000</v>
      </c>
      <c r="I1361" s="2">
        <v>2.3060000000000001E-2</v>
      </c>
      <c r="J1361" s="3">
        <v>1.1E-12</v>
      </c>
    </row>
    <row r="1362" spans="1:10" x14ac:dyDescent="0.2">
      <c r="A1362" s="3">
        <v>1400</v>
      </c>
      <c r="B1362" s="3">
        <v>1.2699999999999999E-6</v>
      </c>
      <c r="C1362" s="2">
        <v>7.0900000000000005E-2</v>
      </c>
      <c r="D1362" s="3">
        <v>241000</v>
      </c>
      <c r="E1362" s="3">
        <v>70700000000</v>
      </c>
      <c r="F1362" s="3">
        <v>66300000000</v>
      </c>
      <c r="G1362" s="3">
        <v>4860000000</v>
      </c>
      <c r="H1362" s="3">
        <v>7800000000</v>
      </c>
      <c r="I1362" s="2">
        <v>7.3330000000000006E-2</v>
      </c>
      <c r="J1362" s="3">
        <v>1.2200000000000001E-12</v>
      </c>
    </row>
    <row r="1363" spans="1:10" x14ac:dyDescent="0.2">
      <c r="A1363" s="3">
        <v>1400</v>
      </c>
      <c r="B1363" s="3">
        <v>1.2699999999999999E-6</v>
      </c>
      <c r="C1363" s="2">
        <v>7.0959999999999995E-2</v>
      </c>
      <c r="D1363" s="3">
        <v>253000</v>
      </c>
      <c r="E1363" s="3">
        <v>74000000000</v>
      </c>
      <c r="F1363" s="3">
        <v>69300000000</v>
      </c>
      <c r="G1363" s="3">
        <v>4890000000</v>
      </c>
      <c r="H1363" s="3">
        <v>7730000000</v>
      </c>
      <c r="I1363" s="2">
        <v>7.0629999999999998E-2</v>
      </c>
      <c r="J1363" s="3">
        <v>1.1099999999999999E-12</v>
      </c>
    </row>
    <row r="1364" spans="1:10" x14ac:dyDescent="0.2">
      <c r="A1364" s="3">
        <v>1400</v>
      </c>
      <c r="B1364" s="3">
        <v>1.2699999999999999E-6</v>
      </c>
      <c r="C1364" s="2">
        <v>7.1010000000000004E-2</v>
      </c>
      <c r="D1364" s="3">
        <v>244000</v>
      </c>
      <c r="E1364" s="3">
        <v>71500000000</v>
      </c>
      <c r="F1364" s="3">
        <v>67000000000</v>
      </c>
      <c r="G1364" s="3">
        <v>4630000000</v>
      </c>
      <c r="H1364" s="3">
        <v>7770000000</v>
      </c>
      <c r="I1364" s="2">
        <v>6.9059999999999996E-2</v>
      </c>
      <c r="J1364" s="3">
        <v>1.1999999999999999E-12</v>
      </c>
    </row>
    <row r="1365" spans="1:10" x14ac:dyDescent="0.2">
      <c r="A1365" s="3">
        <v>1400</v>
      </c>
      <c r="B1365" s="3">
        <v>1.28E-6</v>
      </c>
      <c r="C1365" s="2">
        <v>7.1059999999999998E-2</v>
      </c>
      <c r="D1365" s="3">
        <v>239000</v>
      </c>
      <c r="E1365" s="3">
        <v>70100000000</v>
      </c>
      <c r="F1365" s="3">
        <v>65800000000</v>
      </c>
      <c r="G1365" s="3">
        <v>9290000000</v>
      </c>
      <c r="H1365" s="3">
        <v>7790000000</v>
      </c>
      <c r="I1365" s="2">
        <v>0.1411</v>
      </c>
      <c r="J1365" s="3">
        <v>1.24E-12</v>
      </c>
    </row>
    <row r="1366" spans="1:10" x14ac:dyDescent="0.2">
      <c r="A1366" s="3">
        <v>1400</v>
      </c>
      <c r="B1366" s="3">
        <v>1.28E-6</v>
      </c>
      <c r="C1366" s="2">
        <v>7.1110000000000007E-2</v>
      </c>
      <c r="D1366" s="3">
        <v>247000</v>
      </c>
      <c r="E1366" s="3">
        <v>72300000000</v>
      </c>
      <c r="F1366" s="3">
        <v>67700000000</v>
      </c>
      <c r="G1366" s="3">
        <v>3340000000</v>
      </c>
      <c r="H1366" s="3">
        <v>7740000000</v>
      </c>
      <c r="I1366" s="2">
        <v>4.931E-2</v>
      </c>
      <c r="J1366" s="3">
        <v>1.1700000000000001E-12</v>
      </c>
    </row>
    <row r="1367" spans="1:10" x14ac:dyDescent="0.2">
      <c r="A1367" s="3">
        <v>1400</v>
      </c>
      <c r="B1367" s="3">
        <v>1.28E-6</v>
      </c>
      <c r="C1367" s="2">
        <v>7.1169999999999997E-2</v>
      </c>
      <c r="D1367" s="3">
        <v>244000</v>
      </c>
      <c r="E1367" s="3">
        <v>71200000000</v>
      </c>
      <c r="F1367" s="3">
        <v>66800000000</v>
      </c>
      <c r="G1367" s="3">
        <v>4820000000</v>
      </c>
      <c r="H1367" s="3">
        <v>7750000000</v>
      </c>
      <c r="I1367" s="2">
        <v>7.213E-2</v>
      </c>
      <c r="J1367" s="3">
        <v>1.1999999999999999E-12</v>
      </c>
    </row>
    <row r="1368" spans="1:10" x14ac:dyDescent="0.2">
      <c r="A1368" s="3">
        <v>1400</v>
      </c>
      <c r="B1368" s="3">
        <v>1.28E-6</v>
      </c>
      <c r="C1368" s="2">
        <v>7.1220000000000006E-2</v>
      </c>
      <c r="D1368" s="3">
        <v>263000</v>
      </c>
      <c r="E1368" s="3">
        <v>76900000000</v>
      </c>
      <c r="F1368" s="3">
        <v>71700000000</v>
      </c>
      <c r="G1368" s="3">
        <v>619000000</v>
      </c>
      <c r="H1368" s="3">
        <v>7660000000</v>
      </c>
      <c r="I1368" s="2">
        <v>8.6339999999999993E-3</v>
      </c>
      <c r="J1368" s="3">
        <v>1.0300000000000001E-12</v>
      </c>
    </row>
    <row r="1369" spans="1:10" x14ac:dyDescent="0.2">
      <c r="A1369" s="3">
        <v>1400</v>
      </c>
      <c r="B1369" s="3">
        <v>1.28E-6</v>
      </c>
      <c r="C1369" s="2">
        <v>7.127E-2</v>
      </c>
      <c r="D1369" s="3">
        <v>258000</v>
      </c>
      <c r="E1369" s="3">
        <v>75400000000</v>
      </c>
      <c r="F1369" s="3">
        <v>70500000000</v>
      </c>
      <c r="G1369" s="2">
        <v>0</v>
      </c>
      <c r="H1369" s="3">
        <v>7670000000</v>
      </c>
      <c r="I1369" s="2">
        <v>-7.3719999999999994E-2</v>
      </c>
      <c r="J1369" s="3">
        <v>1.0700000000000001E-12</v>
      </c>
    </row>
    <row r="1370" spans="1:10" x14ac:dyDescent="0.2">
      <c r="A1370" s="3">
        <v>1400</v>
      </c>
      <c r="B1370" s="3">
        <v>1.2899999999999999E-6</v>
      </c>
      <c r="C1370" s="2">
        <v>7.1319999999999995E-2</v>
      </c>
      <c r="D1370" s="3">
        <v>274000</v>
      </c>
      <c r="E1370" s="3">
        <v>79900000000</v>
      </c>
      <c r="F1370" s="3">
        <v>74400000000</v>
      </c>
      <c r="G1370" s="3">
        <v>5250000000</v>
      </c>
      <c r="H1370" s="3">
        <v>7610000000</v>
      </c>
      <c r="I1370" s="2">
        <v>7.0620000000000002E-2</v>
      </c>
      <c r="J1370" s="3">
        <v>9.4999999999999999E-13</v>
      </c>
    </row>
    <row r="1371" spans="1:10" x14ac:dyDescent="0.2">
      <c r="A1371" s="3">
        <v>1400</v>
      </c>
      <c r="B1371" s="3">
        <v>1.2899999999999999E-6</v>
      </c>
      <c r="C1371" s="2">
        <v>7.1370000000000003E-2</v>
      </c>
      <c r="D1371" s="3">
        <v>234000</v>
      </c>
      <c r="E1371" s="3">
        <v>68300000000</v>
      </c>
      <c r="F1371" s="3">
        <v>64300000000</v>
      </c>
      <c r="G1371" s="3">
        <v>6840000000</v>
      </c>
      <c r="H1371" s="3">
        <v>7770000000</v>
      </c>
      <c r="I1371" s="2">
        <v>0.1065</v>
      </c>
      <c r="J1371" s="3">
        <v>1.2999999999999999E-12</v>
      </c>
    </row>
    <row r="1372" spans="1:10" x14ac:dyDescent="0.2">
      <c r="A1372" s="3">
        <v>1400</v>
      </c>
      <c r="B1372" s="3">
        <v>1.2899999999999999E-6</v>
      </c>
      <c r="C1372" s="2">
        <v>7.1429999999999993E-2</v>
      </c>
      <c r="D1372" s="3">
        <v>262000</v>
      </c>
      <c r="E1372" s="3">
        <v>76100000000</v>
      </c>
      <c r="F1372" s="3">
        <v>71100000000</v>
      </c>
      <c r="G1372" s="3">
        <v>3350000000</v>
      </c>
      <c r="H1372" s="3">
        <v>7640000000</v>
      </c>
      <c r="I1372" s="2">
        <v>4.709E-2</v>
      </c>
      <c r="J1372" s="3">
        <v>1.05E-12</v>
      </c>
    </row>
    <row r="1373" spans="1:10" x14ac:dyDescent="0.2">
      <c r="A1373" s="3">
        <v>1400</v>
      </c>
      <c r="B1373" s="3">
        <v>1.2899999999999999E-6</v>
      </c>
      <c r="C1373" s="2">
        <v>7.1480000000000002E-2</v>
      </c>
      <c r="D1373" s="3">
        <v>271000</v>
      </c>
      <c r="E1373" s="3">
        <v>78700000000</v>
      </c>
      <c r="F1373" s="3">
        <v>73400000000</v>
      </c>
      <c r="G1373" s="2">
        <v>0</v>
      </c>
      <c r="H1373" s="3">
        <v>7600000000</v>
      </c>
      <c r="I1373" s="2">
        <v>-1.069E-2</v>
      </c>
      <c r="J1373" s="3">
        <v>9.7499999999999999E-13</v>
      </c>
    </row>
    <row r="1374" spans="1:10" x14ac:dyDescent="0.2">
      <c r="A1374" s="3">
        <v>1400</v>
      </c>
      <c r="B1374" s="3">
        <v>1.3E-6</v>
      </c>
      <c r="C1374" s="2">
        <v>7.1529999999999996E-2</v>
      </c>
      <c r="D1374" s="3">
        <v>272000</v>
      </c>
      <c r="E1374" s="3">
        <v>79000000000</v>
      </c>
      <c r="F1374" s="3">
        <v>73600000000</v>
      </c>
      <c r="G1374" s="2">
        <v>0</v>
      </c>
      <c r="H1374" s="3">
        <v>7590000000</v>
      </c>
      <c r="I1374" s="2">
        <v>-5.1850000000000004E-3</v>
      </c>
      <c r="J1374" s="3">
        <v>9.6799999999999991E-13</v>
      </c>
    </row>
    <row r="1375" spans="1:10" x14ac:dyDescent="0.2">
      <c r="A1375" s="3">
        <v>1400</v>
      </c>
      <c r="B1375" s="3">
        <v>1.3E-6</v>
      </c>
      <c r="C1375" s="2">
        <v>7.1580000000000005E-2</v>
      </c>
      <c r="D1375" s="3">
        <v>293000</v>
      </c>
      <c r="E1375" s="3">
        <v>85000000000</v>
      </c>
      <c r="F1375" s="3">
        <v>78800000000</v>
      </c>
      <c r="G1375" s="3">
        <v>11100000000</v>
      </c>
      <c r="H1375" s="3">
        <v>7520000000</v>
      </c>
      <c r="I1375" s="2">
        <v>0.14050000000000001</v>
      </c>
      <c r="J1375" s="3">
        <v>8.3599999999999997E-13</v>
      </c>
    </row>
    <row r="1376" spans="1:10" x14ac:dyDescent="0.2">
      <c r="A1376" s="3">
        <v>1400</v>
      </c>
      <c r="B1376" s="3">
        <v>1.3E-6</v>
      </c>
      <c r="C1376" s="2">
        <v>7.1639999999999995E-2</v>
      </c>
      <c r="D1376" s="3">
        <v>258000</v>
      </c>
      <c r="E1376" s="3">
        <v>74900000000</v>
      </c>
      <c r="F1376" s="3">
        <v>70000000000</v>
      </c>
      <c r="G1376" s="3">
        <v>2440000000</v>
      </c>
      <c r="H1376" s="3">
        <v>7640000000</v>
      </c>
      <c r="I1376" s="2">
        <v>3.4860000000000002E-2</v>
      </c>
      <c r="J1376" s="3">
        <v>1.08E-12</v>
      </c>
    </row>
    <row r="1377" spans="1:10" x14ac:dyDescent="0.2">
      <c r="A1377" s="3">
        <v>1400</v>
      </c>
      <c r="B1377" s="3">
        <v>1.3E-6</v>
      </c>
      <c r="C1377" s="2">
        <v>7.1690000000000004E-2</v>
      </c>
      <c r="D1377" s="3">
        <v>251000</v>
      </c>
      <c r="E1377" s="3">
        <v>72900000000</v>
      </c>
      <c r="F1377" s="3">
        <v>68200000000</v>
      </c>
      <c r="G1377" s="3">
        <v>391000000</v>
      </c>
      <c r="H1377" s="3">
        <v>7660000000</v>
      </c>
      <c r="I1377" s="2">
        <v>5.7299999999999999E-3</v>
      </c>
      <c r="J1377" s="3">
        <v>1.14E-12</v>
      </c>
    </row>
    <row r="1378" spans="1:10" x14ac:dyDescent="0.2">
      <c r="A1378" s="3">
        <v>1400</v>
      </c>
      <c r="B1378" s="3">
        <v>1.3E-6</v>
      </c>
      <c r="C1378" s="2">
        <v>7.1739999999999998E-2</v>
      </c>
      <c r="D1378" s="3">
        <v>253000</v>
      </c>
      <c r="E1378" s="3">
        <v>73400000000</v>
      </c>
      <c r="F1378" s="3">
        <v>68700000000</v>
      </c>
      <c r="G1378" s="3">
        <v>8750000000</v>
      </c>
      <c r="H1378" s="3">
        <v>7650000000</v>
      </c>
      <c r="I1378" s="2">
        <v>0.12740000000000001</v>
      </c>
      <c r="J1378" s="3">
        <v>1.1200000000000001E-12</v>
      </c>
    </row>
    <row r="1379" spans="1:10" x14ac:dyDescent="0.2">
      <c r="A1379" s="3">
        <v>1400</v>
      </c>
      <c r="B1379" s="3">
        <v>1.31E-6</v>
      </c>
      <c r="C1379" s="2">
        <v>7.1790000000000007E-2</v>
      </c>
      <c r="D1379" s="3">
        <v>263000</v>
      </c>
      <c r="E1379" s="3">
        <v>76300000000</v>
      </c>
      <c r="F1379" s="3">
        <v>71200000000</v>
      </c>
      <c r="G1379" s="2">
        <v>0</v>
      </c>
      <c r="H1379" s="3">
        <v>7600000000</v>
      </c>
      <c r="I1379" s="2">
        <v>-3.9E-2</v>
      </c>
      <c r="J1379" s="3">
        <v>1.04E-12</v>
      </c>
    </row>
    <row r="1380" spans="1:10" x14ac:dyDescent="0.2">
      <c r="A1380" s="3">
        <v>1400</v>
      </c>
      <c r="B1380" s="3">
        <v>1.31E-6</v>
      </c>
      <c r="C1380" s="2">
        <v>7.1849999999999997E-2</v>
      </c>
      <c r="D1380" s="3">
        <v>253000</v>
      </c>
      <c r="E1380" s="3">
        <v>73300000000</v>
      </c>
      <c r="F1380" s="3">
        <v>68700000000</v>
      </c>
      <c r="G1380" s="3">
        <v>3230000000</v>
      </c>
      <c r="H1380" s="3">
        <v>7640000000</v>
      </c>
      <c r="I1380" s="2">
        <v>4.7059999999999998E-2</v>
      </c>
      <c r="J1380" s="3">
        <v>1.1200000000000001E-12</v>
      </c>
    </row>
    <row r="1381" spans="1:10" x14ac:dyDescent="0.2">
      <c r="A1381" s="3">
        <v>1400</v>
      </c>
      <c r="B1381" s="3">
        <v>1.31E-6</v>
      </c>
      <c r="C1381" s="2">
        <v>7.1900000000000006E-2</v>
      </c>
      <c r="D1381" s="3">
        <v>230000</v>
      </c>
      <c r="E1381" s="3">
        <v>66500000000</v>
      </c>
      <c r="F1381" s="3">
        <v>62600000000</v>
      </c>
      <c r="G1381" s="3">
        <v>7350000000</v>
      </c>
      <c r="H1381" s="3">
        <v>7750000000</v>
      </c>
      <c r="I1381" s="2">
        <v>0.1174</v>
      </c>
      <c r="J1381" s="3">
        <v>1.3600000000000001E-12</v>
      </c>
    </row>
    <row r="1382" spans="1:10" x14ac:dyDescent="0.2">
      <c r="A1382" s="3">
        <v>1400</v>
      </c>
      <c r="B1382" s="3">
        <v>1.31E-6</v>
      </c>
      <c r="C1382" s="2">
        <v>7.195E-2</v>
      </c>
      <c r="D1382" s="3">
        <v>252000</v>
      </c>
      <c r="E1382" s="3">
        <v>72800000000</v>
      </c>
      <c r="F1382" s="3">
        <v>68200000000</v>
      </c>
      <c r="G1382" s="3">
        <v>6520000000</v>
      </c>
      <c r="H1382" s="3">
        <v>7640000000</v>
      </c>
      <c r="I1382" s="2">
        <v>9.5560000000000006E-2</v>
      </c>
      <c r="J1382" s="3">
        <v>1.13E-12</v>
      </c>
    </row>
    <row r="1383" spans="1:10" x14ac:dyDescent="0.2">
      <c r="A1383" s="3">
        <v>1400</v>
      </c>
      <c r="B1383" s="3">
        <v>1.31E-6</v>
      </c>
      <c r="C1383" s="2">
        <v>7.1999999999999995E-2</v>
      </c>
      <c r="D1383" s="3">
        <v>277000</v>
      </c>
      <c r="E1383" s="3">
        <v>80100000000</v>
      </c>
      <c r="F1383" s="3">
        <v>74500000000</v>
      </c>
      <c r="G1383" s="3">
        <v>11200000000</v>
      </c>
      <c r="H1383" s="3">
        <v>7540000000</v>
      </c>
      <c r="I1383" s="2">
        <v>0.15010000000000001</v>
      </c>
      <c r="J1383" s="3">
        <v>9.3699999999999995E-13</v>
      </c>
    </row>
    <row r="1384" spans="1:10" x14ac:dyDescent="0.2">
      <c r="A1384" s="3">
        <v>1400</v>
      </c>
      <c r="B1384" s="3">
        <v>1.3200000000000001E-6</v>
      </c>
      <c r="C1384" s="2">
        <v>7.2050000000000003E-2</v>
      </c>
      <c r="D1384" s="3">
        <v>274000</v>
      </c>
      <c r="E1384" s="3">
        <v>79200000000</v>
      </c>
      <c r="F1384" s="3">
        <v>73700000000</v>
      </c>
      <c r="G1384" s="2">
        <v>0</v>
      </c>
      <c r="H1384" s="3">
        <v>7550000000</v>
      </c>
      <c r="I1384" s="2">
        <v>-1.729E-2</v>
      </c>
      <c r="J1384" s="3">
        <v>9.5799999999999996E-13</v>
      </c>
    </row>
    <row r="1385" spans="1:10" x14ac:dyDescent="0.2">
      <c r="A1385" s="3">
        <v>1400</v>
      </c>
      <c r="B1385" s="3">
        <v>1.3200000000000001E-6</v>
      </c>
      <c r="C1385" s="2">
        <v>7.2109999999999994E-2</v>
      </c>
      <c r="D1385" s="3">
        <v>244000</v>
      </c>
      <c r="E1385" s="3">
        <v>70300000000</v>
      </c>
      <c r="F1385" s="3">
        <v>66000000000</v>
      </c>
      <c r="G1385" s="3">
        <v>423000000</v>
      </c>
      <c r="H1385" s="3">
        <v>7670000000</v>
      </c>
      <c r="I1385" s="2">
        <v>6.417E-3</v>
      </c>
      <c r="J1385" s="3">
        <v>1.2200000000000001E-12</v>
      </c>
    </row>
    <row r="1386" spans="1:10" x14ac:dyDescent="0.2">
      <c r="A1386" s="3">
        <v>1400</v>
      </c>
      <c r="B1386" s="3">
        <v>1.3200000000000001E-6</v>
      </c>
      <c r="C1386" s="2">
        <v>7.2160000000000002E-2</v>
      </c>
      <c r="D1386" s="3">
        <v>255000</v>
      </c>
      <c r="E1386" s="3">
        <v>73500000000</v>
      </c>
      <c r="F1386" s="3">
        <v>68800000000</v>
      </c>
      <c r="G1386" s="2">
        <v>0</v>
      </c>
      <c r="H1386" s="3">
        <v>7620000000</v>
      </c>
      <c r="I1386" s="2">
        <v>-4.7879999999999999E-2</v>
      </c>
      <c r="J1386" s="3">
        <v>1.1099999999999999E-12</v>
      </c>
    </row>
    <row r="1387" spans="1:10" x14ac:dyDescent="0.2">
      <c r="A1387" s="3">
        <v>1400</v>
      </c>
      <c r="B1387" s="3">
        <v>1.3200000000000001E-6</v>
      </c>
      <c r="C1387" s="2">
        <v>7.2209999999999996E-2</v>
      </c>
      <c r="D1387" s="3">
        <v>281000</v>
      </c>
      <c r="E1387" s="3">
        <v>81100000000</v>
      </c>
      <c r="F1387" s="3">
        <v>75400000000</v>
      </c>
      <c r="G1387" s="2">
        <v>0</v>
      </c>
      <c r="H1387" s="3">
        <v>7510000000</v>
      </c>
      <c r="I1387" s="2">
        <v>-9.4759999999999997E-2</v>
      </c>
      <c r="J1387" s="3">
        <v>9.1300000000000005E-13</v>
      </c>
    </row>
    <row r="1388" spans="1:10" x14ac:dyDescent="0.2">
      <c r="A1388" s="3">
        <v>1400</v>
      </c>
      <c r="B1388" s="3">
        <v>1.3200000000000001E-6</v>
      </c>
      <c r="C1388" s="2">
        <v>7.2270000000000001E-2</v>
      </c>
      <c r="D1388" s="3">
        <v>245000</v>
      </c>
      <c r="E1388" s="3">
        <v>70700000000</v>
      </c>
      <c r="F1388" s="3">
        <v>66400000000</v>
      </c>
      <c r="G1388" s="3">
        <v>4310000000</v>
      </c>
      <c r="H1388" s="3">
        <v>7650000000</v>
      </c>
      <c r="I1388" s="2">
        <v>6.5009999999999998E-2</v>
      </c>
      <c r="J1388" s="3">
        <v>1.1999999999999999E-12</v>
      </c>
    </row>
    <row r="1389" spans="1:10" x14ac:dyDescent="0.2">
      <c r="A1389" s="3">
        <v>1400</v>
      </c>
      <c r="B1389" s="3">
        <v>1.3200000000000001E-6</v>
      </c>
      <c r="C1389" s="2">
        <v>7.2319999999999995E-2</v>
      </c>
      <c r="D1389" s="3">
        <v>261000</v>
      </c>
      <c r="E1389" s="3">
        <v>75100000000</v>
      </c>
      <c r="F1389" s="3">
        <v>70200000000</v>
      </c>
      <c r="G1389" s="3">
        <v>8200000000</v>
      </c>
      <c r="H1389" s="3">
        <v>7590000000</v>
      </c>
      <c r="I1389" s="2">
        <v>0.1169</v>
      </c>
      <c r="J1389" s="3">
        <v>1.0599999999999999E-12</v>
      </c>
    </row>
    <row r="1390" spans="1:10" x14ac:dyDescent="0.2">
      <c r="A1390" s="3">
        <v>1400</v>
      </c>
      <c r="B1390" s="3">
        <v>1.33E-6</v>
      </c>
      <c r="C1390" s="2">
        <v>7.2370000000000004E-2</v>
      </c>
      <c r="D1390" s="3">
        <v>271000</v>
      </c>
      <c r="E1390" s="3">
        <v>78000000000</v>
      </c>
      <c r="F1390" s="3">
        <v>72700000000</v>
      </c>
      <c r="G1390" s="3">
        <v>12500000000</v>
      </c>
      <c r="H1390" s="3">
        <v>7540000000</v>
      </c>
      <c r="I1390" s="2">
        <v>0.17130000000000001</v>
      </c>
      <c r="J1390" s="3">
        <v>9.8499999999999994E-13</v>
      </c>
    </row>
    <row r="1391" spans="1:10" x14ac:dyDescent="0.2">
      <c r="A1391" s="3">
        <v>1400</v>
      </c>
      <c r="B1391" s="3">
        <v>1.33E-6</v>
      </c>
      <c r="C1391" s="2">
        <v>7.2419999999999998E-2</v>
      </c>
      <c r="D1391" s="3">
        <v>246000</v>
      </c>
      <c r="E1391" s="3">
        <v>70700000000</v>
      </c>
      <c r="F1391" s="3">
        <v>66400000000</v>
      </c>
      <c r="G1391" s="2">
        <v>0</v>
      </c>
      <c r="H1391" s="3">
        <v>7650000000</v>
      </c>
      <c r="I1391" s="2">
        <v>-5.3249999999999999E-3</v>
      </c>
      <c r="J1391" s="3">
        <v>1.1999999999999999E-12</v>
      </c>
    </row>
    <row r="1392" spans="1:10" x14ac:dyDescent="0.2">
      <c r="A1392" s="3">
        <v>1400</v>
      </c>
      <c r="B1392" s="3">
        <v>1.33E-6</v>
      </c>
      <c r="C1392" s="2">
        <v>7.2470000000000007E-2</v>
      </c>
      <c r="D1392" s="3">
        <v>282000</v>
      </c>
      <c r="E1392" s="3">
        <v>81000000000</v>
      </c>
      <c r="F1392" s="3">
        <v>75400000000</v>
      </c>
      <c r="G1392" s="3">
        <v>7260000000</v>
      </c>
      <c r="H1392" s="3">
        <v>7500000000</v>
      </c>
      <c r="I1392" s="2">
        <v>9.6329999999999999E-2</v>
      </c>
      <c r="J1392" s="3">
        <v>9.1199999999999995E-13</v>
      </c>
    </row>
    <row r="1393" spans="1:10" x14ac:dyDescent="0.2">
      <c r="A1393" s="3">
        <v>1400</v>
      </c>
      <c r="B1393" s="3">
        <v>1.33E-6</v>
      </c>
      <c r="C1393" s="2">
        <v>7.2529999999999997E-2</v>
      </c>
      <c r="D1393" s="3">
        <v>225000</v>
      </c>
      <c r="E1393" s="3">
        <v>64700000000</v>
      </c>
      <c r="F1393" s="3">
        <v>61000000000</v>
      </c>
      <c r="G1393" s="3">
        <v>1780000000</v>
      </c>
      <c r="H1393" s="3">
        <v>7750000000</v>
      </c>
      <c r="I1393" s="2">
        <v>2.9080000000000002E-2</v>
      </c>
      <c r="J1393" s="3">
        <v>1.4399999999999999E-12</v>
      </c>
    </row>
    <row r="1394" spans="1:10" x14ac:dyDescent="0.2">
      <c r="A1394" s="3">
        <v>1400</v>
      </c>
      <c r="B1394" s="3">
        <v>1.33E-6</v>
      </c>
      <c r="C1394" s="2">
        <v>7.2580000000000006E-2</v>
      </c>
      <c r="D1394" s="3">
        <v>256000</v>
      </c>
      <c r="E1394" s="3">
        <v>73600000000</v>
      </c>
      <c r="F1394" s="3">
        <v>68900000000</v>
      </c>
      <c r="G1394" s="3">
        <v>2470000000</v>
      </c>
      <c r="H1394" s="3">
        <v>7590000000</v>
      </c>
      <c r="I1394" s="2">
        <v>3.5790000000000002E-2</v>
      </c>
      <c r="J1394" s="3">
        <v>1.1099999999999999E-12</v>
      </c>
    </row>
    <row r="1395" spans="1:10" x14ac:dyDescent="0.2">
      <c r="A1395" s="3">
        <v>1400</v>
      </c>
      <c r="B1395" s="3">
        <v>1.33E-6</v>
      </c>
      <c r="C1395" s="2">
        <v>7.263E-2</v>
      </c>
      <c r="D1395" s="3">
        <v>252000</v>
      </c>
      <c r="E1395" s="3">
        <v>72300000000</v>
      </c>
      <c r="F1395" s="3">
        <v>67800000000</v>
      </c>
      <c r="G1395" s="3">
        <v>6120000000</v>
      </c>
      <c r="H1395" s="3">
        <v>7610000000</v>
      </c>
      <c r="I1395" s="2">
        <v>9.0230000000000005E-2</v>
      </c>
      <c r="J1395" s="3">
        <v>1.14E-12</v>
      </c>
    </row>
    <row r="1396" spans="1:10" x14ac:dyDescent="0.2">
      <c r="A1396" s="3">
        <v>1400</v>
      </c>
      <c r="B1396" s="3">
        <v>1.3400000000000001E-6</v>
      </c>
      <c r="C1396" s="2">
        <v>7.2679999999999995E-2</v>
      </c>
      <c r="D1396" s="3">
        <v>250000</v>
      </c>
      <c r="E1396" s="3">
        <v>71800000000</v>
      </c>
      <c r="F1396" s="3">
        <v>67300000000</v>
      </c>
      <c r="G1396" s="3">
        <v>5540000000</v>
      </c>
      <c r="H1396" s="3">
        <v>7620000000</v>
      </c>
      <c r="I1396" s="2">
        <v>8.2430000000000003E-2</v>
      </c>
      <c r="J1396" s="3">
        <v>1.1599999999999999E-12</v>
      </c>
    </row>
    <row r="1397" spans="1:10" x14ac:dyDescent="0.2">
      <c r="A1397" s="3">
        <v>1400</v>
      </c>
      <c r="B1397" s="3">
        <v>1.3400000000000001E-6</v>
      </c>
      <c r="C1397" s="2">
        <v>7.2730000000000003E-2</v>
      </c>
      <c r="D1397" s="3">
        <v>265000</v>
      </c>
      <c r="E1397" s="3">
        <v>75900000000</v>
      </c>
      <c r="F1397" s="3">
        <v>70900000000</v>
      </c>
      <c r="G1397" s="3">
        <v>448000000</v>
      </c>
      <c r="H1397" s="3">
        <v>7560000000</v>
      </c>
      <c r="I1397" s="2">
        <v>6.3220000000000004E-3</v>
      </c>
      <c r="J1397" s="3">
        <v>1.04E-12</v>
      </c>
    </row>
    <row r="1398" spans="1:10" x14ac:dyDescent="0.2">
      <c r="A1398" s="3">
        <v>1400</v>
      </c>
      <c r="B1398" s="3">
        <v>1.3400000000000001E-6</v>
      </c>
      <c r="C1398" s="2">
        <v>7.2789999999999994E-2</v>
      </c>
      <c r="D1398" s="3">
        <v>290000</v>
      </c>
      <c r="E1398" s="3">
        <v>83000000000</v>
      </c>
      <c r="F1398" s="3">
        <v>77100000000</v>
      </c>
      <c r="G1398" s="3">
        <v>11400000000</v>
      </c>
      <c r="H1398" s="3">
        <v>7470000000</v>
      </c>
      <c r="I1398" s="2">
        <v>0.14849999999999999</v>
      </c>
      <c r="J1398" s="3">
        <v>8.6900000000000003E-13</v>
      </c>
    </row>
    <row r="1399" spans="1:10" x14ac:dyDescent="0.2">
      <c r="A1399" s="3">
        <v>1400</v>
      </c>
      <c r="B1399" s="3">
        <v>1.3400000000000001E-6</v>
      </c>
      <c r="C1399" s="2">
        <v>7.2840000000000002E-2</v>
      </c>
      <c r="D1399" s="3">
        <v>255000</v>
      </c>
      <c r="E1399" s="3">
        <v>72900000000</v>
      </c>
      <c r="F1399" s="3">
        <v>68300000000</v>
      </c>
      <c r="G1399" s="3">
        <v>4230000000</v>
      </c>
      <c r="H1399" s="3">
        <v>7600000000</v>
      </c>
      <c r="I1399" s="2">
        <v>6.1920000000000003E-2</v>
      </c>
      <c r="J1399" s="3">
        <v>1.13E-12</v>
      </c>
    </row>
    <row r="1400" spans="1:10" x14ac:dyDescent="0.2">
      <c r="A1400" s="3">
        <v>1400</v>
      </c>
      <c r="B1400" s="3">
        <v>1.3400000000000001E-6</v>
      </c>
      <c r="C1400" s="2">
        <v>7.2889999999999996E-2</v>
      </c>
      <c r="D1400" s="3">
        <v>297000</v>
      </c>
      <c r="E1400" s="3">
        <v>85100000000</v>
      </c>
      <c r="F1400" s="3">
        <v>78900000000</v>
      </c>
      <c r="G1400" s="3">
        <v>2360000000</v>
      </c>
      <c r="H1400" s="3">
        <v>7440000000</v>
      </c>
      <c r="I1400" s="2">
        <v>2.9960000000000001E-2</v>
      </c>
      <c r="J1400" s="3">
        <v>8.2600000000000001E-13</v>
      </c>
    </row>
    <row r="1401" spans="1:10" x14ac:dyDescent="0.2">
      <c r="A1401" s="3">
        <v>1400</v>
      </c>
      <c r="B1401" s="3">
        <v>1.3400000000000001E-6</v>
      </c>
      <c r="C1401" s="2">
        <v>7.2940000000000005E-2</v>
      </c>
      <c r="D1401" s="3">
        <v>241000</v>
      </c>
      <c r="E1401" s="3">
        <v>69100000000</v>
      </c>
      <c r="F1401" s="3">
        <v>64900000000</v>
      </c>
      <c r="G1401" s="3">
        <v>5430000000</v>
      </c>
      <c r="H1401" s="3">
        <v>7650000000</v>
      </c>
      <c r="I1401" s="2">
        <v>8.362E-2</v>
      </c>
      <c r="J1401" s="3">
        <v>1.2499999999999999E-12</v>
      </c>
    </row>
    <row r="1402" spans="1:10" x14ac:dyDescent="0.2">
      <c r="A1402" s="3">
        <v>1400</v>
      </c>
      <c r="B1402" s="3">
        <v>1.3400000000000001E-6</v>
      </c>
      <c r="C1402" s="2">
        <v>7.2989999999999999E-2</v>
      </c>
      <c r="D1402" s="3">
        <v>248000</v>
      </c>
      <c r="E1402" s="3">
        <v>70900000000</v>
      </c>
      <c r="F1402" s="3">
        <v>66500000000</v>
      </c>
      <c r="G1402" s="3">
        <v>4980000000</v>
      </c>
      <c r="H1402" s="3">
        <v>7620000000</v>
      </c>
      <c r="I1402" s="2">
        <v>7.4859999999999996E-2</v>
      </c>
      <c r="J1402" s="3">
        <v>1.19E-12</v>
      </c>
    </row>
    <row r="1403" spans="1:10" x14ac:dyDescent="0.2">
      <c r="A1403" s="3">
        <v>1400</v>
      </c>
      <c r="B1403" s="3">
        <v>1.35E-6</v>
      </c>
      <c r="C1403" s="2">
        <v>7.3050000000000004E-2</v>
      </c>
      <c r="D1403" s="3">
        <v>260000</v>
      </c>
      <c r="E1403" s="3">
        <v>74400000000</v>
      </c>
      <c r="F1403" s="3">
        <v>69500000000</v>
      </c>
      <c r="G1403" s="2">
        <v>0</v>
      </c>
      <c r="H1403" s="3">
        <v>7560000000</v>
      </c>
      <c r="I1403" s="2">
        <v>-2.2679999999999999E-2</v>
      </c>
      <c r="J1403" s="3">
        <v>1.08E-12</v>
      </c>
    </row>
    <row r="1404" spans="1:10" x14ac:dyDescent="0.2">
      <c r="A1404" s="3">
        <v>1400</v>
      </c>
      <c r="B1404" s="3">
        <v>1.35E-6</v>
      </c>
      <c r="C1404" s="2">
        <v>7.3099999999999998E-2</v>
      </c>
      <c r="D1404" s="3">
        <v>264000</v>
      </c>
      <c r="E1404" s="3">
        <v>75500000000</v>
      </c>
      <c r="F1404" s="3">
        <v>70600000000</v>
      </c>
      <c r="G1404" s="3">
        <v>5170000000</v>
      </c>
      <c r="H1404" s="3">
        <v>7550000000</v>
      </c>
      <c r="I1404" s="2">
        <v>7.3319999999999996E-2</v>
      </c>
      <c r="J1404" s="3">
        <v>1.05E-12</v>
      </c>
    </row>
    <row r="1405" spans="1:10" x14ac:dyDescent="0.2">
      <c r="A1405" s="3">
        <v>1400</v>
      </c>
      <c r="B1405" s="3">
        <v>1.35E-6</v>
      </c>
      <c r="C1405" s="2">
        <v>7.3150000000000007E-2</v>
      </c>
      <c r="D1405" s="3">
        <v>236000</v>
      </c>
      <c r="E1405" s="3">
        <v>67300000000</v>
      </c>
      <c r="F1405" s="3">
        <v>63400000000</v>
      </c>
      <c r="G1405" s="3">
        <v>6230000000</v>
      </c>
      <c r="H1405" s="3">
        <v>7670000000</v>
      </c>
      <c r="I1405" s="2">
        <v>9.8320000000000005E-2</v>
      </c>
      <c r="J1405" s="3">
        <v>1.32E-12</v>
      </c>
    </row>
    <row r="1406" spans="1:10" x14ac:dyDescent="0.2">
      <c r="A1406" s="3">
        <v>1400</v>
      </c>
      <c r="B1406" s="3">
        <v>1.35E-6</v>
      </c>
      <c r="C1406" s="2">
        <v>7.3209999999999997E-2</v>
      </c>
      <c r="D1406" s="3">
        <v>249000</v>
      </c>
      <c r="E1406" s="3">
        <v>71000000000</v>
      </c>
      <c r="F1406" s="3">
        <v>66600000000</v>
      </c>
      <c r="G1406" s="3">
        <v>8030000000</v>
      </c>
      <c r="H1406" s="3">
        <v>7610000000</v>
      </c>
      <c r="I1406" s="2">
        <v>0.1206</v>
      </c>
      <c r="J1406" s="3">
        <v>1.18E-12</v>
      </c>
    </row>
    <row r="1407" spans="1:10" x14ac:dyDescent="0.2">
      <c r="A1407" s="3">
        <v>1400</v>
      </c>
      <c r="B1407" s="3">
        <v>1.35E-6</v>
      </c>
      <c r="C1407" s="2">
        <v>7.3260000000000006E-2</v>
      </c>
      <c r="D1407" s="3">
        <v>247000</v>
      </c>
      <c r="E1407" s="3">
        <v>70500000000</v>
      </c>
      <c r="F1407" s="3">
        <v>66200000000</v>
      </c>
      <c r="G1407" s="3">
        <v>8990000000</v>
      </c>
      <c r="H1407" s="3">
        <v>7610000000</v>
      </c>
      <c r="I1407" s="2">
        <v>0.13589999999999999</v>
      </c>
      <c r="J1407" s="3">
        <v>1.1999999999999999E-12</v>
      </c>
    </row>
    <row r="1408" spans="1:10" x14ac:dyDescent="0.2">
      <c r="A1408" s="3">
        <v>1400</v>
      </c>
      <c r="B1408" s="3">
        <v>1.35E-6</v>
      </c>
      <c r="C1408" s="2">
        <v>7.331E-2</v>
      </c>
      <c r="D1408" s="3">
        <v>257000</v>
      </c>
      <c r="E1408" s="3">
        <v>73300000000</v>
      </c>
      <c r="F1408" s="3">
        <v>68700000000</v>
      </c>
      <c r="G1408" s="3">
        <v>13000000000</v>
      </c>
      <c r="H1408" s="3">
        <v>7570000000</v>
      </c>
      <c r="I1408" s="2">
        <v>0.18870000000000001</v>
      </c>
      <c r="J1408" s="3">
        <v>1.1099999999999999E-12</v>
      </c>
    </row>
    <row r="1409" spans="1:10" x14ac:dyDescent="0.2">
      <c r="A1409" s="3">
        <v>1400</v>
      </c>
      <c r="B1409" s="3">
        <v>1.3599999999999999E-6</v>
      </c>
      <c r="C1409" s="2">
        <v>7.3359999999999995E-2</v>
      </c>
      <c r="D1409" s="3">
        <v>239000</v>
      </c>
      <c r="E1409" s="3">
        <v>68100000000</v>
      </c>
      <c r="F1409" s="3">
        <v>64000000000</v>
      </c>
      <c r="G1409" s="3">
        <v>1670000000</v>
      </c>
      <c r="H1409" s="3">
        <v>7650000000</v>
      </c>
      <c r="I1409" s="2">
        <v>2.6079999999999999E-2</v>
      </c>
      <c r="J1409" s="3">
        <v>1.29E-12</v>
      </c>
    </row>
    <row r="1410" spans="1:10" x14ac:dyDescent="0.2">
      <c r="A1410" s="3">
        <v>1400</v>
      </c>
      <c r="B1410" s="3">
        <v>1.3599999999999999E-6</v>
      </c>
      <c r="C1410" s="2">
        <v>7.3410000000000003E-2</v>
      </c>
      <c r="D1410" s="3">
        <v>253000</v>
      </c>
      <c r="E1410" s="3">
        <v>72000000000</v>
      </c>
      <c r="F1410" s="3">
        <v>67500000000</v>
      </c>
      <c r="G1410" s="3">
        <v>3520000000</v>
      </c>
      <c r="H1410" s="3">
        <v>7570000000</v>
      </c>
      <c r="I1410" s="2">
        <v>5.2139999999999999E-2</v>
      </c>
      <c r="J1410" s="3">
        <v>1.1499999999999999E-12</v>
      </c>
    </row>
    <row r="1411" spans="1:10" x14ac:dyDescent="0.2">
      <c r="A1411" s="3">
        <v>1400</v>
      </c>
      <c r="B1411" s="3">
        <v>1.3599999999999999E-6</v>
      </c>
      <c r="C1411" s="2">
        <v>7.3459999999999998E-2</v>
      </c>
      <c r="D1411" s="3">
        <v>253000</v>
      </c>
      <c r="E1411" s="3">
        <v>71800000000</v>
      </c>
      <c r="F1411" s="3">
        <v>67300000000</v>
      </c>
      <c r="G1411" s="3">
        <v>6850000000</v>
      </c>
      <c r="H1411" s="3">
        <v>7560000000</v>
      </c>
      <c r="I1411" s="2">
        <v>0.1017</v>
      </c>
      <c r="J1411" s="3">
        <v>1.1499999999999999E-12</v>
      </c>
    </row>
    <row r="1412" spans="1:10" x14ac:dyDescent="0.2">
      <c r="A1412" s="3">
        <v>1400</v>
      </c>
      <c r="B1412" s="3">
        <v>1.37E-6</v>
      </c>
      <c r="C1412" s="2">
        <v>7.3510000000000006E-2</v>
      </c>
      <c r="D1412" s="3">
        <v>251000</v>
      </c>
      <c r="E1412" s="3">
        <v>71200000000</v>
      </c>
      <c r="F1412" s="3">
        <v>66800000000</v>
      </c>
      <c r="G1412" s="3">
        <v>3750000000</v>
      </c>
      <c r="H1412" s="3">
        <v>7550000000</v>
      </c>
      <c r="I1412" s="2">
        <v>5.6099999999999997E-2</v>
      </c>
      <c r="J1412" s="3">
        <v>1.1700000000000001E-12</v>
      </c>
    </row>
    <row r="1413" spans="1:10" x14ac:dyDescent="0.2">
      <c r="A1413" s="3">
        <v>1400</v>
      </c>
      <c r="B1413" s="3">
        <v>1.37E-6</v>
      </c>
      <c r="C1413" s="2">
        <v>7.356E-2</v>
      </c>
      <c r="D1413" s="3">
        <v>253000</v>
      </c>
      <c r="E1413" s="3">
        <v>71800000000</v>
      </c>
      <c r="F1413" s="3">
        <v>67300000000</v>
      </c>
      <c r="G1413" s="3">
        <v>3310000000</v>
      </c>
      <c r="H1413" s="3">
        <v>7520000000</v>
      </c>
      <c r="I1413" s="2">
        <v>4.9110000000000001E-2</v>
      </c>
      <c r="J1413" s="3">
        <v>1.1499999999999999E-12</v>
      </c>
    </row>
    <row r="1414" spans="1:10" x14ac:dyDescent="0.2">
      <c r="A1414" s="3">
        <v>1400</v>
      </c>
      <c r="B1414" s="3">
        <v>1.3799999999999999E-6</v>
      </c>
      <c r="C1414" s="2">
        <v>7.3609999999999995E-2</v>
      </c>
      <c r="D1414" s="3">
        <v>278000</v>
      </c>
      <c r="E1414" s="3">
        <v>78500000000</v>
      </c>
      <c r="F1414" s="3">
        <v>73200000000</v>
      </c>
      <c r="G1414" s="3">
        <v>1150000000</v>
      </c>
      <c r="H1414" s="3">
        <v>7410000000</v>
      </c>
      <c r="I1414" s="2">
        <v>1.5709999999999998E-2</v>
      </c>
      <c r="J1414" s="3">
        <v>9.5599999999999997E-13</v>
      </c>
    </row>
    <row r="1415" spans="1:10" x14ac:dyDescent="0.2">
      <c r="A1415" s="3">
        <v>1400</v>
      </c>
      <c r="B1415" s="3">
        <v>1.3799999999999999E-6</v>
      </c>
      <c r="C1415" s="2">
        <v>7.3669999999999999E-2</v>
      </c>
      <c r="D1415" s="3">
        <v>276000</v>
      </c>
      <c r="E1415" s="3">
        <v>78000000000</v>
      </c>
      <c r="F1415" s="3">
        <v>72700000000</v>
      </c>
      <c r="G1415" s="3">
        <v>7090000000</v>
      </c>
      <c r="H1415" s="3">
        <v>7410000000</v>
      </c>
      <c r="I1415" s="2">
        <v>9.7430000000000003E-2</v>
      </c>
      <c r="J1415" s="3">
        <v>9.6700000000000002E-13</v>
      </c>
    </row>
    <row r="1416" spans="1:10" x14ac:dyDescent="0.2">
      <c r="A1416" s="3">
        <v>1400</v>
      </c>
      <c r="B1416" s="3">
        <v>1.3799999999999999E-6</v>
      </c>
      <c r="C1416" s="2">
        <v>7.3719999999999994E-2</v>
      </c>
      <c r="D1416" s="3">
        <v>269000</v>
      </c>
      <c r="E1416" s="3">
        <v>75800000000</v>
      </c>
      <c r="F1416" s="3">
        <v>70800000000</v>
      </c>
      <c r="G1416" s="3">
        <v>2490000000</v>
      </c>
      <c r="H1416" s="3">
        <v>7420000000</v>
      </c>
      <c r="I1416" s="2">
        <v>3.5130000000000002E-2</v>
      </c>
      <c r="J1416" s="3">
        <v>1.0200000000000001E-12</v>
      </c>
    </row>
    <row r="1417" spans="1:10" x14ac:dyDescent="0.2">
      <c r="A1417" s="3">
        <v>1400</v>
      </c>
      <c r="B1417" s="3">
        <v>1.39E-6</v>
      </c>
      <c r="C1417" s="2">
        <v>7.3770000000000002E-2</v>
      </c>
      <c r="D1417" s="3">
        <v>243000</v>
      </c>
      <c r="E1417" s="3">
        <v>68500000000</v>
      </c>
      <c r="F1417" s="3">
        <v>64400000000</v>
      </c>
      <c r="G1417" s="3">
        <v>13200000000</v>
      </c>
      <c r="H1417" s="3">
        <v>7520000000</v>
      </c>
      <c r="I1417" s="2">
        <v>0.20449999999999999</v>
      </c>
      <c r="J1417" s="3">
        <v>1.2499999999999999E-12</v>
      </c>
    </row>
    <row r="1418" spans="1:10" x14ac:dyDescent="0.2">
      <c r="A1418" s="3">
        <v>1400</v>
      </c>
      <c r="B1418" s="3">
        <v>1.39E-6</v>
      </c>
      <c r="C1418" s="2">
        <v>7.3830000000000007E-2</v>
      </c>
      <c r="D1418" s="3">
        <v>271000</v>
      </c>
      <c r="E1418" s="3">
        <v>76300000000</v>
      </c>
      <c r="F1418" s="3">
        <v>71300000000</v>
      </c>
      <c r="G1418" s="3">
        <v>4730000000</v>
      </c>
      <c r="H1418" s="3">
        <v>7400000000</v>
      </c>
      <c r="I1418" s="2">
        <v>6.6439999999999999E-2</v>
      </c>
      <c r="J1418" s="3">
        <v>1.0099999999999999E-12</v>
      </c>
    </row>
    <row r="1419" spans="1:10" x14ac:dyDescent="0.2">
      <c r="A1419" s="3">
        <v>1400</v>
      </c>
      <c r="B1419" s="3">
        <v>1.39E-6</v>
      </c>
      <c r="C1419" s="2">
        <v>7.3880000000000001E-2</v>
      </c>
      <c r="D1419" s="3">
        <v>245000</v>
      </c>
      <c r="E1419" s="3">
        <v>69000000000</v>
      </c>
      <c r="F1419" s="3">
        <v>64800000000</v>
      </c>
      <c r="G1419" s="3">
        <v>15400000000</v>
      </c>
      <c r="H1419" s="3">
        <v>7490000000</v>
      </c>
      <c r="I1419" s="2">
        <v>0.23730000000000001</v>
      </c>
      <c r="J1419" s="3">
        <v>1.23E-12</v>
      </c>
    </row>
    <row r="1420" spans="1:10" x14ac:dyDescent="0.2">
      <c r="A1420" s="3">
        <v>1400</v>
      </c>
      <c r="B1420" s="3">
        <v>1.3999999999999999E-6</v>
      </c>
      <c r="C1420" s="2">
        <v>7.3929999999999996E-2</v>
      </c>
      <c r="D1420" s="3">
        <v>239000</v>
      </c>
      <c r="E1420" s="3">
        <v>67300000000</v>
      </c>
      <c r="F1420" s="3">
        <v>63300000000</v>
      </c>
      <c r="G1420" s="3">
        <v>10500000000</v>
      </c>
      <c r="H1420" s="3">
        <v>7510000000</v>
      </c>
      <c r="I1420" s="2">
        <v>0.16619999999999999</v>
      </c>
      <c r="J1420" s="3">
        <v>1.2999999999999999E-12</v>
      </c>
    </row>
    <row r="1421" spans="1:10" x14ac:dyDescent="0.2">
      <c r="A1421" s="3">
        <v>1400</v>
      </c>
      <c r="B1421" s="3">
        <v>1.3999999999999999E-6</v>
      </c>
      <c r="C1421" s="2">
        <v>7.399E-2</v>
      </c>
      <c r="D1421" s="3">
        <v>251000</v>
      </c>
      <c r="E1421" s="3">
        <v>70500000000</v>
      </c>
      <c r="F1421" s="3">
        <v>66200000000</v>
      </c>
      <c r="G1421" s="3">
        <v>6350000000</v>
      </c>
      <c r="H1421" s="3">
        <v>7450000000</v>
      </c>
      <c r="I1421" s="2">
        <v>9.597E-2</v>
      </c>
      <c r="J1421" s="3">
        <v>1.1700000000000001E-12</v>
      </c>
    </row>
    <row r="1422" spans="1:10" x14ac:dyDescent="0.2">
      <c r="A1422" s="3">
        <v>1400</v>
      </c>
      <c r="B1422" s="3">
        <v>1.3999999999999999E-6</v>
      </c>
      <c r="C1422" s="2">
        <v>7.4039999999999995E-2</v>
      </c>
      <c r="D1422" s="3">
        <v>227000</v>
      </c>
      <c r="E1422" s="3">
        <v>63700000000</v>
      </c>
      <c r="F1422" s="3">
        <v>60200000000</v>
      </c>
      <c r="G1422" s="3">
        <v>5300000000</v>
      </c>
      <c r="H1422" s="3">
        <v>7560000000</v>
      </c>
      <c r="I1422" s="2">
        <v>8.8099999999999998E-2</v>
      </c>
      <c r="J1422" s="3">
        <v>1.4399999999999999E-12</v>
      </c>
    </row>
    <row r="1423" spans="1:10" x14ac:dyDescent="0.2">
      <c r="A1423" s="3">
        <v>1400</v>
      </c>
      <c r="B1423" s="3">
        <v>1.3999999999999999E-6</v>
      </c>
      <c r="C1423" s="2">
        <v>7.4090000000000003E-2</v>
      </c>
      <c r="D1423" s="3">
        <v>242000</v>
      </c>
      <c r="E1423" s="3">
        <v>67800000000</v>
      </c>
      <c r="F1423" s="3">
        <v>63800000000</v>
      </c>
      <c r="G1423" s="3">
        <v>1330000000</v>
      </c>
      <c r="H1423" s="3">
        <v>7480000000</v>
      </c>
      <c r="I1423" s="2">
        <v>2.0830000000000001E-2</v>
      </c>
      <c r="J1423" s="3">
        <v>1.27E-12</v>
      </c>
    </row>
    <row r="1424" spans="1:10" x14ac:dyDescent="0.2">
      <c r="A1424" s="3">
        <v>1400</v>
      </c>
      <c r="B1424" s="3">
        <v>1.4100000000000001E-6</v>
      </c>
      <c r="C1424" s="2">
        <v>7.4139999999999998E-2</v>
      </c>
      <c r="D1424" s="3">
        <v>252000</v>
      </c>
      <c r="E1424" s="3">
        <v>70600000000</v>
      </c>
      <c r="F1424" s="3">
        <v>66300000000</v>
      </c>
      <c r="G1424" s="3">
        <v>2440000000</v>
      </c>
      <c r="H1424" s="3">
        <v>7430000000</v>
      </c>
      <c r="I1424" s="2">
        <v>3.6839999999999998E-2</v>
      </c>
      <c r="J1424" s="3">
        <v>1.1700000000000001E-12</v>
      </c>
    </row>
    <row r="1425" spans="1:10" x14ac:dyDescent="0.2">
      <c r="A1425" s="3">
        <v>1400</v>
      </c>
      <c r="B1425" s="3">
        <v>1.4100000000000001E-6</v>
      </c>
      <c r="C1425" s="2">
        <v>7.4200000000000002E-2</v>
      </c>
      <c r="D1425" s="3">
        <v>269000</v>
      </c>
      <c r="E1425" s="3">
        <v>75400000000</v>
      </c>
      <c r="F1425" s="3">
        <v>70400000000</v>
      </c>
      <c r="G1425" s="3">
        <v>5740000000</v>
      </c>
      <c r="H1425" s="3">
        <v>7360000000</v>
      </c>
      <c r="I1425" s="2">
        <v>8.1460000000000005E-2</v>
      </c>
      <c r="J1425" s="3">
        <v>1.0300000000000001E-12</v>
      </c>
    </row>
    <row r="1426" spans="1:10" x14ac:dyDescent="0.2">
      <c r="A1426" s="3">
        <v>1400</v>
      </c>
      <c r="B1426" s="3">
        <v>1.4100000000000001E-6</v>
      </c>
      <c r="C1426" s="2">
        <v>7.4249999999999997E-2</v>
      </c>
      <c r="D1426" s="3">
        <v>253000</v>
      </c>
      <c r="E1426" s="3">
        <v>70900000000</v>
      </c>
      <c r="F1426" s="3">
        <v>66500000000</v>
      </c>
      <c r="G1426" s="3">
        <v>1880000000</v>
      </c>
      <c r="H1426" s="3">
        <v>7420000000</v>
      </c>
      <c r="I1426" s="2">
        <v>2.8309999999999998E-2</v>
      </c>
      <c r="J1426" s="3">
        <v>1.1599999999999999E-12</v>
      </c>
    </row>
    <row r="1427" spans="1:10" x14ac:dyDescent="0.2">
      <c r="A1427" s="3">
        <v>1400</v>
      </c>
      <c r="B1427" s="3">
        <v>1.4100000000000001E-6</v>
      </c>
      <c r="C1427" s="2">
        <v>7.4300000000000005E-2</v>
      </c>
      <c r="D1427" s="3">
        <v>265000</v>
      </c>
      <c r="E1427" s="3">
        <v>74200000000</v>
      </c>
      <c r="F1427" s="3">
        <v>69400000000</v>
      </c>
      <c r="G1427" s="2">
        <v>0</v>
      </c>
      <c r="H1427" s="3">
        <v>7370000000</v>
      </c>
      <c r="I1427" s="2">
        <v>-1.312E-3</v>
      </c>
      <c r="J1427" s="3">
        <v>1.0599999999999999E-12</v>
      </c>
    </row>
    <row r="1428" spans="1:10" x14ac:dyDescent="0.2">
      <c r="A1428" s="3">
        <v>1400</v>
      </c>
      <c r="B1428" s="3">
        <v>1.4100000000000001E-6</v>
      </c>
      <c r="C1428" s="2">
        <v>7.4349999999999999E-2</v>
      </c>
      <c r="D1428" s="3">
        <v>244000</v>
      </c>
      <c r="E1428" s="3">
        <v>68200000000</v>
      </c>
      <c r="F1428" s="3">
        <v>64100000000</v>
      </c>
      <c r="G1428" s="3">
        <v>10100000000</v>
      </c>
      <c r="H1428" s="3">
        <v>7450000000</v>
      </c>
      <c r="I1428" s="2">
        <v>0.15679999999999999</v>
      </c>
      <c r="J1428" s="3">
        <v>1.2499999999999999E-12</v>
      </c>
    </row>
    <row r="1429" spans="1:10" x14ac:dyDescent="0.2">
      <c r="A1429" s="3">
        <v>1400</v>
      </c>
      <c r="B1429" s="3">
        <v>1.42E-6</v>
      </c>
      <c r="C1429" s="2">
        <v>7.4410000000000004E-2</v>
      </c>
      <c r="D1429" s="3">
        <v>294000</v>
      </c>
      <c r="E1429" s="3">
        <v>82100000000</v>
      </c>
      <c r="F1429" s="3">
        <v>76300000000</v>
      </c>
      <c r="G1429" s="3">
        <v>4310000000</v>
      </c>
      <c r="H1429" s="3">
        <v>7260000000</v>
      </c>
      <c r="I1429" s="2">
        <v>5.6489999999999999E-2</v>
      </c>
      <c r="J1429" s="3">
        <v>8.6199999999999996E-13</v>
      </c>
    </row>
    <row r="1430" spans="1:10" x14ac:dyDescent="0.2">
      <c r="A1430" s="3">
        <v>1400</v>
      </c>
      <c r="B1430" s="3">
        <v>1.42E-6</v>
      </c>
      <c r="C1430" s="2">
        <v>7.4459999999999998E-2</v>
      </c>
      <c r="D1430" s="3">
        <v>280000</v>
      </c>
      <c r="E1430" s="3">
        <v>78200000000</v>
      </c>
      <c r="F1430" s="3">
        <v>72900000000</v>
      </c>
      <c r="G1430" s="3">
        <v>12900000000</v>
      </c>
      <c r="H1430" s="3">
        <v>7300000000</v>
      </c>
      <c r="I1430" s="2">
        <v>0.1769</v>
      </c>
      <c r="J1430" s="3">
        <v>9.490000000000001E-13</v>
      </c>
    </row>
    <row r="1431" spans="1:10" x14ac:dyDescent="0.2">
      <c r="A1431" s="3">
        <v>1400</v>
      </c>
      <c r="B1431" s="3">
        <v>1.42E-6</v>
      </c>
      <c r="C1431" s="2">
        <v>7.4510000000000007E-2</v>
      </c>
      <c r="D1431" s="3">
        <v>249000</v>
      </c>
      <c r="E1431" s="3">
        <v>69500000000</v>
      </c>
      <c r="F1431" s="3">
        <v>65200000000</v>
      </c>
      <c r="G1431" s="3">
        <v>9570000000</v>
      </c>
      <c r="H1431" s="3">
        <v>7420000000</v>
      </c>
      <c r="I1431" s="2">
        <v>0.1467</v>
      </c>
      <c r="J1431" s="3">
        <v>1.1999999999999999E-12</v>
      </c>
    </row>
    <row r="1432" spans="1:10" x14ac:dyDescent="0.2">
      <c r="A1432" s="3">
        <v>1400</v>
      </c>
      <c r="B1432" s="3">
        <v>1.42E-6</v>
      </c>
      <c r="C1432" s="2">
        <v>7.4560000000000001E-2</v>
      </c>
      <c r="D1432" s="3">
        <v>292000</v>
      </c>
      <c r="E1432" s="3">
        <v>81300000000</v>
      </c>
      <c r="F1432" s="3">
        <v>75600000000</v>
      </c>
      <c r="G1432" s="3">
        <v>6930000000</v>
      </c>
      <c r="H1432" s="3">
        <v>7260000000</v>
      </c>
      <c r="I1432" s="2">
        <v>9.1660000000000005E-2</v>
      </c>
      <c r="J1432" s="3">
        <v>8.76E-13</v>
      </c>
    </row>
    <row r="1433" spans="1:10" x14ac:dyDescent="0.2">
      <c r="A1433" s="3">
        <v>1400</v>
      </c>
      <c r="B1433" s="3">
        <v>1.42E-6</v>
      </c>
      <c r="C1433" s="2">
        <v>7.4609999999999996E-2</v>
      </c>
      <c r="D1433" s="3">
        <v>249000</v>
      </c>
      <c r="E1433" s="3">
        <v>69300000000</v>
      </c>
      <c r="F1433" s="3">
        <v>65100000000</v>
      </c>
      <c r="G1433" s="3">
        <v>5560000000</v>
      </c>
      <c r="H1433" s="3">
        <v>7410000000</v>
      </c>
      <c r="I1433" s="2">
        <v>8.5339999999999999E-2</v>
      </c>
      <c r="J1433" s="3">
        <v>1.2100000000000001E-12</v>
      </c>
    </row>
    <row r="1434" spans="1:10" x14ac:dyDescent="0.2">
      <c r="A1434" s="3">
        <v>1400</v>
      </c>
      <c r="B1434" s="3">
        <v>1.4300000000000001E-6</v>
      </c>
      <c r="C1434" s="2">
        <v>7.467E-2</v>
      </c>
      <c r="D1434" s="3">
        <v>241000</v>
      </c>
      <c r="E1434" s="3">
        <v>67300000000</v>
      </c>
      <c r="F1434" s="3">
        <v>63300000000</v>
      </c>
      <c r="G1434" s="3">
        <v>6430000000</v>
      </c>
      <c r="H1434" s="3">
        <v>7440000000</v>
      </c>
      <c r="I1434" s="2">
        <v>0.10150000000000001</v>
      </c>
      <c r="J1434" s="3">
        <v>1.28E-12</v>
      </c>
    </row>
    <row r="1435" spans="1:10" x14ac:dyDescent="0.2">
      <c r="A1435" s="3">
        <v>1400</v>
      </c>
      <c r="B1435" s="3">
        <v>1.4300000000000001E-6</v>
      </c>
      <c r="C1435" s="2">
        <v>7.4719999999999995E-2</v>
      </c>
      <c r="D1435" s="3">
        <v>264000</v>
      </c>
      <c r="E1435" s="3">
        <v>73300000000</v>
      </c>
      <c r="F1435" s="3">
        <v>68600000000</v>
      </c>
      <c r="G1435" s="3">
        <v>4220000000</v>
      </c>
      <c r="H1435" s="3">
        <v>7340000000</v>
      </c>
      <c r="I1435" s="2">
        <v>6.1519999999999998E-2</v>
      </c>
      <c r="J1435" s="3">
        <v>1.08E-12</v>
      </c>
    </row>
    <row r="1436" spans="1:10" x14ac:dyDescent="0.2">
      <c r="A1436" s="3">
        <v>1400</v>
      </c>
      <c r="B1436" s="3">
        <v>1.4300000000000001E-6</v>
      </c>
      <c r="C1436" s="2">
        <v>7.4770000000000003E-2</v>
      </c>
      <c r="D1436" s="3">
        <v>250000</v>
      </c>
      <c r="E1436" s="3">
        <v>69700000000</v>
      </c>
      <c r="F1436" s="3">
        <v>65400000000</v>
      </c>
      <c r="G1436" s="2">
        <v>0</v>
      </c>
      <c r="H1436" s="3">
        <v>7390000000</v>
      </c>
      <c r="I1436" s="2">
        <v>-1.2109999999999999E-2</v>
      </c>
      <c r="J1436" s="3">
        <v>1.19E-12</v>
      </c>
    </row>
    <row r="1437" spans="1:10" x14ac:dyDescent="0.2">
      <c r="A1437" s="3">
        <v>1400</v>
      </c>
      <c r="B1437" s="3">
        <v>1.4300000000000001E-6</v>
      </c>
      <c r="C1437" s="2">
        <v>7.4819999999999998E-2</v>
      </c>
      <c r="D1437" s="3">
        <v>256000</v>
      </c>
      <c r="E1437" s="3">
        <v>71200000000</v>
      </c>
      <c r="F1437" s="3">
        <v>66800000000</v>
      </c>
      <c r="G1437" s="3">
        <v>5070000000</v>
      </c>
      <c r="H1437" s="3">
        <v>7360000000</v>
      </c>
      <c r="I1437" s="2">
        <v>7.5840000000000005E-2</v>
      </c>
      <c r="J1437" s="3">
        <v>1.14E-12</v>
      </c>
    </row>
    <row r="1438" spans="1:10" x14ac:dyDescent="0.2">
      <c r="A1438" s="3">
        <v>1400</v>
      </c>
      <c r="B1438" s="3">
        <v>1.44E-6</v>
      </c>
      <c r="C1438" s="2">
        <v>7.4870000000000006E-2</v>
      </c>
      <c r="D1438" s="3">
        <v>285000</v>
      </c>
      <c r="E1438" s="3">
        <v>79200000000</v>
      </c>
      <c r="F1438" s="3">
        <v>73800000000</v>
      </c>
      <c r="G1438" s="3">
        <v>6170000000</v>
      </c>
      <c r="H1438" s="3">
        <v>7250000000</v>
      </c>
      <c r="I1438" s="2">
        <v>8.3559999999999995E-2</v>
      </c>
      <c r="J1438" s="3">
        <v>9.1900000000000002E-13</v>
      </c>
    </row>
    <row r="1439" spans="1:10" x14ac:dyDescent="0.2">
      <c r="A1439" s="3">
        <v>1400</v>
      </c>
      <c r="B1439" s="3">
        <v>1.44E-6</v>
      </c>
      <c r="C1439" s="2">
        <v>7.4929999999999997E-2</v>
      </c>
      <c r="D1439" s="3">
        <v>255000</v>
      </c>
      <c r="E1439" s="3">
        <v>70700000000</v>
      </c>
      <c r="F1439" s="3">
        <v>66400000000</v>
      </c>
      <c r="G1439" s="3">
        <v>2960000000</v>
      </c>
      <c r="H1439" s="3">
        <v>7360000000</v>
      </c>
      <c r="I1439" s="2">
        <v>4.4639999999999999E-2</v>
      </c>
      <c r="J1439" s="3">
        <v>1.1499999999999999E-12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P1439"/>
  <sheetViews>
    <sheetView tabSelected="1" topLeftCell="AI26" workbookViewId="0">
      <selection activeCell="AQ31" sqref="AQ31"/>
    </sheetView>
  </sheetViews>
  <sheetFormatPr baseColWidth="10" defaultRowHeight="16" x14ac:dyDescent="0.2"/>
  <cols>
    <col min="15" max="15" width="23.83203125" bestFit="1" customWidth="1"/>
    <col min="16" max="16" width="19.5" bestFit="1" customWidth="1"/>
    <col min="17" max="17" width="2.33203125" customWidth="1"/>
    <col min="18" max="18" width="24" bestFit="1" customWidth="1"/>
    <col min="19" max="19" width="8.1640625" bestFit="1" customWidth="1"/>
    <col min="20" max="20" width="7" bestFit="1" customWidth="1"/>
    <col min="21" max="21" width="2.5" customWidth="1"/>
    <col min="23" max="23" width="17.5" bestFit="1" customWidth="1"/>
    <col min="24" max="24" width="2.83203125" customWidth="1"/>
    <col min="26" max="26" width="13.5" bestFit="1" customWidth="1"/>
    <col min="31" max="31" width="28.5" bestFit="1" customWidth="1"/>
    <col min="32" max="32" width="27.5" bestFit="1" customWidth="1"/>
    <col min="33" max="33" width="27.33203125" bestFit="1" customWidth="1"/>
    <col min="34" max="34" width="2.83203125" customWidth="1"/>
    <col min="37" max="37" width="2.83203125" customWidth="1"/>
    <col min="40" max="40" width="2.83203125" customWidth="1"/>
  </cols>
  <sheetData>
    <row r="1" spans="1:42" x14ac:dyDescent="0.2">
      <c r="A1" s="2" t="s">
        <v>71</v>
      </c>
      <c r="B1" s="2" t="s">
        <v>72</v>
      </c>
      <c r="C1" s="2" t="s">
        <v>73</v>
      </c>
      <c r="D1" s="2" t="s">
        <v>74</v>
      </c>
      <c r="E1" s="2" t="s">
        <v>75</v>
      </c>
      <c r="F1" s="2" t="s">
        <v>76</v>
      </c>
      <c r="G1" s="2" t="s">
        <v>77</v>
      </c>
      <c r="H1" s="2" t="s">
        <v>78</v>
      </c>
      <c r="I1" s="2"/>
      <c r="J1" s="4" t="s">
        <v>81</v>
      </c>
      <c r="K1" s="4" t="s">
        <v>82</v>
      </c>
      <c r="L1" s="5" t="s">
        <v>83</v>
      </c>
      <c r="M1" s="5" t="s">
        <v>84</v>
      </c>
      <c r="O1" s="5" t="s">
        <v>85</v>
      </c>
      <c r="P1" s="5" t="s">
        <v>86</v>
      </c>
      <c r="Q1" s="6"/>
      <c r="R1" s="5" t="s">
        <v>87</v>
      </c>
      <c r="S1" s="5" t="s">
        <v>88</v>
      </c>
      <c r="T1" s="5" t="s">
        <v>89</v>
      </c>
      <c r="U1" s="6"/>
      <c r="V1" s="5" t="s">
        <v>90</v>
      </c>
      <c r="W1" s="5" t="s">
        <v>91</v>
      </c>
      <c r="Y1" s="10" t="s">
        <v>95</v>
      </c>
      <c r="AB1" s="10" t="s">
        <v>96</v>
      </c>
      <c r="AE1" s="10" t="s">
        <v>97</v>
      </c>
      <c r="AF1" s="10" t="s">
        <v>98</v>
      </c>
      <c r="AG1" s="10" t="s">
        <v>99</v>
      </c>
      <c r="AI1" s="10" t="s">
        <v>100</v>
      </c>
      <c r="AJ1" s="10" t="s">
        <v>101</v>
      </c>
      <c r="AL1" s="10" t="s">
        <v>102</v>
      </c>
      <c r="AM1" s="10" t="s">
        <v>103</v>
      </c>
      <c r="AO1" s="10" t="s">
        <v>104</v>
      </c>
      <c r="AP1" s="10" t="s">
        <v>105</v>
      </c>
    </row>
    <row r="2" spans="1:42" ht="16" customHeight="1" x14ac:dyDescent="0.2">
      <c r="A2" s="2">
        <v>0</v>
      </c>
      <c r="B2" s="3">
        <v>3.7900000000000004E-9</v>
      </c>
      <c r="C2" s="3">
        <v>5.41E-5</v>
      </c>
      <c r="D2" s="3">
        <v>23700</v>
      </c>
      <c r="E2" s="3">
        <v>153000000000</v>
      </c>
      <c r="F2" s="3">
        <v>134000000000</v>
      </c>
      <c r="G2" s="2">
        <v>0</v>
      </c>
      <c r="H2" s="3">
        <v>2480000000</v>
      </c>
      <c r="I2" s="2"/>
      <c r="J2" s="7">
        <f>B2*(10^6)</f>
        <v>3.7900000000000004E-3</v>
      </c>
      <c r="K2" s="7">
        <f>C2*1000</f>
        <v>5.4100000000000002E-2</v>
      </c>
      <c r="L2" s="7">
        <f>E2*(10^-9)</f>
        <v>153</v>
      </c>
      <c r="M2" s="7">
        <f>D2*(10^-3)</f>
        <v>23.7</v>
      </c>
      <c r="O2" s="8">
        <f>J2-(0.75*(K2/M2))</f>
        <v>2.0779746835443043E-3</v>
      </c>
      <c r="P2">
        <f>O2*1000</f>
        <v>2.0779746835443045</v>
      </c>
      <c r="R2" s="9" t="s">
        <v>92</v>
      </c>
      <c r="V2">
        <f>$S$3*(P2^$S$4)</f>
        <v>88.381316937887036</v>
      </c>
      <c r="W2">
        <f>M2/(2*(V2/1000))</f>
        <v>134.0781107428846</v>
      </c>
      <c r="Y2" s="12" t="s">
        <v>106</v>
      </c>
      <c r="Z2" s="12"/>
      <c r="AB2" s="9" t="s">
        <v>107</v>
      </c>
      <c r="AE2">
        <f>M2/(2*$Y$5)</f>
        <v>8.0372327820271178E-2</v>
      </c>
      <c r="AF2">
        <f>M2/(2*$Y$8)</f>
        <v>7.7895421398614495E-2</v>
      </c>
      <c r="AG2">
        <f>M2/(2*$Y$11)</f>
        <v>7.8095640915206085E-2</v>
      </c>
      <c r="AI2">
        <f>J2/(2.4*AE2)</f>
        <v>1.9648138973876728E-2</v>
      </c>
      <c r="AJ2">
        <f>K2/(3.14159*(AE2^2))</f>
        <v>2.6658435922099946</v>
      </c>
      <c r="AL2">
        <f>J2/(2.4*AF2)</f>
        <v>2.0272907422704503E-2</v>
      </c>
      <c r="AM2">
        <f t="shared" ref="AM2:AM15" si="0">K2/(3.14159*(AF2^2))</f>
        <v>2.838075189135854</v>
      </c>
      <c r="AO2">
        <f>J2/(2.4*AG2)</f>
        <v>2.0220932284572436E-2</v>
      </c>
      <c r="AP2">
        <f t="shared" ref="AP2:AP15" si="1">K2/(3.14159*(AG2^2))</f>
        <v>2.8235414810052348</v>
      </c>
    </row>
    <row r="3" spans="1:42" x14ac:dyDescent="0.2">
      <c r="A3" s="2">
        <v>1</v>
      </c>
      <c r="B3" s="3">
        <v>5.4100000000000001E-9</v>
      </c>
      <c r="C3" s="3">
        <v>8.6000000000000003E-5</v>
      </c>
      <c r="D3" s="3">
        <v>22900</v>
      </c>
      <c r="E3" s="3">
        <v>130000000000</v>
      </c>
      <c r="F3" s="3">
        <v>116000000000</v>
      </c>
      <c r="G3" s="2">
        <v>0</v>
      </c>
      <c r="H3" s="3">
        <v>3170000000</v>
      </c>
      <c r="I3" s="2"/>
      <c r="J3" s="7">
        <f>B3*(10^6)</f>
        <v>5.4099999999999999E-3</v>
      </c>
      <c r="K3" s="7">
        <f t="shared" ref="K3:K4" si="2">C3*1000</f>
        <v>8.6000000000000007E-2</v>
      </c>
      <c r="L3" s="7">
        <f t="shared" ref="L3:L4" si="3">E3*(10^-9)</f>
        <v>130</v>
      </c>
      <c r="M3" s="7">
        <f t="shared" ref="M3" si="4">D3*(10^-3)</f>
        <v>22.900000000000002</v>
      </c>
      <c r="O3">
        <f t="shared" ref="O3:O4" si="5">J3-(0.75*(K3/M3))</f>
        <v>2.593406113537118E-3</v>
      </c>
      <c r="P3">
        <f t="shared" ref="P3" si="6">O3*1000</f>
        <v>2.5934061135371178</v>
      </c>
      <c r="R3" s="10" t="s">
        <v>93</v>
      </c>
      <c r="S3">
        <v>63.920399999999994</v>
      </c>
      <c r="T3">
        <v>6.17</v>
      </c>
      <c r="V3">
        <f>$S$3*(P3^$S$4)</f>
        <v>97.497259017939214</v>
      </c>
      <c r="W3">
        <f>M3/(2*(V3/1000))</f>
        <v>117.43919896141117</v>
      </c>
      <c r="Y3" s="12"/>
      <c r="Z3" s="12"/>
      <c r="AB3" s="9" t="s">
        <v>108</v>
      </c>
      <c r="AE3">
        <f>M3/(2*$Y$5)</f>
        <v>7.7659337851654436E-2</v>
      </c>
      <c r="AF3">
        <f t="shared" ref="AF3:AF15" si="7">M3/(2*$Y$8)</f>
        <v>7.5266040085581104E-2</v>
      </c>
      <c r="AG3">
        <f t="shared" ref="AG3:AG15" si="8">M3/(2*$Y$11)</f>
        <v>7.5459501137477625E-2</v>
      </c>
      <c r="AI3">
        <f t="shared" ref="AI3:AI15" si="9">J3/(2.4*AE3)</f>
        <v>2.9026344146438593E-2</v>
      </c>
      <c r="AJ3">
        <f>K3/(3.14159*(AE3^2))</f>
        <v>4.5390145908018287</v>
      </c>
      <c r="AL3">
        <f t="shared" ref="AL3:AL15" si="10">J3/(2.4*AF3)</f>
        <v>2.9949319295974264E-2</v>
      </c>
      <c r="AM3">
        <f t="shared" si="0"/>
        <v>4.8322657529210176</v>
      </c>
      <c r="AO3">
        <f t="shared" ref="AO3:AO15" si="11">J3/(2.4*AG3)</f>
        <v>2.987253603174319E-2</v>
      </c>
      <c r="AP3">
        <f t="shared" si="1"/>
        <v>4.8075198475512844</v>
      </c>
    </row>
    <row r="4" spans="1:42" x14ac:dyDescent="0.2">
      <c r="A4" s="2">
        <v>2</v>
      </c>
      <c r="B4" s="3">
        <v>6.7700000000000004E-9</v>
      </c>
      <c r="C4" s="2">
        <v>1.2129999999999999E-4</v>
      </c>
      <c r="D4" s="3">
        <v>27200</v>
      </c>
      <c r="E4" s="3">
        <v>135000000000</v>
      </c>
      <c r="F4" s="3">
        <v>120000000000</v>
      </c>
      <c r="G4" s="2">
        <v>0</v>
      </c>
      <c r="H4" s="3">
        <v>3390000000</v>
      </c>
      <c r="I4" s="2"/>
      <c r="J4" s="7">
        <f>B4*(10^6)</f>
        <v>6.77E-3</v>
      </c>
      <c r="K4" s="7">
        <f t="shared" si="2"/>
        <v>0.12129999999999999</v>
      </c>
      <c r="L4" s="7">
        <f t="shared" si="3"/>
        <v>135</v>
      </c>
      <c r="M4" s="7">
        <f>D4*(10^-3)</f>
        <v>27.2</v>
      </c>
      <c r="O4">
        <f t="shared" si="5"/>
        <v>3.425330882352941E-3</v>
      </c>
      <c r="P4">
        <f>O4*1000</f>
        <v>3.4253308823529411</v>
      </c>
      <c r="R4" s="10" t="s">
        <v>94</v>
      </c>
      <c r="S4">
        <v>0.44302000000000002</v>
      </c>
      <c r="T4">
        <v>0.02</v>
      </c>
      <c r="V4">
        <f>$S$3*(P4^$S$4)</f>
        <v>110.28676525765364</v>
      </c>
      <c r="W4">
        <f>M4/(2*(V4/1000))</f>
        <v>123.31488704222551</v>
      </c>
      <c r="Y4" s="11"/>
      <c r="Z4" s="11"/>
      <c r="AE4">
        <f>M4/(2*$Y$5)</f>
        <v>9.2241658932969456E-2</v>
      </c>
      <c r="AF4">
        <f t="shared" si="7"/>
        <v>8.9398964643135626E-2</v>
      </c>
      <c r="AG4">
        <f t="shared" si="8"/>
        <v>8.9628752442768175E-2</v>
      </c>
      <c r="AI4">
        <f t="shared" si="9"/>
        <v>3.0580904181083605E-2</v>
      </c>
      <c r="AJ4">
        <f>K4/(3.14159*(AE4^2))</f>
        <v>4.5379226089977589</v>
      </c>
      <c r="AL4">
        <f t="shared" si="10"/>
        <v>3.1553310987365302E-2</v>
      </c>
      <c r="AM4">
        <f t="shared" si="0"/>
        <v>4.8311032216779326</v>
      </c>
      <c r="AO4">
        <f t="shared" si="11"/>
        <v>3.1472415452112393E-2</v>
      </c>
      <c r="AP4">
        <f t="shared" si="1"/>
        <v>4.8063632696000109</v>
      </c>
    </row>
    <row r="5" spans="1:42" x14ac:dyDescent="0.2">
      <c r="A5" s="2">
        <v>3</v>
      </c>
      <c r="B5" s="3">
        <v>8.5799999999999997E-9</v>
      </c>
      <c r="C5" s="2">
        <v>1.682E-4</v>
      </c>
      <c r="D5" s="3">
        <v>34200</v>
      </c>
      <c r="E5" s="3">
        <v>142000000000</v>
      </c>
      <c r="F5" s="3">
        <v>126000000000</v>
      </c>
      <c r="G5" s="2">
        <v>0</v>
      </c>
      <c r="H5" s="3">
        <v>3300000000</v>
      </c>
      <c r="I5" s="2"/>
      <c r="J5" s="7">
        <f t="shared" ref="J5:J68" si="12">B5*(10^6)</f>
        <v>8.5799999999999991E-3</v>
      </c>
      <c r="K5" s="7">
        <f t="shared" ref="K5:K68" si="13">C5*1000</f>
        <v>0.16819999999999999</v>
      </c>
      <c r="L5" s="7">
        <f t="shared" ref="L5:L68" si="14">E5*(10^-9)</f>
        <v>142</v>
      </c>
      <c r="M5" s="7">
        <f t="shared" ref="M5:M68" si="15">D5*(10^-3)</f>
        <v>34.200000000000003</v>
      </c>
      <c r="O5">
        <f t="shared" ref="O5:O68" si="16">J5-(0.75*(K5/M5))</f>
        <v>4.891403508771929E-3</v>
      </c>
      <c r="P5">
        <f t="shared" ref="P5:P68" si="17">O5*1000</f>
        <v>4.891403508771929</v>
      </c>
      <c r="V5">
        <f t="shared" ref="V5:V68" si="18">$S$3*(P5^$S$4)</f>
        <v>129.14342767749676</v>
      </c>
      <c r="W5">
        <f t="shared" ref="W5:W68" si="19">M5/(2*(V5/1000))</f>
        <v>132.41091945230812</v>
      </c>
      <c r="Y5">
        <f>AVERAGE(W21:W194)</f>
        <v>147.43880538708549</v>
      </c>
      <c r="Z5" s="10" t="s">
        <v>109</v>
      </c>
      <c r="AE5">
        <f>M5/(2*$Y$5)</f>
        <v>0.11598032115836601</v>
      </c>
      <c r="AF5">
        <f t="shared" si="7"/>
        <v>0.1124060511321779</v>
      </c>
      <c r="AG5">
        <f t="shared" si="8"/>
        <v>0.11269497549789234</v>
      </c>
      <c r="AI5">
        <f t="shared" si="9"/>
        <v>3.0824194693498865E-2</v>
      </c>
      <c r="AJ5">
        <f t="shared" ref="AJ5:AJ15" si="20">K5/(3.14159*(AE5^2))</f>
        <v>3.9802272763592681</v>
      </c>
      <c r="AL5">
        <f t="shared" si="10"/>
        <v>3.1804337613427672E-2</v>
      </c>
      <c r="AM5">
        <f t="shared" si="0"/>
        <v>4.2373769838433875</v>
      </c>
      <c r="AO5">
        <f t="shared" si="11"/>
        <v>3.1722798502821101E-2</v>
      </c>
      <c r="AP5">
        <f t="shared" si="1"/>
        <v>4.2156774881576045</v>
      </c>
    </row>
    <row r="6" spans="1:42" x14ac:dyDescent="0.2">
      <c r="A6" s="2">
        <v>4</v>
      </c>
      <c r="B6" s="3">
        <v>9.7499999999999996E-9</v>
      </c>
      <c r="C6" s="2">
        <v>2.1479999999999999E-4</v>
      </c>
      <c r="D6" s="3">
        <v>34800</v>
      </c>
      <c r="E6" s="3">
        <v>141000000000</v>
      </c>
      <c r="F6" s="3">
        <v>125000000000</v>
      </c>
      <c r="G6" s="3">
        <v>1480000000</v>
      </c>
      <c r="H6" s="3">
        <v>4030000000</v>
      </c>
      <c r="I6" s="2"/>
      <c r="J6" s="7">
        <f t="shared" si="12"/>
        <v>9.75E-3</v>
      </c>
      <c r="K6" s="7">
        <f t="shared" si="13"/>
        <v>0.21479999999999999</v>
      </c>
      <c r="L6" s="7">
        <f t="shared" si="14"/>
        <v>141</v>
      </c>
      <c r="M6" s="7">
        <f t="shared" si="15"/>
        <v>34.800000000000004</v>
      </c>
      <c r="O6">
        <f t="shared" si="16"/>
        <v>5.120689655172414E-3</v>
      </c>
      <c r="P6">
        <f t="shared" si="17"/>
        <v>5.1206896551724137</v>
      </c>
      <c r="V6">
        <f t="shared" si="18"/>
        <v>131.79112841782995</v>
      </c>
      <c r="W6">
        <f t="shared" si="19"/>
        <v>132.02709627642861</v>
      </c>
      <c r="Y6">
        <f>STDEV(W21:W194)</f>
        <v>10.223719104991899</v>
      </c>
      <c r="Z6" s="10" t="s">
        <v>110</v>
      </c>
      <c r="AE6">
        <f t="shared" ref="AE6:AE11" si="21">M6/(2*$Y$5)</f>
        <v>0.11801506363482858</v>
      </c>
      <c r="AF6">
        <f t="shared" si="7"/>
        <v>0.11437808711695295</v>
      </c>
      <c r="AG6">
        <f t="shared" si="8"/>
        <v>0.11467208033118871</v>
      </c>
      <c r="AI6">
        <f t="shared" si="9"/>
        <v>3.4423571660059472E-2</v>
      </c>
      <c r="AJ6">
        <f t="shared" si="20"/>
        <v>4.9091904575540743</v>
      </c>
      <c r="AL6">
        <f t="shared" si="10"/>
        <v>3.5518167005591253E-2</v>
      </c>
      <c r="AM6">
        <f t="shared" si="0"/>
        <v>5.2263574941305855</v>
      </c>
      <c r="AO6">
        <f t="shared" si="11"/>
        <v>3.5427106478464004E-2</v>
      </c>
      <c r="AP6">
        <f t="shared" si="1"/>
        <v>5.1995934553564407</v>
      </c>
    </row>
    <row r="7" spans="1:42" x14ac:dyDescent="0.2">
      <c r="A7" s="2">
        <v>5</v>
      </c>
      <c r="B7" s="3">
        <v>1.1199999999999999E-8</v>
      </c>
      <c r="C7" s="2">
        <v>2.6499999999999999E-4</v>
      </c>
      <c r="D7" s="3">
        <v>40000</v>
      </c>
      <c r="E7" s="3">
        <v>149000000000</v>
      </c>
      <c r="F7" s="3">
        <v>131000000000</v>
      </c>
      <c r="G7" s="2">
        <v>0</v>
      </c>
      <c r="H7" s="3">
        <v>4110000000</v>
      </c>
      <c r="I7" s="2"/>
      <c r="J7" s="7">
        <f t="shared" si="12"/>
        <v>1.12E-2</v>
      </c>
      <c r="K7" s="7">
        <f t="shared" si="13"/>
        <v>0.26500000000000001</v>
      </c>
      <c r="L7" s="7">
        <f t="shared" si="14"/>
        <v>149</v>
      </c>
      <c r="M7" s="7">
        <f t="shared" si="15"/>
        <v>40</v>
      </c>
      <c r="O7">
        <f t="shared" si="16"/>
        <v>6.2312499999999989E-3</v>
      </c>
      <c r="P7">
        <f t="shared" si="17"/>
        <v>6.2312499999999993</v>
      </c>
      <c r="V7">
        <f t="shared" si="18"/>
        <v>143.7646721708345</v>
      </c>
      <c r="W7">
        <f t="shared" si="19"/>
        <v>139.11623556748452</v>
      </c>
      <c r="Z7" s="10"/>
      <c r="AE7">
        <f t="shared" si="21"/>
        <v>0.13564949843083743</v>
      </c>
      <c r="AF7">
        <f t="shared" si="7"/>
        <v>0.13146906565167005</v>
      </c>
      <c r="AG7">
        <f t="shared" si="8"/>
        <v>0.13180698888642378</v>
      </c>
      <c r="AI7">
        <f t="shared" si="9"/>
        <v>3.4402387923653285E-2</v>
      </c>
      <c r="AJ7">
        <f t="shared" si="20"/>
        <v>4.5841622820787258</v>
      </c>
      <c r="AL7">
        <f t="shared" si="10"/>
        <v>3.5496309672049357E-2</v>
      </c>
      <c r="AM7">
        <f t="shared" si="0"/>
        <v>4.8803302916036859</v>
      </c>
      <c r="AO7">
        <f t="shared" si="11"/>
        <v>3.5405305182169569E-2</v>
      </c>
      <c r="AP7">
        <f t="shared" si="1"/>
        <v>4.8553382490000567</v>
      </c>
    </row>
    <row r="8" spans="1:42" x14ac:dyDescent="0.2">
      <c r="A8" s="2">
        <v>6</v>
      </c>
      <c r="B8" s="3">
        <v>1.27E-8</v>
      </c>
      <c r="C8" s="2">
        <v>3.1369999999999998E-4</v>
      </c>
      <c r="D8" s="3">
        <v>38300</v>
      </c>
      <c r="E8" s="3">
        <v>137000000000</v>
      </c>
      <c r="F8" s="3">
        <v>122000000000</v>
      </c>
      <c r="G8" s="3">
        <v>20900000000</v>
      </c>
      <c r="H8" s="3">
        <v>4590000000</v>
      </c>
      <c r="I8" s="2"/>
      <c r="J8" s="7">
        <f t="shared" si="12"/>
        <v>1.2699999999999999E-2</v>
      </c>
      <c r="K8" s="7">
        <f t="shared" si="13"/>
        <v>0.31369999999999998</v>
      </c>
      <c r="L8" s="7">
        <f t="shared" si="14"/>
        <v>137</v>
      </c>
      <c r="M8" s="7">
        <f t="shared" si="15"/>
        <v>38.300000000000004</v>
      </c>
      <c r="O8">
        <f t="shared" si="16"/>
        <v>6.5570496083550926E-3</v>
      </c>
      <c r="P8">
        <f t="shared" si="17"/>
        <v>6.5570496083550927</v>
      </c>
      <c r="V8">
        <f t="shared" si="18"/>
        <v>147.04750840294392</v>
      </c>
      <c r="W8">
        <f t="shared" si="19"/>
        <v>130.23002027021502</v>
      </c>
      <c r="Y8">
        <f>AVERAGE(W21:W98)</f>
        <v>152.12704145164008</v>
      </c>
      <c r="Z8" s="10" t="s">
        <v>111</v>
      </c>
      <c r="AE8">
        <f t="shared" si="21"/>
        <v>0.12988439474752686</v>
      </c>
      <c r="AF8">
        <f t="shared" si="7"/>
        <v>0.12588163036147407</v>
      </c>
      <c r="AG8">
        <f t="shared" si="8"/>
        <v>0.12620519185875079</v>
      </c>
      <c r="AI8">
        <f t="shared" si="9"/>
        <v>4.0741358320626316E-2</v>
      </c>
      <c r="AJ8">
        <f t="shared" si="20"/>
        <v>5.9190371121986178</v>
      </c>
      <c r="AL8">
        <f t="shared" si="10"/>
        <v>4.2036845657872697E-2</v>
      </c>
      <c r="AM8">
        <f t="shared" si="0"/>
        <v>6.30144709944482</v>
      </c>
      <c r="AO8">
        <f t="shared" si="11"/>
        <v>4.1929072716668542E-2</v>
      </c>
      <c r="AP8">
        <f t="shared" si="1"/>
        <v>6.2691775551795903</v>
      </c>
    </row>
    <row r="9" spans="1:42" x14ac:dyDescent="0.2">
      <c r="A9" s="2">
        <v>7</v>
      </c>
      <c r="B9" s="3">
        <v>1.3599999999999999E-8</v>
      </c>
      <c r="C9" s="2">
        <v>3.6709999999999998E-4</v>
      </c>
      <c r="D9" s="3">
        <v>45700</v>
      </c>
      <c r="E9" s="3">
        <v>155000000000</v>
      </c>
      <c r="F9" s="3">
        <v>135000000000</v>
      </c>
      <c r="G9" s="3">
        <v>18100000000</v>
      </c>
      <c r="H9" s="3">
        <v>4660000000</v>
      </c>
      <c r="I9" s="2"/>
      <c r="J9" s="7">
        <f t="shared" si="12"/>
        <v>1.3599999999999999E-2</v>
      </c>
      <c r="K9" s="7">
        <f t="shared" si="13"/>
        <v>0.36709999999999998</v>
      </c>
      <c r="L9" s="7">
        <f t="shared" si="14"/>
        <v>155</v>
      </c>
      <c r="M9" s="7">
        <f t="shared" si="15"/>
        <v>45.7</v>
      </c>
      <c r="O9">
        <f t="shared" si="16"/>
        <v>7.5753829321663028E-3</v>
      </c>
      <c r="P9">
        <f t="shared" si="17"/>
        <v>7.5753829321663027</v>
      </c>
      <c r="V9">
        <f t="shared" si="18"/>
        <v>156.75929657090884</v>
      </c>
      <c r="W9">
        <f t="shared" si="19"/>
        <v>145.76487965843853</v>
      </c>
      <c r="Y9">
        <f>STDEV(W21:W98)</f>
        <v>9.5590208797343994</v>
      </c>
      <c r="Z9" s="10" t="s">
        <v>110</v>
      </c>
      <c r="AE9">
        <f t="shared" si="21"/>
        <v>0.15497955195723179</v>
      </c>
      <c r="AF9">
        <f t="shared" si="7"/>
        <v>0.15020340750703304</v>
      </c>
      <c r="AG9">
        <f t="shared" si="8"/>
        <v>0.15058948480273918</v>
      </c>
      <c r="AI9">
        <f t="shared" si="9"/>
        <v>3.6563963407446436E-2</v>
      </c>
      <c r="AJ9">
        <f t="shared" si="20"/>
        <v>4.8650362051805764</v>
      </c>
      <c r="AL9">
        <f t="shared" si="10"/>
        <v>3.7726618594863329E-2</v>
      </c>
      <c r="AM9">
        <f t="shared" si="0"/>
        <v>5.1793505772498465</v>
      </c>
      <c r="AO9">
        <f t="shared" si="11"/>
        <v>3.7629896098585969E-2</v>
      </c>
      <c r="AP9">
        <f t="shared" si="1"/>
        <v>5.1528272596562692</v>
      </c>
    </row>
    <row r="10" spans="1:42" x14ac:dyDescent="0.2">
      <c r="A10" s="2">
        <v>8</v>
      </c>
      <c r="B10" s="3">
        <v>1.5399999999999999E-8</v>
      </c>
      <c r="C10" s="2">
        <v>4.1849999999999998E-4</v>
      </c>
      <c r="D10" s="3">
        <v>40700</v>
      </c>
      <c r="E10" s="3">
        <v>134000000000</v>
      </c>
      <c r="F10" s="3">
        <v>119000000000</v>
      </c>
      <c r="G10" s="2">
        <v>0</v>
      </c>
      <c r="H10" s="3">
        <v>5210000000</v>
      </c>
      <c r="I10" s="2"/>
      <c r="J10" s="7">
        <f t="shared" si="12"/>
        <v>1.5399999999999999E-2</v>
      </c>
      <c r="K10" s="7">
        <f t="shared" si="13"/>
        <v>0.41849999999999998</v>
      </c>
      <c r="L10" s="7">
        <f t="shared" si="14"/>
        <v>134</v>
      </c>
      <c r="M10" s="7">
        <f t="shared" si="15"/>
        <v>40.700000000000003</v>
      </c>
      <c r="O10">
        <f t="shared" si="16"/>
        <v>7.6880835380835379E-3</v>
      </c>
      <c r="P10">
        <f t="shared" si="17"/>
        <v>7.6880835380835375</v>
      </c>
      <c r="V10">
        <f t="shared" si="18"/>
        <v>157.7882341536735</v>
      </c>
      <c r="W10">
        <f t="shared" si="19"/>
        <v>128.97032601417342</v>
      </c>
      <c r="Z10" s="10"/>
      <c r="AE10">
        <f t="shared" si="21"/>
        <v>0.13802336465337711</v>
      </c>
      <c r="AF10">
        <f t="shared" si="7"/>
        <v>0.13376977430057427</v>
      </c>
      <c r="AG10">
        <f t="shared" si="8"/>
        <v>0.13411361119193621</v>
      </c>
      <c r="AI10">
        <f t="shared" si="9"/>
        <v>4.6489713410342262E-2</v>
      </c>
      <c r="AJ10">
        <f t="shared" si="20"/>
        <v>6.9926330113102608</v>
      </c>
      <c r="AL10">
        <f t="shared" si="10"/>
        <v>4.7967986043309936E-2</v>
      </c>
      <c r="AM10">
        <f t="shared" si="0"/>
        <v>7.444404583271103</v>
      </c>
      <c r="AO10">
        <f t="shared" si="11"/>
        <v>4.7845007002931837E-2</v>
      </c>
      <c r="AP10">
        <f t="shared" si="1"/>
        <v>7.4062819839003469</v>
      </c>
    </row>
    <row r="11" spans="1:42" x14ac:dyDescent="0.2">
      <c r="A11" s="2">
        <v>9</v>
      </c>
      <c r="B11" s="3">
        <v>1.6099999999999999E-8</v>
      </c>
      <c r="C11" s="2">
        <v>4.7019999999999999E-4</v>
      </c>
      <c r="D11" s="3">
        <v>46800</v>
      </c>
      <c r="E11" s="3">
        <v>148000000000</v>
      </c>
      <c r="F11" s="3">
        <v>130000000000</v>
      </c>
      <c r="G11" s="2">
        <v>0</v>
      </c>
      <c r="H11" s="3">
        <v>5280000000</v>
      </c>
      <c r="I11" s="2"/>
      <c r="J11" s="7">
        <f t="shared" si="12"/>
        <v>1.61E-2</v>
      </c>
      <c r="K11" s="7">
        <f t="shared" si="13"/>
        <v>0.47020000000000001</v>
      </c>
      <c r="L11" s="7">
        <f t="shared" si="14"/>
        <v>148</v>
      </c>
      <c r="M11" s="7">
        <f t="shared" si="15"/>
        <v>46.800000000000004</v>
      </c>
      <c r="O11">
        <f t="shared" si="16"/>
        <v>8.5647435897435904E-3</v>
      </c>
      <c r="P11">
        <f t="shared" si="17"/>
        <v>8.5647435897435908</v>
      </c>
      <c r="V11">
        <f t="shared" si="18"/>
        <v>165.52004750462572</v>
      </c>
      <c r="W11">
        <f t="shared" si="19"/>
        <v>141.37260321500361</v>
      </c>
      <c r="Y11">
        <f>AVERAGE(W21:W59)</f>
        <v>151.73702220929815</v>
      </c>
      <c r="Z11" s="10" t="s">
        <v>112</v>
      </c>
      <c r="AE11">
        <f t="shared" si="21"/>
        <v>0.15870991316407981</v>
      </c>
      <c r="AF11">
        <f t="shared" si="7"/>
        <v>0.15381880681245397</v>
      </c>
      <c r="AG11">
        <f t="shared" si="8"/>
        <v>0.15421417699711584</v>
      </c>
      <c r="AI11">
        <f t="shared" si="9"/>
        <v>4.2267891145514179E-2</v>
      </c>
      <c r="AJ11">
        <f t="shared" si="20"/>
        <v>5.9418955173577359</v>
      </c>
      <c r="AL11">
        <f t="shared" si="10"/>
        <v>4.3611918934676017E-2</v>
      </c>
      <c r="AM11">
        <f t="shared" si="0"/>
        <v>6.3257823127839945</v>
      </c>
      <c r="AO11">
        <f t="shared" si="11"/>
        <v>4.3500107862708332E-2</v>
      </c>
      <c r="AP11">
        <f t="shared" si="1"/>
        <v>6.2933881485336016</v>
      </c>
    </row>
    <row r="12" spans="1:42" x14ac:dyDescent="0.2">
      <c r="A12" s="2">
        <v>10</v>
      </c>
      <c r="B12" s="3">
        <v>1.7100000000000001E-8</v>
      </c>
      <c r="C12" s="2">
        <v>5.218E-4</v>
      </c>
      <c r="D12" s="3">
        <v>41400</v>
      </c>
      <c r="E12" s="3">
        <v>138000000000</v>
      </c>
      <c r="F12" s="3">
        <v>122000000000</v>
      </c>
      <c r="G12" s="3">
        <v>6180000000</v>
      </c>
      <c r="H12" s="3">
        <v>6550000000</v>
      </c>
      <c r="I12" s="2"/>
      <c r="J12" s="7">
        <f t="shared" si="12"/>
        <v>1.7100000000000001E-2</v>
      </c>
      <c r="K12" s="7">
        <f t="shared" si="13"/>
        <v>0.52180000000000004</v>
      </c>
      <c r="L12" s="7">
        <f t="shared" si="14"/>
        <v>138</v>
      </c>
      <c r="M12" s="7">
        <f t="shared" si="15"/>
        <v>41.4</v>
      </c>
      <c r="O12">
        <f t="shared" si="16"/>
        <v>7.6471014492753616E-3</v>
      </c>
      <c r="P12">
        <f t="shared" si="17"/>
        <v>7.647101449275362</v>
      </c>
      <c r="V12">
        <f t="shared" si="18"/>
        <v>157.41505276861</v>
      </c>
      <c r="W12">
        <f t="shared" si="19"/>
        <v>131.49949535275809</v>
      </c>
      <c r="Y12">
        <f>STDEV(W21:W59)</f>
        <v>10.267182524004467</v>
      </c>
      <c r="Z12" s="10" t="s">
        <v>110</v>
      </c>
      <c r="AE12">
        <f>M12/(2*$Y$5)</f>
        <v>0.14039723087591674</v>
      </c>
      <c r="AF12">
        <f t="shared" si="7"/>
        <v>0.13607048294947849</v>
      </c>
      <c r="AG12">
        <f t="shared" si="8"/>
        <v>0.13642023349744861</v>
      </c>
      <c r="AI12">
        <f t="shared" si="9"/>
        <v>5.0748864173091025E-2</v>
      </c>
      <c r="AJ12">
        <f t="shared" si="20"/>
        <v>8.4263110124361393</v>
      </c>
      <c r="AL12">
        <f t="shared" si="10"/>
        <v>5.2362568615600763E-2</v>
      </c>
      <c r="AM12">
        <f t="shared" si="0"/>
        <v>8.9707079178309943</v>
      </c>
      <c r="AO12">
        <f t="shared" si="11"/>
        <v>5.2228322861896104E-2</v>
      </c>
      <c r="AP12">
        <f t="shared" si="1"/>
        <v>8.9247691593717828</v>
      </c>
    </row>
    <row r="13" spans="1:42" x14ac:dyDescent="0.2">
      <c r="A13" s="2">
        <v>11</v>
      </c>
      <c r="B13" s="3">
        <v>1.8299999999999998E-8</v>
      </c>
      <c r="C13" s="2">
        <v>5.7249999999999998E-4</v>
      </c>
      <c r="D13" s="3">
        <v>59900</v>
      </c>
      <c r="E13" s="3">
        <v>169000000000</v>
      </c>
      <c r="F13" s="3">
        <v>146000000000</v>
      </c>
      <c r="G13" s="2">
        <v>0</v>
      </c>
      <c r="H13" s="3">
        <v>4920000000</v>
      </c>
      <c r="I13" s="2"/>
      <c r="J13" s="7">
        <f t="shared" si="12"/>
        <v>1.8299999999999997E-2</v>
      </c>
      <c r="K13" s="7">
        <f t="shared" si="13"/>
        <v>0.57250000000000001</v>
      </c>
      <c r="L13" s="7">
        <f t="shared" si="14"/>
        <v>169</v>
      </c>
      <c r="M13" s="7">
        <f t="shared" si="15"/>
        <v>59.9</v>
      </c>
      <c r="O13">
        <f t="shared" si="16"/>
        <v>1.1131803005008344E-2</v>
      </c>
      <c r="P13">
        <f t="shared" si="17"/>
        <v>11.131803005008344</v>
      </c>
      <c r="V13">
        <f t="shared" si="18"/>
        <v>185.90408684779499</v>
      </c>
      <c r="W13">
        <f t="shared" si="19"/>
        <v>161.10458090424297</v>
      </c>
      <c r="AE13">
        <f t="shared" ref="AE13:AE15" si="22">M13/(2*$Y$5)</f>
        <v>0.20313512390017904</v>
      </c>
      <c r="AF13">
        <f t="shared" si="7"/>
        <v>0.19687492581337587</v>
      </c>
      <c r="AG13">
        <f t="shared" si="8"/>
        <v>0.19738096585741963</v>
      </c>
      <c r="AI13">
        <f t="shared" si="9"/>
        <v>3.7536590687029275E-2</v>
      </c>
      <c r="AJ13">
        <f t="shared" si="20"/>
        <v>4.4162732665067601</v>
      </c>
      <c r="AL13">
        <f t="shared" si="10"/>
        <v>3.8730173324499351E-2</v>
      </c>
      <c r="AM13">
        <f t="shared" si="0"/>
        <v>4.7015945056725119</v>
      </c>
      <c r="AO13">
        <f t="shared" si="11"/>
        <v>3.8630877941432329E-2</v>
      </c>
      <c r="AP13">
        <f t="shared" si="1"/>
        <v>4.6775177643107808</v>
      </c>
    </row>
    <row r="14" spans="1:42" x14ac:dyDescent="0.2">
      <c r="A14" s="2">
        <v>12</v>
      </c>
      <c r="B14" s="3">
        <v>1.96E-8</v>
      </c>
      <c r="C14" s="2">
        <v>6.2370000000000004E-4</v>
      </c>
      <c r="D14" s="3">
        <v>50900</v>
      </c>
      <c r="E14" s="3">
        <v>146000000000</v>
      </c>
      <c r="F14" s="3">
        <v>129000000000</v>
      </c>
      <c r="G14" s="2">
        <v>0</v>
      </c>
      <c r="H14" s="3">
        <v>5750000000</v>
      </c>
      <c r="I14" s="2"/>
      <c r="J14" s="7">
        <f t="shared" si="12"/>
        <v>1.9599999999999999E-2</v>
      </c>
      <c r="K14" s="7">
        <f t="shared" si="13"/>
        <v>0.62370000000000003</v>
      </c>
      <c r="L14" s="7">
        <f t="shared" si="14"/>
        <v>146</v>
      </c>
      <c r="M14" s="7">
        <f t="shared" si="15"/>
        <v>50.9</v>
      </c>
      <c r="O14">
        <f t="shared" si="16"/>
        <v>1.0409921414538309E-2</v>
      </c>
      <c r="P14">
        <f t="shared" si="17"/>
        <v>10.409921414538308</v>
      </c>
      <c r="V14">
        <f t="shared" si="18"/>
        <v>180.4633660884858</v>
      </c>
      <c r="W14">
        <f t="shared" si="19"/>
        <v>141.02585223596691</v>
      </c>
      <c r="AE14">
        <f t="shared" si="22"/>
        <v>0.17261398675324063</v>
      </c>
      <c r="AF14">
        <f t="shared" si="7"/>
        <v>0.16729438604175012</v>
      </c>
      <c r="AG14">
        <f t="shared" si="8"/>
        <v>0.16772439335797426</v>
      </c>
      <c r="AI14">
        <f t="shared" si="9"/>
        <v>4.7311731918580152E-2</v>
      </c>
      <c r="AJ14">
        <f t="shared" si="20"/>
        <v>6.6630684008155709</v>
      </c>
      <c r="AL14">
        <f t="shared" si="10"/>
        <v>4.8816142967454908E-2</v>
      </c>
      <c r="AM14">
        <f t="shared" si="0"/>
        <v>7.0935478612205731</v>
      </c>
      <c r="AO14">
        <f t="shared" si="11"/>
        <v>4.8690989445026915E-2</v>
      </c>
      <c r="AP14">
        <f t="shared" si="1"/>
        <v>7.0572219898623345</v>
      </c>
    </row>
    <row r="15" spans="1:42" x14ac:dyDescent="0.2">
      <c r="A15" s="2">
        <v>13</v>
      </c>
      <c r="B15" s="3">
        <v>2.0400000000000001E-8</v>
      </c>
      <c r="C15" s="2">
        <v>6.7659999999999997E-4</v>
      </c>
      <c r="D15" s="3">
        <v>51300</v>
      </c>
      <c r="E15" s="3">
        <v>146000000000</v>
      </c>
      <c r="F15" s="3">
        <v>129000000000</v>
      </c>
      <c r="G15" s="3">
        <v>11200000000</v>
      </c>
      <c r="H15" s="3">
        <v>6160000000</v>
      </c>
      <c r="I15" s="2"/>
      <c r="J15" s="7">
        <f t="shared" si="12"/>
        <v>2.0400000000000001E-2</v>
      </c>
      <c r="K15" s="7">
        <f t="shared" si="13"/>
        <v>0.67659999999999998</v>
      </c>
      <c r="L15" s="7">
        <f t="shared" si="14"/>
        <v>146</v>
      </c>
      <c r="M15" s="7">
        <f t="shared" si="15"/>
        <v>51.300000000000004</v>
      </c>
      <c r="O15">
        <f t="shared" si="16"/>
        <v>1.0508187134502927E-2</v>
      </c>
      <c r="P15">
        <f t="shared" si="17"/>
        <v>10.508187134502927</v>
      </c>
      <c r="V15">
        <f t="shared" si="18"/>
        <v>181.21607898361057</v>
      </c>
      <c r="W15">
        <f t="shared" si="19"/>
        <v>141.54373135023974</v>
      </c>
      <c r="AE15">
        <f t="shared" si="22"/>
        <v>0.17397048173754903</v>
      </c>
      <c r="AF15">
        <f t="shared" si="7"/>
        <v>0.16860907669826686</v>
      </c>
      <c r="AG15">
        <f t="shared" si="8"/>
        <v>0.16904246324683853</v>
      </c>
      <c r="AI15">
        <f t="shared" si="9"/>
        <v>4.8858863383634571E-2</v>
      </c>
      <c r="AJ15">
        <f t="shared" si="20"/>
        <v>7.1159248914907662</v>
      </c>
      <c r="AL15">
        <f t="shared" si="10"/>
        <v>5.0412469876761817E-2</v>
      </c>
      <c r="AM15">
        <f t="shared" si="0"/>
        <v>7.5756619560534713</v>
      </c>
      <c r="AO15">
        <f t="shared" si="11"/>
        <v>5.0283223734075407E-2</v>
      </c>
      <c r="AP15">
        <f t="shared" si="1"/>
        <v>7.5368671911413259</v>
      </c>
    </row>
    <row r="16" spans="1:42" x14ac:dyDescent="0.2">
      <c r="A16" s="2">
        <v>14</v>
      </c>
      <c r="B16" s="3">
        <v>2.1699999999999999E-8</v>
      </c>
      <c r="C16" s="2">
        <v>7.3240000000000002E-4</v>
      </c>
      <c r="D16" s="3">
        <v>57300</v>
      </c>
      <c r="E16" s="3">
        <v>153000000000</v>
      </c>
      <c r="F16" s="3">
        <v>134000000000</v>
      </c>
      <c r="G16" s="2">
        <v>0</v>
      </c>
      <c r="H16" s="3">
        <v>5810000000</v>
      </c>
      <c r="I16" s="2"/>
      <c r="J16" s="7">
        <f t="shared" si="12"/>
        <v>2.1700000000000001E-2</v>
      </c>
      <c r="K16" s="7">
        <f t="shared" si="13"/>
        <v>0.73240000000000005</v>
      </c>
      <c r="L16" s="7">
        <f t="shared" si="14"/>
        <v>153</v>
      </c>
      <c r="M16" s="7">
        <f t="shared" si="15"/>
        <v>57.300000000000004</v>
      </c>
      <c r="O16">
        <f t="shared" si="16"/>
        <v>1.2113612565445027E-2</v>
      </c>
      <c r="P16">
        <f t="shared" si="17"/>
        <v>12.113612565445028</v>
      </c>
      <c r="V16">
        <f t="shared" si="18"/>
        <v>192.99736937443407</v>
      </c>
      <c r="W16">
        <f t="shared" si="19"/>
        <v>148.44761922332816</v>
      </c>
      <c r="AE16">
        <f t="shared" ref="AE16:AE79" si="23">M16/(2*$Y$5)</f>
        <v>0.19431790650217465</v>
      </c>
      <c r="AF16">
        <f t="shared" ref="AF16:AF79" si="24">M16/(2*$Y$8)</f>
        <v>0.18832943654601736</v>
      </c>
      <c r="AG16">
        <f t="shared" ref="AG16:AG79" si="25">M16/(2*$Y$11)</f>
        <v>0.18881351157980208</v>
      </c>
      <c r="AI16">
        <f t="shared" ref="AI16:AI79" si="26">J16/(2.4*AE16)</f>
        <v>4.6530280350490914E-2</v>
      </c>
      <c r="AJ16">
        <f t="shared" ref="AJ16:AJ79" si="27">K16/(3.14159*(AE16^2))</f>
        <v>6.1740932414157896</v>
      </c>
      <c r="AL16">
        <f t="shared" ref="AL16:AL79" si="28">J16/(2.4*AF16)</f>
        <v>4.8009842924674084E-2</v>
      </c>
      <c r="AM16">
        <f t="shared" ref="AM16:AM79" si="29">K16/(3.14159*(AF16^2))</f>
        <v>6.5729815864205507</v>
      </c>
      <c r="AO16">
        <f t="shared" ref="AO16:AO79" si="30">J16/(2.4*AG16)</f>
        <v>4.7886756572742432E-2</v>
      </c>
      <c r="AP16">
        <f t="shared" ref="AP16:AP79" si="31">K16/(3.14159*(AG16^2))</f>
        <v>6.539321521214859</v>
      </c>
    </row>
    <row r="17" spans="1:42" x14ac:dyDescent="0.2">
      <c r="A17" s="2">
        <v>15</v>
      </c>
      <c r="B17" s="3">
        <v>2.2700000000000001E-8</v>
      </c>
      <c r="C17" s="2">
        <v>7.8490000000000005E-4</v>
      </c>
      <c r="D17" s="3">
        <v>60400</v>
      </c>
      <c r="E17" s="3">
        <v>156000000000</v>
      </c>
      <c r="F17" s="3">
        <v>137000000000</v>
      </c>
      <c r="G17" s="2">
        <v>0</v>
      </c>
      <c r="H17" s="3">
        <v>5800000000</v>
      </c>
      <c r="I17" s="2"/>
      <c r="J17" s="7">
        <f t="shared" si="12"/>
        <v>2.2700000000000001E-2</v>
      </c>
      <c r="K17" s="7">
        <f t="shared" si="13"/>
        <v>0.78490000000000004</v>
      </c>
      <c r="L17" s="7">
        <f t="shared" si="14"/>
        <v>156</v>
      </c>
      <c r="M17" s="7">
        <f t="shared" si="15"/>
        <v>60.4</v>
      </c>
      <c r="O17">
        <f t="shared" si="16"/>
        <v>1.2953725165562913E-2</v>
      </c>
      <c r="P17">
        <f t="shared" si="17"/>
        <v>12.953725165562913</v>
      </c>
      <c r="V17">
        <f t="shared" si="18"/>
        <v>198.81656884831438</v>
      </c>
      <c r="W17">
        <f t="shared" si="19"/>
        <v>151.89880891185115</v>
      </c>
      <c r="AE17">
        <f t="shared" si="23"/>
        <v>0.20483074263056453</v>
      </c>
      <c r="AF17">
        <f t="shared" si="24"/>
        <v>0.19851828913402175</v>
      </c>
      <c r="AG17">
        <f t="shared" si="25"/>
        <v>0.19902855321849991</v>
      </c>
      <c r="AI17">
        <f t="shared" si="26"/>
        <v>4.6176336676142953E-2</v>
      </c>
      <c r="AJ17">
        <f t="shared" si="27"/>
        <v>5.9549009770402179</v>
      </c>
      <c r="AL17">
        <f t="shared" si="28"/>
        <v>4.7644644604749313E-2</v>
      </c>
      <c r="AM17">
        <f t="shared" si="29"/>
        <v>6.3396280134680199</v>
      </c>
      <c r="AO17">
        <f t="shared" si="30"/>
        <v>4.7522494538508119E-2</v>
      </c>
      <c r="AP17">
        <f t="shared" si="31"/>
        <v>6.3071629457498881</v>
      </c>
    </row>
    <row r="18" spans="1:42" x14ac:dyDescent="0.2">
      <c r="A18" s="2">
        <v>16</v>
      </c>
      <c r="B18" s="3">
        <v>2.3199999999999999E-8</v>
      </c>
      <c r="C18" s="2">
        <v>8.3750000000000003E-4</v>
      </c>
      <c r="D18" s="3">
        <v>49800</v>
      </c>
      <c r="E18" s="3">
        <v>141000000000</v>
      </c>
      <c r="F18" s="3">
        <v>124000000000</v>
      </c>
      <c r="G18" s="2">
        <v>0</v>
      </c>
      <c r="H18" s="3">
        <v>7570000000</v>
      </c>
      <c r="I18" s="2"/>
      <c r="J18" s="7">
        <f t="shared" si="12"/>
        <v>2.3199999999999998E-2</v>
      </c>
      <c r="K18" s="7">
        <f t="shared" si="13"/>
        <v>0.83750000000000002</v>
      </c>
      <c r="L18" s="7">
        <f t="shared" si="14"/>
        <v>141</v>
      </c>
      <c r="M18" s="7">
        <f t="shared" si="15"/>
        <v>49.800000000000004</v>
      </c>
      <c r="O18">
        <f t="shared" si="16"/>
        <v>1.0587048192771085E-2</v>
      </c>
      <c r="P18">
        <f t="shared" si="17"/>
        <v>10.587048192771086</v>
      </c>
      <c r="V18">
        <f t="shared" si="18"/>
        <v>181.8173216177467</v>
      </c>
      <c r="W18">
        <f t="shared" si="19"/>
        <v>136.95064792753817</v>
      </c>
      <c r="AE18">
        <f t="shared" si="23"/>
        <v>0.16888362554639264</v>
      </c>
      <c r="AF18">
        <f t="shared" si="24"/>
        <v>0.16367898673632922</v>
      </c>
      <c r="AG18">
        <f t="shared" si="25"/>
        <v>0.16409970116359762</v>
      </c>
      <c r="AI18">
        <f t="shared" si="26"/>
        <v>5.7238625920019798E-2</v>
      </c>
      <c r="AJ18">
        <f t="shared" si="27"/>
        <v>9.346741300255184</v>
      </c>
      <c r="AL18">
        <f t="shared" si="28"/>
        <v>5.9058690791132018E-2</v>
      </c>
      <c r="AM18">
        <f t="shared" si="29"/>
        <v>9.9506042518926812</v>
      </c>
      <c r="AO18">
        <f t="shared" si="30"/>
        <v>5.8907277698388827E-2</v>
      </c>
      <c r="AP18">
        <f t="shared" si="31"/>
        <v>9.8996474701717769</v>
      </c>
    </row>
    <row r="19" spans="1:42" x14ac:dyDescent="0.2">
      <c r="A19" s="2">
        <v>17</v>
      </c>
      <c r="B19" s="3">
        <v>2.3899999999999999E-8</v>
      </c>
      <c r="C19" s="2">
        <v>8.8800000000000001E-4</v>
      </c>
      <c r="D19" s="3">
        <v>50200</v>
      </c>
      <c r="E19" s="3">
        <v>142000000000</v>
      </c>
      <c r="F19" s="3">
        <v>125000000000</v>
      </c>
      <c r="G19" s="2">
        <v>0</v>
      </c>
      <c r="H19" s="3">
        <v>7990000000</v>
      </c>
      <c r="I19" s="2"/>
      <c r="J19" s="7">
        <f t="shared" si="12"/>
        <v>2.3899999999999998E-2</v>
      </c>
      <c r="K19" s="7">
        <f t="shared" si="13"/>
        <v>0.88800000000000001</v>
      </c>
      <c r="L19" s="7">
        <f t="shared" si="14"/>
        <v>142</v>
      </c>
      <c r="M19" s="7">
        <f t="shared" si="15"/>
        <v>50.2</v>
      </c>
      <c r="O19">
        <f t="shared" si="16"/>
        <v>1.0633067729083664E-2</v>
      </c>
      <c r="P19">
        <f t="shared" si="17"/>
        <v>10.633067729083665</v>
      </c>
      <c r="V19">
        <f t="shared" si="18"/>
        <v>182.16702599991333</v>
      </c>
      <c r="W19">
        <f t="shared" si="19"/>
        <v>137.7856385491628</v>
      </c>
      <c r="AE19">
        <f t="shared" si="23"/>
        <v>0.17024012053070101</v>
      </c>
      <c r="AF19">
        <f t="shared" si="24"/>
        <v>0.16499367739284593</v>
      </c>
      <c r="AG19">
        <f t="shared" si="25"/>
        <v>0.16541777105246186</v>
      </c>
      <c r="AI19">
        <f t="shared" si="26"/>
        <v>5.8495807582193603E-2</v>
      </c>
      <c r="AJ19">
        <f t="shared" si="27"/>
        <v>9.7530314289372626</v>
      </c>
      <c r="AL19">
        <f t="shared" si="28"/>
        <v>6.0355848119093579E-2</v>
      </c>
      <c r="AM19">
        <f t="shared" si="29"/>
        <v>10.383143481565757</v>
      </c>
      <c r="AO19">
        <f t="shared" si="30"/>
        <v>6.0201109409067484E-2</v>
      </c>
      <c r="AP19">
        <f t="shared" si="31"/>
        <v>10.329971677866869</v>
      </c>
    </row>
    <row r="20" spans="1:42" x14ac:dyDescent="0.2">
      <c r="A20" s="2">
        <v>18</v>
      </c>
      <c r="B20" s="3">
        <v>2.5399999999999999E-8</v>
      </c>
      <c r="C20" s="2">
        <v>9.3869999999999999E-4</v>
      </c>
      <c r="D20" s="3">
        <v>53100</v>
      </c>
      <c r="E20" s="3">
        <v>140000000000</v>
      </c>
      <c r="F20" s="3">
        <v>124000000000</v>
      </c>
      <c r="G20" s="2">
        <v>0</v>
      </c>
      <c r="H20" s="3">
        <v>7430000000</v>
      </c>
      <c r="I20" s="2"/>
      <c r="J20" s="7">
        <f t="shared" si="12"/>
        <v>2.5399999999999999E-2</v>
      </c>
      <c r="K20" s="7">
        <f t="shared" si="13"/>
        <v>0.93869999999999998</v>
      </c>
      <c r="L20" s="7">
        <f t="shared" si="14"/>
        <v>140</v>
      </c>
      <c r="M20" s="7">
        <f t="shared" si="15"/>
        <v>53.1</v>
      </c>
      <c r="O20">
        <f t="shared" si="16"/>
        <v>1.2141525423728814E-2</v>
      </c>
      <c r="P20">
        <f t="shared" si="17"/>
        <v>12.141525423728815</v>
      </c>
      <c r="V20">
        <f t="shared" si="18"/>
        <v>193.19426084605618</v>
      </c>
      <c r="W20">
        <f t="shared" si="19"/>
        <v>137.42644260615978</v>
      </c>
      <c r="AE20">
        <f t="shared" si="23"/>
        <v>0.18007470916693671</v>
      </c>
      <c r="AF20">
        <f t="shared" si="24"/>
        <v>0.17452518465259198</v>
      </c>
      <c r="AG20">
        <f t="shared" si="25"/>
        <v>0.17497377774672759</v>
      </c>
      <c r="AI20">
        <f t="shared" si="26"/>
        <v>5.8771902963464712E-2</v>
      </c>
      <c r="AJ20">
        <f t="shared" si="27"/>
        <v>9.2145019851195489</v>
      </c>
      <c r="AL20">
        <f t="shared" si="28"/>
        <v>6.064072273809884E-2</v>
      </c>
      <c r="AM20">
        <f t="shared" si="29"/>
        <v>9.8098213791046955</v>
      </c>
      <c r="AO20">
        <f t="shared" si="30"/>
        <v>6.0485253674139559E-2</v>
      </c>
      <c r="AP20">
        <f t="shared" si="31"/>
        <v>9.759585542759277</v>
      </c>
    </row>
    <row r="21" spans="1:42" x14ac:dyDescent="0.2">
      <c r="A21" s="2">
        <v>19</v>
      </c>
      <c r="B21" s="3">
        <v>2.62E-8</v>
      </c>
      <c r="C21" s="2">
        <v>9.921000000000001E-4</v>
      </c>
      <c r="D21" s="3">
        <v>58000</v>
      </c>
      <c r="E21" s="3">
        <v>147000000000</v>
      </c>
      <c r="F21" s="3">
        <v>129000000000</v>
      </c>
      <c r="G21" s="3">
        <v>12900000000</v>
      </c>
      <c r="H21" s="3">
        <v>7120000000</v>
      </c>
      <c r="I21" s="2"/>
      <c r="J21" s="7">
        <f t="shared" si="12"/>
        <v>2.6200000000000001E-2</v>
      </c>
      <c r="K21" s="7">
        <f t="shared" si="13"/>
        <v>0.99210000000000009</v>
      </c>
      <c r="L21" s="7">
        <f t="shared" si="14"/>
        <v>147</v>
      </c>
      <c r="M21" s="7">
        <f t="shared" si="15"/>
        <v>58</v>
      </c>
      <c r="O21">
        <f t="shared" si="16"/>
        <v>1.3371120689655172E-2</v>
      </c>
      <c r="P21">
        <f t="shared" si="17"/>
        <v>13.371120689655172</v>
      </c>
      <c r="V21">
        <f t="shared" si="18"/>
        <v>201.62962699709834</v>
      </c>
      <c r="W21">
        <f t="shared" si="19"/>
        <v>143.82806947521328</v>
      </c>
      <c r="AE21">
        <f t="shared" si="23"/>
        <v>0.19669177272471428</v>
      </c>
      <c r="AF21">
        <f t="shared" si="24"/>
        <v>0.19063014519492155</v>
      </c>
      <c r="AG21">
        <f t="shared" si="25"/>
        <v>0.19112013388531449</v>
      </c>
      <c r="AI21">
        <f t="shared" si="26"/>
        <v>5.5501389384218974E-2</v>
      </c>
      <c r="AJ21">
        <f t="shared" si="27"/>
        <v>8.1626947255967579</v>
      </c>
      <c r="AL21">
        <f t="shared" si="28"/>
        <v>5.7266213879784061E-2</v>
      </c>
      <c r="AM21">
        <f t="shared" si="29"/>
        <v>8.6900602289278606</v>
      </c>
      <c r="AO21">
        <f t="shared" si="30"/>
        <v>5.7119396291431208E-2</v>
      </c>
      <c r="AP21">
        <f t="shared" si="31"/>
        <v>8.6455586598756327</v>
      </c>
    </row>
    <row r="22" spans="1:42" x14ac:dyDescent="0.2">
      <c r="A22" s="2">
        <v>20</v>
      </c>
      <c r="B22" s="3">
        <v>2.7199999999999999E-8</v>
      </c>
      <c r="C22" s="2">
        <v>1.042E-3</v>
      </c>
      <c r="D22" s="3">
        <v>63600</v>
      </c>
      <c r="E22" s="3">
        <v>153000000000</v>
      </c>
      <c r="F22" s="3">
        <v>134000000000</v>
      </c>
      <c r="G22" s="2">
        <v>0</v>
      </c>
      <c r="H22" s="3">
        <v>6720000000</v>
      </c>
      <c r="I22" s="2"/>
      <c r="J22" s="7">
        <f t="shared" si="12"/>
        <v>2.7199999999999998E-2</v>
      </c>
      <c r="K22" s="7">
        <f t="shared" si="13"/>
        <v>1.042</v>
      </c>
      <c r="L22" s="7">
        <f t="shared" si="14"/>
        <v>153</v>
      </c>
      <c r="M22" s="7">
        <f t="shared" si="15"/>
        <v>63.6</v>
      </c>
      <c r="O22">
        <f t="shared" si="16"/>
        <v>1.4912264150943395E-2</v>
      </c>
      <c r="P22">
        <f t="shared" si="17"/>
        <v>14.912264150943395</v>
      </c>
      <c r="V22">
        <f t="shared" si="18"/>
        <v>211.61320477056597</v>
      </c>
      <c r="W22">
        <f t="shared" si="19"/>
        <v>150.27417610577757</v>
      </c>
      <c r="AE22">
        <f t="shared" si="23"/>
        <v>0.21568270250503152</v>
      </c>
      <c r="AF22">
        <f t="shared" si="24"/>
        <v>0.20903581438615537</v>
      </c>
      <c r="AG22">
        <f t="shared" si="25"/>
        <v>0.20957311232941384</v>
      </c>
      <c r="AI22">
        <f t="shared" si="26"/>
        <v>5.2546324771078685E-2</v>
      </c>
      <c r="AJ22">
        <f t="shared" si="27"/>
        <v>7.1299679868855677</v>
      </c>
      <c r="AL22">
        <f t="shared" si="28"/>
        <v>5.4217184584441955E-2</v>
      </c>
      <c r="AM22">
        <f t="shared" si="29"/>
        <v>7.590612330762295</v>
      </c>
      <c r="AO22">
        <f t="shared" si="30"/>
        <v>5.4078184015892421E-2</v>
      </c>
      <c r="AP22">
        <f t="shared" si="31"/>
        <v>7.5517410053758898</v>
      </c>
    </row>
    <row r="23" spans="1:42" x14ac:dyDescent="0.2">
      <c r="A23" s="2">
        <v>21</v>
      </c>
      <c r="B23" s="3">
        <v>2.8600000000000001E-8</v>
      </c>
      <c r="C23" s="2">
        <v>1.0939999999999999E-3</v>
      </c>
      <c r="D23" s="3">
        <v>61500</v>
      </c>
      <c r="E23" s="3">
        <v>146000000000</v>
      </c>
      <c r="F23" s="3">
        <v>129000000000</v>
      </c>
      <c r="G23" s="3">
        <v>15100000000</v>
      </c>
      <c r="H23" s="3">
        <v>6920000000</v>
      </c>
      <c r="I23" s="2"/>
      <c r="J23" s="7">
        <f t="shared" si="12"/>
        <v>2.86E-2</v>
      </c>
      <c r="K23" s="7">
        <f t="shared" si="13"/>
        <v>1.0939999999999999</v>
      </c>
      <c r="L23" s="7">
        <f t="shared" si="14"/>
        <v>146</v>
      </c>
      <c r="M23" s="7">
        <f t="shared" si="15"/>
        <v>61.5</v>
      </c>
      <c r="O23">
        <f t="shared" si="16"/>
        <v>1.5258536585365856E-2</v>
      </c>
      <c r="P23">
        <f t="shared" si="17"/>
        <v>15.258536585365857</v>
      </c>
      <c r="V23">
        <f t="shared" si="18"/>
        <v>213.77620425793469</v>
      </c>
      <c r="W23">
        <f t="shared" si="19"/>
        <v>143.84201509583431</v>
      </c>
      <c r="AE23">
        <f t="shared" si="23"/>
        <v>0.20856110383741255</v>
      </c>
      <c r="AF23">
        <f t="shared" si="24"/>
        <v>0.20213368843944268</v>
      </c>
      <c r="AG23">
        <f t="shared" si="25"/>
        <v>0.20265324541287658</v>
      </c>
      <c r="AI23">
        <f t="shared" si="26"/>
        <v>5.713753162697352E-2</v>
      </c>
      <c r="AJ23">
        <f t="shared" si="27"/>
        <v>8.0057344907262706</v>
      </c>
      <c r="AL23">
        <f t="shared" si="28"/>
        <v>5.8954381917573268E-2</v>
      </c>
      <c r="AM23">
        <f t="shared" si="29"/>
        <v>8.5229592971370405</v>
      </c>
      <c r="AO23">
        <f t="shared" si="30"/>
        <v>5.88032362491318E-2</v>
      </c>
      <c r="AP23">
        <f t="shared" si="31"/>
        <v>8.4793134475457705</v>
      </c>
    </row>
    <row r="24" spans="1:42" x14ac:dyDescent="0.2">
      <c r="A24" s="2">
        <v>22</v>
      </c>
      <c r="B24" s="3">
        <v>2.8900000000000001E-8</v>
      </c>
      <c r="C24" s="2">
        <v>1.147E-3</v>
      </c>
      <c r="D24" s="3">
        <v>66800</v>
      </c>
      <c r="E24" s="3">
        <v>156000000000</v>
      </c>
      <c r="F24" s="3">
        <v>136000000000</v>
      </c>
      <c r="G24" s="2">
        <v>0</v>
      </c>
      <c r="H24" s="3">
        <v>6890000000</v>
      </c>
      <c r="I24" s="2"/>
      <c r="J24" s="7">
        <f t="shared" si="12"/>
        <v>2.8900000000000002E-2</v>
      </c>
      <c r="K24" s="7">
        <f t="shared" si="13"/>
        <v>1.147</v>
      </c>
      <c r="L24" s="7">
        <f t="shared" si="14"/>
        <v>156</v>
      </c>
      <c r="M24" s="7">
        <f t="shared" si="15"/>
        <v>66.8</v>
      </c>
      <c r="O24">
        <f t="shared" si="16"/>
        <v>1.6022005988023953E-2</v>
      </c>
      <c r="P24">
        <f t="shared" si="17"/>
        <v>16.022005988023952</v>
      </c>
      <c r="V24">
        <f t="shared" si="18"/>
        <v>218.45055906981673</v>
      </c>
      <c r="W24">
        <f t="shared" si="19"/>
        <v>152.89500810719085</v>
      </c>
      <c r="AE24">
        <f t="shared" si="23"/>
        <v>0.22653466237949851</v>
      </c>
      <c r="AF24">
        <f t="shared" si="24"/>
        <v>0.21955333963828896</v>
      </c>
      <c r="AG24">
        <f t="shared" si="25"/>
        <v>0.22011767144032771</v>
      </c>
      <c r="AI24">
        <f t="shared" si="26"/>
        <v>5.3155956533018606E-2</v>
      </c>
      <c r="AJ24">
        <f t="shared" si="27"/>
        <v>7.1145033005429186</v>
      </c>
      <c r="AL24">
        <f t="shared" si="28"/>
        <v>5.4846201321761469E-2</v>
      </c>
      <c r="AM24">
        <f t="shared" si="29"/>
        <v>7.5741485206779018</v>
      </c>
      <c r="AO24">
        <f t="shared" si="30"/>
        <v>5.4705588096915135E-2</v>
      </c>
      <c r="AP24">
        <f t="shared" si="31"/>
        <v>7.5353615060283667</v>
      </c>
    </row>
    <row r="25" spans="1:42" x14ac:dyDescent="0.2">
      <c r="A25" s="2">
        <v>23</v>
      </c>
      <c r="B25" s="3">
        <v>3.0099999999999998E-8</v>
      </c>
      <c r="C25" s="2">
        <v>1.1999999999999999E-3</v>
      </c>
      <c r="D25" s="3">
        <v>74200</v>
      </c>
      <c r="E25" s="3">
        <v>164000000000</v>
      </c>
      <c r="F25" s="3">
        <v>142000000000</v>
      </c>
      <c r="G25" s="2">
        <v>0</v>
      </c>
      <c r="H25" s="3">
        <v>6410000000</v>
      </c>
      <c r="I25" s="2"/>
      <c r="J25" s="7">
        <f t="shared" si="12"/>
        <v>3.0099999999999998E-2</v>
      </c>
      <c r="K25" s="7">
        <f t="shared" si="13"/>
        <v>1.2</v>
      </c>
      <c r="L25" s="7">
        <f t="shared" si="14"/>
        <v>164</v>
      </c>
      <c r="M25" s="7">
        <f t="shared" si="15"/>
        <v>74.2</v>
      </c>
      <c r="O25">
        <f t="shared" si="16"/>
        <v>1.7970619946091643E-2</v>
      </c>
      <c r="P25">
        <f t="shared" si="17"/>
        <v>17.970619946091642</v>
      </c>
      <c r="V25">
        <f t="shared" si="18"/>
        <v>229.84550279777096</v>
      </c>
      <c r="W25">
        <f t="shared" si="19"/>
        <v>161.41277313849534</v>
      </c>
      <c r="AE25">
        <f t="shared" si="23"/>
        <v>0.25162981958920344</v>
      </c>
      <c r="AF25">
        <f t="shared" si="24"/>
        <v>0.24387511678384793</v>
      </c>
      <c r="AG25">
        <f t="shared" si="25"/>
        <v>0.24450196438431612</v>
      </c>
      <c r="AI25">
        <f t="shared" si="26"/>
        <v>4.9841734525508462E-2</v>
      </c>
      <c r="AJ25">
        <f t="shared" si="27"/>
        <v>6.0326416434928216</v>
      </c>
      <c r="AL25">
        <f t="shared" si="28"/>
        <v>5.1426594201419207E-2</v>
      </c>
      <c r="AM25">
        <f t="shared" si="29"/>
        <v>6.4223912548264934</v>
      </c>
      <c r="AO25">
        <f t="shared" si="30"/>
        <v>5.1294748073897951E-2</v>
      </c>
      <c r="AP25">
        <f t="shared" si="31"/>
        <v>6.3895023587339592</v>
      </c>
    </row>
    <row r="26" spans="1:42" x14ac:dyDescent="0.2">
      <c r="A26" s="2">
        <v>24</v>
      </c>
      <c r="B26" s="3">
        <v>3.0799999999999998E-8</v>
      </c>
      <c r="C26" s="2">
        <v>1.253E-3</v>
      </c>
      <c r="D26" s="3">
        <v>63900</v>
      </c>
      <c r="E26" s="3">
        <v>148000000000</v>
      </c>
      <c r="F26" s="3">
        <v>130000000000</v>
      </c>
      <c r="G26" s="3">
        <v>11000000000</v>
      </c>
      <c r="H26" s="3">
        <v>7520000000</v>
      </c>
      <c r="I26" s="2"/>
      <c r="J26" s="7">
        <f t="shared" si="12"/>
        <v>3.0799999999999998E-2</v>
      </c>
      <c r="K26" s="7">
        <f t="shared" si="13"/>
        <v>1.2529999999999999</v>
      </c>
      <c r="L26" s="7">
        <f t="shared" si="14"/>
        <v>148</v>
      </c>
      <c r="M26" s="7">
        <f t="shared" si="15"/>
        <v>63.9</v>
      </c>
      <c r="O26">
        <f t="shared" si="16"/>
        <v>1.6093427230046947E-2</v>
      </c>
      <c r="P26">
        <f t="shared" si="17"/>
        <v>16.093427230046949</v>
      </c>
      <c r="V26">
        <f t="shared" si="18"/>
        <v>218.88143156204146</v>
      </c>
      <c r="W26">
        <f t="shared" si="19"/>
        <v>145.96944003879034</v>
      </c>
      <c r="AE26">
        <f t="shared" si="23"/>
        <v>0.21670007374326281</v>
      </c>
      <c r="AF26">
        <f t="shared" si="24"/>
        <v>0.21002183237854288</v>
      </c>
      <c r="AG26">
        <f t="shared" si="25"/>
        <v>0.210561664746062</v>
      </c>
      <c r="AI26">
        <f t="shared" si="26"/>
        <v>5.9221638053237262E-2</v>
      </c>
      <c r="AJ26">
        <f t="shared" si="27"/>
        <v>8.4934365531885465</v>
      </c>
      <c r="AL26">
        <f t="shared" si="28"/>
        <v>6.1104758433887782E-2</v>
      </c>
      <c r="AM26">
        <f t="shared" si="29"/>
        <v>9.0421702242931712</v>
      </c>
      <c r="AO26">
        <f t="shared" si="30"/>
        <v>6.0948099687615845E-2</v>
      </c>
      <c r="AP26">
        <f t="shared" si="31"/>
        <v>8.9958655092488637</v>
      </c>
    </row>
    <row r="27" spans="1:42" x14ac:dyDescent="0.2">
      <c r="A27" s="2">
        <v>25</v>
      </c>
      <c r="B27" s="3">
        <v>3.18E-8</v>
      </c>
      <c r="C27" s="2">
        <v>1.304E-3</v>
      </c>
      <c r="D27" s="3">
        <v>85300</v>
      </c>
      <c r="E27" s="3">
        <v>171000000000</v>
      </c>
      <c r="F27" s="3">
        <v>148000000000</v>
      </c>
      <c r="G27" s="3">
        <v>11600000000</v>
      </c>
      <c r="H27" s="3">
        <v>5650000000</v>
      </c>
      <c r="I27" s="2"/>
      <c r="J27" s="7">
        <f t="shared" si="12"/>
        <v>3.1800000000000002E-2</v>
      </c>
      <c r="K27" s="7">
        <f t="shared" si="13"/>
        <v>1.304</v>
      </c>
      <c r="L27" s="7">
        <f t="shared" si="14"/>
        <v>171</v>
      </c>
      <c r="M27" s="7">
        <f t="shared" si="15"/>
        <v>85.3</v>
      </c>
      <c r="O27">
        <f t="shared" si="16"/>
        <v>2.0334583821805394E-2</v>
      </c>
      <c r="P27">
        <f t="shared" si="17"/>
        <v>20.334583821805396</v>
      </c>
      <c r="V27">
        <f t="shared" si="18"/>
        <v>242.78054470484119</v>
      </c>
      <c r="W27">
        <f t="shared" si="19"/>
        <v>175.67305507058421</v>
      </c>
      <c r="AE27">
        <f t="shared" si="23"/>
        <v>0.28927255540376084</v>
      </c>
      <c r="AF27">
        <f t="shared" si="24"/>
        <v>0.28035778250218635</v>
      </c>
      <c r="AG27">
        <f t="shared" si="25"/>
        <v>0.28107840380029869</v>
      </c>
      <c r="AI27">
        <f t="shared" si="26"/>
        <v>4.5804552670079317E-2</v>
      </c>
      <c r="AJ27">
        <f t="shared" si="27"/>
        <v>4.9603648493508743</v>
      </c>
      <c r="AL27">
        <f t="shared" si="28"/>
        <v>4.726103866903239E-2</v>
      </c>
      <c r="AM27">
        <f t="shared" si="29"/>
        <v>5.2808380991075703</v>
      </c>
      <c r="AO27">
        <f t="shared" si="30"/>
        <v>4.7139872081434955E-2</v>
      </c>
      <c r="AP27">
        <f t="shared" si="31"/>
        <v>5.2537950665933923</v>
      </c>
    </row>
    <row r="28" spans="1:42" x14ac:dyDescent="0.2">
      <c r="A28" s="2">
        <v>26</v>
      </c>
      <c r="B28" s="3">
        <v>3.25E-8</v>
      </c>
      <c r="C28" s="2">
        <v>1.356E-3</v>
      </c>
      <c r="D28" s="3">
        <v>73500</v>
      </c>
      <c r="E28" s="3">
        <v>159000000000</v>
      </c>
      <c r="F28" s="3">
        <v>139000000000</v>
      </c>
      <c r="G28" s="3">
        <v>14800000000</v>
      </c>
      <c r="H28" s="3">
        <v>6980000000</v>
      </c>
      <c r="I28" s="2"/>
      <c r="J28" s="7">
        <f t="shared" si="12"/>
        <v>3.2500000000000001E-2</v>
      </c>
      <c r="K28" s="7">
        <f t="shared" si="13"/>
        <v>1.3560000000000001</v>
      </c>
      <c r="L28" s="7">
        <f t="shared" si="14"/>
        <v>159</v>
      </c>
      <c r="M28" s="7">
        <f t="shared" si="15"/>
        <v>73.5</v>
      </c>
      <c r="O28">
        <f t="shared" si="16"/>
        <v>1.8663265306122449E-2</v>
      </c>
      <c r="P28">
        <f t="shared" si="17"/>
        <v>18.663265306122447</v>
      </c>
      <c r="V28">
        <f t="shared" si="18"/>
        <v>233.72890464546225</v>
      </c>
      <c r="W28">
        <f t="shared" si="19"/>
        <v>157.23344126283905</v>
      </c>
      <c r="AE28">
        <f t="shared" si="23"/>
        <v>0.24925595336666378</v>
      </c>
      <c r="AF28">
        <f t="shared" si="24"/>
        <v>0.24157440813494371</v>
      </c>
      <c r="AG28">
        <f t="shared" si="25"/>
        <v>0.24219534207880369</v>
      </c>
      <c r="AI28">
        <f t="shared" si="26"/>
        <v>5.4328357994107471E-2</v>
      </c>
      <c r="AJ28">
        <f t="shared" si="27"/>
        <v>6.9473487983766402</v>
      </c>
      <c r="AL28">
        <f t="shared" si="28"/>
        <v>5.605588262106919E-2</v>
      </c>
      <c r="AM28">
        <f t="shared" si="29"/>
        <v>7.3961947027057091</v>
      </c>
      <c r="AO28">
        <f t="shared" si="30"/>
        <v>5.5912168047643887E-2</v>
      </c>
      <c r="AP28">
        <f t="shared" si="31"/>
        <v>7.3583189848607971</v>
      </c>
    </row>
    <row r="29" spans="1:42" x14ac:dyDescent="0.2">
      <c r="A29" s="2">
        <v>27</v>
      </c>
      <c r="B29" s="3">
        <v>3.33E-8</v>
      </c>
      <c r="C29" s="2">
        <v>1.408E-3</v>
      </c>
      <c r="D29" s="3">
        <v>66700</v>
      </c>
      <c r="E29" s="3">
        <v>148000000000</v>
      </c>
      <c r="F29" s="3">
        <v>130000000000</v>
      </c>
      <c r="G29" s="3">
        <v>13200000000</v>
      </c>
      <c r="H29" s="3">
        <v>7790000000</v>
      </c>
      <c r="I29" s="2"/>
      <c r="J29" s="7">
        <f t="shared" si="12"/>
        <v>3.3300000000000003E-2</v>
      </c>
      <c r="K29" s="7">
        <f t="shared" si="13"/>
        <v>1.4079999999999999</v>
      </c>
      <c r="L29" s="7">
        <f t="shared" si="14"/>
        <v>148</v>
      </c>
      <c r="M29" s="7">
        <f t="shared" si="15"/>
        <v>66.7</v>
      </c>
      <c r="O29">
        <f t="shared" si="16"/>
        <v>1.7467916041979014E-2</v>
      </c>
      <c r="P29">
        <f t="shared" si="17"/>
        <v>17.467916041979013</v>
      </c>
      <c r="V29">
        <f t="shared" si="18"/>
        <v>226.97453462562461</v>
      </c>
      <c r="W29">
        <f t="shared" si="19"/>
        <v>146.93278281199264</v>
      </c>
      <c r="AE29">
        <f t="shared" si="23"/>
        <v>0.22619553863342143</v>
      </c>
      <c r="AF29">
        <f t="shared" si="24"/>
        <v>0.21922466697415979</v>
      </c>
      <c r="AG29">
        <f t="shared" si="25"/>
        <v>0.21978815396811166</v>
      </c>
      <c r="AI29">
        <f t="shared" si="26"/>
        <v>6.1340732376186244E-2</v>
      </c>
      <c r="AJ29">
        <f t="shared" si="27"/>
        <v>8.7596162223266898</v>
      </c>
      <c r="AL29">
        <f t="shared" si="28"/>
        <v>6.3291235386551917E-2</v>
      </c>
      <c r="AM29">
        <f t="shared" si="29"/>
        <v>9.325546907396733</v>
      </c>
      <c r="AO29">
        <f t="shared" si="30"/>
        <v>6.3128971009115797E-2</v>
      </c>
      <c r="AP29">
        <f t="shared" si="31"/>
        <v>9.2777910278381732</v>
      </c>
    </row>
    <row r="30" spans="1:42" x14ac:dyDescent="0.2">
      <c r="A30" s="2">
        <v>28</v>
      </c>
      <c r="B30" s="3">
        <v>3.3899999999999999E-8</v>
      </c>
      <c r="C30" s="2">
        <v>1.462E-3</v>
      </c>
      <c r="D30" s="3">
        <v>56900</v>
      </c>
      <c r="E30" s="3">
        <v>137000000000</v>
      </c>
      <c r="F30" s="3">
        <v>121000000000</v>
      </c>
      <c r="G30" s="2">
        <v>0</v>
      </c>
      <c r="H30" s="3">
        <v>9630000000</v>
      </c>
      <c r="I30" s="2"/>
      <c r="J30" s="7">
        <f t="shared" si="12"/>
        <v>3.39E-2</v>
      </c>
      <c r="K30" s="7">
        <f t="shared" si="13"/>
        <v>1.462</v>
      </c>
      <c r="L30" s="7">
        <f t="shared" si="14"/>
        <v>137</v>
      </c>
      <c r="M30" s="7">
        <f t="shared" si="15"/>
        <v>56.9</v>
      </c>
      <c r="O30">
        <f t="shared" si="16"/>
        <v>1.4629349736379613E-2</v>
      </c>
      <c r="P30">
        <f t="shared" si="17"/>
        <v>14.629349736379613</v>
      </c>
      <c r="V30">
        <f t="shared" si="18"/>
        <v>209.82511678155993</v>
      </c>
      <c r="W30">
        <f t="shared" si="19"/>
        <v>135.58910599639077</v>
      </c>
      <c r="AE30">
        <f t="shared" si="23"/>
        <v>0.19296141151786625</v>
      </c>
      <c r="AF30">
        <f t="shared" si="24"/>
        <v>0.18701474588950062</v>
      </c>
      <c r="AG30">
        <f t="shared" si="25"/>
        <v>0.18749544169093782</v>
      </c>
      <c r="AI30">
        <f t="shared" si="26"/>
        <v>7.3201164361777954E-2</v>
      </c>
      <c r="AJ30">
        <f t="shared" si="27"/>
        <v>12.498472301037056</v>
      </c>
      <c r="AL30">
        <f t="shared" si="28"/>
        <v>7.5528803532668415E-2</v>
      </c>
      <c r="AM30">
        <f t="shared" si="29"/>
        <v>13.305958475331582</v>
      </c>
      <c r="AO30">
        <f t="shared" si="30"/>
        <v>7.5335164805143642E-2</v>
      </c>
      <c r="AP30">
        <f t="shared" si="31"/>
        <v>13.23781901319933</v>
      </c>
    </row>
    <row r="31" spans="1:42" x14ac:dyDescent="0.2">
      <c r="A31" s="2">
        <v>29</v>
      </c>
      <c r="B31" s="3">
        <v>3.47E-8</v>
      </c>
      <c r="C31" s="2">
        <v>1.513E-3</v>
      </c>
      <c r="D31" s="3">
        <v>68500</v>
      </c>
      <c r="E31" s="3">
        <v>149000000000</v>
      </c>
      <c r="F31" s="3">
        <v>131000000000</v>
      </c>
      <c r="G31" s="2">
        <v>0</v>
      </c>
      <c r="H31" s="3">
        <v>8030000000</v>
      </c>
      <c r="I31" s="2"/>
      <c r="J31" s="7">
        <f t="shared" si="12"/>
        <v>3.4700000000000002E-2</v>
      </c>
      <c r="K31" s="7">
        <f t="shared" si="13"/>
        <v>1.5130000000000001</v>
      </c>
      <c r="L31" s="7">
        <f t="shared" si="14"/>
        <v>149</v>
      </c>
      <c r="M31" s="7">
        <f t="shared" si="15"/>
        <v>68.5</v>
      </c>
      <c r="O31">
        <f t="shared" si="16"/>
        <v>1.8134306569343069E-2</v>
      </c>
      <c r="P31">
        <f t="shared" si="17"/>
        <v>18.134306569343067</v>
      </c>
      <c r="V31">
        <f t="shared" si="18"/>
        <v>230.77065164845857</v>
      </c>
      <c r="W31">
        <f t="shared" si="19"/>
        <v>148.41575284960535</v>
      </c>
      <c r="AE31">
        <f t="shared" si="23"/>
        <v>0.23229976606280911</v>
      </c>
      <c r="AF31">
        <f t="shared" si="24"/>
        <v>0.22514077492848494</v>
      </c>
      <c r="AG31">
        <f t="shared" si="25"/>
        <v>0.22571946846800073</v>
      </c>
      <c r="AI31">
        <f t="shared" si="26"/>
        <v>6.2239982322772107E-2</v>
      </c>
      <c r="AJ31">
        <f t="shared" si="27"/>
        <v>8.9246640556084973</v>
      </c>
      <c r="AL31">
        <f t="shared" si="28"/>
        <v>6.4219079542237364E-2</v>
      </c>
      <c r="AM31">
        <f t="shared" si="29"/>
        <v>9.5012579513704001</v>
      </c>
      <c r="AO31">
        <f t="shared" si="30"/>
        <v>6.4054436382757263E-2</v>
      </c>
      <c r="AP31">
        <f t="shared" si="31"/>
        <v>9.4526022601936681</v>
      </c>
    </row>
    <row r="32" spans="1:42" x14ac:dyDescent="0.2">
      <c r="A32" s="2">
        <v>30</v>
      </c>
      <c r="B32" s="3">
        <v>3.55E-8</v>
      </c>
      <c r="C32" s="2">
        <v>1.5659999999999999E-3</v>
      </c>
      <c r="D32" s="3">
        <v>69200</v>
      </c>
      <c r="E32" s="3">
        <v>149000000000</v>
      </c>
      <c r="F32" s="3">
        <v>131000000000</v>
      </c>
      <c r="G32" s="3">
        <v>1030000000</v>
      </c>
      <c r="H32" s="3">
        <v>8110000000</v>
      </c>
      <c r="I32" s="2"/>
      <c r="J32" s="7">
        <f t="shared" si="12"/>
        <v>3.5499999999999997E-2</v>
      </c>
      <c r="K32" s="7">
        <f t="shared" si="13"/>
        <v>1.5659999999999998</v>
      </c>
      <c r="L32" s="7">
        <f t="shared" si="14"/>
        <v>149</v>
      </c>
      <c r="M32" s="7">
        <f t="shared" si="15"/>
        <v>69.2</v>
      </c>
      <c r="O32">
        <f t="shared" si="16"/>
        <v>1.8527456647398844E-2</v>
      </c>
      <c r="P32">
        <f t="shared" si="17"/>
        <v>18.527456647398843</v>
      </c>
      <c r="V32">
        <f t="shared" si="18"/>
        <v>232.97388520813979</v>
      </c>
      <c r="W32">
        <f t="shared" si="19"/>
        <v>148.51449967917316</v>
      </c>
      <c r="AE32">
        <f t="shared" si="23"/>
        <v>0.23467363228534877</v>
      </c>
      <c r="AF32">
        <f t="shared" si="24"/>
        <v>0.22744148357738919</v>
      </c>
      <c r="AG32">
        <f t="shared" si="25"/>
        <v>0.22802609077351316</v>
      </c>
      <c r="AI32">
        <f t="shared" si="26"/>
        <v>6.303079950917069E-2</v>
      </c>
      <c r="AJ32">
        <f t="shared" si="27"/>
        <v>9.0513563026650896</v>
      </c>
      <c r="AL32">
        <f t="shared" si="28"/>
        <v>6.5035043009793139E-2</v>
      </c>
      <c r="AM32">
        <f t="shared" si="29"/>
        <v>9.6361353778172756</v>
      </c>
      <c r="AO32">
        <f t="shared" si="30"/>
        <v>6.4868307904986558E-2</v>
      </c>
      <c r="AP32">
        <f t="shared" si="31"/>
        <v>9.5867889828998916</v>
      </c>
    </row>
    <row r="33" spans="1:42" x14ac:dyDescent="0.2">
      <c r="A33" s="2">
        <v>31</v>
      </c>
      <c r="B33" s="3">
        <v>3.5899999999999997E-8</v>
      </c>
      <c r="C33" s="2">
        <v>1.619E-3</v>
      </c>
      <c r="D33" s="3">
        <v>89500</v>
      </c>
      <c r="E33" s="3">
        <v>176000000000</v>
      </c>
      <c r="F33" s="3">
        <v>151000000000</v>
      </c>
      <c r="G33" s="2">
        <v>0</v>
      </c>
      <c r="H33" s="3">
        <v>6700000000</v>
      </c>
      <c r="I33" s="2"/>
      <c r="J33" s="7">
        <f t="shared" si="12"/>
        <v>3.5899999999999994E-2</v>
      </c>
      <c r="K33" s="7">
        <f t="shared" si="13"/>
        <v>1.619</v>
      </c>
      <c r="L33" s="7">
        <f t="shared" si="14"/>
        <v>176</v>
      </c>
      <c r="M33" s="7">
        <f t="shared" si="15"/>
        <v>89.5</v>
      </c>
      <c r="O33">
        <f t="shared" si="16"/>
        <v>2.2332960893854743E-2</v>
      </c>
      <c r="P33">
        <f t="shared" si="17"/>
        <v>22.332960893854743</v>
      </c>
      <c r="V33">
        <f t="shared" si="18"/>
        <v>253.07525101378269</v>
      </c>
      <c r="W33">
        <f t="shared" si="19"/>
        <v>176.82487647740345</v>
      </c>
      <c r="AE33">
        <f t="shared" si="23"/>
        <v>0.30351575273899878</v>
      </c>
      <c r="AF33">
        <f t="shared" si="24"/>
        <v>0.29416203439561173</v>
      </c>
      <c r="AG33">
        <f t="shared" si="25"/>
        <v>0.29491813763337321</v>
      </c>
      <c r="AI33">
        <f t="shared" si="26"/>
        <v>4.9283548541865625E-2</v>
      </c>
      <c r="AJ33">
        <f t="shared" si="27"/>
        <v>5.5941598296506791</v>
      </c>
      <c r="AL33">
        <f t="shared" si="28"/>
        <v>5.085065910720557E-2</v>
      </c>
      <c r="AM33">
        <f t="shared" si="29"/>
        <v>5.9555805385529936</v>
      </c>
      <c r="AO33">
        <f t="shared" si="30"/>
        <v>5.0720289546683457E-2</v>
      </c>
      <c r="AP33">
        <f t="shared" si="31"/>
        <v>5.9250821678167052</v>
      </c>
    </row>
    <row r="34" spans="1:42" x14ac:dyDescent="0.2">
      <c r="A34" s="2">
        <v>32</v>
      </c>
      <c r="B34" s="3">
        <v>3.7100000000000001E-8</v>
      </c>
      <c r="C34" s="2">
        <v>1.6689999999999999E-3</v>
      </c>
      <c r="D34" s="3">
        <v>80200</v>
      </c>
      <c r="E34" s="3">
        <v>154000000000</v>
      </c>
      <c r="F34" s="3">
        <v>135000000000</v>
      </c>
      <c r="G34" s="3">
        <v>21200000000</v>
      </c>
      <c r="H34" s="3">
        <v>6840000000</v>
      </c>
      <c r="I34" s="2"/>
      <c r="J34" s="7">
        <f t="shared" si="12"/>
        <v>3.7100000000000001E-2</v>
      </c>
      <c r="K34" s="7">
        <f t="shared" si="13"/>
        <v>1.6689999999999998</v>
      </c>
      <c r="L34" s="7">
        <f t="shared" si="14"/>
        <v>154</v>
      </c>
      <c r="M34" s="7">
        <f t="shared" si="15"/>
        <v>80.2</v>
      </c>
      <c r="O34">
        <f t="shared" si="16"/>
        <v>2.1492144638403994E-2</v>
      </c>
      <c r="P34">
        <f t="shared" si="17"/>
        <v>21.492144638403992</v>
      </c>
      <c r="V34">
        <f t="shared" si="18"/>
        <v>248.80898578544512</v>
      </c>
      <c r="W34">
        <f t="shared" si="19"/>
        <v>161.16781262305111</v>
      </c>
      <c r="AE34">
        <f t="shared" si="23"/>
        <v>0.27197724435382908</v>
      </c>
      <c r="AF34">
        <f t="shared" si="24"/>
        <v>0.26359547663159844</v>
      </c>
      <c r="AG34">
        <f t="shared" si="25"/>
        <v>0.26427301271727971</v>
      </c>
      <c r="AI34">
        <f t="shared" si="26"/>
        <v>5.6836862841447129E-2</v>
      </c>
      <c r="AJ34">
        <f t="shared" si="27"/>
        <v>7.1819386730927262</v>
      </c>
      <c r="AL34">
        <f t="shared" si="28"/>
        <v>5.8644152513049122E-2</v>
      </c>
      <c r="AM34">
        <f t="shared" si="29"/>
        <v>7.6459406761753232</v>
      </c>
      <c r="AO34">
        <f t="shared" si="30"/>
        <v>5.849380220246219E-2</v>
      </c>
      <c r="AP34">
        <f t="shared" si="31"/>
        <v>7.6067860157924896</v>
      </c>
    </row>
    <row r="35" spans="1:42" x14ac:dyDescent="0.2">
      <c r="A35" s="2">
        <v>33</v>
      </c>
      <c r="B35" s="3">
        <v>3.7800000000000001E-8</v>
      </c>
      <c r="C35" s="2">
        <v>1.7210000000000001E-3</v>
      </c>
      <c r="D35" s="3">
        <v>66300</v>
      </c>
      <c r="E35" s="3">
        <v>143000000000</v>
      </c>
      <c r="F35" s="3">
        <v>126000000000</v>
      </c>
      <c r="G35" s="3">
        <v>1990000000</v>
      </c>
      <c r="H35" s="3">
        <v>9040000000</v>
      </c>
      <c r="I35" s="2"/>
      <c r="J35" s="7">
        <f t="shared" si="12"/>
        <v>3.78E-2</v>
      </c>
      <c r="K35" s="7">
        <f t="shared" si="13"/>
        <v>1.7210000000000001</v>
      </c>
      <c r="L35" s="7">
        <f t="shared" si="14"/>
        <v>143</v>
      </c>
      <c r="M35" s="7">
        <f t="shared" si="15"/>
        <v>66.3</v>
      </c>
      <c r="O35">
        <f t="shared" si="16"/>
        <v>1.8331674208144792E-2</v>
      </c>
      <c r="P35">
        <f t="shared" si="17"/>
        <v>18.331674208144793</v>
      </c>
      <c r="V35">
        <f t="shared" si="18"/>
        <v>231.88000006102959</v>
      </c>
      <c r="W35">
        <f t="shared" si="19"/>
        <v>142.96187679521776</v>
      </c>
      <c r="AE35">
        <f t="shared" si="23"/>
        <v>0.22483904364911303</v>
      </c>
      <c r="AF35">
        <f t="shared" si="24"/>
        <v>0.21790997631764308</v>
      </c>
      <c r="AG35">
        <f t="shared" si="25"/>
        <v>0.21847008407924742</v>
      </c>
      <c r="AI35">
        <f t="shared" si="26"/>
        <v>7.0050111156760075E-2</v>
      </c>
      <c r="AJ35">
        <f t="shared" si="27"/>
        <v>10.836471814936029</v>
      </c>
      <c r="AL35">
        <f t="shared" si="28"/>
        <v>7.2277553630869726E-2</v>
      </c>
      <c r="AM35">
        <f t="shared" si="29"/>
        <v>11.536581472975362</v>
      </c>
      <c r="AO35">
        <f t="shared" si="30"/>
        <v>7.2092250370933517E-2</v>
      </c>
      <c r="AP35">
        <f t="shared" si="31"/>
        <v>11.477502943768252</v>
      </c>
    </row>
    <row r="36" spans="1:42" x14ac:dyDescent="0.2">
      <c r="A36" s="2">
        <v>34</v>
      </c>
      <c r="B36" s="3">
        <v>3.84E-8</v>
      </c>
      <c r="C36" s="2">
        <v>1.7769999999999999E-3</v>
      </c>
      <c r="D36" s="3">
        <v>71000</v>
      </c>
      <c r="E36" s="3">
        <v>146000000000</v>
      </c>
      <c r="F36" s="3">
        <v>128000000000</v>
      </c>
      <c r="G36" s="2">
        <v>0</v>
      </c>
      <c r="H36" s="3">
        <v>8390000000</v>
      </c>
      <c r="I36" s="2"/>
      <c r="J36" s="7">
        <f t="shared" si="12"/>
        <v>3.8399999999999997E-2</v>
      </c>
      <c r="K36" s="7">
        <f t="shared" si="13"/>
        <v>1.7769999999999999</v>
      </c>
      <c r="L36" s="7">
        <f t="shared" si="14"/>
        <v>146</v>
      </c>
      <c r="M36" s="7">
        <f t="shared" si="15"/>
        <v>71</v>
      </c>
      <c r="O36">
        <f t="shared" si="16"/>
        <v>1.9628873239436614E-2</v>
      </c>
      <c r="P36">
        <f t="shared" si="17"/>
        <v>19.628873239436615</v>
      </c>
      <c r="V36">
        <f t="shared" si="18"/>
        <v>239.01105618915372</v>
      </c>
      <c r="W36">
        <f t="shared" si="19"/>
        <v>148.5286938856303</v>
      </c>
      <c r="AE36">
        <f t="shared" si="23"/>
        <v>0.24077785971473645</v>
      </c>
      <c r="AF36">
        <f t="shared" si="24"/>
        <v>0.23335759153171431</v>
      </c>
      <c r="AG36">
        <f t="shared" si="25"/>
        <v>0.23395740527340222</v>
      </c>
      <c r="AI36">
        <f t="shared" si="26"/>
        <v>6.6451292568827272E-2</v>
      </c>
      <c r="AJ36">
        <f t="shared" si="27"/>
        <v>9.7567420363631285</v>
      </c>
      <c r="AL36">
        <f t="shared" si="28"/>
        <v>6.8564300372570178E-2</v>
      </c>
      <c r="AM36">
        <f t="shared" si="29"/>
        <v>10.387093819426067</v>
      </c>
      <c r="AO36">
        <f t="shared" si="30"/>
        <v>6.8388517052078032E-2</v>
      </c>
      <c r="AP36">
        <f t="shared" si="31"/>
        <v>10.333901786151266</v>
      </c>
    </row>
    <row r="37" spans="1:42" x14ac:dyDescent="0.2">
      <c r="A37" s="2">
        <v>35</v>
      </c>
      <c r="B37" s="3">
        <v>3.9300000000000001E-8</v>
      </c>
      <c r="C37" s="2">
        <v>1.8270000000000001E-3</v>
      </c>
      <c r="D37" s="3">
        <v>64400</v>
      </c>
      <c r="E37" s="3">
        <v>140000000000</v>
      </c>
      <c r="F37" s="3">
        <v>124000000000</v>
      </c>
      <c r="G37" s="2">
        <v>0</v>
      </c>
      <c r="H37" s="3">
        <v>9750000000</v>
      </c>
      <c r="I37" s="2"/>
      <c r="J37" s="7">
        <f t="shared" si="12"/>
        <v>3.9300000000000002E-2</v>
      </c>
      <c r="K37" s="7">
        <f t="shared" si="13"/>
        <v>1.827</v>
      </c>
      <c r="L37" s="7">
        <f t="shared" si="14"/>
        <v>140</v>
      </c>
      <c r="M37" s="7">
        <f t="shared" si="15"/>
        <v>64.400000000000006</v>
      </c>
      <c r="O37">
        <f t="shared" si="16"/>
        <v>1.8022826086956524E-2</v>
      </c>
      <c r="P37">
        <f t="shared" si="17"/>
        <v>18.022826086956524</v>
      </c>
      <c r="V37">
        <f t="shared" si="18"/>
        <v>230.14107725560362</v>
      </c>
      <c r="W37">
        <f t="shared" si="19"/>
        <v>139.91417952840044</v>
      </c>
      <c r="AE37">
        <f t="shared" si="23"/>
        <v>0.21839569247364829</v>
      </c>
      <c r="AF37">
        <f t="shared" si="24"/>
        <v>0.21166519569918879</v>
      </c>
      <c r="AG37">
        <f t="shared" si="25"/>
        <v>0.21220925210714231</v>
      </c>
      <c r="AI37">
        <f t="shared" si="26"/>
        <v>7.4978585037687118E-2</v>
      </c>
      <c r="AJ37">
        <f t="shared" si="27"/>
        <v>12.192728543634146</v>
      </c>
      <c r="AL37">
        <f t="shared" si="28"/>
        <v>7.7362742353124417E-2</v>
      </c>
      <c r="AM37">
        <f t="shared" si="29"/>
        <v>12.980461595224291</v>
      </c>
      <c r="AO37">
        <f t="shared" si="30"/>
        <v>7.7164401822275075E-2</v>
      </c>
      <c r="AP37">
        <f t="shared" si="31"/>
        <v>12.913988994023354</v>
      </c>
    </row>
    <row r="38" spans="1:42" x14ac:dyDescent="0.2">
      <c r="A38" s="2">
        <v>36</v>
      </c>
      <c r="B38" s="3">
        <v>4.0000000000000001E-8</v>
      </c>
      <c r="C38" s="2">
        <v>1.877E-3</v>
      </c>
      <c r="D38" s="3">
        <v>77300</v>
      </c>
      <c r="E38" s="3">
        <v>148000000000</v>
      </c>
      <c r="F38" s="3">
        <v>130000000000</v>
      </c>
      <c r="G38" s="3">
        <v>2480000000</v>
      </c>
      <c r="H38" s="3">
        <v>7720000000</v>
      </c>
      <c r="I38" s="2"/>
      <c r="J38" s="7">
        <f t="shared" si="12"/>
        <v>0.04</v>
      </c>
      <c r="K38" s="7">
        <f t="shared" si="13"/>
        <v>1.877</v>
      </c>
      <c r="L38" s="7">
        <f t="shared" si="14"/>
        <v>148</v>
      </c>
      <c r="M38" s="7">
        <f t="shared" si="15"/>
        <v>77.3</v>
      </c>
      <c r="O38">
        <f t="shared" si="16"/>
        <v>2.1788486416558863E-2</v>
      </c>
      <c r="P38">
        <f t="shared" si="17"/>
        <v>21.788486416558865</v>
      </c>
      <c r="V38">
        <f t="shared" si="18"/>
        <v>250.32304732796081</v>
      </c>
      <c r="W38">
        <f t="shared" si="19"/>
        <v>154.40048534309625</v>
      </c>
      <c r="AE38">
        <f t="shared" si="23"/>
        <v>0.26214265571759332</v>
      </c>
      <c r="AF38">
        <f t="shared" si="24"/>
        <v>0.25406396937185233</v>
      </c>
      <c r="AG38">
        <f t="shared" si="25"/>
        <v>0.25471700602301395</v>
      </c>
      <c r="AI38">
        <f t="shared" si="26"/>
        <v>6.3578613793482328E-2</v>
      </c>
      <c r="AJ38">
        <f t="shared" si="27"/>
        <v>8.6943952009269054</v>
      </c>
      <c r="AL38">
        <f t="shared" si="28"/>
        <v>6.5600276607003072E-2</v>
      </c>
      <c r="AM38">
        <f t="shared" si="29"/>
        <v>9.2561121651688971</v>
      </c>
      <c r="AO38">
        <f t="shared" si="30"/>
        <v>6.5432092371409303E-2</v>
      </c>
      <c r="AP38">
        <f t="shared" si="31"/>
        <v>9.2087118590925083</v>
      </c>
    </row>
    <row r="39" spans="1:42" x14ac:dyDescent="0.2">
      <c r="A39" s="2">
        <v>37</v>
      </c>
      <c r="B39" s="3">
        <v>4.06E-8</v>
      </c>
      <c r="C39" s="2">
        <v>1.9300000000000001E-3</v>
      </c>
      <c r="D39" s="3">
        <v>75600</v>
      </c>
      <c r="E39" s="3">
        <v>144000000000</v>
      </c>
      <c r="F39" s="3">
        <v>127000000000</v>
      </c>
      <c r="G39" s="2">
        <v>0</v>
      </c>
      <c r="H39" s="3">
        <v>7910000000</v>
      </c>
      <c r="I39" s="2"/>
      <c r="J39" s="7">
        <f t="shared" si="12"/>
        <v>4.0599999999999997E-2</v>
      </c>
      <c r="K39" s="7">
        <f t="shared" si="13"/>
        <v>1.9300000000000002</v>
      </c>
      <c r="L39" s="7">
        <f t="shared" si="14"/>
        <v>144</v>
      </c>
      <c r="M39" s="7">
        <f t="shared" si="15"/>
        <v>75.600000000000009</v>
      </c>
      <c r="O39">
        <f t="shared" si="16"/>
        <v>2.1453174603174599E-2</v>
      </c>
      <c r="P39">
        <f t="shared" si="17"/>
        <v>21.453174603174599</v>
      </c>
      <c r="V39">
        <f t="shared" si="18"/>
        <v>248.60901806685763</v>
      </c>
      <c r="W39">
        <f t="shared" si="19"/>
        <v>152.04597280471367</v>
      </c>
      <c r="AE39">
        <f t="shared" si="23"/>
        <v>0.25637755203428281</v>
      </c>
      <c r="AF39">
        <f t="shared" si="24"/>
        <v>0.2484765340816564</v>
      </c>
      <c r="AG39">
        <f t="shared" si="25"/>
        <v>0.24911520899534098</v>
      </c>
      <c r="AI39">
        <f t="shared" si="26"/>
        <v>6.5983415991133915E-2</v>
      </c>
      <c r="AJ39">
        <f t="shared" si="27"/>
        <v>9.3464741731774872</v>
      </c>
      <c r="AL39">
        <f t="shared" si="28"/>
        <v>6.8081546328666087E-2</v>
      </c>
      <c r="AM39">
        <f t="shared" si="29"/>
        <v>9.950319866591995</v>
      </c>
      <c r="AO39">
        <f t="shared" si="30"/>
        <v>6.7907000680087121E-2</v>
      </c>
      <c r="AP39">
        <f t="shared" si="31"/>
        <v>9.8993645412007094</v>
      </c>
    </row>
    <row r="40" spans="1:42" x14ac:dyDescent="0.2">
      <c r="A40" s="2">
        <v>38</v>
      </c>
      <c r="B40" s="3">
        <v>4.1500000000000001E-8</v>
      </c>
      <c r="C40" s="2">
        <v>1.983E-3</v>
      </c>
      <c r="D40" s="3">
        <v>76200</v>
      </c>
      <c r="E40" s="3">
        <v>146000000000</v>
      </c>
      <c r="F40" s="3">
        <v>129000000000</v>
      </c>
      <c r="G40" s="3">
        <v>8500000000</v>
      </c>
      <c r="H40" s="3">
        <v>8170000000</v>
      </c>
      <c r="I40" s="2"/>
      <c r="J40" s="7">
        <f t="shared" si="12"/>
        <v>4.1500000000000002E-2</v>
      </c>
      <c r="K40" s="7">
        <f t="shared" si="13"/>
        <v>1.9829999999999999</v>
      </c>
      <c r="L40" s="7">
        <f t="shared" si="14"/>
        <v>146</v>
      </c>
      <c r="M40" s="7">
        <f t="shared" si="15"/>
        <v>76.2</v>
      </c>
      <c r="O40">
        <f t="shared" si="16"/>
        <v>2.1982283464566935E-2</v>
      </c>
      <c r="P40">
        <f t="shared" si="17"/>
        <v>21.982283464566937</v>
      </c>
      <c r="V40">
        <f t="shared" si="18"/>
        <v>251.30699527537081</v>
      </c>
      <c r="W40">
        <f t="shared" si="19"/>
        <v>151.60739938119011</v>
      </c>
      <c r="AE40">
        <f t="shared" si="23"/>
        <v>0.25841229451074532</v>
      </c>
      <c r="AF40">
        <f t="shared" si="24"/>
        <v>0.25044857006643145</v>
      </c>
      <c r="AG40">
        <f t="shared" si="25"/>
        <v>0.25109231382863734</v>
      </c>
      <c r="AI40">
        <f t="shared" si="26"/>
        <v>6.691503087887192E-2</v>
      </c>
      <c r="AJ40">
        <f t="shared" si="27"/>
        <v>9.4525038682354232</v>
      </c>
      <c r="AL40">
        <f t="shared" si="28"/>
        <v>6.9042784560838399E-2</v>
      </c>
      <c r="AM40">
        <f t="shared" si="29"/>
        <v>10.063199799883989</v>
      </c>
      <c r="AO40">
        <f t="shared" si="30"/>
        <v>6.8865774515374817E-2</v>
      </c>
      <c r="AP40">
        <f t="shared" si="31"/>
        <v>10.01166641933386</v>
      </c>
    </row>
    <row r="41" spans="1:42" x14ac:dyDescent="0.2">
      <c r="A41" s="2">
        <v>39</v>
      </c>
      <c r="B41" s="3">
        <v>4.2300000000000002E-8</v>
      </c>
      <c r="C41" s="2">
        <v>2.0339999999999998E-3</v>
      </c>
      <c r="D41" s="3">
        <v>80500</v>
      </c>
      <c r="E41" s="3">
        <v>155000000000</v>
      </c>
      <c r="F41" s="3">
        <v>135000000000</v>
      </c>
      <c r="G41" s="2">
        <v>0</v>
      </c>
      <c r="H41" s="3">
        <v>8340000000</v>
      </c>
      <c r="I41" s="2"/>
      <c r="J41" s="7">
        <f t="shared" si="12"/>
        <v>4.2300000000000004E-2</v>
      </c>
      <c r="K41" s="7">
        <f t="shared" si="13"/>
        <v>2.0339999999999998</v>
      </c>
      <c r="L41" s="7">
        <f t="shared" si="14"/>
        <v>155</v>
      </c>
      <c r="M41" s="7">
        <f t="shared" si="15"/>
        <v>80.5</v>
      </c>
      <c r="O41">
        <f t="shared" si="16"/>
        <v>2.3349689440993797E-2</v>
      </c>
      <c r="P41">
        <f t="shared" si="17"/>
        <v>23.349689440993796</v>
      </c>
      <c r="V41">
        <f t="shared" si="18"/>
        <v>258.1162701450595</v>
      </c>
      <c r="W41">
        <f t="shared" si="19"/>
        <v>155.93747723605253</v>
      </c>
      <c r="AE41">
        <f t="shared" si="23"/>
        <v>0.27299461559206034</v>
      </c>
      <c r="AF41">
        <f t="shared" si="24"/>
        <v>0.26458149462398595</v>
      </c>
      <c r="AG41">
        <f t="shared" si="25"/>
        <v>0.26526156513392785</v>
      </c>
      <c r="AI41">
        <f t="shared" si="26"/>
        <v>6.4561712917947378E-2</v>
      </c>
      <c r="AJ41">
        <f t="shared" si="27"/>
        <v>8.6874692440947943</v>
      </c>
      <c r="AL41">
        <f t="shared" si="28"/>
        <v>6.6614636163606383E-2</v>
      </c>
      <c r="AM41">
        <f t="shared" si="29"/>
        <v>9.2487387444987288</v>
      </c>
      <c r="AO41">
        <f t="shared" si="30"/>
        <v>6.6443851340096408E-2</v>
      </c>
      <c r="AP41">
        <f t="shared" si="31"/>
        <v>9.2013761975149677</v>
      </c>
    </row>
    <row r="42" spans="1:42" x14ac:dyDescent="0.2">
      <c r="A42" s="2">
        <v>40</v>
      </c>
      <c r="B42" s="3">
        <v>4.3100000000000002E-8</v>
      </c>
      <c r="C42" s="2">
        <v>2.088E-3</v>
      </c>
      <c r="D42" s="3">
        <v>70300</v>
      </c>
      <c r="E42" s="3">
        <v>133000000000</v>
      </c>
      <c r="F42" s="3">
        <v>119000000000</v>
      </c>
      <c r="G42" s="2">
        <v>0</v>
      </c>
      <c r="H42" s="3">
        <v>8610000000</v>
      </c>
      <c r="I42" s="2"/>
      <c r="J42" s="7">
        <f t="shared" si="12"/>
        <v>4.3099999999999999E-2</v>
      </c>
      <c r="K42" s="7">
        <f t="shared" si="13"/>
        <v>2.0880000000000001</v>
      </c>
      <c r="L42" s="7">
        <f t="shared" si="14"/>
        <v>133</v>
      </c>
      <c r="M42" s="7">
        <f t="shared" si="15"/>
        <v>70.3</v>
      </c>
      <c r="O42">
        <f t="shared" si="16"/>
        <v>2.0824039829302986E-2</v>
      </c>
      <c r="P42">
        <f t="shared" si="17"/>
        <v>20.824039829302986</v>
      </c>
      <c r="V42">
        <f t="shared" si="18"/>
        <v>245.35230592868135</v>
      </c>
      <c r="W42">
        <f t="shared" si="19"/>
        <v>143.26337739909951</v>
      </c>
      <c r="AE42">
        <f t="shared" si="23"/>
        <v>0.23840399349219679</v>
      </c>
      <c r="AF42">
        <f t="shared" si="24"/>
        <v>0.23105688288281009</v>
      </c>
      <c r="AG42">
        <f t="shared" si="25"/>
        <v>0.2316507829678898</v>
      </c>
      <c r="AI42">
        <f t="shared" si="26"/>
        <v>7.5327317593449322E-2</v>
      </c>
      <c r="AJ42">
        <f t="shared" si="27"/>
        <v>11.693753545617115</v>
      </c>
      <c r="AL42">
        <f t="shared" si="28"/>
        <v>7.7722563852130014E-2</v>
      </c>
      <c r="AM42">
        <f t="shared" si="29"/>
        <v>12.449249424334223</v>
      </c>
      <c r="AO42">
        <f t="shared" si="30"/>
        <v>7.7523300820539959E-2</v>
      </c>
      <c r="AP42">
        <f t="shared" si="31"/>
        <v>12.385497146638702</v>
      </c>
    </row>
    <row r="43" spans="1:42" x14ac:dyDescent="0.2">
      <c r="A43" s="2">
        <v>41</v>
      </c>
      <c r="B43" s="3">
        <v>4.3499999999999999E-8</v>
      </c>
      <c r="C43" s="2">
        <v>2.14E-3</v>
      </c>
      <c r="D43" s="3">
        <v>80700</v>
      </c>
      <c r="E43" s="3">
        <v>155000000000</v>
      </c>
      <c r="F43" s="3">
        <v>135000000000</v>
      </c>
      <c r="G43" s="3">
        <v>1970000000</v>
      </c>
      <c r="H43" s="3">
        <v>8720000000</v>
      </c>
      <c r="I43" s="2"/>
      <c r="J43" s="7">
        <f t="shared" si="12"/>
        <v>4.3499999999999997E-2</v>
      </c>
      <c r="K43" s="7">
        <f t="shared" si="13"/>
        <v>2.14</v>
      </c>
      <c r="L43" s="7">
        <f t="shared" si="14"/>
        <v>155</v>
      </c>
      <c r="M43" s="7">
        <f t="shared" si="15"/>
        <v>80.7</v>
      </c>
      <c r="O43">
        <f t="shared" si="16"/>
        <v>2.3611524163568771E-2</v>
      </c>
      <c r="P43">
        <f t="shared" si="17"/>
        <v>23.61152416356877</v>
      </c>
      <c r="V43">
        <f t="shared" si="18"/>
        <v>259.39457468762777</v>
      </c>
      <c r="W43">
        <f t="shared" si="19"/>
        <v>155.55452556627645</v>
      </c>
      <c r="AE43">
        <f t="shared" si="23"/>
        <v>0.27367286308421451</v>
      </c>
      <c r="AF43">
        <f t="shared" si="24"/>
        <v>0.26523883995224434</v>
      </c>
      <c r="AG43">
        <f t="shared" si="25"/>
        <v>0.26592060007835999</v>
      </c>
      <c r="AI43">
        <f t="shared" si="26"/>
        <v>6.6228707500394668E-2</v>
      </c>
      <c r="AJ43">
        <f t="shared" si="27"/>
        <v>9.0949600582228456</v>
      </c>
      <c r="AL43">
        <f t="shared" si="28"/>
        <v>6.833463757895851E-2</v>
      </c>
      <c r="AM43">
        <f t="shared" si="29"/>
        <v>9.6825562320501408</v>
      </c>
      <c r="AO43">
        <f t="shared" si="30"/>
        <v>6.8159443061797498E-2</v>
      </c>
      <c r="AP43">
        <f t="shared" si="31"/>
        <v>9.6329721171635416</v>
      </c>
    </row>
    <row r="44" spans="1:42" x14ac:dyDescent="0.2">
      <c r="A44" s="2">
        <v>42</v>
      </c>
      <c r="B44" s="3">
        <v>4.3999999999999997E-8</v>
      </c>
      <c r="C44" s="2">
        <v>2.1909999999999998E-3</v>
      </c>
      <c r="D44" s="3">
        <v>77800</v>
      </c>
      <c r="E44" s="3">
        <v>150000000000</v>
      </c>
      <c r="F44" s="3">
        <v>132000000000</v>
      </c>
      <c r="G44" s="3">
        <v>12200000000</v>
      </c>
      <c r="H44" s="3">
        <v>9100000000</v>
      </c>
      <c r="I44" s="2"/>
      <c r="J44" s="7">
        <f t="shared" si="12"/>
        <v>4.3999999999999997E-2</v>
      </c>
      <c r="K44" s="7">
        <f t="shared" si="13"/>
        <v>2.1909999999999998</v>
      </c>
      <c r="L44" s="7">
        <f t="shared" si="14"/>
        <v>150</v>
      </c>
      <c r="M44" s="7">
        <f t="shared" si="15"/>
        <v>77.8</v>
      </c>
      <c r="O44">
        <f t="shared" si="16"/>
        <v>2.2878534704370179E-2</v>
      </c>
      <c r="P44">
        <f t="shared" si="17"/>
        <v>22.878534704370178</v>
      </c>
      <c r="V44">
        <f t="shared" si="18"/>
        <v>255.795775514383</v>
      </c>
      <c r="W44">
        <f t="shared" si="19"/>
        <v>152.07444267512039</v>
      </c>
      <c r="AE44">
        <f t="shared" si="23"/>
        <v>0.2638382744479788</v>
      </c>
      <c r="AF44">
        <f t="shared" si="24"/>
        <v>0.25570733269249823</v>
      </c>
      <c r="AG44">
        <f t="shared" si="25"/>
        <v>0.25636459338409423</v>
      </c>
      <c r="AI44">
        <f t="shared" si="26"/>
        <v>6.9487011964778939E-2</v>
      </c>
      <c r="AJ44">
        <f t="shared" si="27"/>
        <v>10.018836188953296</v>
      </c>
      <c r="AL44">
        <f t="shared" si="28"/>
        <v>7.1696549098887771E-2</v>
      </c>
      <c r="AM44">
        <f t="shared" si="29"/>
        <v>10.666121033872315</v>
      </c>
      <c r="AO44">
        <f t="shared" si="30"/>
        <v>7.1512735402839755E-2</v>
      </c>
      <c r="AP44">
        <f t="shared" si="31"/>
        <v>10.611500109597454</v>
      </c>
    </row>
    <row r="45" spans="1:42" x14ac:dyDescent="0.2">
      <c r="A45" s="2">
        <v>43</v>
      </c>
      <c r="B45" s="3">
        <v>4.4899999999999998E-8</v>
      </c>
      <c r="C45" s="2">
        <v>2.245E-3</v>
      </c>
      <c r="D45" s="3">
        <v>85500</v>
      </c>
      <c r="E45" s="3">
        <v>160000000000</v>
      </c>
      <c r="F45" s="3">
        <v>140000000000</v>
      </c>
      <c r="G45" s="3">
        <v>3020000000</v>
      </c>
      <c r="H45" s="3">
        <v>8650000000</v>
      </c>
      <c r="I45" s="2"/>
      <c r="J45" s="7">
        <f t="shared" si="12"/>
        <v>4.4899999999999995E-2</v>
      </c>
      <c r="K45" s="7">
        <f t="shared" si="13"/>
        <v>2.2450000000000001</v>
      </c>
      <c r="L45" s="7">
        <f t="shared" si="14"/>
        <v>160</v>
      </c>
      <c r="M45" s="7">
        <f t="shared" si="15"/>
        <v>85.5</v>
      </c>
      <c r="O45">
        <f t="shared" si="16"/>
        <v>2.5207017543859643E-2</v>
      </c>
      <c r="P45">
        <f t="shared" si="17"/>
        <v>25.207017543859642</v>
      </c>
      <c r="V45">
        <f t="shared" si="18"/>
        <v>267.01860512064013</v>
      </c>
      <c r="W45">
        <f t="shared" si="19"/>
        <v>160.10120336253487</v>
      </c>
      <c r="AE45">
        <f t="shared" si="23"/>
        <v>0.28995080289591502</v>
      </c>
      <c r="AF45">
        <f t="shared" si="24"/>
        <v>0.28101512783044474</v>
      </c>
      <c r="AG45">
        <f t="shared" si="25"/>
        <v>0.28173743874473084</v>
      </c>
      <c r="AI45">
        <f t="shared" si="26"/>
        <v>6.4522440174270349E-2</v>
      </c>
      <c r="AJ45">
        <f t="shared" si="27"/>
        <v>8.4999859552214581</v>
      </c>
      <c r="AL45">
        <f t="shared" si="28"/>
        <v>6.6574114631370751E-2</v>
      </c>
      <c r="AM45">
        <f t="shared" si="29"/>
        <v>9.0491427621673317</v>
      </c>
      <c r="AO45">
        <f t="shared" si="30"/>
        <v>6.6403433695881933E-2</v>
      </c>
      <c r="AP45">
        <f t="shared" si="31"/>
        <v>9.002802340940617</v>
      </c>
    </row>
    <row r="46" spans="1:42" x14ac:dyDescent="0.2">
      <c r="A46" s="2">
        <v>44</v>
      </c>
      <c r="B46" s="3">
        <v>4.6000000000000002E-8</v>
      </c>
      <c r="C46" s="2">
        <v>2.2950000000000002E-3</v>
      </c>
      <c r="D46" s="3">
        <v>88700</v>
      </c>
      <c r="E46" s="3">
        <v>163000000000</v>
      </c>
      <c r="F46" s="3">
        <v>141000000000</v>
      </c>
      <c r="G46" s="3">
        <v>3280000000</v>
      </c>
      <c r="H46" s="3">
        <v>8430000000</v>
      </c>
      <c r="I46" s="2"/>
      <c r="J46" s="7">
        <f t="shared" si="12"/>
        <v>4.5999999999999999E-2</v>
      </c>
      <c r="K46" s="7">
        <f t="shared" si="13"/>
        <v>2.2950000000000004</v>
      </c>
      <c r="L46" s="7">
        <f t="shared" si="14"/>
        <v>163</v>
      </c>
      <c r="M46" s="7">
        <f t="shared" si="15"/>
        <v>88.7</v>
      </c>
      <c r="O46">
        <f t="shared" si="16"/>
        <v>2.6594701240135285E-2</v>
      </c>
      <c r="P46">
        <f t="shared" si="17"/>
        <v>26.594701240135286</v>
      </c>
      <c r="V46">
        <f t="shared" si="18"/>
        <v>273.43381148647597</v>
      </c>
      <c r="W46">
        <f t="shared" si="19"/>
        <v>162.19647365078532</v>
      </c>
      <c r="AE46">
        <f t="shared" si="23"/>
        <v>0.30080276277038204</v>
      </c>
      <c r="AF46">
        <f t="shared" si="24"/>
        <v>0.29153265308257831</v>
      </c>
      <c r="AG46">
        <f t="shared" si="25"/>
        <v>0.29228199785564474</v>
      </c>
      <c r="AI46">
        <f t="shared" si="26"/>
        <v>6.3718386394268439E-2</v>
      </c>
      <c r="AJ46">
        <f t="shared" si="27"/>
        <v>8.0736430104106365</v>
      </c>
      <c r="AL46">
        <f t="shared" si="28"/>
        <v>6.5744493675079341E-2</v>
      </c>
      <c r="AM46">
        <f t="shared" si="29"/>
        <v>8.5952551682865472</v>
      </c>
      <c r="AO46">
        <f t="shared" si="30"/>
        <v>6.5575939699621527E-2</v>
      </c>
      <c r="AP46">
        <f t="shared" si="31"/>
        <v>8.5512390934474212</v>
      </c>
    </row>
    <row r="47" spans="1:42" x14ac:dyDescent="0.2">
      <c r="A47" s="2">
        <v>45</v>
      </c>
      <c r="B47" s="3">
        <v>4.6900000000000003E-8</v>
      </c>
      <c r="C47" s="2">
        <v>2.3449999999999999E-3</v>
      </c>
      <c r="D47" s="3">
        <v>67800</v>
      </c>
      <c r="E47" s="3">
        <v>128000000000</v>
      </c>
      <c r="F47" s="3">
        <v>114000000000</v>
      </c>
      <c r="G47" s="3">
        <v>4440000000</v>
      </c>
      <c r="H47" s="3">
        <v>9640000000</v>
      </c>
      <c r="I47" s="2"/>
      <c r="J47" s="7">
        <f t="shared" si="12"/>
        <v>4.6900000000000004E-2</v>
      </c>
      <c r="K47" s="7">
        <f t="shared" si="13"/>
        <v>2.3449999999999998</v>
      </c>
      <c r="L47" s="7">
        <f t="shared" si="14"/>
        <v>128</v>
      </c>
      <c r="M47" s="7">
        <f t="shared" si="15"/>
        <v>67.8</v>
      </c>
      <c r="O47">
        <f t="shared" si="16"/>
        <v>2.095973451327434E-2</v>
      </c>
      <c r="P47">
        <f t="shared" si="17"/>
        <v>20.959734513274341</v>
      </c>
      <c r="V47">
        <f t="shared" si="18"/>
        <v>246.05931526541835</v>
      </c>
      <c r="W47">
        <f t="shared" si="19"/>
        <v>137.77165868901517</v>
      </c>
      <c r="AE47">
        <f t="shared" si="23"/>
        <v>0.22992589984026945</v>
      </c>
      <c r="AF47">
        <f t="shared" si="24"/>
        <v>0.22284006627958072</v>
      </c>
      <c r="AG47">
        <f t="shared" si="25"/>
        <v>0.2234128461624883</v>
      </c>
      <c r="AI47">
        <f t="shared" si="26"/>
        <v>8.499115010637058E-2</v>
      </c>
      <c r="AJ47">
        <f t="shared" si="27"/>
        <v>14.1194425788145</v>
      </c>
      <c r="AL47">
        <f t="shared" si="28"/>
        <v>8.7693685399236984E-2</v>
      </c>
      <c r="AM47">
        <f t="shared" si="29"/>
        <v>15.031654439314613</v>
      </c>
      <c r="AO47">
        <f t="shared" si="30"/>
        <v>8.7468858672764077E-2</v>
      </c>
      <c r="AP47">
        <f t="shared" si="31"/>
        <v>14.954677733701736</v>
      </c>
    </row>
    <row r="48" spans="1:42" x14ac:dyDescent="0.2">
      <c r="A48" s="2">
        <v>46</v>
      </c>
      <c r="B48" s="3">
        <v>4.7500000000000002E-8</v>
      </c>
      <c r="C48" s="2">
        <v>2.4030000000000002E-3</v>
      </c>
      <c r="D48" s="3">
        <v>104000</v>
      </c>
      <c r="E48" s="3">
        <v>182000000000</v>
      </c>
      <c r="F48" s="3">
        <v>156000000000</v>
      </c>
      <c r="G48" s="3">
        <v>5060000000</v>
      </c>
      <c r="H48" s="3">
        <v>7780000000</v>
      </c>
      <c r="I48" s="2"/>
      <c r="J48" s="7">
        <f t="shared" si="12"/>
        <v>4.7500000000000001E-2</v>
      </c>
      <c r="K48" s="7">
        <f t="shared" si="13"/>
        <v>2.403</v>
      </c>
      <c r="L48" s="7">
        <f t="shared" si="14"/>
        <v>182</v>
      </c>
      <c r="M48" s="7">
        <f t="shared" si="15"/>
        <v>104</v>
      </c>
      <c r="O48">
        <f t="shared" si="16"/>
        <v>3.0170673076923078E-2</v>
      </c>
      <c r="P48">
        <f t="shared" si="17"/>
        <v>30.170673076923077</v>
      </c>
      <c r="V48">
        <f t="shared" si="18"/>
        <v>289.15135397886138</v>
      </c>
      <c r="W48">
        <f t="shared" si="19"/>
        <v>179.83661250225893</v>
      </c>
      <c r="AE48">
        <f t="shared" si="23"/>
        <v>0.35268869592017732</v>
      </c>
      <c r="AF48">
        <f t="shared" si="24"/>
        <v>0.3418195706943421</v>
      </c>
      <c r="AG48">
        <f t="shared" si="25"/>
        <v>0.34269817110470185</v>
      </c>
      <c r="AI48">
        <f t="shared" si="26"/>
        <v>5.6116532499091043E-2</v>
      </c>
      <c r="AJ48">
        <f t="shared" si="27"/>
        <v>6.1492363312689395</v>
      </c>
      <c r="AL48">
        <f t="shared" si="28"/>
        <v>5.7900917219173918E-2</v>
      </c>
      <c r="AM48">
        <f t="shared" si="29"/>
        <v>6.5465187511017415</v>
      </c>
      <c r="AO48">
        <f t="shared" si="30"/>
        <v>5.7752472395365885E-2</v>
      </c>
      <c r="AP48">
        <f t="shared" si="31"/>
        <v>6.5129942013772117</v>
      </c>
    </row>
    <row r="49" spans="1:42" x14ac:dyDescent="0.2">
      <c r="A49" s="2">
        <v>47</v>
      </c>
      <c r="B49" s="3">
        <v>4.8E-8</v>
      </c>
      <c r="C49" s="2">
        <v>2.454E-3</v>
      </c>
      <c r="D49" s="3">
        <v>77000</v>
      </c>
      <c r="E49" s="3">
        <v>145000000000</v>
      </c>
      <c r="F49" s="3">
        <v>128000000000</v>
      </c>
      <c r="G49" s="2">
        <v>0</v>
      </c>
      <c r="H49" s="3">
        <v>9820000000</v>
      </c>
      <c r="I49" s="2"/>
      <c r="J49" s="7">
        <f t="shared" si="12"/>
        <v>4.8000000000000001E-2</v>
      </c>
      <c r="K49" s="7">
        <f t="shared" si="13"/>
        <v>2.4540000000000002</v>
      </c>
      <c r="L49" s="7">
        <f t="shared" si="14"/>
        <v>145</v>
      </c>
      <c r="M49" s="7">
        <f t="shared" si="15"/>
        <v>77</v>
      </c>
      <c r="O49">
        <f t="shared" si="16"/>
        <v>2.4097402597402597E-2</v>
      </c>
      <c r="P49">
        <f t="shared" si="17"/>
        <v>24.097402597402596</v>
      </c>
      <c r="V49">
        <f t="shared" si="18"/>
        <v>261.74592970707943</v>
      </c>
      <c r="W49">
        <f t="shared" si="19"/>
        <v>147.08920227751182</v>
      </c>
      <c r="AE49">
        <f t="shared" si="23"/>
        <v>0.26112528447936206</v>
      </c>
      <c r="AF49">
        <f t="shared" si="24"/>
        <v>0.25307795137946482</v>
      </c>
      <c r="AG49">
        <f t="shared" si="25"/>
        <v>0.25372845360636581</v>
      </c>
      <c r="AI49">
        <f t="shared" si="26"/>
        <v>7.6591587214070389E-2</v>
      </c>
      <c r="AJ49">
        <f t="shared" si="27"/>
        <v>11.455846882673846</v>
      </c>
      <c r="AL49">
        <f t="shared" si="28"/>
        <v>7.9027034520332523E-2</v>
      </c>
      <c r="AM49">
        <f t="shared" si="29"/>
        <v>12.195972375597222</v>
      </c>
      <c r="AO49">
        <f t="shared" si="30"/>
        <v>7.8824427121713322E-2</v>
      </c>
      <c r="AP49">
        <f t="shared" si="31"/>
        <v>12.133517122982857</v>
      </c>
    </row>
    <row r="50" spans="1:42" x14ac:dyDescent="0.2">
      <c r="A50" s="2">
        <v>48</v>
      </c>
      <c r="B50" s="3">
        <v>4.8699999999999999E-8</v>
      </c>
      <c r="C50" s="2">
        <v>2.5049999999999998E-3</v>
      </c>
      <c r="D50" s="3">
        <v>93800</v>
      </c>
      <c r="E50" s="3">
        <v>167000000000</v>
      </c>
      <c r="F50" s="3">
        <v>144000000000</v>
      </c>
      <c r="G50" s="2">
        <v>0</v>
      </c>
      <c r="H50" s="3">
        <v>8600000000</v>
      </c>
      <c r="I50" s="2"/>
      <c r="J50" s="7">
        <f t="shared" si="12"/>
        <v>4.87E-2</v>
      </c>
      <c r="K50" s="7">
        <f t="shared" si="13"/>
        <v>2.5049999999999999</v>
      </c>
      <c r="L50" s="7">
        <f t="shared" si="14"/>
        <v>167</v>
      </c>
      <c r="M50" s="7">
        <f t="shared" si="15"/>
        <v>93.8</v>
      </c>
      <c r="O50">
        <f t="shared" si="16"/>
        <v>2.8670682302771856E-2</v>
      </c>
      <c r="P50">
        <f t="shared" si="17"/>
        <v>28.670682302771855</v>
      </c>
      <c r="V50">
        <f t="shared" si="18"/>
        <v>282.69210476936576</v>
      </c>
      <c r="W50">
        <f t="shared" si="19"/>
        <v>165.90488099504353</v>
      </c>
      <c r="AE50">
        <f t="shared" si="23"/>
        <v>0.3180980738203138</v>
      </c>
      <c r="AF50">
        <f t="shared" si="24"/>
        <v>0.30829495895316622</v>
      </c>
      <c r="AG50">
        <f t="shared" si="25"/>
        <v>0.30908738893866378</v>
      </c>
      <c r="AI50">
        <f t="shared" si="26"/>
        <v>6.3790598990325728E-2</v>
      </c>
      <c r="AJ50">
        <f t="shared" si="27"/>
        <v>7.8801801428141376</v>
      </c>
      <c r="AL50">
        <f t="shared" si="28"/>
        <v>6.5819002475967239E-2</v>
      </c>
      <c r="AM50">
        <f t="shared" si="29"/>
        <v>8.3892932858456035</v>
      </c>
      <c r="AO50">
        <f t="shared" si="30"/>
        <v>6.565025747683742E-2</v>
      </c>
      <c r="AP50">
        <f t="shared" si="31"/>
        <v>8.346331936369948</v>
      </c>
    </row>
    <row r="51" spans="1:42" x14ac:dyDescent="0.2">
      <c r="A51" s="2">
        <v>49</v>
      </c>
      <c r="B51" s="3">
        <v>4.9199999999999997E-8</v>
      </c>
      <c r="C51" s="2">
        <v>2.5560000000000001E-3</v>
      </c>
      <c r="D51" s="3">
        <v>79700</v>
      </c>
      <c r="E51" s="3">
        <v>148000000000</v>
      </c>
      <c r="F51" s="3">
        <v>130000000000</v>
      </c>
      <c r="G51" s="3">
        <v>12000000000</v>
      </c>
      <c r="H51" s="3">
        <v>9890000000</v>
      </c>
      <c r="I51" s="2"/>
      <c r="J51" s="7">
        <f t="shared" si="12"/>
        <v>4.9199999999999994E-2</v>
      </c>
      <c r="K51" s="7">
        <f t="shared" si="13"/>
        <v>2.556</v>
      </c>
      <c r="L51" s="7">
        <f t="shared" si="14"/>
        <v>148</v>
      </c>
      <c r="M51" s="7">
        <f t="shared" si="15"/>
        <v>79.7</v>
      </c>
      <c r="O51">
        <f t="shared" si="16"/>
        <v>2.5147302383939769E-2</v>
      </c>
      <c r="P51">
        <f t="shared" si="17"/>
        <v>25.14730238393977</v>
      </c>
      <c r="V51">
        <f t="shared" si="18"/>
        <v>266.73818138452435</v>
      </c>
      <c r="W51">
        <f t="shared" si="19"/>
        <v>149.39743456731844</v>
      </c>
      <c r="AE51">
        <f t="shared" si="23"/>
        <v>0.2702816256234436</v>
      </c>
      <c r="AF51">
        <f t="shared" si="24"/>
        <v>0.26195211331095258</v>
      </c>
      <c r="AG51">
        <f t="shared" si="25"/>
        <v>0.26262542535619943</v>
      </c>
      <c r="AI51">
        <f t="shared" si="26"/>
        <v>7.584681331079679E-2</v>
      </c>
      <c r="AJ51">
        <f t="shared" si="27"/>
        <v>11.137258474629613</v>
      </c>
      <c r="AL51">
        <f t="shared" si="28"/>
        <v>7.8258578413014326E-2</v>
      </c>
      <c r="AM51">
        <f t="shared" si="29"/>
        <v>11.856800993202999</v>
      </c>
      <c r="AO51">
        <f t="shared" si="30"/>
        <v>7.8057941161621361E-2</v>
      </c>
      <c r="AP51">
        <f t="shared" si="31"/>
        <v>11.796082628285221</v>
      </c>
    </row>
    <row r="52" spans="1:42" x14ac:dyDescent="0.2">
      <c r="A52" s="2">
        <v>50</v>
      </c>
      <c r="B52" s="3">
        <v>5.0099999999999999E-8</v>
      </c>
      <c r="C52" s="2">
        <v>2.6069999999999999E-3</v>
      </c>
      <c r="D52" s="3">
        <v>73100</v>
      </c>
      <c r="E52" s="3">
        <v>139000000000</v>
      </c>
      <c r="F52" s="3">
        <v>123000000000</v>
      </c>
      <c r="G52" s="3">
        <v>1680000000</v>
      </c>
      <c r="H52" s="3">
        <v>10700000000</v>
      </c>
      <c r="I52" s="2"/>
      <c r="J52" s="7">
        <f t="shared" si="12"/>
        <v>5.0099999999999999E-2</v>
      </c>
      <c r="K52" s="7">
        <f t="shared" si="13"/>
        <v>2.6069999999999998</v>
      </c>
      <c r="L52" s="7">
        <f t="shared" si="14"/>
        <v>139</v>
      </c>
      <c r="M52" s="7">
        <f t="shared" si="15"/>
        <v>73.100000000000009</v>
      </c>
      <c r="O52">
        <f t="shared" si="16"/>
        <v>2.3352393980848159E-2</v>
      </c>
      <c r="P52">
        <f t="shared" si="17"/>
        <v>23.352393980848159</v>
      </c>
      <c r="V52">
        <f t="shared" si="18"/>
        <v>258.12951468819682</v>
      </c>
      <c r="W52">
        <f t="shared" si="19"/>
        <v>141.59558640223671</v>
      </c>
      <c r="AE52">
        <f t="shared" si="23"/>
        <v>0.24789945838235544</v>
      </c>
      <c r="AF52">
        <f t="shared" si="24"/>
        <v>0.24025971747842703</v>
      </c>
      <c r="AG52">
        <f t="shared" si="25"/>
        <v>0.24087727218993948</v>
      </c>
      <c r="AI52">
        <f t="shared" si="26"/>
        <v>8.420752564857481E-2</v>
      </c>
      <c r="AJ52">
        <f t="shared" si="27"/>
        <v>13.503314087756852</v>
      </c>
      <c r="AL52">
        <f t="shared" si="28"/>
        <v>8.6885143373542723E-2</v>
      </c>
      <c r="AM52">
        <f t="shared" si="29"/>
        <v>14.375719864270467</v>
      </c>
      <c r="AO52">
        <f t="shared" si="30"/>
        <v>8.6662389565502013E-2</v>
      </c>
      <c r="AP52">
        <f t="shared" si="31"/>
        <v>14.302102182302546</v>
      </c>
    </row>
    <row r="53" spans="1:42" x14ac:dyDescent="0.2">
      <c r="A53" s="2">
        <v>51</v>
      </c>
      <c r="B53" s="3">
        <v>5.0799999999999998E-8</v>
      </c>
      <c r="C53" s="2">
        <v>2.6610000000000002E-3</v>
      </c>
      <c r="D53" s="3">
        <v>82800</v>
      </c>
      <c r="E53" s="3">
        <v>150000000000</v>
      </c>
      <c r="F53" s="3">
        <v>132000000000</v>
      </c>
      <c r="G53" s="2">
        <v>0</v>
      </c>
      <c r="H53" s="3">
        <v>9750000000</v>
      </c>
      <c r="I53" s="2"/>
      <c r="J53" s="7">
        <f t="shared" si="12"/>
        <v>5.0799999999999998E-2</v>
      </c>
      <c r="K53" s="7">
        <f t="shared" si="13"/>
        <v>2.661</v>
      </c>
      <c r="L53" s="7">
        <f t="shared" si="14"/>
        <v>150</v>
      </c>
      <c r="M53" s="7">
        <f t="shared" si="15"/>
        <v>82.8</v>
      </c>
      <c r="O53">
        <f t="shared" si="16"/>
        <v>2.6696739130434778E-2</v>
      </c>
      <c r="P53">
        <f t="shared" si="17"/>
        <v>26.696739130434779</v>
      </c>
      <c r="V53">
        <f t="shared" si="18"/>
        <v>273.89808994443911</v>
      </c>
      <c r="W53">
        <f t="shared" si="19"/>
        <v>151.15110882444668</v>
      </c>
      <c r="AE53">
        <f t="shared" si="23"/>
        <v>0.28079446175183348</v>
      </c>
      <c r="AF53">
        <f t="shared" si="24"/>
        <v>0.27214096589895698</v>
      </c>
      <c r="AG53">
        <f t="shared" si="25"/>
        <v>0.27284046699489722</v>
      </c>
      <c r="AI53">
        <f t="shared" si="26"/>
        <v>7.5381353800965611E-2</v>
      </c>
      <c r="AJ53">
        <f t="shared" si="27"/>
        <v>10.742819856311117</v>
      </c>
      <c r="AL53">
        <f t="shared" si="28"/>
        <v>7.777831829451809E-2</v>
      </c>
      <c r="AM53">
        <f t="shared" si="29"/>
        <v>11.436878961933822</v>
      </c>
      <c r="AO53">
        <f t="shared" si="30"/>
        <v>7.7578912321179E-2</v>
      </c>
      <c r="AP53">
        <f t="shared" si="31"/>
        <v>11.378311006654039</v>
      </c>
    </row>
    <row r="54" spans="1:42" x14ac:dyDescent="0.2">
      <c r="A54" s="2">
        <v>52</v>
      </c>
      <c r="B54" s="3">
        <v>5.1200000000000002E-8</v>
      </c>
      <c r="C54" s="2">
        <v>2.7130000000000001E-3</v>
      </c>
      <c r="D54" s="3">
        <v>78700</v>
      </c>
      <c r="E54" s="3">
        <v>145000000000</v>
      </c>
      <c r="F54" s="3">
        <v>128000000000</v>
      </c>
      <c r="G54" s="3">
        <v>11000000000</v>
      </c>
      <c r="H54" s="3">
        <v>10400000000</v>
      </c>
      <c r="I54" s="2"/>
      <c r="J54" s="7">
        <f t="shared" si="12"/>
        <v>5.1200000000000002E-2</v>
      </c>
      <c r="K54" s="7">
        <f t="shared" si="13"/>
        <v>2.7130000000000001</v>
      </c>
      <c r="L54" s="7">
        <f t="shared" si="14"/>
        <v>145</v>
      </c>
      <c r="M54" s="7">
        <f t="shared" si="15"/>
        <v>78.7</v>
      </c>
      <c r="O54">
        <f t="shared" si="16"/>
        <v>2.5345489199491745E-2</v>
      </c>
      <c r="P54">
        <f t="shared" si="17"/>
        <v>25.345489199491745</v>
      </c>
      <c r="V54">
        <f t="shared" si="18"/>
        <v>267.66745055480033</v>
      </c>
      <c r="W54">
        <f t="shared" si="19"/>
        <v>147.01077743460542</v>
      </c>
      <c r="AE54">
        <f t="shared" si="23"/>
        <v>0.26689038816267269</v>
      </c>
      <c r="AF54">
        <f t="shared" si="24"/>
        <v>0.25866538666966082</v>
      </c>
      <c r="AG54">
        <f t="shared" si="25"/>
        <v>0.25933025063403881</v>
      </c>
      <c r="AI54">
        <f t="shared" si="26"/>
        <v>7.9932939811719367E-2</v>
      </c>
      <c r="AJ54">
        <f t="shared" si="27"/>
        <v>12.123678784861493</v>
      </c>
      <c r="AL54">
        <f t="shared" si="28"/>
        <v>8.2474634925073828E-2</v>
      </c>
      <c r="AM54">
        <f t="shared" si="29"/>
        <v>12.906950753192472</v>
      </c>
      <c r="AO54">
        <f t="shared" si="30"/>
        <v>8.2263188660695319E-2</v>
      </c>
      <c r="AP54">
        <f t="shared" si="31"/>
        <v>12.840854599073213</v>
      </c>
    </row>
    <row r="55" spans="1:42" x14ac:dyDescent="0.2">
      <c r="A55" s="2">
        <v>53</v>
      </c>
      <c r="B55" s="3">
        <v>5.2100000000000003E-8</v>
      </c>
      <c r="C55" s="2">
        <v>2.7659999999999998E-3</v>
      </c>
      <c r="D55" s="3">
        <v>74400</v>
      </c>
      <c r="E55" s="3">
        <v>140000000000</v>
      </c>
      <c r="F55" s="3">
        <v>124000000000</v>
      </c>
      <c r="G55" s="2">
        <v>0</v>
      </c>
      <c r="H55" s="3">
        <v>11000000000</v>
      </c>
      <c r="I55" s="2"/>
      <c r="J55" s="7">
        <f t="shared" si="12"/>
        <v>5.21E-2</v>
      </c>
      <c r="K55" s="7">
        <f t="shared" si="13"/>
        <v>2.766</v>
      </c>
      <c r="L55" s="7">
        <f t="shared" si="14"/>
        <v>140</v>
      </c>
      <c r="M55" s="7">
        <f t="shared" si="15"/>
        <v>74.400000000000006</v>
      </c>
      <c r="O55">
        <f t="shared" si="16"/>
        <v>2.4216935483870966E-2</v>
      </c>
      <c r="P55">
        <f t="shared" si="17"/>
        <v>24.216935483870966</v>
      </c>
      <c r="V55">
        <f t="shared" si="18"/>
        <v>262.32033922236155</v>
      </c>
      <c r="W55">
        <f t="shared" si="19"/>
        <v>141.81134451975001</v>
      </c>
      <c r="AE55">
        <f t="shared" si="23"/>
        <v>0.25230806708135767</v>
      </c>
      <c r="AF55">
        <f t="shared" si="24"/>
        <v>0.2445324621121063</v>
      </c>
      <c r="AG55">
        <f t="shared" si="25"/>
        <v>0.24516099932874827</v>
      </c>
      <c r="AI55">
        <f t="shared" si="26"/>
        <v>8.6038998215357904E-2</v>
      </c>
      <c r="AJ55">
        <f t="shared" si="27"/>
        <v>13.830580121848255</v>
      </c>
      <c r="AL55">
        <f t="shared" si="28"/>
        <v>8.8774852818441399E-2</v>
      </c>
      <c r="AM55">
        <f t="shared" si="29"/>
        <v>14.724129506274904</v>
      </c>
      <c r="AO55">
        <f t="shared" si="30"/>
        <v>8.8547254223839966E-2</v>
      </c>
      <c r="AP55">
        <f t="shared" si="31"/>
        <v>14.648727627726789</v>
      </c>
    </row>
    <row r="56" spans="1:42" x14ac:dyDescent="0.2">
      <c r="A56" s="2">
        <v>54</v>
      </c>
      <c r="B56" s="3">
        <v>5.2600000000000001E-8</v>
      </c>
      <c r="C56" s="2">
        <v>2.8180000000000002E-3</v>
      </c>
      <c r="D56" s="3">
        <v>80700</v>
      </c>
      <c r="E56" s="3">
        <v>147000000000</v>
      </c>
      <c r="F56" s="3">
        <v>129000000000</v>
      </c>
      <c r="G56" s="3">
        <v>1910000000</v>
      </c>
      <c r="H56" s="3">
        <v>10400000000</v>
      </c>
      <c r="I56" s="2"/>
      <c r="J56" s="7">
        <f t="shared" si="12"/>
        <v>5.2600000000000001E-2</v>
      </c>
      <c r="K56" s="7">
        <f t="shared" si="13"/>
        <v>2.8180000000000001</v>
      </c>
      <c r="L56" s="7">
        <f t="shared" si="14"/>
        <v>147</v>
      </c>
      <c r="M56" s="7">
        <f t="shared" si="15"/>
        <v>80.7</v>
      </c>
      <c r="O56">
        <f t="shared" si="16"/>
        <v>2.6410408921933089E-2</v>
      </c>
      <c r="P56">
        <f t="shared" si="17"/>
        <v>26.41040892193309</v>
      </c>
      <c r="V56">
        <f t="shared" si="18"/>
        <v>272.59274950889551</v>
      </c>
      <c r="W56">
        <f t="shared" si="19"/>
        <v>148.02301261752109</v>
      </c>
      <c r="AE56">
        <f t="shared" si="23"/>
        <v>0.27367286308421451</v>
      </c>
      <c r="AF56">
        <f t="shared" si="24"/>
        <v>0.26523883995224434</v>
      </c>
      <c r="AG56">
        <f t="shared" si="25"/>
        <v>0.26592060007835999</v>
      </c>
      <c r="AI56">
        <f t="shared" si="26"/>
        <v>8.0083448609672633E-2</v>
      </c>
      <c r="AJ56">
        <f t="shared" si="27"/>
        <v>11.976447403771951</v>
      </c>
      <c r="AL56">
        <f t="shared" si="28"/>
        <v>8.2629929578234895E-2</v>
      </c>
      <c r="AM56">
        <f t="shared" si="29"/>
        <v>12.750207225194998</v>
      </c>
      <c r="AO56">
        <f t="shared" si="30"/>
        <v>8.2418085173575836E-2</v>
      </c>
      <c r="AP56">
        <f t="shared" si="31"/>
        <v>12.684913750545263</v>
      </c>
    </row>
    <row r="57" spans="1:42" x14ac:dyDescent="0.2">
      <c r="A57" s="2">
        <v>55</v>
      </c>
      <c r="B57" s="3">
        <v>5.3300000000000001E-8</v>
      </c>
      <c r="C57" s="2">
        <v>2.869E-3</v>
      </c>
      <c r="D57" s="3">
        <v>87500</v>
      </c>
      <c r="E57" s="3">
        <v>154000000000</v>
      </c>
      <c r="F57" s="3">
        <v>134000000000</v>
      </c>
      <c r="G57" s="2">
        <v>0</v>
      </c>
      <c r="H57" s="3">
        <v>9790000000</v>
      </c>
      <c r="I57" s="2"/>
      <c r="J57" s="7">
        <f t="shared" si="12"/>
        <v>5.33E-2</v>
      </c>
      <c r="K57" s="7">
        <f t="shared" si="13"/>
        <v>2.8690000000000002</v>
      </c>
      <c r="L57" s="7">
        <f t="shared" si="14"/>
        <v>154</v>
      </c>
      <c r="M57" s="7">
        <f t="shared" si="15"/>
        <v>87.5</v>
      </c>
      <c r="O57">
        <f t="shared" si="16"/>
        <v>2.8708571428571427E-2</v>
      </c>
      <c r="P57">
        <f t="shared" si="17"/>
        <v>28.708571428571428</v>
      </c>
      <c r="V57">
        <f t="shared" si="18"/>
        <v>282.85754983331009</v>
      </c>
      <c r="W57">
        <f t="shared" si="19"/>
        <v>154.67149462965432</v>
      </c>
      <c r="AE57">
        <f t="shared" si="23"/>
        <v>0.2967332778174569</v>
      </c>
      <c r="AF57">
        <f t="shared" si="24"/>
        <v>0.28758858111302821</v>
      </c>
      <c r="AG57">
        <f t="shared" si="25"/>
        <v>0.28832778818905203</v>
      </c>
      <c r="AI57">
        <f t="shared" si="26"/>
        <v>7.4842745972682437E-2</v>
      </c>
      <c r="AJ57">
        <f t="shared" si="27"/>
        <v>10.371666280615077</v>
      </c>
      <c r="AL57">
        <f t="shared" si="28"/>
        <v>7.7222583898784919E-2</v>
      </c>
      <c r="AM57">
        <f t="shared" si="29"/>
        <v>11.041746345144123</v>
      </c>
      <c r="AO57">
        <f t="shared" si="30"/>
        <v>7.7024602702434206E-2</v>
      </c>
      <c r="AP57">
        <f t="shared" si="31"/>
        <v>10.985201853565123</v>
      </c>
    </row>
    <row r="58" spans="1:42" x14ac:dyDescent="0.2">
      <c r="A58" s="2">
        <v>56</v>
      </c>
      <c r="B58" s="3">
        <v>5.39E-8</v>
      </c>
      <c r="C58" s="2">
        <v>2.921E-3</v>
      </c>
      <c r="D58" s="3">
        <v>76700</v>
      </c>
      <c r="E58" s="3">
        <v>141000000000</v>
      </c>
      <c r="F58" s="3">
        <v>125000000000</v>
      </c>
      <c r="G58" s="3">
        <v>808000000</v>
      </c>
      <c r="H58" s="3">
        <v>11200000000</v>
      </c>
      <c r="I58" s="2"/>
      <c r="J58" s="7">
        <f t="shared" si="12"/>
        <v>5.3899999999999997E-2</v>
      </c>
      <c r="K58" s="7">
        <f t="shared" si="13"/>
        <v>2.9209999999999998</v>
      </c>
      <c r="L58" s="7">
        <f t="shared" si="14"/>
        <v>141</v>
      </c>
      <c r="M58" s="7">
        <f t="shared" si="15"/>
        <v>76.7</v>
      </c>
      <c r="O58">
        <f t="shared" si="16"/>
        <v>2.5337418513689702E-2</v>
      </c>
      <c r="P58">
        <f t="shared" si="17"/>
        <v>25.337418513689702</v>
      </c>
      <c r="V58">
        <f t="shared" si="18"/>
        <v>267.62968749514278</v>
      </c>
      <c r="W58">
        <f t="shared" si="19"/>
        <v>143.29501468590257</v>
      </c>
      <c r="AE58">
        <f t="shared" si="23"/>
        <v>0.26010791324113081</v>
      </c>
      <c r="AF58">
        <f t="shared" si="24"/>
        <v>0.2520919333870773</v>
      </c>
      <c r="AG58">
        <f t="shared" si="25"/>
        <v>0.25273990118971762</v>
      </c>
      <c r="AI58">
        <f t="shared" si="26"/>
        <v>8.6342368648021597E-2</v>
      </c>
      <c r="AJ58">
        <f t="shared" si="27"/>
        <v>13.74279035138783</v>
      </c>
      <c r="AL58">
        <f t="shared" si="28"/>
        <v>8.9087869776655809E-2</v>
      </c>
      <c r="AM58">
        <f t="shared" si="29"/>
        <v>14.630667920557071</v>
      </c>
      <c r="AO58">
        <f t="shared" si="30"/>
        <v>8.8859468677544226E-2</v>
      </c>
      <c r="AP58">
        <f t="shared" si="31"/>
        <v>14.555744656322434</v>
      </c>
    </row>
    <row r="59" spans="1:42" x14ac:dyDescent="0.2">
      <c r="A59" s="2">
        <v>57</v>
      </c>
      <c r="B59" s="3">
        <v>5.4599999999999999E-8</v>
      </c>
      <c r="C59" s="2">
        <v>2.9740000000000001E-3</v>
      </c>
      <c r="D59" s="3">
        <v>76900</v>
      </c>
      <c r="E59" s="3">
        <v>141000000000</v>
      </c>
      <c r="F59" s="3">
        <v>125000000000</v>
      </c>
      <c r="G59" s="3">
        <v>11600000000</v>
      </c>
      <c r="H59" s="3">
        <v>11300000000</v>
      </c>
      <c r="I59" s="2"/>
      <c r="J59" s="7">
        <f t="shared" si="12"/>
        <v>5.4599999999999996E-2</v>
      </c>
      <c r="K59" s="7">
        <f t="shared" si="13"/>
        <v>2.9740000000000002</v>
      </c>
      <c r="L59" s="7">
        <f t="shared" si="14"/>
        <v>141</v>
      </c>
      <c r="M59" s="7">
        <f t="shared" si="15"/>
        <v>76.900000000000006</v>
      </c>
      <c r="O59">
        <f t="shared" si="16"/>
        <v>2.5594798439531854E-2</v>
      </c>
      <c r="P59">
        <f t="shared" si="17"/>
        <v>25.594798439531854</v>
      </c>
      <c r="V59">
        <f t="shared" si="18"/>
        <v>268.8306959112515</v>
      </c>
      <c r="W59">
        <f t="shared" si="19"/>
        <v>143.02682165690419</v>
      </c>
      <c r="AE59">
        <f t="shared" si="23"/>
        <v>0.26078616073328498</v>
      </c>
      <c r="AF59">
        <f t="shared" si="24"/>
        <v>0.2527492787153357</v>
      </c>
      <c r="AG59">
        <f t="shared" si="25"/>
        <v>0.25339893613414977</v>
      </c>
      <c r="AI59">
        <f t="shared" si="26"/>
        <v>8.7236224253737185E-2</v>
      </c>
      <c r="AJ59">
        <f t="shared" si="27"/>
        <v>13.919459663478174</v>
      </c>
      <c r="AL59">
        <f t="shared" si="28"/>
        <v>9.0010148063064011E-2</v>
      </c>
      <c r="AM59">
        <f t="shared" si="29"/>
        <v>14.818751269779229</v>
      </c>
      <c r="AO59">
        <f t="shared" si="30"/>
        <v>8.97793824515353E-2</v>
      </c>
      <c r="AP59">
        <f t="shared" si="31"/>
        <v>14.742864835677818</v>
      </c>
    </row>
    <row r="60" spans="1:42" x14ac:dyDescent="0.2">
      <c r="A60" s="2">
        <v>58</v>
      </c>
      <c r="B60" s="3">
        <v>5.5299999999999999E-8</v>
      </c>
      <c r="C60" s="2">
        <v>3.0240000000000002E-3</v>
      </c>
      <c r="D60" s="3">
        <v>82700</v>
      </c>
      <c r="E60" s="3">
        <v>147000000000</v>
      </c>
      <c r="F60" s="3">
        <v>129000000000</v>
      </c>
      <c r="G60" s="3">
        <v>10900000000</v>
      </c>
      <c r="H60" s="3">
        <v>10700000000</v>
      </c>
      <c r="I60" s="2"/>
      <c r="J60" s="7">
        <f t="shared" si="12"/>
        <v>5.5300000000000002E-2</v>
      </c>
      <c r="K60" s="7">
        <f t="shared" si="13"/>
        <v>3.024</v>
      </c>
      <c r="L60" s="7">
        <f t="shared" si="14"/>
        <v>147</v>
      </c>
      <c r="M60" s="7">
        <f t="shared" si="15"/>
        <v>82.7</v>
      </c>
      <c r="O60">
        <f t="shared" si="16"/>
        <v>2.7875574365175335E-2</v>
      </c>
      <c r="P60">
        <f t="shared" si="17"/>
        <v>27.875574365175336</v>
      </c>
      <c r="V60">
        <f t="shared" si="18"/>
        <v>279.19172550447337</v>
      </c>
      <c r="W60">
        <f t="shared" si="19"/>
        <v>148.10610853629137</v>
      </c>
      <c r="AE60">
        <f t="shared" si="23"/>
        <v>0.28045533800575639</v>
      </c>
      <c r="AF60">
        <f t="shared" si="24"/>
        <v>0.27181229323482781</v>
      </c>
      <c r="AG60">
        <f t="shared" si="25"/>
        <v>0.27251094952268118</v>
      </c>
      <c r="AI60">
        <f t="shared" si="26"/>
        <v>8.215806063992169E-2</v>
      </c>
      <c r="AJ60">
        <f t="shared" si="27"/>
        <v>12.237842511132172</v>
      </c>
      <c r="AL60">
        <f t="shared" si="28"/>
        <v>8.4770509797215815E-2</v>
      </c>
      <c r="AM60">
        <f t="shared" si="29"/>
        <v>13.028490231342991</v>
      </c>
      <c r="AO60">
        <f t="shared" si="30"/>
        <v>8.4553177430211499E-2</v>
      </c>
      <c r="AP60">
        <f t="shared" si="31"/>
        <v>12.961771676764236</v>
      </c>
    </row>
    <row r="61" spans="1:42" x14ac:dyDescent="0.2">
      <c r="A61" s="2">
        <v>59</v>
      </c>
      <c r="B61" s="3">
        <v>5.5899999999999998E-8</v>
      </c>
      <c r="C61" s="2">
        <v>3.0760000000000002E-3</v>
      </c>
      <c r="D61" s="3">
        <v>90300</v>
      </c>
      <c r="E61" s="3">
        <v>154000000000</v>
      </c>
      <c r="F61" s="3">
        <v>134000000000</v>
      </c>
      <c r="G61" s="3">
        <v>26700000000</v>
      </c>
      <c r="H61" s="3">
        <v>9870000000</v>
      </c>
      <c r="I61" s="2"/>
      <c r="J61" s="7">
        <f t="shared" si="12"/>
        <v>5.5899999999999998E-2</v>
      </c>
      <c r="K61" s="7">
        <f t="shared" si="13"/>
        <v>3.0760000000000001</v>
      </c>
      <c r="L61" s="7">
        <f t="shared" si="14"/>
        <v>154</v>
      </c>
      <c r="M61" s="7">
        <f t="shared" si="15"/>
        <v>90.3</v>
      </c>
      <c r="O61">
        <f t="shared" si="16"/>
        <v>3.0351827242524915E-2</v>
      </c>
      <c r="P61">
        <f t="shared" si="17"/>
        <v>30.351827242524916</v>
      </c>
      <c r="V61">
        <f t="shared" si="18"/>
        <v>289.91922333750199</v>
      </c>
      <c r="W61">
        <f t="shared" si="19"/>
        <v>155.73303308501139</v>
      </c>
      <c r="AE61">
        <f t="shared" si="23"/>
        <v>0.30622874270761552</v>
      </c>
      <c r="AF61">
        <f t="shared" si="24"/>
        <v>0.29679141570864509</v>
      </c>
      <c r="AG61">
        <f t="shared" si="25"/>
        <v>0.29755427741110169</v>
      </c>
      <c r="AI61">
        <f t="shared" si="26"/>
        <v>7.6059701191750456E-2</v>
      </c>
      <c r="AJ61">
        <f t="shared" si="27"/>
        <v>10.441067964331758</v>
      </c>
      <c r="AL61">
        <f t="shared" si="28"/>
        <v>7.8478235669496868E-2</v>
      </c>
      <c r="AM61">
        <f t="shared" si="29"/>
        <v>11.115631848860899</v>
      </c>
      <c r="AO61">
        <f t="shared" si="30"/>
        <v>7.827703526670142E-2</v>
      </c>
      <c r="AP61">
        <f t="shared" si="31"/>
        <v>11.058708991567624</v>
      </c>
    </row>
    <row r="62" spans="1:42" x14ac:dyDescent="0.2">
      <c r="A62" s="2">
        <v>60</v>
      </c>
      <c r="B62" s="3">
        <v>5.6799999999999999E-8</v>
      </c>
      <c r="C62" s="2">
        <v>3.1289999999999998E-3</v>
      </c>
      <c r="D62" s="3">
        <v>86800</v>
      </c>
      <c r="E62" s="3">
        <v>149000000000</v>
      </c>
      <c r="F62" s="3">
        <v>131000000000</v>
      </c>
      <c r="G62" s="2">
        <v>0</v>
      </c>
      <c r="H62" s="3">
        <v>10300000000</v>
      </c>
      <c r="I62" s="2"/>
      <c r="J62" s="7">
        <f t="shared" si="12"/>
        <v>5.6799999999999996E-2</v>
      </c>
      <c r="K62" s="7">
        <f t="shared" si="13"/>
        <v>3.129</v>
      </c>
      <c r="L62" s="7">
        <f t="shared" si="14"/>
        <v>149</v>
      </c>
      <c r="M62" s="7">
        <f t="shared" si="15"/>
        <v>86.8</v>
      </c>
      <c r="O62">
        <f t="shared" si="16"/>
        <v>2.9763709677419349E-2</v>
      </c>
      <c r="P62">
        <f t="shared" si="17"/>
        <v>29.763709677419349</v>
      </c>
      <c r="V62">
        <f t="shared" si="18"/>
        <v>287.41691609344713</v>
      </c>
      <c r="W62">
        <f t="shared" si="19"/>
        <v>151.00015889770896</v>
      </c>
      <c r="AE62">
        <f t="shared" si="23"/>
        <v>0.29435941159491724</v>
      </c>
      <c r="AF62">
        <f t="shared" si="24"/>
        <v>0.28528787246412396</v>
      </c>
      <c r="AG62">
        <f t="shared" si="25"/>
        <v>0.2860211658835396</v>
      </c>
      <c r="AI62">
        <f t="shared" si="26"/>
        <v>8.0400577438426032E-2</v>
      </c>
      <c r="AJ62">
        <f t="shared" si="27"/>
        <v>11.494767860798584</v>
      </c>
      <c r="AL62">
        <f t="shared" si="28"/>
        <v>8.2957142419865182E-2</v>
      </c>
      <c r="AM62">
        <f t="shared" si="29"/>
        <v>12.23740791317921</v>
      </c>
      <c r="AO62">
        <f t="shared" si="30"/>
        <v>8.2744459115669494E-2</v>
      </c>
      <c r="AP62">
        <f t="shared" si="31"/>
        <v>12.174740470270612</v>
      </c>
    </row>
    <row r="63" spans="1:42" x14ac:dyDescent="0.2">
      <c r="A63" s="2">
        <v>61</v>
      </c>
      <c r="B63" s="3">
        <v>5.7499999999999999E-8</v>
      </c>
      <c r="C63" s="2">
        <v>3.1870000000000002E-3</v>
      </c>
      <c r="D63" s="3">
        <v>87000</v>
      </c>
      <c r="E63" s="3">
        <v>148000000000</v>
      </c>
      <c r="F63" s="3">
        <v>130000000000</v>
      </c>
      <c r="G63" s="3">
        <v>11800000000</v>
      </c>
      <c r="H63" s="3">
        <v>10400000000</v>
      </c>
      <c r="I63" s="2"/>
      <c r="J63" s="7">
        <f t="shared" si="12"/>
        <v>5.7499999999999996E-2</v>
      </c>
      <c r="K63" s="7">
        <f t="shared" si="13"/>
        <v>3.1870000000000003</v>
      </c>
      <c r="L63" s="7">
        <f t="shared" si="14"/>
        <v>148</v>
      </c>
      <c r="M63" s="7">
        <f t="shared" si="15"/>
        <v>87</v>
      </c>
      <c r="O63">
        <f t="shared" si="16"/>
        <v>3.0025862068965514E-2</v>
      </c>
      <c r="P63">
        <f t="shared" si="17"/>
        <v>30.025862068965516</v>
      </c>
      <c r="V63">
        <f t="shared" si="18"/>
        <v>288.535685792761</v>
      </c>
      <c r="W63">
        <f t="shared" si="19"/>
        <v>150.76124771354489</v>
      </c>
      <c r="AE63">
        <f t="shared" si="23"/>
        <v>0.29503765908707141</v>
      </c>
      <c r="AF63">
        <f t="shared" si="24"/>
        <v>0.28594521779238236</v>
      </c>
      <c r="AG63">
        <f t="shared" si="25"/>
        <v>0.28668020082797174</v>
      </c>
      <c r="AI63">
        <f t="shared" si="26"/>
        <v>8.120432289039671E-2</v>
      </c>
      <c r="AJ63">
        <f t="shared" si="27"/>
        <v>11.654070754729862</v>
      </c>
      <c r="AL63">
        <f t="shared" si="28"/>
        <v>8.378644524395884E-2</v>
      </c>
      <c r="AM63">
        <f t="shared" si="29"/>
        <v>12.40700285571261</v>
      </c>
      <c r="AO63">
        <f t="shared" si="30"/>
        <v>8.3571635795350985E-2</v>
      </c>
      <c r="AP63">
        <f t="shared" si="31"/>
        <v>12.343466921579878</v>
      </c>
    </row>
    <row r="64" spans="1:42" x14ac:dyDescent="0.2">
      <c r="A64" s="2">
        <v>62</v>
      </c>
      <c r="B64" s="3">
        <v>5.7800000000000001E-8</v>
      </c>
      <c r="C64" s="2">
        <v>3.2369999999999999E-3</v>
      </c>
      <c r="D64" s="3">
        <v>92900</v>
      </c>
      <c r="E64" s="3">
        <v>154000000000</v>
      </c>
      <c r="F64" s="3">
        <v>135000000000</v>
      </c>
      <c r="G64" s="2">
        <v>0</v>
      </c>
      <c r="H64" s="3">
        <v>9870000000</v>
      </c>
      <c r="I64" s="2"/>
      <c r="J64" s="7">
        <f t="shared" si="12"/>
        <v>5.7800000000000004E-2</v>
      </c>
      <c r="K64" s="7">
        <f t="shared" si="13"/>
        <v>3.2369999999999997</v>
      </c>
      <c r="L64" s="7">
        <f t="shared" si="14"/>
        <v>154</v>
      </c>
      <c r="M64" s="7">
        <f t="shared" si="15"/>
        <v>92.9</v>
      </c>
      <c r="O64">
        <f t="shared" si="16"/>
        <v>3.1667061356297106E-2</v>
      </c>
      <c r="P64">
        <f t="shared" si="17"/>
        <v>31.667061356297108</v>
      </c>
      <c r="V64">
        <f t="shared" si="18"/>
        <v>295.41921204337172</v>
      </c>
      <c r="W64">
        <f t="shared" si="19"/>
        <v>157.23418825306624</v>
      </c>
      <c r="AE64">
        <f t="shared" si="23"/>
        <v>0.31504596010561997</v>
      </c>
      <c r="AF64">
        <f t="shared" si="24"/>
        <v>0.30533690497600369</v>
      </c>
      <c r="AG64">
        <f t="shared" si="25"/>
        <v>0.30612173168871926</v>
      </c>
      <c r="AI64">
        <f t="shared" si="26"/>
        <v>7.6443872904319532E-2</v>
      </c>
      <c r="AJ64">
        <f t="shared" si="27"/>
        <v>10.381147545709913</v>
      </c>
      <c r="AL64">
        <f t="shared" si="28"/>
        <v>7.8874623214072459E-2</v>
      </c>
      <c r="AM64">
        <f t="shared" si="29"/>
        <v>11.051840164341133</v>
      </c>
      <c r="AO64">
        <f t="shared" si="30"/>
        <v>7.8672406563486133E-2</v>
      </c>
      <c r="AP64">
        <f t="shared" si="31"/>
        <v>10.99524398258046</v>
      </c>
    </row>
    <row r="65" spans="1:42" x14ac:dyDescent="0.2">
      <c r="A65" s="2">
        <v>63</v>
      </c>
      <c r="B65" s="3">
        <v>5.8600000000000002E-8</v>
      </c>
      <c r="C65" s="2">
        <v>3.287E-3</v>
      </c>
      <c r="D65" s="3">
        <v>100000</v>
      </c>
      <c r="E65" s="3">
        <v>160000000000</v>
      </c>
      <c r="F65" s="3">
        <v>139000000000</v>
      </c>
      <c r="G65" s="2">
        <v>0</v>
      </c>
      <c r="H65" s="3">
        <v>9220000000</v>
      </c>
      <c r="I65" s="2"/>
      <c r="J65" s="7">
        <f t="shared" si="12"/>
        <v>5.8599999999999999E-2</v>
      </c>
      <c r="K65" s="7">
        <f t="shared" si="13"/>
        <v>3.2869999999999999</v>
      </c>
      <c r="L65" s="7">
        <f t="shared" si="14"/>
        <v>160</v>
      </c>
      <c r="M65" s="7">
        <f t="shared" si="15"/>
        <v>100</v>
      </c>
      <c r="O65">
        <f t="shared" si="16"/>
        <v>3.3947500000000005E-2</v>
      </c>
      <c r="P65">
        <f t="shared" si="17"/>
        <v>33.947500000000005</v>
      </c>
      <c r="V65">
        <f t="shared" si="18"/>
        <v>304.66176535052739</v>
      </c>
      <c r="W65">
        <f t="shared" si="19"/>
        <v>164.11642577621348</v>
      </c>
      <c r="AE65">
        <f t="shared" si="23"/>
        <v>0.33912374607709361</v>
      </c>
      <c r="AF65">
        <f t="shared" si="24"/>
        <v>0.32867266412917512</v>
      </c>
      <c r="AG65">
        <f t="shared" si="25"/>
        <v>0.32951747221605948</v>
      </c>
      <c r="AI65">
        <f t="shared" si="26"/>
        <v>7.1999283297360078E-2</v>
      </c>
      <c r="AJ65">
        <f t="shared" si="27"/>
        <v>9.0977457637390309</v>
      </c>
      <c r="AL65">
        <f t="shared" si="28"/>
        <v>7.4288705242217576E-2</v>
      </c>
      <c r="AM65">
        <f t="shared" si="29"/>
        <v>9.6855219130574</v>
      </c>
      <c r="AO65">
        <f t="shared" si="30"/>
        <v>7.4098245845540603E-2</v>
      </c>
      <c r="AP65">
        <f t="shared" si="31"/>
        <v>9.6359226109966389</v>
      </c>
    </row>
    <row r="66" spans="1:42" x14ac:dyDescent="0.2">
      <c r="A66" s="2">
        <v>64</v>
      </c>
      <c r="B66" s="3">
        <v>5.9400000000000003E-8</v>
      </c>
      <c r="C66" s="2">
        <v>3.3379999999999998E-3</v>
      </c>
      <c r="D66" s="3">
        <v>92900</v>
      </c>
      <c r="E66" s="3">
        <v>152000000000</v>
      </c>
      <c r="F66" s="3">
        <v>133000000000</v>
      </c>
      <c r="G66" s="3">
        <v>21700000000</v>
      </c>
      <c r="H66" s="3">
        <v>9900000000</v>
      </c>
      <c r="I66" s="2"/>
      <c r="J66" s="7">
        <f t="shared" si="12"/>
        <v>5.9400000000000001E-2</v>
      </c>
      <c r="K66" s="7">
        <f t="shared" si="13"/>
        <v>3.3379999999999996</v>
      </c>
      <c r="L66" s="7">
        <f t="shared" si="14"/>
        <v>152</v>
      </c>
      <c r="M66" s="7">
        <f t="shared" si="15"/>
        <v>92.9</v>
      </c>
      <c r="O66">
        <f t="shared" si="16"/>
        <v>3.2451668460710445E-2</v>
      </c>
      <c r="P66">
        <f t="shared" si="17"/>
        <v>32.451668460710444</v>
      </c>
      <c r="V66">
        <f t="shared" si="18"/>
        <v>298.63981868574768</v>
      </c>
      <c r="W66">
        <f t="shared" si="19"/>
        <v>155.5385353648314</v>
      </c>
      <c r="AE66">
        <f t="shared" si="23"/>
        <v>0.31504596010561997</v>
      </c>
      <c r="AF66">
        <f t="shared" si="24"/>
        <v>0.30533690497600369</v>
      </c>
      <c r="AG66">
        <f t="shared" si="25"/>
        <v>0.30612173168871926</v>
      </c>
      <c r="AI66">
        <f t="shared" si="26"/>
        <v>7.8559966271913154E-2</v>
      </c>
      <c r="AJ66">
        <f t="shared" si="27"/>
        <v>10.705057308489247</v>
      </c>
      <c r="AL66">
        <f t="shared" si="28"/>
        <v>8.1058003787472382E-2</v>
      </c>
      <c r="AM66">
        <f t="shared" si="29"/>
        <v>11.396676697117918</v>
      </c>
      <c r="AO66">
        <f t="shared" si="30"/>
        <v>8.0850189444136258E-2</v>
      </c>
      <c r="AP66">
        <f t="shared" si="31"/>
        <v>11.338314616575092</v>
      </c>
    </row>
    <row r="67" spans="1:42" x14ac:dyDescent="0.2">
      <c r="A67" s="2">
        <v>65</v>
      </c>
      <c r="B67" s="3">
        <v>5.9800000000000006E-8</v>
      </c>
      <c r="C67" s="2">
        <v>3.392E-3</v>
      </c>
      <c r="D67" s="3">
        <v>113000</v>
      </c>
      <c r="E67" s="3">
        <v>175000000000</v>
      </c>
      <c r="F67" s="3">
        <v>150000000000</v>
      </c>
      <c r="G67" s="2">
        <v>0</v>
      </c>
      <c r="H67" s="3">
        <v>8730000000</v>
      </c>
      <c r="I67" s="2"/>
      <c r="J67" s="7">
        <f t="shared" si="12"/>
        <v>5.9800000000000006E-2</v>
      </c>
      <c r="K67" s="7">
        <f t="shared" si="13"/>
        <v>3.3919999999999999</v>
      </c>
      <c r="L67" s="7">
        <f t="shared" si="14"/>
        <v>175</v>
      </c>
      <c r="M67" s="7">
        <f t="shared" si="15"/>
        <v>113</v>
      </c>
      <c r="O67">
        <f t="shared" si="16"/>
        <v>3.7286725663716824E-2</v>
      </c>
      <c r="P67">
        <f t="shared" si="17"/>
        <v>37.286725663716823</v>
      </c>
      <c r="V67">
        <f t="shared" si="18"/>
        <v>317.59192140541319</v>
      </c>
      <c r="W67">
        <f t="shared" si="19"/>
        <v>177.90125060478627</v>
      </c>
      <c r="AE67">
        <f t="shared" si="23"/>
        <v>0.38320983306711576</v>
      </c>
      <c r="AF67">
        <f t="shared" si="24"/>
        <v>0.37140011046596788</v>
      </c>
      <c r="AG67">
        <f t="shared" si="25"/>
        <v>0.37235474360414722</v>
      </c>
      <c r="AI67">
        <f t="shared" si="26"/>
        <v>6.5020948098434464E-2</v>
      </c>
      <c r="AJ67">
        <f t="shared" si="27"/>
        <v>7.3524664059027556</v>
      </c>
      <c r="AL67">
        <f t="shared" si="28"/>
        <v>6.708847403250795E-2</v>
      </c>
      <c r="AM67">
        <f t="shared" si="29"/>
        <v>7.8274856583948234</v>
      </c>
      <c r="AO67">
        <f t="shared" si="30"/>
        <v>6.6916474396135905E-2</v>
      </c>
      <c r="AP67">
        <f t="shared" si="31"/>
        <v>7.7874013109500462</v>
      </c>
    </row>
    <row r="68" spans="1:42" x14ac:dyDescent="0.2">
      <c r="A68" s="2">
        <v>66</v>
      </c>
      <c r="B68" s="3">
        <v>6.0699999999999994E-8</v>
      </c>
      <c r="C68" s="2">
        <v>3.4420000000000002E-3</v>
      </c>
      <c r="D68" s="3">
        <v>92600</v>
      </c>
      <c r="E68" s="3">
        <v>150000000000</v>
      </c>
      <c r="F68" s="3">
        <v>132000000000</v>
      </c>
      <c r="G68" s="2">
        <v>0</v>
      </c>
      <c r="H68" s="3">
        <v>10100000000</v>
      </c>
      <c r="I68" s="2"/>
      <c r="J68" s="7">
        <f t="shared" si="12"/>
        <v>6.0699999999999997E-2</v>
      </c>
      <c r="K68" s="7">
        <f t="shared" si="13"/>
        <v>3.4420000000000002</v>
      </c>
      <c r="L68" s="7">
        <f t="shared" si="14"/>
        <v>150</v>
      </c>
      <c r="M68" s="7">
        <f t="shared" si="15"/>
        <v>92.600000000000009</v>
      </c>
      <c r="O68">
        <f t="shared" si="16"/>
        <v>3.2822030237580992E-2</v>
      </c>
      <c r="P68">
        <f t="shared" si="17"/>
        <v>32.822030237580989</v>
      </c>
      <c r="V68">
        <f t="shared" si="18"/>
        <v>300.14498949967412</v>
      </c>
      <c r="W68">
        <f t="shared" si="19"/>
        <v>154.25878032206924</v>
      </c>
      <c r="AE68">
        <f t="shared" si="23"/>
        <v>0.31402858886738871</v>
      </c>
      <c r="AF68">
        <f t="shared" si="24"/>
        <v>0.30435088698361618</v>
      </c>
      <c r="AG68">
        <f t="shared" si="25"/>
        <v>0.30513317927207112</v>
      </c>
      <c r="AI68">
        <f t="shared" si="26"/>
        <v>8.0539376232866167E-2</v>
      </c>
      <c r="AJ68">
        <f t="shared" si="27"/>
        <v>11.110228342763209</v>
      </c>
      <c r="AL68">
        <f t="shared" si="28"/>
        <v>8.3100354716653627E-2</v>
      </c>
      <c r="AM68">
        <f t="shared" si="29"/>
        <v>11.828024531285553</v>
      </c>
      <c r="AO68">
        <f t="shared" si="30"/>
        <v>8.2887304248599677E-2</v>
      </c>
      <c r="AP68">
        <f t="shared" si="31"/>
        <v>11.767453529869677</v>
      </c>
    </row>
    <row r="69" spans="1:42" x14ac:dyDescent="0.2">
      <c r="A69" s="2">
        <v>67</v>
      </c>
      <c r="B69" s="3">
        <v>6.1399999999999994E-8</v>
      </c>
      <c r="C69" s="2">
        <v>3.4940000000000001E-3</v>
      </c>
      <c r="D69" s="3">
        <v>86900</v>
      </c>
      <c r="E69" s="3">
        <v>144000000000</v>
      </c>
      <c r="F69" s="3">
        <v>127000000000</v>
      </c>
      <c r="G69" s="3">
        <v>18000000000</v>
      </c>
      <c r="H69" s="3">
        <v>10800000000</v>
      </c>
      <c r="I69" s="2"/>
      <c r="J69" s="7">
        <f t="shared" ref="J69:J132" si="32">B69*(10^6)</f>
        <v>6.1399999999999996E-2</v>
      </c>
      <c r="K69" s="7">
        <f t="shared" ref="K69:K132" si="33">C69*1000</f>
        <v>3.4940000000000002</v>
      </c>
      <c r="L69" s="7">
        <f t="shared" ref="L69:L132" si="34">E69*(10^-9)</f>
        <v>144</v>
      </c>
      <c r="M69" s="7">
        <f t="shared" ref="M69:M132" si="35">D69*(10^-3)</f>
        <v>86.9</v>
      </c>
      <c r="O69">
        <f t="shared" ref="O69:O132" si="36">J69-(0.75*(K69/M69))</f>
        <v>3.1244649021864204E-2</v>
      </c>
      <c r="P69">
        <f t="shared" ref="P69:P132" si="37">O69*1000</f>
        <v>31.244649021864205</v>
      </c>
      <c r="V69">
        <f t="shared" ref="V69:V132" si="38">$S$3*(P69^$S$4)</f>
        <v>293.66689591553967</v>
      </c>
      <c r="W69">
        <f t="shared" ref="W69:W132" si="39">M69/(2*(V69/1000))</f>
        <v>147.95675169494243</v>
      </c>
      <c r="AE69">
        <f t="shared" si="23"/>
        <v>0.29469853534099433</v>
      </c>
      <c r="AF69">
        <f t="shared" si="24"/>
        <v>0.28561654512825319</v>
      </c>
      <c r="AG69">
        <f t="shared" si="25"/>
        <v>0.2863506833557557</v>
      </c>
      <c r="AI69">
        <f t="shared" si="26"/>
        <v>8.6811878123964806E-2</v>
      </c>
      <c r="AJ69">
        <f t="shared" si="27"/>
        <v>12.806116252522189</v>
      </c>
      <c r="AL69">
        <f t="shared" si="28"/>
        <v>8.9572308641452825E-2</v>
      </c>
      <c r="AM69">
        <f t="shared" si="29"/>
        <v>13.633478314960975</v>
      </c>
      <c r="AO69">
        <f t="shared" si="30"/>
        <v>8.934266555092929E-2</v>
      </c>
      <c r="AP69">
        <f t="shared" si="31"/>
        <v>13.563661632375092</v>
      </c>
    </row>
    <row r="70" spans="1:42" x14ac:dyDescent="0.2">
      <c r="A70" s="2">
        <v>68</v>
      </c>
      <c r="B70" s="3">
        <v>6.1999999999999999E-8</v>
      </c>
      <c r="C70" s="2">
        <v>3.5460000000000001E-3</v>
      </c>
      <c r="D70" s="3">
        <v>101000</v>
      </c>
      <c r="E70" s="3">
        <v>158000000000</v>
      </c>
      <c r="F70" s="3">
        <v>138000000000</v>
      </c>
      <c r="G70" s="2">
        <v>0</v>
      </c>
      <c r="H70" s="3">
        <v>9480000000</v>
      </c>
      <c r="I70" s="2"/>
      <c r="J70" s="7">
        <f t="shared" si="32"/>
        <v>6.2E-2</v>
      </c>
      <c r="K70" s="7">
        <f t="shared" si="33"/>
        <v>3.5460000000000003</v>
      </c>
      <c r="L70" s="7">
        <f t="shared" si="34"/>
        <v>158</v>
      </c>
      <c r="M70" s="7">
        <f t="shared" si="35"/>
        <v>101</v>
      </c>
      <c r="O70">
        <f t="shared" si="36"/>
        <v>3.5668316831683165E-2</v>
      </c>
      <c r="P70">
        <f t="shared" si="37"/>
        <v>35.668316831683164</v>
      </c>
      <c r="V70">
        <f t="shared" si="38"/>
        <v>311.40940766203437</v>
      </c>
      <c r="W70">
        <f t="shared" si="39"/>
        <v>162.16594218889662</v>
      </c>
      <c r="AE70">
        <f t="shared" si="23"/>
        <v>0.34251498353786453</v>
      </c>
      <c r="AF70">
        <f t="shared" si="24"/>
        <v>0.33195939077046688</v>
      </c>
      <c r="AG70">
        <f t="shared" si="25"/>
        <v>0.33281264693822005</v>
      </c>
      <c r="AI70">
        <f t="shared" si="26"/>
        <v>7.5422491204614694E-2</v>
      </c>
      <c r="AJ70">
        <f t="shared" si="27"/>
        <v>9.6212184612318286</v>
      </c>
      <c r="AL70">
        <f t="shared" si="28"/>
        <v>7.7820763778891786E-2</v>
      </c>
      <c r="AM70">
        <f t="shared" si="29"/>
        <v>10.242814501146826</v>
      </c>
      <c r="AO70">
        <f t="shared" si="30"/>
        <v>7.7621248984954497E-2</v>
      </c>
      <c r="AP70">
        <f t="shared" si="31"/>
        <v>10.190361318452585</v>
      </c>
    </row>
    <row r="71" spans="1:42" x14ac:dyDescent="0.2">
      <c r="A71" s="2">
        <v>69</v>
      </c>
      <c r="B71" s="3">
        <v>6.2699999999999999E-8</v>
      </c>
      <c r="C71" s="2">
        <v>3.5990000000000002E-3</v>
      </c>
      <c r="D71" s="3">
        <v>93400</v>
      </c>
      <c r="E71" s="3">
        <v>149000000000</v>
      </c>
      <c r="F71" s="3">
        <v>131000000000</v>
      </c>
      <c r="G71" s="2">
        <v>0</v>
      </c>
      <c r="H71" s="3">
        <v>10200000000</v>
      </c>
      <c r="I71" s="2"/>
      <c r="J71" s="7">
        <f t="shared" si="32"/>
        <v>6.2700000000000006E-2</v>
      </c>
      <c r="K71" s="7">
        <f t="shared" si="33"/>
        <v>3.5990000000000002</v>
      </c>
      <c r="L71" s="7">
        <f t="shared" si="34"/>
        <v>149</v>
      </c>
      <c r="M71" s="7">
        <f t="shared" si="35"/>
        <v>93.4</v>
      </c>
      <c r="O71">
        <f t="shared" si="36"/>
        <v>3.380010706638116E-2</v>
      </c>
      <c r="P71">
        <f t="shared" si="37"/>
        <v>33.800107066381159</v>
      </c>
      <c r="V71">
        <f t="shared" si="38"/>
        <v>304.07503825339364</v>
      </c>
      <c r="W71">
        <f t="shared" si="39"/>
        <v>153.58051179815581</v>
      </c>
      <c r="AE71">
        <f t="shared" si="23"/>
        <v>0.31674157883600546</v>
      </c>
      <c r="AF71">
        <f t="shared" si="24"/>
        <v>0.30698026829664959</v>
      </c>
      <c r="AG71">
        <f t="shared" si="25"/>
        <v>0.30776931904979954</v>
      </c>
      <c r="AI71">
        <f t="shared" si="26"/>
        <v>8.2480488024359921E-2</v>
      </c>
      <c r="AJ71">
        <f t="shared" si="27"/>
        <v>11.418845225262514</v>
      </c>
      <c r="AL71">
        <f t="shared" si="28"/>
        <v>8.510318967717552E-2</v>
      </c>
      <c r="AM71">
        <f t="shared" si="29"/>
        <v>12.156580159878759</v>
      </c>
      <c r="AO71">
        <f t="shared" si="30"/>
        <v>8.4885004394387883E-2</v>
      </c>
      <c r="AP71">
        <f t="shared" si="31"/>
        <v>12.094326633761311</v>
      </c>
    </row>
    <row r="72" spans="1:42" x14ac:dyDescent="0.2">
      <c r="A72" s="2">
        <v>70</v>
      </c>
      <c r="B72" s="3">
        <v>6.3100000000000003E-8</v>
      </c>
      <c r="C72" s="2">
        <v>3.6519999999999999E-3</v>
      </c>
      <c r="D72" s="3">
        <v>78900</v>
      </c>
      <c r="E72" s="3">
        <v>138000000000</v>
      </c>
      <c r="F72" s="3">
        <v>122000000000</v>
      </c>
      <c r="G72" s="3">
        <v>14900000000</v>
      </c>
      <c r="H72" s="3">
        <v>12600000000</v>
      </c>
      <c r="I72" s="2"/>
      <c r="J72" s="7">
        <f t="shared" si="32"/>
        <v>6.3100000000000003E-2</v>
      </c>
      <c r="K72" s="7">
        <f t="shared" si="33"/>
        <v>3.6519999999999997</v>
      </c>
      <c r="L72" s="7">
        <f t="shared" si="34"/>
        <v>138</v>
      </c>
      <c r="M72" s="7">
        <f t="shared" si="35"/>
        <v>78.900000000000006</v>
      </c>
      <c r="O72">
        <f t="shared" si="36"/>
        <v>2.8385171102661609E-2</v>
      </c>
      <c r="P72">
        <f t="shared" si="37"/>
        <v>28.385171102661609</v>
      </c>
      <c r="V72">
        <f t="shared" si="38"/>
        <v>281.44146816246729</v>
      </c>
      <c r="W72">
        <f t="shared" si="39"/>
        <v>140.17124149319304</v>
      </c>
      <c r="AE72">
        <f t="shared" si="23"/>
        <v>0.26756863565482686</v>
      </c>
      <c r="AF72">
        <f t="shared" si="24"/>
        <v>0.25932273199791916</v>
      </c>
      <c r="AG72">
        <f t="shared" si="25"/>
        <v>0.25998928557847095</v>
      </c>
      <c r="AI72">
        <f t="shared" si="26"/>
        <v>9.8261392267903411E-2</v>
      </c>
      <c r="AJ72">
        <f t="shared" si="27"/>
        <v>16.237189329124035</v>
      </c>
      <c r="AL72">
        <f t="shared" si="28"/>
        <v>0.10138589264468198</v>
      </c>
      <c r="AM72">
        <f t="shared" si="29"/>
        <v>17.286222009028634</v>
      </c>
      <c r="AO72">
        <f t="shared" si="30"/>
        <v>0.10112596220328172</v>
      </c>
      <c r="AP72">
        <f t="shared" si="31"/>
        <v>17.197699722402106</v>
      </c>
    </row>
    <row r="73" spans="1:42" x14ac:dyDescent="0.2">
      <c r="A73" s="2">
        <v>71</v>
      </c>
      <c r="B73" s="3">
        <v>6.3399999999999999E-8</v>
      </c>
      <c r="C73" s="2">
        <v>3.7030000000000001E-3</v>
      </c>
      <c r="D73" s="3">
        <v>90800</v>
      </c>
      <c r="E73" s="3">
        <v>147000000000</v>
      </c>
      <c r="F73" s="3">
        <v>129000000000</v>
      </c>
      <c r="G73" s="3">
        <v>3440000000</v>
      </c>
      <c r="H73" s="3">
        <v>10800000000</v>
      </c>
      <c r="I73" s="2"/>
      <c r="J73" s="7">
        <f t="shared" si="32"/>
        <v>6.3399999999999998E-2</v>
      </c>
      <c r="K73" s="7">
        <f t="shared" si="33"/>
        <v>3.7030000000000003</v>
      </c>
      <c r="L73" s="7">
        <f t="shared" si="34"/>
        <v>147</v>
      </c>
      <c r="M73" s="7">
        <f t="shared" si="35"/>
        <v>90.8</v>
      </c>
      <c r="O73">
        <f t="shared" si="36"/>
        <v>3.2813546255506601E-2</v>
      </c>
      <c r="P73">
        <f t="shared" si="37"/>
        <v>32.813546255506601</v>
      </c>
      <c r="V73">
        <f t="shared" si="38"/>
        <v>300.11061629710571</v>
      </c>
      <c r="W73">
        <f t="shared" si="39"/>
        <v>151.27755412375873</v>
      </c>
      <c r="AE73">
        <f t="shared" si="23"/>
        <v>0.30792436143800095</v>
      </c>
      <c r="AF73">
        <f t="shared" si="24"/>
        <v>0.298434779029291</v>
      </c>
      <c r="AG73">
        <f t="shared" si="25"/>
        <v>0.29920186477218197</v>
      </c>
      <c r="AI73">
        <f t="shared" si="26"/>
        <v>8.5789466423836461E-2</v>
      </c>
      <c r="AJ73">
        <f t="shared" si="27"/>
        <v>12.431287405141362</v>
      </c>
      <c r="AL73">
        <f t="shared" si="28"/>
        <v>8.8517386454056365E-2</v>
      </c>
      <c r="AM73">
        <f t="shared" si="29"/>
        <v>13.234432978980845</v>
      </c>
      <c r="AO73">
        <f t="shared" si="30"/>
        <v>8.8290447944837577E-2</v>
      </c>
      <c r="AP73">
        <f t="shared" si="31"/>
        <v>13.166659797027441</v>
      </c>
    </row>
    <row r="74" spans="1:42" x14ac:dyDescent="0.2">
      <c r="A74" s="2">
        <v>72</v>
      </c>
      <c r="B74" s="3">
        <v>6.43E-8</v>
      </c>
      <c r="C74" s="2">
        <v>3.754E-3</v>
      </c>
      <c r="D74" s="3">
        <v>108000</v>
      </c>
      <c r="E74" s="3">
        <v>164000000000</v>
      </c>
      <c r="F74" s="3">
        <v>142000000000</v>
      </c>
      <c r="G74" s="3">
        <v>8480000000</v>
      </c>
      <c r="H74" s="3">
        <v>9430000000</v>
      </c>
      <c r="I74" s="2"/>
      <c r="J74" s="7">
        <f t="shared" si="32"/>
        <v>6.4299999999999996E-2</v>
      </c>
      <c r="K74" s="7">
        <f t="shared" si="33"/>
        <v>3.754</v>
      </c>
      <c r="L74" s="7">
        <f t="shared" si="34"/>
        <v>164</v>
      </c>
      <c r="M74" s="7">
        <f t="shared" si="35"/>
        <v>108</v>
      </c>
      <c r="O74">
        <f t="shared" si="36"/>
        <v>3.8230555555555552E-2</v>
      </c>
      <c r="P74">
        <f t="shared" si="37"/>
        <v>38.230555555555554</v>
      </c>
      <c r="V74">
        <f t="shared" si="38"/>
        <v>321.12863411633003</v>
      </c>
      <c r="W74">
        <f t="shared" si="39"/>
        <v>168.15691365734239</v>
      </c>
      <c r="AE74">
        <f t="shared" si="23"/>
        <v>0.36625364576326108</v>
      </c>
      <c r="AF74">
        <f t="shared" si="24"/>
        <v>0.35496647725950914</v>
      </c>
      <c r="AG74">
        <f t="shared" si="25"/>
        <v>0.35587886999334423</v>
      </c>
      <c r="AI74">
        <f t="shared" si="26"/>
        <v>7.3150580141895044E-2</v>
      </c>
      <c r="AJ74">
        <f t="shared" si="27"/>
        <v>8.9080131516026277</v>
      </c>
      <c r="AL74">
        <f t="shared" si="28"/>
        <v>7.5476610843676364E-2</v>
      </c>
      <c r="AM74">
        <f t="shared" si="29"/>
        <v>9.4835312859074143</v>
      </c>
      <c r="AO74">
        <f t="shared" si="30"/>
        <v>7.5283105926372454E-2</v>
      </c>
      <c r="AP74">
        <f t="shared" si="31"/>
        <v>9.4349663725166106</v>
      </c>
    </row>
    <row r="75" spans="1:42" x14ac:dyDescent="0.2">
      <c r="A75" s="2">
        <v>73</v>
      </c>
      <c r="B75" s="3">
        <v>6.5E-8</v>
      </c>
      <c r="C75" s="2">
        <v>3.8080000000000002E-3</v>
      </c>
      <c r="D75" s="3">
        <v>83300</v>
      </c>
      <c r="E75" s="3">
        <v>139000000000</v>
      </c>
      <c r="F75" s="3">
        <v>123000000000</v>
      </c>
      <c r="G75" s="3">
        <v>4170000000</v>
      </c>
      <c r="H75" s="3">
        <v>12100000000</v>
      </c>
      <c r="I75" s="2"/>
      <c r="J75" s="7">
        <f t="shared" si="32"/>
        <v>6.5000000000000002E-2</v>
      </c>
      <c r="K75" s="7">
        <f t="shared" si="33"/>
        <v>3.8080000000000003</v>
      </c>
      <c r="L75" s="7">
        <f t="shared" si="34"/>
        <v>139</v>
      </c>
      <c r="M75" s="7">
        <f t="shared" si="35"/>
        <v>83.3</v>
      </c>
      <c r="O75">
        <f t="shared" si="36"/>
        <v>3.0714285714285708E-2</v>
      </c>
      <c r="P75">
        <f t="shared" si="37"/>
        <v>30.714285714285708</v>
      </c>
      <c r="V75">
        <f t="shared" si="38"/>
        <v>291.4479714438848</v>
      </c>
      <c r="W75">
        <f t="shared" si="39"/>
        <v>142.90715352609433</v>
      </c>
      <c r="AE75">
        <f t="shared" si="23"/>
        <v>0.28249008048221896</v>
      </c>
      <c r="AF75">
        <f t="shared" si="24"/>
        <v>0.27378432921960283</v>
      </c>
      <c r="AG75">
        <f t="shared" si="25"/>
        <v>0.27448805435597751</v>
      </c>
      <c r="AI75">
        <f t="shared" si="26"/>
        <v>9.5873572930777889E-2</v>
      </c>
      <c r="AJ75">
        <f t="shared" si="27"/>
        <v>15.189414343145177</v>
      </c>
      <c r="AL75">
        <f t="shared" si="28"/>
        <v>9.8922145801886838E-2</v>
      </c>
      <c r="AM75">
        <f t="shared" si="29"/>
        <v>16.170753644645494</v>
      </c>
      <c r="AO75">
        <f t="shared" si="30"/>
        <v>9.8668531848783325E-2</v>
      </c>
      <c r="AP75">
        <f t="shared" si="31"/>
        <v>16.087943642069419</v>
      </c>
    </row>
    <row r="76" spans="1:42" x14ac:dyDescent="0.2">
      <c r="A76" s="2">
        <v>74</v>
      </c>
      <c r="B76" s="3">
        <v>6.5099999999999994E-8</v>
      </c>
      <c r="C76" s="2">
        <v>3.8600000000000001E-3</v>
      </c>
      <c r="D76" s="3">
        <v>90300</v>
      </c>
      <c r="E76" s="3">
        <v>145000000000</v>
      </c>
      <c r="F76" s="3">
        <v>128000000000</v>
      </c>
      <c r="G76" s="2">
        <v>0</v>
      </c>
      <c r="H76" s="3">
        <v>11200000000</v>
      </c>
      <c r="I76" s="2"/>
      <c r="J76" s="7">
        <f t="shared" si="32"/>
        <v>6.5099999999999991E-2</v>
      </c>
      <c r="K76" s="7">
        <f t="shared" si="33"/>
        <v>3.8600000000000003</v>
      </c>
      <c r="L76" s="7">
        <f t="shared" si="34"/>
        <v>145</v>
      </c>
      <c r="M76" s="7">
        <f t="shared" si="35"/>
        <v>90.3</v>
      </c>
      <c r="O76">
        <f t="shared" si="36"/>
        <v>3.3040199335548165E-2</v>
      </c>
      <c r="P76">
        <f t="shared" si="37"/>
        <v>33.040199335548166</v>
      </c>
      <c r="V76">
        <f t="shared" si="38"/>
        <v>301.02721643003508</v>
      </c>
      <c r="W76">
        <f t="shared" si="39"/>
        <v>149.98643822125561</v>
      </c>
      <c r="AE76">
        <f t="shared" si="23"/>
        <v>0.30622874270761552</v>
      </c>
      <c r="AF76">
        <f t="shared" si="24"/>
        <v>0.29679141570864509</v>
      </c>
      <c r="AG76">
        <f t="shared" si="25"/>
        <v>0.29755427741110169</v>
      </c>
      <c r="AI76">
        <f t="shared" si="26"/>
        <v>8.857757687983818E-2</v>
      </c>
      <c r="AJ76">
        <f t="shared" si="27"/>
        <v>13.102250436385106</v>
      </c>
      <c r="AL76">
        <f t="shared" si="28"/>
        <v>9.1394152810093846E-2</v>
      </c>
      <c r="AM76">
        <f t="shared" si="29"/>
        <v>13.948744777829345</v>
      </c>
      <c r="AO76">
        <f t="shared" si="30"/>
        <v>9.1159838924190731E-2</v>
      </c>
      <c r="AP76">
        <f t="shared" si="31"/>
        <v>13.877313624008787</v>
      </c>
    </row>
    <row r="77" spans="1:42" x14ac:dyDescent="0.2">
      <c r="A77" s="2">
        <v>75</v>
      </c>
      <c r="B77" s="3">
        <v>6.5600000000000005E-8</v>
      </c>
      <c r="C77" s="2">
        <v>3.9110000000000004E-3</v>
      </c>
      <c r="D77" s="3">
        <v>92400</v>
      </c>
      <c r="E77" s="3">
        <v>147000000000</v>
      </c>
      <c r="F77" s="3">
        <v>129000000000</v>
      </c>
      <c r="G77" s="2">
        <v>0</v>
      </c>
      <c r="H77" s="3">
        <v>11000000000</v>
      </c>
      <c r="I77" s="2"/>
      <c r="J77" s="7">
        <f t="shared" si="32"/>
        <v>6.5600000000000006E-2</v>
      </c>
      <c r="K77" s="7">
        <f t="shared" si="33"/>
        <v>3.9110000000000005</v>
      </c>
      <c r="L77" s="7">
        <f t="shared" si="34"/>
        <v>147</v>
      </c>
      <c r="M77" s="7">
        <f t="shared" si="35"/>
        <v>92.4</v>
      </c>
      <c r="O77">
        <f t="shared" si="36"/>
        <v>3.3854870129870131E-2</v>
      </c>
      <c r="P77">
        <f t="shared" si="37"/>
        <v>33.854870129870129</v>
      </c>
      <c r="V77">
        <f t="shared" si="38"/>
        <v>304.29319965943512</v>
      </c>
      <c r="W77">
        <f t="shared" si="39"/>
        <v>151.82725099248694</v>
      </c>
      <c r="AE77">
        <f t="shared" si="23"/>
        <v>0.31335034137523449</v>
      </c>
      <c r="AF77">
        <f t="shared" si="24"/>
        <v>0.30369354165535783</v>
      </c>
      <c r="AG77">
        <f t="shared" si="25"/>
        <v>0.30447414432763897</v>
      </c>
      <c r="AI77">
        <f t="shared" si="26"/>
        <v>8.722930766046906E-2</v>
      </c>
      <c r="AJ77">
        <f t="shared" si="27"/>
        <v>12.678794586541649</v>
      </c>
      <c r="AL77">
        <f t="shared" si="28"/>
        <v>9.000301153704536E-2</v>
      </c>
      <c r="AM77">
        <f t="shared" si="29"/>
        <v>13.497930804853956</v>
      </c>
      <c r="AO77">
        <f t="shared" si="30"/>
        <v>8.9772264221951295E-2</v>
      </c>
      <c r="AP77">
        <f t="shared" si="31"/>
        <v>13.428808257489463</v>
      </c>
    </row>
    <row r="78" spans="1:42" x14ac:dyDescent="0.2">
      <c r="A78" s="2">
        <v>76</v>
      </c>
      <c r="B78" s="3">
        <v>6.6600000000000001E-8</v>
      </c>
      <c r="C78" s="2">
        <v>3.9639999999999996E-3</v>
      </c>
      <c r="D78" s="3">
        <v>79700</v>
      </c>
      <c r="E78" s="3">
        <v>137000000000</v>
      </c>
      <c r="F78" s="3">
        <v>121000000000</v>
      </c>
      <c r="G78" s="3">
        <v>14100000000</v>
      </c>
      <c r="H78" s="3">
        <v>13300000000</v>
      </c>
      <c r="I78" s="2"/>
      <c r="J78" s="7">
        <f t="shared" si="32"/>
        <v>6.6600000000000006E-2</v>
      </c>
      <c r="K78" s="7">
        <f t="shared" si="33"/>
        <v>3.9639999999999995</v>
      </c>
      <c r="L78" s="7">
        <f t="shared" si="34"/>
        <v>137</v>
      </c>
      <c r="M78" s="7">
        <f t="shared" si="35"/>
        <v>79.7</v>
      </c>
      <c r="O78">
        <f t="shared" si="36"/>
        <v>2.9297616060225858E-2</v>
      </c>
      <c r="P78">
        <f t="shared" si="37"/>
        <v>29.297616060225856</v>
      </c>
      <c r="V78">
        <f t="shared" si="38"/>
        <v>285.41416435539855</v>
      </c>
      <c r="W78">
        <f t="shared" si="39"/>
        <v>139.62166205030618</v>
      </c>
      <c r="AE78">
        <f t="shared" si="23"/>
        <v>0.2702816256234436</v>
      </c>
      <c r="AF78">
        <f t="shared" si="24"/>
        <v>0.26195211331095258</v>
      </c>
      <c r="AG78">
        <f t="shared" si="25"/>
        <v>0.26262542535619943</v>
      </c>
      <c r="AI78">
        <f t="shared" si="26"/>
        <v>0.10267068631095666</v>
      </c>
      <c r="AJ78">
        <f t="shared" si="27"/>
        <v>17.272336695395843</v>
      </c>
      <c r="AL78">
        <f t="shared" si="28"/>
        <v>0.1059353927298121</v>
      </c>
      <c r="AM78">
        <f t="shared" si="29"/>
        <v>18.388246923731096</v>
      </c>
      <c r="AO78">
        <f t="shared" si="30"/>
        <v>0.10566379840170699</v>
      </c>
      <c r="AP78">
        <f t="shared" si="31"/>
        <v>18.294081196605088</v>
      </c>
    </row>
    <row r="79" spans="1:42" x14ac:dyDescent="0.2">
      <c r="A79" s="2">
        <v>77</v>
      </c>
      <c r="B79" s="3">
        <v>6.7200000000000006E-8</v>
      </c>
      <c r="C79" s="2">
        <v>4.0150000000000003E-3</v>
      </c>
      <c r="D79" s="3">
        <v>84200</v>
      </c>
      <c r="E79" s="3">
        <v>139000000000</v>
      </c>
      <c r="F79" s="3">
        <v>123000000000</v>
      </c>
      <c r="G79" s="3">
        <v>9340000000</v>
      </c>
      <c r="H79" s="3">
        <v>12400000000</v>
      </c>
      <c r="I79" s="2"/>
      <c r="J79" s="7">
        <f t="shared" si="32"/>
        <v>6.720000000000001E-2</v>
      </c>
      <c r="K79" s="7">
        <f t="shared" si="33"/>
        <v>4.0150000000000006</v>
      </c>
      <c r="L79" s="7">
        <f t="shared" si="34"/>
        <v>139</v>
      </c>
      <c r="M79" s="7">
        <f t="shared" si="35"/>
        <v>84.2</v>
      </c>
      <c r="O79">
        <f t="shared" si="36"/>
        <v>3.143693586698338E-2</v>
      </c>
      <c r="P79">
        <f t="shared" si="37"/>
        <v>31.436935866983379</v>
      </c>
      <c r="V79">
        <f t="shared" si="38"/>
        <v>294.46619561289009</v>
      </c>
      <c r="W79">
        <f t="shared" si="39"/>
        <v>142.97057056880419</v>
      </c>
      <c r="AE79">
        <f t="shared" si="23"/>
        <v>0.28554219419691279</v>
      </c>
      <c r="AF79">
        <f t="shared" si="24"/>
        <v>0.27674238319676547</v>
      </c>
      <c r="AG79">
        <f t="shared" si="25"/>
        <v>0.27745371160592208</v>
      </c>
      <c r="AI79">
        <f t="shared" si="26"/>
        <v>9.8059062965282537E-2</v>
      </c>
      <c r="AJ79">
        <f t="shared" si="27"/>
        <v>15.674563617874169</v>
      </c>
      <c r="AL79">
        <f t="shared" si="28"/>
        <v>0.10117712970655397</v>
      </c>
      <c r="AM79">
        <f t="shared" si="29"/>
        <v>16.687246856647526</v>
      </c>
      <c r="AO79">
        <f t="shared" si="30"/>
        <v>0.10091773448599403</v>
      </c>
      <c r="AP79">
        <f t="shared" si="31"/>
        <v>16.601791905965989</v>
      </c>
    </row>
    <row r="80" spans="1:42" x14ac:dyDescent="0.2">
      <c r="A80" s="2">
        <v>78</v>
      </c>
      <c r="B80" s="3">
        <v>6.8099999999999994E-8</v>
      </c>
      <c r="C80" s="2">
        <v>4.0689999999999997E-3</v>
      </c>
      <c r="D80" s="3">
        <v>97600</v>
      </c>
      <c r="E80" s="3">
        <v>149000000000</v>
      </c>
      <c r="F80" s="3">
        <v>131000000000</v>
      </c>
      <c r="G80" s="3">
        <v>6070000000</v>
      </c>
      <c r="H80" s="3">
        <v>10600000000</v>
      </c>
      <c r="I80" s="2"/>
      <c r="J80" s="7">
        <f t="shared" si="32"/>
        <v>6.8099999999999994E-2</v>
      </c>
      <c r="K80" s="7">
        <f t="shared" si="33"/>
        <v>4.069</v>
      </c>
      <c r="L80" s="7">
        <f t="shared" si="34"/>
        <v>149</v>
      </c>
      <c r="M80" s="7">
        <f t="shared" si="35"/>
        <v>97.600000000000009</v>
      </c>
      <c r="O80">
        <f t="shared" si="36"/>
        <v>3.6832069672131144E-2</v>
      </c>
      <c r="P80">
        <f t="shared" si="37"/>
        <v>36.832069672131148</v>
      </c>
      <c r="V80">
        <f t="shared" si="38"/>
        <v>315.87043700773449</v>
      </c>
      <c r="W80">
        <f t="shared" si="39"/>
        <v>154.49372363645756</v>
      </c>
      <c r="AE80">
        <f t="shared" ref="AE80:AE143" si="40">M80/(2*$Y$5)</f>
        <v>0.33098477617124339</v>
      </c>
      <c r="AF80">
        <f t="shared" ref="AF80:AF143" si="41">M80/(2*$Y$8)</f>
        <v>0.32078452019007492</v>
      </c>
      <c r="AG80">
        <f t="shared" ref="AG80:AG143" si="42">M80/(2*$Y$11)</f>
        <v>0.32160905288287406</v>
      </c>
      <c r="AI80">
        <f t="shared" ref="AI80:AI143" si="43">J80/(2.4*AE80)</f>
        <v>8.5729018501199794E-2</v>
      </c>
      <c r="AJ80">
        <f t="shared" ref="AJ80:AJ143" si="44">K80/(3.14159*(AE80^2))</f>
        <v>11.822849105902202</v>
      </c>
      <c r="AL80">
        <f t="shared" ref="AL80:AL143" si="45">J80/(2.4*AF80)</f>
        <v>8.8455016417833737E-2</v>
      </c>
      <c r="AM80">
        <f t="shared" ref="AM80:AM143" si="46">K80/(3.14159*(AF80^2))</f>
        <v>12.586685434362465</v>
      </c>
      <c r="AO80">
        <f t="shared" ref="AO80:AO143" si="47">J80/(2.4*AG80)</f>
        <v>8.8228237811246599E-2</v>
      </c>
      <c r="AP80">
        <f t="shared" ref="AP80:AP143" si="48">K80/(3.14159*(AG80^2))</f>
        <v>12.52222935048731</v>
      </c>
    </row>
    <row r="81" spans="1:42" x14ac:dyDescent="0.2">
      <c r="A81" s="2">
        <v>79</v>
      </c>
      <c r="B81" s="3">
        <v>6.8600000000000005E-8</v>
      </c>
      <c r="C81" s="2">
        <v>4.1190000000000003E-3</v>
      </c>
      <c r="D81" s="3">
        <v>95200</v>
      </c>
      <c r="E81" s="3">
        <v>146000000000</v>
      </c>
      <c r="F81" s="3">
        <v>129000000000</v>
      </c>
      <c r="G81" s="3">
        <v>5060000000</v>
      </c>
      <c r="H81" s="3">
        <v>10900000000</v>
      </c>
      <c r="I81" s="2"/>
      <c r="J81" s="7">
        <f t="shared" si="32"/>
        <v>6.8600000000000008E-2</v>
      </c>
      <c r="K81" s="7">
        <f t="shared" si="33"/>
        <v>4.1190000000000007</v>
      </c>
      <c r="L81" s="7">
        <f t="shared" si="34"/>
        <v>146</v>
      </c>
      <c r="M81" s="7">
        <f t="shared" si="35"/>
        <v>95.2</v>
      </c>
      <c r="O81">
        <f t="shared" si="36"/>
        <v>3.6149894957983195E-2</v>
      </c>
      <c r="P81">
        <f t="shared" si="37"/>
        <v>36.149894957983193</v>
      </c>
      <c r="V81">
        <f t="shared" si="38"/>
        <v>313.2651365927141</v>
      </c>
      <c r="W81">
        <f t="shared" si="39"/>
        <v>151.94796496581191</v>
      </c>
      <c r="AE81">
        <f t="shared" si="40"/>
        <v>0.32284580626539311</v>
      </c>
      <c r="AF81">
        <f t="shared" si="41"/>
        <v>0.31289637625097472</v>
      </c>
      <c r="AG81">
        <f t="shared" si="42"/>
        <v>0.31370063354968863</v>
      </c>
      <c r="AI81">
        <f t="shared" si="43"/>
        <v>8.8535557156460665E-2</v>
      </c>
      <c r="AJ81">
        <f t="shared" si="44"/>
        <v>12.579170029753703</v>
      </c>
      <c r="AL81">
        <f t="shared" si="45"/>
        <v>9.1350796950127031E-2</v>
      </c>
      <c r="AM81">
        <f t="shared" si="46"/>
        <v>13.391869825254577</v>
      </c>
      <c r="AO81">
        <f t="shared" si="47"/>
        <v>9.111659421881875E-2</v>
      </c>
      <c r="AP81">
        <f t="shared" si="48"/>
        <v>13.323290413367056</v>
      </c>
    </row>
    <row r="82" spans="1:42" x14ac:dyDescent="0.2">
      <c r="A82" s="2">
        <v>80</v>
      </c>
      <c r="B82" s="3">
        <v>6.8900000000000002E-8</v>
      </c>
      <c r="C82" s="2">
        <v>4.1720000000000004E-3</v>
      </c>
      <c r="D82" s="3">
        <v>85000</v>
      </c>
      <c r="E82" s="3">
        <v>138000000000</v>
      </c>
      <c r="F82" s="3">
        <v>122000000000</v>
      </c>
      <c r="G82" s="2">
        <v>0</v>
      </c>
      <c r="H82" s="3">
        <v>12500000000</v>
      </c>
      <c r="I82" s="2"/>
      <c r="J82" s="7">
        <f t="shared" si="32"/>
        <v>6.8900000000000003E-2</v>
      </c>
      <c r="K82" s="7">
        <f t="shared" si="33"/>
        <v>4.1720000000000006</v>
      </c>
      <c r="L82" s="7">
        <f t="shared" si="34"/>
        <v>138</v>
      </c>
      <c r="M82" s="7">
        <f t="shared" si="35"/>
        <v>85</v>
      </c>
      <c r="O82">
        <f t="shared" si="36"/>
        <v>3.208823529411764E-2</v>
      </c>
      <c r="P82">
        <f t="shared" si="37"/>
        <v>32.088235294117638</v>
      </c>
      <c r="V82">
        <f t="shared" si="38"/>
        <v>297.15347624635655</v>
      </c>
      <c r="W82">
        <f t="shared" si="39"/>
        <v>143.02373486206557</v>
      </c>
      <c r="AE82">
        <f t="shared" si="40"/>
        <v>0.28825518416552953</v>
      </c>
      <c r="AF82">
        <f t="shared" si="41"/>
        <v>0.27937176450979884</v>
      </c>
      <c r="AG82">
        <f t="shared" si="42"/>
        <v>0.28008985138365056</v>
      </c>
      <c r="AI82">
        <f t="shared" si="43"/>
        <v>9.9593467560492074E-2</v>
      </c>
      <c r="AJ82">
        <f t="shared" si="44"/>
        <v>15.982346446605428</v>
      </c>
      <c r="AL82">
        <f t="shared" si="45"/>
        <v>0.10276032505900003</v>
      </c>
      <c r="AM82">
        <f t="shared" si="46"/>
        <v>17.014914545936115</v>
      </c>
      <c r="AO82">
        <f t="shared" si="47"/>
        <v>0.1024968708845161</v>
      </c>
      <c r="AP82">
        <f t="shared" si="48"/>
        <v>16.927781617666739</v>
      </c>
    </row>
    <row r="83" spans="1:42" x14ac:dyDescent="0.2">
      <c r="A83" s="2">
        <v>81</v>
      </c>
      <c r="B83" s="3">
        <v>7.0200000000000007E-8</v>
      </c>
      <c r="C83" s="2">
        <v>4.2220000000000001E-3</v>
      </c>
      <c r="D83" s="3">
        <v>87200</v>
      </c>
      <c r="E83" s="3">
        <v>137000000000</v>
      </c>
      <c r="F83" s="3">
        <v>121000000000</v>
      </c>
      <c r="G83" s="2">
        <v>0</v>
      </c>
      <c r="H83" s="3">
        <v>11900000000</v>
      </c>
      <c r="I83" s="2"/>
      <c r="J83" s="7">
        <f t="shared" si="32"/>
        <v>7.0200000000000012E-2</v>
      </c>
      <c r="K83" s="7">
        <f t="shared" si="33"/>
        <v>4.2220000000000004</v>
      </c>
      <c r="L83" s="7">
        <f t="shared" si="34"/>
        <v>137</v>
      </c>
      <c r="M83" s="7">
        <f t="shared" si="35"/>
        <v>87.2</v>
      </c>
      <c r="O83">
        <f t="shared" si="36"/>
        <v>3.3886926605504603E-2</v>
      </c>
      <c r="P83">
        <f t="shared" si="37"/>
        <v>33.886926605504605</v>
      </c>
      <c r="V83">
        <f t="shared" si="38"/>
        <v>304.4208128949661</v>
      </c>
      <c r="W83">
        <f t="shared" si="39"/>
        <v>143.22279605449728</v>
      </c>
      <c r="AE83">
        <f t="shared" si="40"/>
        <v>0.29571590657922564</v>
      </c>
      <c r="AF83">
        <f t="shared" si="41"/>
        <v>0.2866025631206407</v>
      </c>
      <c r="AG83">
        <f t="shared" si="42"/>
        <v>0.28733923577240389</v>
      </c>
      <c r="AI83">
        <f t="shared" si="43"/>
        <v>9.8912501320464474E-2</v>
      </c>
      <c r="AJ83">
        <f t="shared" si="44"/>
        <v>15.368070754269443</v>
      </c>
      <c r="AL83">
        <f t="shared" si="45"/>
        <v>0.10205770556102003</v>
      </c>
      <c r="AM83">
        <f t="shared" si="46"/>
        <v>16.360952472991418</v>
      </c>
      <c r="AO83">
        <f t="shared" si="47"/>
        <v>0.10179605274362319</v>
      </c>
      <c r="AP83">
        <f t="shared" si="48"/>
        <v>16.277168467235811</v>
      </c>
    </row>
    <row r="84" spans="1:42" x14ac:dyDescent="0.2">
      <c r="A84" s="2">
        <v>82</v>
      </c>
      <c r="B84" s="3">
        <v>7.0799999999999999E-8</v>
      </c>
      <c r="C84" s="2">
        <v>4.2750000000000002E-3</v>
      </c>
      <c r="D84" s="3">
        <v>102000</v>
      </c>
      <c r="E84" s="3">
        <v>151000000000</v>
      </c>
      <c r="F84" s="3">
        <v>133000000000</v>
      </c>
      <c r="G84" s="3">
        <v>3260000000</v>
      </c>
      <c r="H84" s="3">
        <v>10500000000</v>
      </c>
      <c r="I84" s="2"/>
      <c r="J84" s="7">
        <f t="shared" si="32"/>
        <v>7.0800000000000002E-2</v>
      </c>
      <c r="K84" s="7">
        <f t="shared" si="33"/>
        <v>4.2750000000000004</v>
      </c>
      <c r="L84" s="7">
        <f t="shared" si="34"/>
        <v>151</v>
      </c>
      <c r="M84" s="7">
        <f t="shared" si="35"/>
        <v>102</v>
      </c>
      <c r="O84">
        <f t="shared" si="36"/>
        <v>3.9366176470588238E-2</v>
      </c>
      <c r="P84">
        <f t="shared" si="37"/>
        <v>39.366176470588236</v>
      </c>
      <c r="V84">
        <f t="shared" si="38"/>
        <v>325.32016178302712</v>
      </c>
      <c r="W84">
        <f t="shared" si="39"/>
        <v>156.76864206779334</v>
      </c>
      <c r="AE84">
        <f t="shared" si="40"/>
        <v>0.34590622099863544</v>
      </c>
      <c r="AF84">
        <f t="shared" si="41"/>
        <v>0.33524611741175864</v>
      </c>
      <c r="AG84">
        <f t="shared" si="42"/>
        <v>0.33610782166038067</v>
      </c>
      <c r="AI84">
        <f t="shared" si="43"/>
        <v>8.5283230567039653E-2</v>
      </c>
      <c r="AJ84">
        <f t="shared" si="44"/>
        <v>11.372864576548384</v>
      </c>
      <c r="AL84">
        <f t="shared" si="45"/>
        <v>8.7995053388693775E-2</v>
      </c>
      <c r="AM84">
        <f t="shared" si="46"/>
        <v>12.107628849052693</v>
      </c>
      <c r="AO84">
        <f t="shared" si="47"/>
        <v>8.7769454023025398E-2</v>
      </c>
      <c r="AP84">
        <f t="shared" si="48"/>
        <v>12.04562600130588</v>
      </c>
    </row>
    <row r="85" spans="1:42" x14ac:dyDescent="0.2">
      <c r="A85" s="2">
        <v>83</v>
      </c>
      <c r="B85" s="3">
        <v>7.1200000000000002E-8</v>
      </c>
      <c r="C85" s="2">
        <v>4.326E-3</v>
      </c>
      <c r="D85" s="3">
        <v>95500</v>
      </c>
      <c r="E85" s="3">
        <v>144000000000</v>
      </c>
      <c r="F85" s="3">
        <v>127000000000</v>
      </c>
      <c r="G85" s="3">
        <v>5300000000</v>
      </c>
      <c r="H85" s="3">
        <v>11100000000</v>
      </c>
      <c r="I85" s="2"/>
      <c r="J85" s="7">
        <f t="shared" si="32"/>
        <v>7.1199999999999999E-2</v>
      </c>
      <c r="K85" s="7">
        <f t="shared" si="33"/>
        <v>4.3259999999999996</v>
      </c>
      <c r="L85" s="7">
        <f t="shared" si="34"/>
        <v>144</v>
      </c>
      <c r="M85" s="7">
        <f t="shared" si="35"/>
        <v>95.5</v>
      </c>
      <c r="O85">
        <f t="shared" si="36"/>
        <v>3.7226178010471206E-2</v>
      </c>
      <c r="P85">
        <f t="shared" si="37"/>
        <v>37.226178010471209</v>
      </c>
      <c r="V85">
        <f t="shared" si="38"/>
        <v>317.36334449074576</v>
      </c>
      <c r="W85">
        <f t="shared" si="39"/>
        <v>150.45845977146985</v>
      </c>
      <c r="AE85">
        <f t="shared" si="40"/>
        <v>0.32386317750362437</v>
      </c>
      <c r="AF85">
        <f t="shared" si="41"/>
        <v>0.31388239424336223</v>
      </c>
      <c r="AG85">
        <f t="shared" si="42"/>
        <v>0.31468918596633677</v>
      </c>
      <c r="AI85">
        <f t="shared" si="43"/>
        <v>9.1602468966496403E-2</v>
      </c>
      <c r="AJ85">
        <f t="shared" si="44"/>
        <v>13.128462384559388</v>
      </c>
      <c r="AL85">
        <f t="shared" si="45"/>
        <v>9.4515229942031181E-2</v>
      </c>
      <c r="AM85">
        <f t="shared" si="46"/>
        <v>13.976650195832754</v>
      </c>
      <c r="AO85">
        <f t="shared" si="47"/>
        <v>9.427291432200724E-2</v>
      </c>
      <c r="AP85">
        <f t="shared" si="48"/>
        <v>13.905076139103185</v>
      </c>
    </row>
    <row r="86" spans="1:42" x14ac:dyDescent="0.2">
      <c r="A86" s="2">
        <v>84</v>
      </c>
      <c r="B86" s="3">
        <v>7.17E-8</v>
      </c>
      <c r="C86" s="2">
        <v>4.3800000000000002E-3</v>
      </c>
      <c r="D86" s="3">
        <v>93300</v>
      </c>
      <c r="E86" s="3">
        <v>142000000000</v>
      </c>
      <c r="F86" s="3">
        <v>125000000000</v>
      </c>
      <c r="G86" s="2">
        <v>0</v>
      </c>
      <c r="H86" s="3">
        <v>11500000000</v>
      </c>
      <c r="I86" s="2"/>
      <c r="J86" s="7">
        <f t="shared" si="32"/>
        <v>7.17E-2</v>
      </c>
      <c r="K86" s="7">
        <f t="shared" si="33"/>
        <v>4.38</v>
      </c>
      <c r="L86" s="7">
        <f t="shared" si="34"/>
        <v>142</v>
      </c>
      <c r="M86" s="7">
        <f t="shared" si="35"/>
        <v>93.3</v>
      </c>
      <c r="O86">
        <f t="shared" si="36"/>
        <v>3.6490996784565917E-2</v>
      </c>
      <c r="P86">
        <f t="shared" si="37"/>
        <v>36.490996784565915</v>
      </c>
      <c r="V86">
        <f t="shared" si="38"/>
        <v>314.5712330351858</v>
      </c>
      <c r="W86">
        <f t="shared" si="39"/>
        <v>148.29709490562999</v>
      </c>
      <c r="AE86">
        <f t="shared" si="40"/>
        <v>0.31640245508992831</v>
      </c>
      <c r="AF86">
        <f t="shared" si="41"/>
        <v>0.30665159563252037</v>
      </c>
      <c r="AG86">
        <f t="shared" si="42"/>
        <v>0.30743980157758349</v>
      </c>
      <c r="AI86">
        <f t="shared" si="43"/>
        <v>9.4420885550679082E-2</v>
      </c>
      <c r="AJ86">
        <f t="shared" si="44"/>
        <v>13.926594012559763</v>
      </c>
      <c r="AL86">
        <f t="shared" si="45"/>
        <v>9.7423266095771663E-2</v>
      </c>
      <c r="AM86">
        <f t="shared" si="46"/>
        <v>14.826346546253166</v>
      </c>
      <c r="AO86">
        <f t="shared" si="47"/>
        <v>9.7173494930391902E-2</v>
      </c>
      <c r="AP86">
        <f t="shared" si="48"/>
        <v>14.750421216941412</v>
      </c>
    </row>
    <row r="87" spans="1:42" x14ac:dyDescent="0.2">
      <c r="A87" s="2">
        <v>85</v>
      </c>
      <c r="B87" s="3">
        <v>7.2499999999999994E-8</v>
      </c>
      <c r="C87" s="2">
        <v>4.4320000000000002E-3</v>
      </c>
      <c r="D87" s="3">
        <v>101000</v>
      </c>
      <c r="E87" s="3">
        <v>149000000000</v>
      </c>
      <c r="F87" s="3">
        <v>131000000000</v>
      </c>
      <c r="G87" s="3">
        <v>10700000000</v>
      </c>
      <c r="H87" s="3">
        <v>10800000000</v>
      </c>
      <c r="I87" s="2"/>
      <c r="J87" s="7">
        <f t="shared" si="32"/>
        <v>7.2499999999999995E-2</v>
      </c>
      <c r="K87" s="7">
        <f t="shared" si="33"/>
        <v>4.4320000000000004</v>
      </c>
      <c r="L87" s="7">
        <f t="shared" si="34"/>
        <v>149</v>
      </c>
      <c r="M87" s="7">
        <f t="shared" si="35"/>
        <v>101</v>
      </c>
      <c r="O87">
        <f t="shared" si="36"/>
        <v>3.9589108910891083E-2</v>
      </c>
      <c r="P87">
        <f t="shared" si="37"/>
        <v>39.589108910891085</v>
      </c>
      <c r="V87">
        <f t="shared" si="38"/>
        <v>326.13505534967135</v>
      </c>
      <c r="W87">
        <f t="shared" si="39"/>
        <v>154.84382672649389</v>
      </c>
      <c r="AE87">
        <f t="shared" si="40"/>
        <v>0.34251498353786453</v>
      </c>
      <c r="AF87">
        <f t="shared" si="41"/>
        <v>0.33195939077046688</v>
      </c>
      <c r="AG87">
        <f t="shared" si="42"/>
        <v>0.33281264693822005</v>
      </c>
      <c r="AI87">
        <f t="shared" si="43"/>
        <v>8.819565503765428E-2</v>
      </c>
      <c r="AJ87">
        <f t="shared" si="44"/>
        <v>12.025166446751118</v>
      </c>
      <c r="AL87">
        <f t="shared" si="45"/>
        <v>9.1000086676929909E-2</v>
      </c>
      <c r="AM87">
        <f t="shared" si="46"/>
        <v>12.802073849149107</v>
      </c>
      <c r="AO87">
        <f t="shared" si="47"/>
        <v>9.0766783087245173E-2</v>
      </c>
      <c r="AP87">
        <f t="shared" si="48"/>
        <v>12.736514766887156</v>
      </c>
    </row>
    <row r="88" spans="1:42" x14ac:dyDescent="0.2">
      <c r="A88" s="2">
        <v>86</v>
      </c>
      <c r="B88" s="3">
        <v>7.3199999999999994E-8</v>
      </c>
      <c r="C88" s="2">
        <v>4.4850000000000003E-3</v>
      </c>
      <c r="D88" s="3">
        <v>109000</v>
      </c>
      <c r="E88" s="3">
        <v>157000000000</v>
      </c>
      <c r="F88" s="3">
        <v>137000000000</v>
      </c>
      <c r="G88" s="3">
        <v>10500000000</v>
      </c>
      <c r="H88" s="3">
        <v>10300000000</v>
      </c>
      <c r="I88" s="2"/>
      <c r="J88" s="7">
        <f t="shared" si="32"/>
        <v>7.3199999999999987E-2</v>
      </c>
      <c r="K88" s="7">
        <f t="shared" si="33"/>
        <v>4.4850000000000003</v>
      </c>
      <c r="L88" s="7">
        <f t="shared" si="34"/>
        <v>157</v>
      </c>
      <c r="M88" s="7">
        <f t="shared" si="35"/>
        <v>109</v>
      </c>
      <c r="O88">
        <f t="shared" si="36"/>
        <v>4.2339908256880721E-2</v>
      </c>
      <c r="P88">
        <f t="shared" si="37"/>
        <v>42.339908256880719</v>
      </c>
      <c r="V88">
        <f t="shared" si="38"/>
        <v>335.98681148795004</v>
      </c>
      <c r="W88">
        <f t="shared" si="39"/>
        <v>162.20874789293512</v>
      </c>
      <c r="AE88">
        <f t="shared" si="40"/>
        <v>0.36964488322403199</v>
      </c>
      <c r="AF88">
        <f t="shared" si="41"/>
        <v>0.35825320390080084</v>
      </c>
      <c r="AG88">
        <f t="shared" si="42"/>
        <v>0.35917404471550479</v>
      </c>
      <c r="AI88">
        <f t="shared" si="43"/>
        <v>8.251162503313958E-2</v>
      </c>
      <c r="AJ88">
        <f t="shared" si="44"/>
        <v>10.448249714129563</v>
      </c>
      <c r="AL88">
        <f t="shared" si="45"/>
        <v>8.5135316775688488E-2</v>
      </c>
      <c r="AM88">
        <f t="shared" si="46"/>
        <v>11.123277588459159</v>
      </c>
      <c r="AO88">
        <f t="shared" si="47"/>
        <v>8.4917049126304461E-2</v>
      </c>
      <c r="AP88">
        <f t="shared" si="48"/>
        <v>11.066315577535217</v>
      </c>
    </row>
    <row r="89" spans="1:42" x14ac:dyDescent="0.2">
      <c r="A89" s="2">
        <v>87</v>
      </c>
      <c r="B89" s="3">
        <v>7.4099999999999995E-8</v>
      </c>
      <c r="C89" s="2">
        <v>4.5380000000000004E-3</v>
      </c>
      <c r="D89" s="3">
        <v>96100</v>
      </c>
      <c r="E89" s="3">
        <v>143000000000</v>
      </c>
      <c r="F89" s="3">
        <v>126000000000</v>
      </c>
      <c r="G89" s="3">
        <v>8140000000</v>
      </c>
      <c r="H89" s="3">
        <v>11300000000</v>
      </c>
      <c r="I89" s="2"/>
      <c r="J89" s="7">
        <f t="shared" si="32"/>
        <v>7.4099999999999999E-2</v>
      </c>
      <c r="K89" s="7">
        <f t="shared" si="33"/>
        <v>4.5380000000000003</v>
      </c>
      <c r="L89" s="7">
        <f t="shared" si="34"/>
        <v>143</v>
      </c>
      <c r="M89" s="7">
        <f t="shared" si="35"/>
        <v>96.100000000000009</v>
      </c>
      <c r="O89">
        <f t="shared" si="36"/>
        <v>3.86837669094693E-2</v>
      </c>
      <c r="P89">
        <f t="shared" si="37"/>
        <v>38.683766909469298</v>
      </c>
      <c r="V89">
        <f t="shared" si="38"/>
        <v>322.80962424794683</v>
      </c>
      <c r="W89">
        <f t="shared" si="39"/>
        <v>148.84934150257328</v>
      </c>
      <c r="AE89">
        <f t="shared" si="40"/>
        <v>0.32589791998008699</v>
      </c>
      <c r="AF89">
        <f t="shared" si="41"/>
        <v>0.31585443022813731</v>
      </c>
      <c r="AG89">
        <f t="shared" si="42"/>
        <v>0.31666629079963315</v>
      </c>
      <c r="AI89">
        <f t="shared" si="43"/>
        <v>9.4738254241961792E-2</v>
      </c>
      <c r="AJ89">
        <f t="shared" si="44"/>
        <v>13.600403973904058</v>
      </c>
      <c r="AL89">
        <f t="shared" si="45"/>
        <v>9.7750726427042398E-2</v>
      </c>
      <c r="AM89">
        <f t="shared" si="46"/>
        <v>14.479082416295505</v>
      </c>
      <c r="AO89">
        <f t="shared" si="47"/>
        <v>9.7500115727618727E-2</v>
      </c>
      <c r="AP89">
        <f t="shared" si="48"/>
        <v>14.404935417426989</v>
      </c>
    </row>
    <row r="90" spans="1:42" x14ac:dyDescent="0.2">
      <c r="A90" s="2">
        <v>88</v>
      </c>
      <c r="B90" s="3">
        <v>7.4400000000000004E-8</v>
      </c>
      <c r="C90" s="2">
        <v>4.5909999999999996E-3</v>
      </c>
      <c r="D90" s="3">
        <v>82100</v>
      </c>
      <c r="E90" s="3">
        <v>132000000000</v>
      </c>
      <c r="F90" s="3">
        <v>117000000000</v>
      </c>
      <c r="G90" s="2">
        <v>0</v>
      </c>
      <c r="H90" s="3">
        <v>13600000000</v>
      </c>
      <c r="I90" s="2"/>
      <c r="J90" s="7">
        <f t="shared" si="32"/>
        <v>7.4400000000000008E-2</v>
      </c>
      <c r="K90" s="7">
        <f t="shared" si="33"/>
        <v>4.5909999999999993</v>
      </c>
      <c r="L90" s="7">
        <f t="shared" si="34"/>
        <v>132</v>
      </c>
      <c r="M90" s="7">
        <f t="shared" si="35"/>
        <v>82.100000000000009</v>
      </c>
      <c r="O90">
        <f t="shared" si="36"/>
        <v>3.2460292326431203E-2</v>
      </c>
      <c r="P90">
        <f t="shared" si="37"/>
        <v>32.460292326431201</v>
      </c>
      <c r="V90">
        <f t="shared" si="38"/>
        <v>298.67497504255329</v>
      </c>
      <c r="W90">
        <f t="shared" si="39"/>
        <v>137.44037308164658</v>
      </c>
      <c r="AE90">
        <f t="shared" si="40"/>
        <v>0.27842059552929388</v>
      </c>
      <c r="AF90">
        <f t="shared" si="41"/>
        <v>0.26984025725005278</v>
      </c>
      <c r="AG90">
        <f t="shared" si="42"/>
        <v>0.27053384468938485</v>
      </c>
      <c r="AI90">
        <f t="shared" si="43"/>
        <v>0.11134233780754325</v>
      </c>
      <c r="AJ90">
        <f t="shared" si="44"/>
        <v>18.851897542449738</v>
      </c>
      <c r="AL90">
        <f t="shared" si="45"/>
        <v>0.11488278404386949</v>
      </c>
      <c r="AM90">
        <f t="shared" si="46"/>
        <v>20.069858126599055</v>
      </c>
      <c r="AO90">
        <f t="shared" si="47"/>
        <v>0.11458825063308752</v>
      </c>
      <c r="AP90">
        <f t="shared" si="48"/>
        <v>19.967080912890445</v>
      </c>
    </row>
    <row r="91" spans="1:42" x14ac:dyDescent="0.2">
      <c r="A91" s="2">
        <v>89</v>
      </c>
      <c r="B91" s="3">
        <v>7.5300000000000006E-8</v>
      </c>
      <c r="C91" s="2">
        <v>4.64E-3</v>
      </c>
      <c r="D91" s="3">
        <v>113000</v>
      </c>
      <c r="E91" s="3">
        <v>161000000000</v>
      </c>
      <c r="F91" s="3">
        <v>140000000000</v>
      </c>
      <c r="G91" s="2">
        <v>0</v>
      </c>
      <c r="H91" s="3">
        <v>10300000000</v>
      </c>
      <c r="I91" s="2"/>
      <c r="J91" s="7">
        <f t="shared" si="32"/>
        <v>7.5300000000000006E-2</v>
      </c>
      <c r="K91" s="7">
        <f t="shared" si="33"/>
        <v>4.6399999999999997</v>
      </c>
      <c r="L91" s="7">
        <f t="shared" si="34"/>
        <v>161</v>
      </c>
      <c r="M91" s="7">
        <f t="shared" si="35"/>
        <v>113</v>
      </c>
      <c r="O91">
        <f t="shared" si="36"/>
        <v>4.4503539823008857E-2</v>
      </c>
      <c r="P91">
        <f t="shared" si="37"/>
        <v>44.503539823008857</v>
      </c>
      <c r="V91">
        <f t="shared" si="38"/>
        <v>343.48773984905574</v>
      </c>
      <c r="W91">
        <f t="shared" si="39"/>
        <v>164.48913147476148</v>
      </c>
      <c r="AE91">
        <f t="shared" si="40"/>
        <v>0.38320983306711576</v>
      </c>
      <c r="AF91">
        <f t="shared" si="41"/>
        <v>0.37140011046596788</v>
      </c>
      <c r="AG91">
        <f t="shared" si="42"/>
        <v>0.37235474360414722</v>
      </c>
      <c r="AI91">
        <f t="shared" si="43"/>
        <v>8.1874203876456775E-2</v>
      </c>
      <c r="AJ91">
        <f t="shared" si="44"/>
        <v>10.057619140149995</v>
      </c>
      <c r="AL91">
        <f t="shared" si="45"/>
        <v>8.4477627000800137E-2</v>
      </c>
      <c r="AM91">
        <f t="shared" si="46"/>
        <v>10.707409627049522</v>
      </c>
      <c r="AO91">
        <f t="shared" si="47"/>
        <v>8.4261045518880168E-2</v>
      </c>
      <c r="AP91">
        <f t="shared" si="48"/>
        <v>10.652577264978836</v>
      </c>
    </row>
    <row r="92" spans="1:42" x14ac:dyDescent="0.2">
      <c r="A92" s="2">
        <v>90</v>
      </c>
      <c r="B92" s="3">
        <v>7.6000000000000006E-8</v>
      </c>
      <c r="C92" s="2">
        <v>4.692E-3</v>
      </c>
      <c r="D92" s="3">
        <v>105000</v>
      </c>
      <c r="E92" s="3">
        <v>150000000000</v>
      </c>
      <c r="F92" s="3">
        <v>132000000000</v>
      </c>
      <c r="G92" s="2">
        <v>0</v>
      </c>
      <c r="H92" s="3">
        <v>10800000000</v>
      </c>
      <c r="I92" s="2"/>
      <c r="J92" s="7">
        <f t="shared" si="32"/>
        <v>7.6000000000000012E-2</v>
      </c>
      <c r="K92" s="7">
        <f t="shared" si="33"/>
        <v>4.6920000000000002</v>
      </c>
      <c r="L92" s="7">
        <f t="shared" si="34"/>
        <v>150</v>
      </c>
      <c r="M92" s="7">
        <f t="shared" si="35"/>
        <v>105</v>
      </c>
      <c r="O92">
        <f t="shared" si="36"/>
        <v>4.2485714285714293E-2</v>
      </c>
      <c r="P92">
        <f t="shared" si="37"/>
        <v>42.485714285714295</v>
      </c>
      <c r="V92">
        <f t="shared" si="38"/>
        <v>336.49891195447282</v>
      </c>
      <c r="W92">
        <f t="shared" si="39"/>
        <v>156.01833508187713</v>
      </c>
      <c r="AE92">
        <f t="shared" si="40"/>
        <v>0.35607993338094829</v>
      </c>
      <c r="AF92">
        <f t="shared" si="41"/>
        <v>0.34510629733563386</v>
      </c>
      <c r="AG92">
        <f t="shared" si="42"/>
        <v>0.34599334582686242</v>
      </c>
      <c r="AI92">
        <f t="shared" si="43"/>
        <v>8.8931342931892851E-2</v>
      </c>
      <c r="AJ92">
        <f t="shared" si="44"/>
        <v>11.779137666203365</v>
      </c>
      <c r="AL92">
        <f t="shared" si="45"/>
        <v>9.1759167859719423E-2</v>
      </c>
      <c r="AM92">
        <f t="shared" si="46"/>
        <v>12.54014993886183</v>
      </c>
      <c r="AO92">
        <f t="shared" si="47"/>
        <v>9.1523918157989381E-2</v>
      </c>
      <c r="AP92">
        <f t="shared" si="48"/>
        <v>12.4759321620308</v>
      </c>
    </row>
    <row r="93" spans="1:42" x14ac:dyDescent="0.2">
      <c r="A93" s="2">
        <v>91</v>
      </c>
      <c r="B93" s="3">
        <v>7.6500000000000003E-8</v>
      </c>
      <c r="C93" s="2">
        <v>4.7450000000000001E-3</v>
      </c>
      <c r="D93" s="3">
        <v>96900</v>
      </c>
      <c r="E93" s="3">
        <v>142000000000</v>
      </c>
      <c r="F93" s="3">
        <v>125000000000</v>
      </c>
      <c r="G93" s="2">
        <v>0</v>
      </c>
      <c r="H93" s="3">
        <v>11500000000</v>
      </c>
      <c r="I93" s="2"/>
      <c r="J93" s="7">
        <f t="shared" si="32"/>
        <v>7.6499999999999999E-2</v>
      </c>
      <c r="K93" s="7">
        <f t="shared" si="33"/>
        <v>4.7450000000000001</v>
      </c>
      <c r="L93" s="7">
        <f t="shared" si="34"/>
        <v>142</v>
      </c>
      <c r="M93" s="7">
        <f t="shared" si="35"/>
        <v>96.9</v>
      </c>
      <c r="O93">
        <f t="shared" si="36"/>
        <v>3.9773993808049538E-2</v>
      </c>
      <c r="P93">
        <f t="shared" si="37"/>
        <v>39.773993808049539</v>
      </c>
      <c r="V93">
        <f t="shared" si="38"/>
        <v>326.80893554225895</v>
      </c>
      <c r="W93">
        <f t="shared" si="39"/>
        <v>148.25176037371548</v>
      </c>
      <c r="AE93">
        <f t="shared" si="40"/>
        <v>0.32861090994870373</v>
      </c>
      <c r="AF93">
        <f t="shared" si="41"/>
        <v>0.31848381154117072</v>
      </c>
      <c r="AG93">
        <f t="shared" si="42"/>
        <v>0.31930243057736163</v>
      </c>
      <c r="AI93">
        <f t="shared" si="43"/>
        <v>9.6999214070450979E-2</v>
      </c>
      <c r="AJ93">
        <f t="shared" si="44"/>
        <v>13.986941385228702</v>
      </c>
      <c r="AL93">
        <f t="shared" si="45"/>
        <v>0.10008357990239478</v>
      </c>
      <c r="AM93">
        <f t="shared" si="46"/>
        <v>14.890592768950448</v>
      </c>
      <c r="AO93">
        <f t="shared" si="47"/>
        <v>9.982698829559089E-2</v>
      </c>
      <c r="AP93">
        <f t="shared" si="48"/>
        <v>14.814338436428091</v>
      </c>
    </row>
    <row r="94" spans="1:42" x14ac:dyDescent="0.2">
      <c r="A94" s="2">
        <v>92</v>
      </c>
      <c r="B94" s="3">
        <v>7.7299999999999997E-8</v>
      </c>
      <c r="C94" s="2">
        <v>4.797E-3</v>
      </c>
      <c r="D94" s="3">
        <v>116000</v>
      </c>
      <c r="E94" s="3">
        <v>165000000000</v>
      </c>
      <c r="F94" s="3">
        <v>143000000000</v>
      </c>
      <c r="G94" s="3">
        <v>5460000000</v>
      </c>
      <c r="H94" s="3">
        <v>10500000000</v>
      </c>
      <c r="I94" s="2"/>
      <c r="J94" s="7">
        <f t="shared" si="32"/>
        <v>7.7299999999999994E-2</v>
      </c>
      <c r="K94" s="7">
        <f t="shared" si="33"/>
        <v>4.7969999999999997</v>
      </c>
      <c r="L94" s="7">
        <f t="shared" si="34"/>
        <v>165</v>
      </c>
      <c r="M94" s="7">
        <f t="shared" si="35"/>
        <v>116</v>
      </c>
      <c r="O94">
        <f t="shared" si="36"/>
        <v>4.6284913793103448E-2</v>
      </c>
      <c r="P94">
        <f t="shared" si="37"/>
        <v>46.284913793103449</v>
      </c>
      <c r="V94">
        <f t="shared" si="38"/>
        <v>349.5123074403686</v>
      </c>
      <c r="W94">
        <f t="shared" si="39"/>
        <v>165.94551540905485</v>
      </c>
      <c r="AE94">
        <f t="shared" si="40"/>
        <v>0.39338354544942855</v>
      </c>
      <c r="AF94">
        <f t="shared" si="41"/>
        <v>0.3812602903898431</v>
      </c>
      <c r="AG94">
        <f t="shared" si="42"/>
        <v>0.38224026777062897</v>
      </c>
      <c r="AI94">
        <f t="shared" si="43"/>
        <v>8.1875141209926075E-2</v>
      </c>
      <c r="AJ94">
        <f t="shared" si="44"/>
        <v>9.8670614350084787</v>
      </c>
      <c r="AL94">
        <f t="shared" si="45"/>
        <v>8.447859413945244E-2</v>
      </c>
      <c r="AM94">
        <f t="shared" si="46"/>
        <v>10.504540600283978</v>
      </c>
      <c r="AO94">
        <f t="shared" si="47"/>
        <v>8.4262010178008245E-2</v>
      </c>
      <c r="AP94">
        <f t="shared" si="48"/>
        <v>10.450747125144492</v>
      </c>
    </row>
    <row r="95" spans="1:42" x14ac:dyDescent="0.2">
      <c r="A95" s="2">
        <v>93</v>
      </c>
      <c r="B95" s="3">
        <v>7.7799999999999995E-8</v>
      </c>
      <c r="C95" s="2">
        <v>4.849E-3</v>
      </c>
      <c r="D95" s="3">
        <v>93100</v>
      </c>
      <c r="E95" s="3">
        <v>137000000000</v>
      </c>
      <c r="F95" s="3">
        <v>122000000000</v>
      </c>
      <c r="G95" s="3">
        <v>10800000000</v>
      </c>
      <c r="H95" s="3">
        <v>12000000000</v>
      </c>
      <c r="I95" s="2"/>
      <c r="J95" s="7">
        <f t="shared" si="32"/>
        <v>7.7799999999999994E-2</v>
      </c>
      <c r="K95" s="7">
        <f t="shared" si="33"/>
        <v>4.8490000000000002</v>
      </c>
      <c r="L95" s="7">
        <f t="shared" si="34"/>
        <v>137</v>
      </c>
      <c r="M95" s="7">
        <f t="shared" si="35"/>
        <v>93.100000000000009</v>
      </c>
      <c r="O95">
        <f t="shared" si="36"/>
        <v>3.8737164339419976E-2</v>
      </c>
      <c r="P95">
        <f t="shared" si="37"/>
        <v>38.737164339419976</v>
      </c>
      <c r="V95">
        <f t="shared" si="38"/>
        <v>323.00695489582546</v>
      </c>
      <c r="W95">
        <f t="shared" si="39"/>
        <v>144.11454395777039</v>
      </c>
      <c r="AE95">
        <f t="shared" si="40"/>
        <v>0.31572420759777414</v>
      </c>
      <c r="AF95">
        <f t="shared" si="41"/>
        <v>0.30599425030426203</v>
      </c>
      <c r="AG95">
        <f t="shared" si="42"/>
        <v>0.3067807666331514</v>
      </c>
      <c r="AI95">
        <f t="shared" si="43"/>
        <v>0.10267399802287193</v>
      </c>
      <c r="AJ95">
        <f t="shared" si="44"/>
        <v>15.48413376222406</v>
      </c>
      <c r="AL95">
        <f t="shared" si="45"/>
        <v>0.10593880974702469</v>
      </c>
      <c r="AM95">
        <f t="shared" si="46"/>
        <v>16.484513939318628</v>
      </c>
      <c r="AO95">
        <f t="shared" si="47"/>
        <v>0.10566720665846217</v>
      </c>
      <c r="AP95">
        <f t="shared" si="48"/>
        <v>16.400097178555448</v>
      </c>
    </row>
    <row r="96" spans="1:42" x14ac:dyDescent="0.2">
      <c r="A96" s="2">
        <v>94</v>
      </c>
      <c r="B96" s="3">
        <v>7.8300000000000006E-8</v>
      </c>
      <c r="C96" s="2">
        <v>4.9020000000000001E-3</v>
      </c>
      <c r="D96" s="3">
        <v>95900</v>
      </c>
      <c r="E96" s="3">
        <v>140000000000</v>
      </c>
      <c r="F96" s="3">
        <v>124000000000</v>
      </c>
      <c r="G96" s="3">
        <v>1250000000</v>
      </c>
      <c r="H96" s="3">
        <v>11800000000</v>
      </c>
      <c r="I96" s="2"/>
      <c r="J96" s="7">
        <f t="shared" si="32"/>
        <v>7.8300000000000008E-2</v>
      </c>
      <c r="K96" s="7">
        <f t="shared" si="33"/>
        <v>4.9020000000000001</v>
      </c>
      <c r="L96" s="7">
        <f t="shared" si="34"/>
        <v>140</v>
      </c>
      <c r="M96" s="7">
        <f t="shared" si="35"/>
        <v>95.9</v>
      </c>
      <c r="O96">
        <f t="shared" si="36"/>
        <v>3.9963190823774773E-2</v>
      </c>
      <c r="P96">
        <f t="shared" si="37"/>
        <v>39.963190823774774</v>
      </c>
      <c r="V96">
        <f t="shared" si="38"/>
        <v>327.49672901869627</v>
      </c>
      <c r="W96">
        <f t="shared" si="39"/>
        <v>146.41367608060176</v>
      </c>
      <c r="AE96">
        <f t="shared" si="40"/>
        <v>0.32521967248793276</v>
      </c>
      <c r="AF96">
        <f t="shared" si="41"/>
        <v>0.31519708489987897</v>
      </c>
      <c r="AG96">
        <f t="shared" si="42"/>
        <v>0.31600725585520106</v>
      </c>
      <c r="AI96">
        <f t="shared" si="43"/>
        <v>0.10031680971331938</v>
      </c>
      <c r="AJ96">
        <f t="shared" si="44"/>
        <v>14.752654949820217</v>
      </c>
      <c r="AL96">
        <f t="shared" si="45"/>
        <v>0.10350666793242456</v>
      </c>
      <c r="AM96">
        <f t="shared" si="46"/>
        <v>15.705776628949677</v>
      </c>
      <c r="AO96">
        <f t="shared" si="47"/>
        <v>0.10324130030403238</v>
      </c>
      <c r="AP96">
        <f t="shared" si="48"/>
        <v>15.625347761397595</v>
      </c>
    </row>
    <row r="97" spans="1:42" x14ac:dyDescent="0.2">
      <c r="A97" s="2">
        <v>95</v>
      </c>
      <c r="B97" s="3">
        <v>7.8800000000000004E-8</v>
      </c>
      <c r="C97" s="2">
        <v>4.9540000000000001E-3</v>
      </c>
      <c r="D97" s="3">
        <v>90000</v>
      </c>
      <c r="E97" s="3">
        <v>135000000000</v>
      </c>
      <c r="F97" s="3">
        <v>120000000000</v>
      </c>
      <c r="G97" s="3">
        <v>9530000000</v>
      </c>
      <c r="H97" s="3">
        <v>12700000000</v>
      </c>
      <c r="I97" s="2"/>
      <c r="J97" s="7">
        <f t="shared" si="32"/>
        <v>7.8800000000000009E-2</v>
      </c>
      <c r="K97" s="7">
        <f t="shared" si="33"/>
        <v>4.9539999999999997</v>
      </c>
      <c r="L97" s="7">
        <f t="shared" si="34"/>
        <v>135</v>
      </c>
      <c r="M97" s="7">
        <f t="shared" si="35"/>
        <v>90</v>
      </c>
      <c r="O97">
        <f t="shared" si="36"/>
        <v>3.7516666666666677E-2</v>
      </c>
      <c r="P97">
        <f t="shared" si="37"/>
        <v>37.51666666666668</v>
      </c>
      <c r="V97">
        <f t="shared" si="38"/>
        <v>318.4581067594317</v>
      </c>
      <c r="W97">
        <f t="shared" si="39"/>
        <v>141.3058705206513</v>
      </c>
      <c r="AE97">
        <f t="shared" si="40"/>
        <v>0.30521137146938421</v>
      </c>
      <c r="AF97">
        <f t="shared" si="41"/>
        <v>0.29580539771625758</v>
      </c>
      <c r="AG97">
        <f t="shared" si="42"/>
        <v>0.29656572499445349</v>
      </c>
      <c r="AI97">
        <f t="shared" si="43"/>
        <v>0.10757572096761425</v>
      </c>
      <c r="AJ97">
        <f t="shared" si="44"/>
        <v>16.927977597329985</v>
      </c>
      <c r="AL97">
        <f t="shared" si="45"/>
        <v>0.11099639691101149</v>
      </c>
      <c r="AM97">
        <f t="shared" si="46"/>
        <v>18.021639889758895</v>
      </c>
      <c r="AO97">
        <f t="shared" si="47"/>
        <v>0.11071182731567313</v>
      </c>
      <c r="AP97">
        <f t="shared" si="48"/>
        <v>17.92935154757701</v>
      </c>
    </row>
    <row r="98" spans="1:42" x14ac:dyDescent="0.2">
      <c r="A98" s="2">
        <v>96</v>
      </c>
      <c r="B98" s="3">
        <v>7.9399999999999996E-8</v>
      </c>
      <c r="C98" s="2">
        <v>5.0090000000000004E-3</v>
      </c>
      <c r="D98" s="3">
        <v>116000</v>
      </c>
      <c r="E98" s="3">
        <v>164000000000</v>
      </c>
      <c r="F98" s="3">
        <v>142000000000</v>
      </c>
      <c r="G98" s="3">
        <v>8760000000</v>
      </c>
      <c r="H98" s="3">
        <v>10900000000</v>
      </c>
      <c r="I98" s="2"/>
      <c r="J98" s="7">
        <f t="shared" si="32"/>
        <v>7.9399999999999998E-2</v>
      </c>
      <c r="K98" s="7">
        <f t="shared" si="33"/>
        <v>5.0090000000000003</v>
      </c>
      <c r="L98" s="7">
        <f t="shared" si="34"/>
        <v>164</v>
      </c>
      <c r="M98" s="7">
        <f t="shared" si="35"/>
        <v>116</v>
      </c>
      <c r="O98">
        <f t="shared" si="36"/>
        <v>4.7014224137931028E-2</v>
      </c>
      <c r="P98">
        <f t="shared" si="37"/>
        <v>47.014224137931031</v>
      </c>
      <c r="V98">
        <f t="shared" si="38"/>
        <v>351.94151302187532</v>
      </c>
      <c r="W98">
        <f t="shared" si="39"/>
        <v>164.8001098307347</v>
      </c>
      <c r="AE98">
        <f t="shared" si="40"/>
        <v>0.39338354544942855</v>
      </c>
      <c r="AF98">
        <f t="shared" si="41"/>
        <v>0.3812602903898431</v>
      </c>
      <c r="AG98">
        <f t="shared" si="42"/>
        <v>0.38224026777062897</v>
      </c>
      <c r="AI98">
        <f t="shared" si="43"/>
        <v>8.4099433532576068E-2</v>
      </c>
      <c r="AJ98">
        <f t="shared" si="44"/>
        <v>10.303129190735349</v>
      </c>
      <c r="AL98">
        <f t="shared" si="45"/>
        <v>8.6773614161352181E-2</v>
      </c>
      <c r="AM98">
        <f t="shared" si="46"/>
        <v>10.968781293896695</v>
      </c>
      <c r="AO98">
        <f t="shared" si="47"/>
        <v>8.655114628892438E-2</v>
      </c>
      <c r="AP98">
        <f t="shared" si="48"/>
        <v>10.912610454419172</v>
      </c>
    </row>
    <row r="99" spans="1:42" x14ac:dyDescent="0.2">
      <c r="A99" s="2">
        <v>97</v>
      </c>
      <c r="B99" s="3">
        <v>8.0000000000000002E-8</v>
      </c>
      <c r="C99" s="2">
        <v>5.0619999999999997E-3</v>
      </c>
      <c r="D99" s="3">
        <v>108000</v>
      </c>
      <c r="E99" s="3">
        <v>153000000000</v>
      </c>
      <c r="F99" s="3">
        <v>134000000000</v>
      </c>
      <c r="G99" s="2">
        <v>0</v>
      </c>
      <c r="H99" s="3">
        <v>11200000000</v>
      </c>
      <c r="I99" s="2"/>
      <c r="J99" s="7">
        <f t="shared" si="32"/>
        <v>0.08</v>
      </c>
      <c r="K99" s="7">
        <f t="shared" si="33"/>
        <v>5.0619999999999994</v>
      </c>
      <c r="L99" s="7">
        <f t="shared" si="34"/>
        <v>153</v>
      </c>
      <c r="M99" s="7">
        <f t="shared" si="35"/>
        <v>108</v>
      </c>
      <c r="O99">
        <f t="shared" si="36"/>
        <v>4.4847222222222226E-2</v>
      </c>
      <c r="P99">
        <f t="shared" si="37"/>
        <v>44.847222222222229</v>
      </c>
      <c r="V99">
        <f t="shared" si="38"/>
        <v>344.66038338694301</v>
      </c>
      <c r="W99">
        <f t="shared" si="39"/>
        <v>156.67597032576654</v>
      </c>
      <c r="AE99">
        <f t="shared" si="40"/>
        <v>0.36625364576326108</v>
      </c>
      <c r="AF99">
        <f t="shared" si="41"/>
        <v>0.35496647725950914</v>
      </c>
      <c r="AG99">
        <f t="shared" si="42"/>
        <v>0.35587886999334423</v>
      </c>
      <c r="AI99">
        <f t="shared" si="43"/>
        <v>9.1011608263633026E-2</v>
      </c>
      <c r="AJ99">
        <f t="shared" si="44"/>
        <v>12.011817414334708</v>
      </c>
      <c r="AL99">
        <f t="shared" si="45"/>
        <v>9.3905581142987707E-2</v>
      </c>
      <c r="AM99">
        <f t="shared" si="46"/>
        <v>12.787862378599714</v>
      </c>
      <c r="AO99">
        <f t="shared" si="47"/>
        <v>9.3664828524258129E-2</v>
      </c>
      <c r="AP99">
        <f t="shared" si="48"/>
        <v>12.722376072903325</v>
      </c>
    </row>
    <row r="100" spans="1:42" x14ac:dyDescent="0.2">
      <c r="A100" s="2">
        <v>98</v>
      </c>
      <c r="B100" s="3">
        <v>8.2100000000000001E-8</v>
      </c>
      <c r="C100" s="2">
        <v>5.1089999999999998E-3</v>
      </c>
      <c r="D100" s="3">
        <v>106000</v>
      </c>
      <c r="E100" s="3">
        <v>149000000000</v>
      </c>
      <c r="F100" s="3">
        <v>131000000000</v>
      </c>
      <c r="G100" s="3">
        <v>11800000000</v>
      </c>
      <c r="H100" s="3">
        <v>11200000000</v>
      </c>
      <c r="I100" s="2"/>
      <c r="J100" s="7">
        <f t="shared" si="32"/>
        <v>8.2100000000000006E-2</v>
      </c>
      <c r="K100" s="7">
        <f t="shared" si="33"/>
        <v>5.109</v>
      </c>
      <c r="L100" s="7">
        <f t="shared" si="34"/>
        <v>149</v>
      </c>
      <c r="M100" s="7">
        <f t="shared" si="35"/>
        <v>106</v>
      </c>
      <c r="O100">
        <f t="shared" si="36"/>
        <v>4.5951415094339629E-2</v>
      </c>
      <c r="P100">
        <f t="shared" si="37"/>
        <v>45.95141509433963</v>
      </c>
      <c r="V100">
        <f t="shared" si="38"/>
        <v>348.3943781191486</v>
      </c>
      <c r="W100">
        <f t="shared" si="39"/>
        <v>152.12645016296545</v>
      </c>
      <c r="AE100">
        <f t="shared" si="40"/>
        <v>0.3594711708417192</v>
      </c>
      <c r="AF100">
        <f t="shared" si="41"/>
        <v>0.34839302397692562</v>
      </c>
      <c r="AG100">
        <f t="shared" si="42"/>
        <v>0.34928852054902304</v>
      </c>
      <c r="AI100">
        <f t="shared" si="43"/>
        <v>9.516293964056384E-2</v>
      </c>
      <c r="AJ100">
        <f t="shared" si="44"/>
        <v>12.585146180613638</v>
      </c>
      <c r="AL100">
        <f t="shared" si="45"/>
        <v>9.8188915905500398E-2</v>
      </c>
      <c r="AM100">
        <f t="shared" si="46"/>
        <v>13.398232076037662</v>
      </c>
      <c r="AO100">
        <f t="shared" si="47"/>
        <v>9.7937181787605188E-2</v>
      </c>
      <c r="AP100">
        <f t="shared" si="48"/>
        <v>13.329620083231818</v>
      </c>
    </row>
    <row r="101" spans="1:42" x14ac:dyDescent="0.2">
      <c r="A101" s="2">
        <v>99</v>
      </c>
      <c r="B101" s="3">
        <v>8.5199999999999995E-8</v>
      </c>
      <c r="C101" s="2">
        <v>5.1580000000000003E-3</v>
      </c>
      <c r="D101" s="3">
        <v>99300</v>
      </c>
      <c r="E101" s="3">
        <v>138000000000</v>
      </c>
      <c r="F101" s="3">
        <v>122000000000</v>
      </c>
      <c r="G101" s="2">
        <v>0</v>
      </c>
      <c r="H101" s="3">
        <v>11300000000</v>
      </c>
      <c r="I101" s="2"/>
      <c r="J101" s="7">
        <f t="shared" si="32"/>
        <v>8.5199999999999998E-2</v>
      </c>
      <c r="K101" s="7">
        <f t="shared" si="33"/>
        <v>5.1580000000000004</v>
      </c>
      <c r="L101" s="7">
        <f t="shared" si="34"/>
        <v>138</v>
      </c>
      <c r="M101" s="7">
        <f t="shared" si="35"/>
        <v>99.3</v>
      </c>
      <c r="O101">
        <f t="shared" si="36"/>
        <v>4.6242296072507544E-2</v>
      </c>
      <c r="P101">
        <f t="shared" si="37"/>
        <v>46.242296072507543</v>
      </c>
      <c r="V101">
        <f t="shared" si="38"/>
        <v>349.36969810116153</v>
      </c>
      <c r="W101">
        <f t="shared" si="39"/>
        <v>142.11306896347841</v>
      </c>
      <c r="AE101">
        <f t="shared" si="40"/>
        <v>0.3367498798545539</v>
      </c>
      <c r="AF101">
        <f t="shared" si="41"/>
        <v>0.32637195548027087</v>
      </c>
      <c r="AG101">
        <f t="shared" si="42"/>
        <v>0.32721084991054705</v>
      </c>
      <c r="AI101">
        <f t="shared" si="43"/>
        <v>0.10541948824252842</v>
      </c>
      <c r="AJ101">
        <f t="shared" si="44"/>
        <v>14.478278723658406</v>
      </c>
      <c r="AL101">
        <f t="shared" si="45"/>
        <v>0.10877160063511024</v>
      </c>
      <c r="AM101">
        <f t="shared" si="46"/>
        <v>15.413673835584738</v>
      </c>
      <c r="AO101">
        <f t="shared" si="47"/>
        <v>0.10849273491299263</v>
      </c>
      <c r="AP101">
        <f t="shared" si="48"/>
        <v>15.334740818727223</v>
      </c>
    </row>
    <row r="102" spans="1:42" x14ac:dyDescent="0.2">
      <c r="A102" s="3">
        <v>100</v>
      </c>
      <c r="B102" s="3">
        <v>8.5899999999999995E-8</v>
      </c>
      <c r="C102" s="2">
        <v>5.2119999999999996E-3</v>
      </c>
      <c r="D102" s="3">
        <v>115000</v>
      </c>
      <c r="E102" s="3">
        <v>156000000000</v>
      </c>
      <c r="F102" s="3">
        <v>136000000000</v>
      </c>
      <c r="G102" s="3">
        <v>6530000000</v>
      </c>
      <c r="H102" s="3">
        <v>10700000000</v>
      </c>
      <c r="I102" s="2"/>
      <c r="J102" s="7">
        <f t="shared" si="32"/>
        <v>8.589999999999999E-2</v>
      </c>
      <c r="K102" s="7">
        <f t="shared" si="33"/>
        <v>5.2119999999999997</v>
      </c>
      <c r="L102" s="7">
        <f t="shared" si="34"/>
        <v>156</v>
      </c>
      <c r="M102" s="7">
        <f t="shared" si="35"/>
        <v>115</v>
      </c>
      <c r="O102">
        <f t="shared" si="36"/>
        <v>5.1908695652173903E-2</v>
      </c>
      <c r="P102">
        <f t="shared" si="37"/>
        <v>51.908695652173904</v>
      </c>
      <c r="V102">
        <f t="shared" si="38"/>
        <v>367.72669654541238</v>
      </c>
      <c r="W102">
        <f t="shared" si="39"/>
        <v>156.36612881300294</v>
      </c>
      <c r="AE102">
        <f t="shared" si="40"/>
        <v>0.38999230798865764</v>
      </c>
      <c r="AF102">
        <f t="shared" si="41"/>
        <v>0.3779735637485514</v>
      </c>
      <c r="AG102">
        <f t="shared" si="42"/>
        <v>0.37894509304846841</v>
      </c>
      <c r="AI102">
        <f t="shared" si="43"/>
        <v>9.1775314367758279E-2</v>
      </c>
      <c r="AJ102">
        <f t="shared" si="44"/>
        <v>10.90794196318034</v>
      </c>
      <c r="AL102">
        <f t="shared" si="45"/>
        <v>9.4693571454317976E-2</v>
      </c>
      <c r="AM102">
        <f t="shared" si="46"/>
        <v>11.612669078072964</v>
      </c>
      <c r="AO102">
        <f t="shared" si="47"/>
        <v>9.4450798607092087E-2</v>
      </c>
      <c r="AP102">
        <f t="shared" si="48"/>
        <v>11.553200906248533</v>
      </c>
    </row>
    <row r="103" spans="1:42" x14ac:dyDescent="0.2">
      <c r="A103" s="3">
        <v>100</v>
      </c>
      <c r="B103" s="3">
        <v>8.6900000000000004E-8</v>
      </c>
      <c r="C103" s="2">
        <v>5.2649999999999997E-3</v>
      </c>
      <c r="D103" s="3">
        <v>107000</v>
      </c>
      <c r="E103" s="3">
        <v>147000000000</v>
      </c>
      <c r="F103" s="3">
        <v>129000000000</v>
      </c>
      <c r="G103" s="2">
        <v>0</v>
      </c>
      <c r="H103" s="3">
        <v>11200000000</v>
      </c>
      <c r="I103" s="2"/>
      <c r="J103" s="7">
        <f t="shared" si="32"/>
        <v>8.6900000000000005E-2</v>
      </c>
      <c r="K103" s="7">
        <f t="shared" si="33"/>
        <v>5.2649999999999997</v>
      </c>
      <c r="L103" s="7">
        <f t="shared" si="34"/>
        <v>147</v>
      </c>
      <c r="M103" s="7">
        <f t="shared" si="35"/>
        <v>107</v>
      </c>
      <c r="O103">
        <f t="shared" si="36"/>
        <v>4.9995794392523371E-2</v>
      </c>
      <c r="P103">
        <f t="shared" si="37"/>
        <v>49.995794392523372</v>
      </c>
      <c r="V103">
        <f t="shared" si="38"/>
        <v>361.66042756806303</v>
      </c>
      <c r="W103">
        <f t="shared" si="39"/>
        <v>147.92881919582288</v>
      </c>
      <c r="AE103">
        <f t="shared" si="40"/>
        <v>0.36286240830249017</v>
      </c>
      <c r="AF103">
        <f t="shared" si="41"/>
        <v>0.35167975061821738</v>
      </c>
      <c r="AG103">
        <f t="shared" si="42"/>
        <v>0.35258369527118361</v>
      </c>
      <c r="AI103">
        <f t="shared" si="43"/>
        <v>9.9785297415402888E-2</v>
      </c>
      <c r="AJ103">
        <f t="shared" si="44"/>
        <v>12.728139085800086</v>
      </c>
      <c r="AL103">
        <f t="shared" si="45"/>
        <v>0.10295825468962246</v>
      </c>
      <c r="AM103">
        <f t="shared" si="46"/>
        <v>13.550463293809777</v>
      </c>
      <c r="AO103">
        <f t="shared" si="47"/>
        <v>0.10269429306844245</v>
      </c>
      <c r="AP103">
        <f t="shared" si="48"/>
        <v>13.481071728955971</v>
      </c>
    </row>
    <row r="104" spans="1:42" x14ac:dyDescent="0.2">
      <c r="A104" s="3">
        <v>100</v>
      </c>
      <c r="B104" s="3">
        <v>8.7600000000000004E-8</v>
      </c>
      <c r="C104" s="2">
        <v>5.3189999999999999E-3</v>
      </c>
      <c r="D104" s="3">
        <v>106000</v>
      </c>
      <c r="E104" s="3">
        <v>145000000000</v>
      </c>
      <c r="F104" s="3">
        <v>128000000000</v>
      </c>
      <c r="G104" s="2">
        <v>0</v>
      </c>
      <c r="H104" s="3">
        <v>11300000000</v>
      </c>
      <c r="I104" s="2"/>
      <c r="J104" s="7">
        <f t="shared" si="32"/>
        <v>8.7599999999999997E-2</v>
      </c>
      <c r="K104" s="7">
        <f t="shared" si="33"/>
        <v>5.319</v>
      </c>
      <c r="L104" s="7">
        <f t="shared" si="34"/>
        <v>145</v>
      </c>
      <c r="M104" s="7">
        <f t="shared" si="35"/>
        <v>106</v>
      </c>
      <c r="O104">
        <f t="shared" si="36"/>
        <v>4.9965566037735845E-2</v>
      </c>
      <c r="P104">
        <f t="shared" si="37"/>
        <v>49.965566037735847</v>
      </c>
      <c r="V104">
        <f t="shared" si="38"/>
        <v>361.56353766866459</v>
      </c>
      <c r="W104">
        <f t="shared" si="39"/>
        <v>146.58557757715323</v>
      </c>
      <c r="AE104">
        <f t="shared" si="40"/>
        <v>0.3594711708417192</v>
      </c>
      <c r="AF104">
        <f t="shared" si="41"/>
        <v>0.34839302397692562</v>
      </c>
      <c r="AG104">
        <f t="shared" si="42"/>
        <v>0.34928852054902304</v>
      </c>
      <c r="AI104">
        <f t="shared" si="43"/>
        <v>0.10153804521940793</v>
      </c>
      <c r="AJ104">
        <f t="shared" si="44"/>
        <v>13.102445201543148</v>
      </c>
      <c r="AL104">
        <f t="shared" si="45"/>
        <v>0.10476673609405401</v>
      </c>
      <c r="AM104">
        <f t="shared" si="46"/>
        <v>13.948952126139034</v>
      </c>
      <c r="AO104">
        <f t="shared" si="47"/>
        <v>0.10449813793659213</v>
      </c>
      <c r="AP104">
        <f t="shared" si="48"/>
        <v>13.877519910493255</v>
      </c>
    </row>
    <row r="105" spans="1:42" x14ac:dyDescent="0.2">
      <c r="A105" s="3">
        <v>100</v>
      </c>
      <c r="B105" s="3">
        <v>8.79E-8</v>
      </c>
      <c r="C105" s="2">
        <v>5.372E-3</v>
      </c>
      <c r="D105" s="3">
        <v>106000</v>
      </c>
      <c r="E105" s="3">
        <v>145000000000</v>
      </c>
      <c r="F105" s="3">
        <v>128000000000</v>
      </c>
      <c r="G105" s="3">
        <v>15500000000</v>
      </c>
      <c r="H105" s="3">
        <v>11400000000</v>
      </c>
      <c r="I105" s="2"/>
      <c r="J105" s="7">
        <f t="shared" si="32"/>
        <v>8.7900000000000006E-2</v>
      </c>
      <c r="K105" s="7">
        <f t="shared" si="33"/>
        <v>5.3719999999999999</v>
      </c>
      <c r="L105" s="7">
        <f t="shared" si="34"/>
        <v>145</v>
      </c>
      <c r="M105" s="7">
        <f t="shared" si="35"/>
        <v>106</v>
      </c>
      <c r="O105">
        <f t="shared" si="36"/>
        <v>4.9890566037735853E-2</v>
      </c>
      <c r="P105">
        <f t="shared" si="37"/>
        <v>49.890566037735852</v>
      </c>
      <c r="V105">
        <f t="shared" si="38"/>
        <v>361.3230016822348</v>
      </c>
      <c r="W105">
        <f t="shared" si="39"/>
        <v>146.68316092040772</v>
      </c>
      <c r="AE105">
        <f t="shared" si="40"/>
        <v>0.3594711708417192</v>
      </c>
      <c r="AF105">
        <f t="shared" si="41"/>
        <v>0.34839302397692562</v>
      </c>
      <c r="AG105">
        <f t="shared" si="42"/>
        <v>0.34928852054902304</v>
      </c>
      <c r="AI105">
        <f t="shared" si="43"/>
        <v>0.10188577825098126</v>
      </c>
      <c r="AJ105">
        <f t="shared" si="44"/>
        <v>13.233001621111072</v>
      </c>
      <c r="AL105">
        <f t="shared" si="45"/>
        <v>0.10512552628615694</v>
      </c>
      <c r="AM105">
        <f t="shared" si="46"/>
        <v>14.087943376878902</v>
      </c>
      <c r="AO105">
        <f t="shared" si="47"/>
        <v>0.10485600827199142</v>
      </c>
      <c r="AP105">
        <f t="shared" si="48"/>
        <v>14.015799390706855</v>
      </c>
    </row>
    <row r="106" spans="1:42" x14ac:dyDescent="0.2">
      <c r="A106" s="3">
        <v>100</v>
      </c>
      <c r="B106" s="3">
        <v>8.9200000000000005E-8</v>
      </c>
      <c r="C106" s="2">
        <v>5.4209999999999996E-3</v>
      </c>
      <c r="D106" s="3">
        <v>96000</v>
      </c>
      <c r="E106" s="3">
        <v>132000000000</v>
      </c>
      <c r="F106" s="3">
        <v>118000000000</v>
      </c>
      <c r="G106" s="3">
        <v>3020000000</v>
      </c>
      <c r="H106" s="3">
        <v>11800000000</v>
      </c>
      <c r="I106" s="2"/>
      <c r="J106" s="7">
        <f t="shared" si="32"/>
        <v>8.9200000000000002E-2</v>
      </c>
      <c r="K106" s="7">
        <f t="shared" si="33"/>
        <v>5.4209999999999994</v>
      </c>
      <c r="L106" s="7">
        <f t="shared" si="34"/>
        <v>132</v>
      </c>
      <c r="M106" s="7">
        <f t="shared" si="35"/>
        <v>96</v>
      </c>
      <c r="O106">
        <f t="shared" si="36"/>
        <v>4.6848437500000006E-2</v>
      </c>
      <c r="P106">
        <f t="shared" si="37"/>
        <v>46.848437500000003</v>
      </c>
      <c r="V106">
        <f t="shared" si="38"/>
        <v>351.39116026300917</v>
      </c>
      <c r="W106">
        <f t="shared" si="39"/>
        <v>136.59990753345352</v>
      </c>
      <c r="AE106">
        <f t="shared" si="40"/>
        <v>0.32555879623400985</v>
      </c>
      <c r="AF106">
        <f t="shared" si="41"/>
        <v>0.31552575756400808</v>
      </c>
      <c r="AG106">
        <f t="shared" si="42"/>
        <v>0.31633677332741711</v>
      </c>
      <c r="AI106">
        <f t="shared" si="43"/>
        <v>0.11416268611569468</v>
      </c>
      <c r="AJ106">
        <f t="shared" si="44"/>
        <v>16.28062351359327</v>
      </c>
      <c r="AL106">
        <f t="shared" si="45"/>
        <v>0.11779281334623522</v>
      </c>
      <c r="AM106">
        <f t="shared" si="46"/>
        <v>17.332462336729289</v>
      </c>
      <c r="AO106">
        <f t="shared" si="47"/>
        <v>0.11749081928011627</v>
      </c>
      <c r="AP106">
        <f t="shared" si="48"/>
        <v>17.243703254605151</v>
      </c>
    </row>
    <row r="107" spans="1:42" x14ac:dyDescent="0.2">
      <c r="A107" s="3">
        <v>110</v>
      </c>
      <c r="B107" s="3">
        <v>8.9400000000000006E-8</v>
      </c>
      <c r="C107" s="2">
        <v>5.4739999999999997E-3</v>
      </c>
      <c r="D107" s="3">
        <v>91000</v>
      </c>
      <c r="E107" s="3">
        <v>126000000000</v>
      </c>
      <c r="F107" s="3">
        <v>113000000000</v>
      </c>
      <c r="G107" s="3">
        <v>9100000000</v>
      </c>
      <c r="H107" s="3">
        <v>12200000000</v>
      </c>
      <c r="I107" s="2"/>
      <c r="J107" s="7">
        <f t="shared" si="32"/>
        <v>8.9400000000000007E-2</v>
      </c>
      <c r="K107" s="7">
        <f t="shared" si="33"/>
        <v>5.4739999999999993</v>
      </c>
      <c r="L107" s="7">
        <f t="shared" si="34"/>
        <v>126.00000000000001</v>
      </c>
      <c r="M107" s="7">
        <f t="shared" si="35"/>
        <v>91</v>
      </c>
      <c r="O107">
        <f t="shared" si="36"/>
        <v>4.4284615384615394E-2</v>
      </c>
      <c r="P107">
        <f t="shared" si="37"/>
        <v>44.284615384615392</v>
      </c>
      <c r="V107">
        <f t="shared" si="38"/>
        <v>342.73813852730893</v>
      </c>
      <c r="W107">
        <f t="shared" si="39"/>
        <v>132.75441185362749</v>
      </c>
      <c r="AE107">
        <f t="shared" si="40"/>
        <v>0.30860260893015518</v>
      </c>
      <c r="AF107">
        <f t="shared" si="41"/>
        <v>0.29909212435754934</v>
      </c>
      <c r="AG107">
        <f t="shared" si="42"/>
        <v>0.29986089971661412</v>
      </c>
      <c r="AI107">
        <f t="shared" si="43"/>
        <v>0.12070539561909747</v>
      </c>
      <c r="AJ107">
        <f t="shared" si="44"/>
        <v>18.295997854309956</v>
      </c>
      <c r="AL107">
        <f t="shared" si="45"/>
        <v>0.12454356690271635</v>
      </c>
      <c r="AM107">
        <f t="shared" si="46"/>
        <v>19.47804354409012</v>
      </c>
      <c r="AO107">
        <f t="shared" si="47"/>
        <v>0.12422426543508476</v>
      </c>
      <c r="AP107">
        <f t="shared" si="48"/>
        <v>19.378296997237182</v>
      </c>
    </row>
    <row r="108" spans="1:42" x14ac:dyDescent="0.2">
      <c r="A108" s="3">
        <v>110</v>
      </c>
      <c r="B108" s="3">
        <v>9.0400000000000002E-8</v>
      </c>
      <c r="C108" s="2">
        <v>5.5259999999999997E-3</v>
      </c>
      <c r="D108" s="3">
        <v>107000</v>
      </c>
      <c r="E108" s="3">
        <v>145000000000</v>
      </c>
      <c r="F108" s="3">
        <v>127000000000</v>
      </c>
      <c r="G108" s="2">
        <v>0</v>
      </c>
      <c r="H108" s="3">
        <v>11300000000</v>
      </c>
      <c r="I108" s="2"/>
      <c r="J108" s="7">
        <f t="shared" si="32"/>
        <v>9.0400000000000008E-2</v>
      </c>
      <c r="K108" s="7">
        <f t="shared" si="33"/>
        <v>5.5259999999999998</v>
      </c>
      <c r="L108" s="7">
        <f t="shared" si="34"/>
        <v>145</v>
      </c>
      <c r="M108" s="7">
        <f t="shared" si="35"/>
        <v>107</v>
      </c>
      <c r="O108">
        <f t="shared" si="36"/>
        <v>5.1666355140186929E-2</v>
      </c>
      <c r="P108">
        <f t="shared" si="37"/>
        <v>51.66635514018693</v>
      </c>
      <c r="V108">
        <f t="shared" si="38"/>
        <v>366.96514368744994</v>
      </c>
      <c r="W108">
        <f t="shared" si="39"/>
        <v>145.79041339568425</v>
      </c>
      <c r="AE108">
        <f t="shared" si="40"/>
        <v>0.36286240830249017</v>
      </c>
      <c r="AF108">
        <f t="shared" si="41"/>
        <v>0.35167975061821738</v>
      </c>
      <c r="AG108">
        <f t="shared" si="42"/>
        <v>0.35258369527118361</v>
      </c>
      <c r="AI108">
        <f t="shared" si="43"/>
        <v>0.10380426796723154</v>
      </c>
      <c r="AJ108">
        <f t="shared" si="44"/>
        <v>13.359106664412398</v>
      </c>
      <c r="AL108">
        <f t="shared" si="45"/>
        <v>0.10710501983822636</v>
      </c>
      <c r="AM108">
        <f t="shared" si="46"/>
        <v>14.222195662220861</v>
      </c>
      <c r="AO108">
        <f t="shared" si="47"/>
        <v>0.10683042685140619</v>
      </c>
      <c r="AP108">
        <f t="shared" si="48"/>
        <v>14.14936417363926</v>
      </c>
    </row>
    <row r="109" spans="1:42" x14ac:dyDescent="0.2">
      <c r="A109" s="3">
        <v>110</v>
      </c>
      <c r="B109" s="3">
        <v>9.1100000000000002E-8</v>
      </c>
      <c r="C109" s="2">
        <v>5.5799999999999999E-3</v>
      </c>
      <c r="D109" s="3">
        <v>121000</v>
      </c>
      <c r="E109" s="3">
        <v>158000000000</v>
      </c>
      <c r="F109" s="3">
        <v>138000000000</v>
      </c>
      <c r="G109" s="3">
        <v>11800000000</v>
      </c>
      <c r="H109" s="3">
        <v>10400000000</v>
      </c>
      <c r="I109" s="2"/>
      <c r="J109" s="7">
        <f t="shared" si="32"/>
        <v>9.11E-2</v>
      </c>
      <c r="K109" s="7">
        <f t="shared" si="33"/>
        <v>5.58</v>
      </c>
      <c r="L109" s="7">
        <f t="shared" si="34"/>
        <v>158</v>
      </c>
      <c r="M109" s="7">
        <f t="shared" si="35"/>
        <v>121</v>
      </c>
      <c r="O109">
        <f t="shared" si="36"/>
        <v>5.6513223140495866E-2</v>
      </c>
      <c r="P109">
        <f t="shared" si="37"/>
        <v>56.513223140495867</v>
      </c>
      <c r="V109">
        <f t="shared" si="38"/>
        <v>381.83612259106945</v>
      </c>
      <c r="W109">
        <f t="shared" si="39"/>
        <v>158.44493598315989</v>
      </c>
      <c r="AE109">
        <f t="shared" si="40"/>
        <v>0.41033973275328323</v>
      </c>
      <c r="AF109">
        <f t="shared" si="41"/>
        <v>0.3976939235963019</v>
      </c>
      <c r="AG109">
        <f t="shared" si="42"/>
        <v>0.39871614138143197</v>
      </c>
      <c r="AI109">
        <f t="shared" si="43"/>
        <v>9.250464993638767E-2</v>
      </c>
      <c r="AJ109">
        <f t="shared" si="44"/>
        <v>10.548666217612947</v>
      </c>
      <c r="AL109">
        <f t="shared" si="45"/>
        <v>9.5446098321242512E-2</v>
      </c>
      <c r="AM109">
        <f t="shared" si="46"/>
        <v>11.230181679887757</v>
      </c>
      <c r="AO109">
        <f t="shared" si="47"/>
        <v>9.5201396165751115E-2</v>
      </c>
      <c r="AP109">
        <f t="shared" si="48"/>
        <v>11.172672215933417</v>
      </c>
    </row>
    <row r="110" spans="1:42" x14ac:dyDescent="0.2">
      <c r="A110" s="3">
        <v>110</v>
      </c>
      <c r="B110" s="3">
        <v>9.1300000000000004E-8</v>
      </c>
      <c r="C110" s="2">
        <v>5.633E-3</v>
      </c>
      <c r="D110" s="3">
        <v>99100</v>
      </c>
      <c r="E110" s="3">
        <v>136000000000</v>
      </c>
      <c r="F110" s="3">
        <v>121000000000</v>
      </c>
      <c r="G110" s="3">
        <v>22400000000</v>
      </c>
      <c r="H110" s="3">
        <v>12100000000</v>
      </c>
      <c r="I110" s="2"/>
      <c r="J110" s="7">
        <f t="shared" si="32"/>
        <v>9.1300000000000006E-2</v>
      </c>
      <c r="K110" s="7">
        <f t="shared" si="33"/>
        <v>5.633</v>
      </c>
      <c r="L110" s="7">
        <f t="shared" si="34"/>
        <v>136</v>
      </c>
      <c r="M110" s="7">
        <f t="shared" si="35"/>
        <v>99.100000000000009</v>
      </c>
      <c r="O110">
        <f t="shared" si="36"/>
        <v>4.8668819374369336E-2</v>
      </c>
      <c r="P110">
        <f t="shared" si="37"/>
        <v>48.668819374369335</v>
      </c>
      <c r="V110">
        <f t="shared" si="38"/>
        <v>357.37596278059749</v>
      </c>
      <c r="W110">
        <f t="shared" si="39"/>
        <v>138.64950405301897</v>
      </c>
      <c r="AE110">
        <f t="shared" si="40"/>
        <v>0.33607163236239979</v>
      </c>
      <c r="AF110">
        <f t="shared" si="41"/>
        <v>0.32571461015201258</v>
      </c>
      <c r="AG110">
        <f t="shared" si="42"/>
        <v>0.32655181496611496</v>
      </c>
      <c r="AI110">
        <f t="shared" si="43"/>
        <v>0.1131951137894459</v>
      </c>
      <c r="AJ110">
        <f t="shared" si="44"/>
        <v>15.875467911744177</v>
      </c>
      <c r="AL110">
        <f t="shared" si="45"/>
        <v>0.11679447430654842</v>
      </c>
      <c r="AM110">
        <f t="shared" si="46"/>
        <v>16.901130932025954</v>
      </c>
      <c r="AO110">
        <f t="shared" si="47"/>
        <v>0.1164950397553727</v>
      </c>
      <c r="AP110">
        <f t="shared" si="48"/>
        <v>16.814580686640021</v>
      </c>
    </row>
    <row r="111" spans="1:42" x14ac:dyDescent="0.2">
      <c r="A111" s="3">
        <v>110</v>
      </c>
      <c r="B111" s="3">
        <v>9.1800000000000001E-8</v>
      </c>
      <c r="C111" s="2">
        <v>5.6839999999999998E-3</v>
      </c>
      <c r="D111" s="3">
        <v>147000</v>
      </c>
      <c r="E111" s="3">
        <v>190000000000</v>
      </c>
      <c r="F111" s="3">
        <v>161000000000</v>
      </c>
      <c r="G111" s="2">
        <v>0</v>
      </c>
      <c r="H111" s="3">
        <v>9850000000</v>
      </c>
      <c r="I111" s="2"/>
      <c r="J111" s="7">
        <f t="shared" si="32"/>
        <v>9.1800000000000007E-2</v>
      </c>
      <c r="K111" s="7">
        <f t="shared" si="33"/>
        <v>5.6840000000000002</v>
      </c>
      <c r="L111" s="7">
        <f t="shared" si="34"/>
        <v>190</v>
      </c>
      <c r="M111" s="7">
        <f t="shared" si="35"/>
        <v>147</v>
      </c>
      <c r="O111">
        <f t="shared" si="36"/>
        <v>6.2800000000000009E-2</v>
      </c>
      <c r="P111">
        <f t="shared" si="37"/>
        <v>62.800000000000011</v>
      </c>
      <c r="V111">
        <f t="shared" si="38"/>
        <v>400.10277672285895</v>
      </c>
      <c r="W111">
        <f t="shared" si="39"/>
        <v>183.70279907082872</v>
      </c>
      <c r="AE111">
        <f t="shared" si="40"/>
        <v>0.49851190673332757</v>
      </c>
      <c r="AF111">
        <f t="shared" si="41"/>
        <v>0.48314881626988743</v>
      </c>
      <c r="AG111">
        <f t="shared" si="42"/>
        <v>0.48439068415760739</v>
      </c>
      <c r="AI111">
        <f t="shared" si="43"/>
        <v>7.6728357905524083E-2</v>
      </c>
      <c r="AJ111">
        <f t="shared" si="44"/>
        <v>7.2803706803047232</v>
      </c>
      <c r="AL111">
        <f t="shared" si="45"/>
        <v>7.9168154224833101E-2</v>
      </c>
      <c r="AM111">
        <f t="shared" si="46"/>
        <v>7.7507320593988291</v>
      </c>
      <c r="AO111">
        <f t="shared" si="47"/>
        <v>7.8965185027287832E-2</v>
      </c>
      <c r="AP111">
        <f t="shared" si="48"/>
        <v>7.7110407651085495</v>
      </c>
    </row>
    <row r="112" spans="1:42" x14ac:dyDescent="0.2">
      <c r="A112" s="3">
        <v>110</v>
      </c>
      <c r="B112" s="3">
        <v>9.2500000000000001E-8</v>
      </c>
      <c r="C112" s="2">
        <v>5.7369999999999999E-3</v>
      </c>
      <c r="D112" s="3">
        <v>112000</v>
      </c>
      <c r="E112" s="3">
        <v>148000000000</v>
      </c>
      <c r="F112" s="3">
        <v>130000000000</v>
      </c>
      <c r="G112" s="3">
        <v>1670000000</v>
      </c>
      <c r="H112" s="3">
        <v>11200000000</v>
      </c>
      <c r="I112" s="2"/>
      <c r="J112" s="7">
        <f t="shared" si="32"/>
        <v>9.2499999999999999E-2</v>
      </c>
      <c r="K112" s="7">
        <f t="shared" si="33"/>
        <v>5.7370000000000001</v>
      </c>
      <c r="L112" s="7">
        <f t="shared" si="34"/>
        <v>148</v>
      </c>
      <c r="M112" s="7">
        <f t="shared" si="35"/>
        <v>112</v>
      </c>
      <c r="O112">
        <f t="shared" si="36"/>
        <v>5.4082589285714286E-2</v>
      </c>
      <c r="P112">
        <f t="shared" si="37"/>
        <v>54.082589285714285</v>
      </c>
      <c r="V112">
        <f t="shared" si="38"/>
        <v>374.47135918937005</v>
      </c>
      <c r="W112">
        <f t="shared" si="39"/>
        <v>149.54414703763985</v>
      </c>
      <c r="AE112">
        <f t="shared" si="40"/>
        <v>0.37981859560634484</v>
      </c>
      <c r="AF112">
        <f t="shared" si="41"/>
        <v>0.36811338382467612</v>
      </c>
      <c r="AG112">
        <f t="shared" si="42"/>
        <v>0.3690595688819866</v>
      </c>
      <c r="AI112">
        <f t="shared" si="43"/>
        <v>0.10147388019572477</v>
      </c>
      <c r="AJ112">
        <f t="shared" si="44"/>
        <v>12.658518970102831</v>
      </c>
      <c r="AL112">
        <f t="shared" si="45"/>
        <v>0.10470053076098741</v>
      </c>
      <c r="AM112">
        <f t="shared" si="46"/>
        <v>13.476345245923349</v>
      </c>
      <c r="AO112">
        <f t="shared" si="47"/>
        <v>0.10443210233898868</v>
      </c>
      <c r="AP112">
        <f t="shared" si="48"/>
        <v>13.407333237636374</v>
      </c>
    </row>
    <row r="113" spans="1:42" x14ac:dyDescent="0.2">
      <c r="A113" s="3">
        <v>110</v>
      </c>
      <c r="B113" s="3">
        <v>9.3100000000000006E-8</v>
      </c>
      <c r="C113" s="2">
        <v>5.7860000000000003E-3</v>
      </c>
      <c r="D113" s="3">
        <v>116000</v>
      </c>
      <c r="E113" s="3">
        <v>151000000000</v>
      </c>
      <c r="F113" s="3">
        <v>133000000000</v>
      </c>
      <c r="G113" s="3">
        <v>13000000000</v>
      </c>
      <c r="H113" s="3">
        <v>11000000000</v>
      </c>
      <c r="I113" s="2"/>
      <c r="J113" s="7">
        <f t="shared" si="32"/>
        <v>9.3100000000000002E-2</v>
      </c>
      <c r="K113" s="7">
        <f t="shared" si="33"/>
        <v>5.7860000000000005</v>
      </c>
      <c r="L113" s="7">
        <f t="shared" si="34"/>
        <v>151</v>
      </c>
      <c r="M113" s="7">
        <f t="shared" si="35"/>
        <v>116</v>
      </c>
      <c r="O113">
        <f t="shared" si="36"/>
        <v>5.5690517241379307E-2</v>
      </c>
      <c r="P113">
        <f t="shared" si="37"/>
        <v>55.690517241379304</v>
      </c>
      <c r="V113">
        <f t="shared" si="38"/>
        <v>379.3634568902483</v>
      </c>
      <c r="W113">
        <f t="shared" si="39"/>
        <v>152.88768316126897</v>
      </c>
      <c r="AE113">
        <f t="shared" si="40"/>
        <v>0.39338354544942855</v>
      </c>
      <c r="AF113">
        <f t="shared" si="41"/>
        <v>0.3812602903898431</v>
      </c>
      <c r="AG113">
        <f t="shared" si="42"/>
        <v>0.38224026777062897</v>
      </c>
      <c r="AI113">
        <f t="shared" si="43"/>
        <v>9.861029297081654E-2</v>
      </c>
      <c r="AJ113">
        <f t="shared" si="44"/>
        <v>11.901358653941852</v>
      </c>
      <c r="AL113">
        <f t="shared" si="45"/>
        <v>0.10174588763755527</v>
      </c>
      <c r="AM113">
        <f t="shared" si="46"/>
        <v>12.670267232279155</v>
      </c>
      <c r="AO113">
        <f t="shared" si="47"/>
        <v>0.10148503425061536</v>
      </c>
      <c r="AP113">
        <f t="shared" si="48"/>
        <v>12.605383128223064</v>
      </c>
    </row>
    <row r="114" spans="1:42" x14ac:dyDescent="0.2">
      <c r="A114" s="3">
        <v>110</v>
      </c>
      <c r="B114" s="3">
        <v>9.3600000000000004E-8</v>
      </c>
      <c r="C114" s="2">
        <v>5.8409999999999998E-3</v>
      </c>
      <c r="D114" s="3">
        <v>100000</v>
      </c>
      <c r="E114" s="3">
        <v>136000000000</v>
      </c>
      <c r="F114" s="3">
        <v>121000000000</v>
      </c>
      <c r="G114" s="3">
        <v>13400000000</v>
      </c>
      <c r="H114" s="3">
        <v>12400000000</v>
      </c>
      <c r="I114" s="2"/>
      <c r="J114" s="7">
        <f t="shared" si="32"/>
        <v>9.3600000000000003E-2</v>
      </c>
      <c r="K114" s="7">
        <f t="shared" si="33"/>
        <v>5.8410000000000002</v>
      </c>
      <c r="L114" s="7">
        <f t="shared" si="34"/>
        <v>136</v>
      </c>
      <c r="M114" s="7">
        <f t="shared" si="35"/>
        <v>100</v>
      </c>
      <c r="O114">
        <f t="shared" si="36"/>
        <v>4.9792500000000003E-2</v>
      </c>
      <c r="P114">
        <f t="shared" si="37"/>
        <v>49.792500000000004</v>
      </c>
      <c r="V114">
        <f t="shared" si="38"/>
        <v>361.00818549667633</v>
      </c>
      <c r="W114">
        <f t="shared" si="39"/>
        <v>138.50101468256133</v>
      </c>
      <c r="AE114">
        <f t="shared" si="40"/>
        <v>0.33912374607709361</v>
      </c>
      <c r="AF114">
        <f t="shared" si="41"/>
        <v>0.32867266412917512</v>
      </c>
      <c r="AG114">
        <f t="shared" si="42"/>
        <v>0.32951747221605948</v>
      </c>
      <c r="AI114">
        <f t="shared" si="43"/>
        <v>0.11500226820192669</v>
      </c>
      <c r="AJ114">
        <f t="shared" si="44"/>
        <v>16.166696989960354</v>
      </c>
      <c r="AL114">
        <f t="shared" si="45"/>
        <v>0.11865909233227927</v>
      </c>
      <c r="AM114">
        <f t="shared" si="46"/>
        <v>17.211175386117514</v>
      </c>
      <c r="AO114">
        <f t="shared" si="47"/>
        <v>0.11835487732325256</v>
      </c>
      <c r="AP114">
        <f t="shared" si="48"/>
        <v>17.123037411266008</v>
      </c>
    </row>
    <row r="115" spans="1:42" x14ac:dyDescent="0.2">
      <c r="A115" s="3">
        <v>110</v>
      </c>
      <c r="B115" s="3">
        <v>9.4399999999999998E-8</v>
      </c>
      <c r="C115" s="2">
        <v>5.8910000000000004E-3</v>
      </c>
      <c r="D115" s="3">
        <v>116000</v>
      </c>
      <c r="E115" s="3">
        <v>151000000000</v>
      </c>
      <c r="F115" s="3">
        <v>132000000000</v>
      </c>
      <c r="G115" s="3">
        <v>1950000000</v>
      </c>
      <c r="H115" s="3">
        <v>11000000000</v>
      </c>
      <c r="I115" s="2"/>
      <c r="J115" s="7">
        <f t="shared" si="32"/>
        <v>9.4399999999999998E-2</v>
      </c>
      <c r="K115" s="7">
        <f t="shared" si="33"/>
        <v>5.891</v>
      </c>
      <c r="L115" s="7">
        <f t="shared" si="34"/>
        <v>151</v>
      </c>
      <c r="M115" s="7">
        <f t="shared" si="35"/>
        <v>116</v>
      </c>
      <c r="O115">
        <f t="shared" si="36"/>
        <v>5.6311637931034476E-2</v>
      </c>
      <c r="P115">
        <f t="shared" si="37"/>
        <v>56.311637931034475</v>
      </c>
      <c r="V115">
        <f t="shared" si="38"/>
        <v>381.23211702777655</v>
      </c>
      <c r="W115">
        <f t="shared" si="39"/>
        <v>152.13828376315453</v>
      </c>
      <c r="AE115">
        <f t="shared" si="40"/>
        <v>0.39338354544942855</v>
      </c>
      <c r="AF115">
        <f t="shared" si="41"/>
        <v>0.3812602903898431</v>
      </c>
      <c r="AG115">
        <f t="shared" si="42"/>
        <v>0.38224026777062897</v>
      </c>
      <c r="AI115">
        <f t="shared" si="43"/>
        <v>9.9987235837218913E-2</v>
      </c>
      <c r="AJ115">
        <f t="shared" si="44"/>
        <v>12.117335608429217</v>
      </c>
      <c r="AL115">
        <f t="shared" si="45"/>
        <v>0.10316661431777892</v>
      </c>
      <c r="AM115">
        <f t="shared" si="46"/>
        <v>12.900197764492999</v>
      </c>
      <c r="AO115">
        <f t="shared" si="47"/>
        <v>0.10290211850975392</v>
      </c>
      <c r="AP115">
        <f t="shared" si="48"/>
        <v>12.834136192250616</v>
      </c>
    </row>
    <row r="116" spans="1:42" x14ac:dyDescent="0.2">
      <c r="A116" s="3">
        <v>110</v>
      </c>
      <c r="B116" s="3">
        <v>9.4699999999999994E-8</v>
      </c>
      <c r="C116" s="2">
        <v>5.9430000000000004E-3</v>
      </c>
      <c r="D116" s="3">
        <v>107000</v>
      </c>
      <c r="E116" s="3">
        <v>142000000000</v>
      </c>
      <c r="F116" s="3">
        <v>125000000000</v>
      </c>
      <c r="G116" s="3">
        <v>10300000000</v>
      </c>
      <c r="H116" s="3">
        <v>11900000000</v>
      </c>
      <c r="I116" s="2"/>
      <c r="J116" s="7">
        <f t="shared" si="32"/>
        <v>9.4699999999999993E-2</v>
      </c>
      <c r="K116" s="7">
        <f t="shared" si="33"/>
        <v>5.9430000000000005</v>
      </c>
      <c r="L116" s="7">
        <f t="shared" si="34"/>
        <v>142</v>
      </c>
      <c r="M116" s="7">
        <f t="shared" si="35"/>
        <v>107</v>
      </c>
      <c r="O116">
        <f t="shared" si="36"/>
        <v>5.3043457943925225E-2</v>
      </c>
      <c r="P116">
        <f t="shared" si="37"/>
        <v>53.043457943925226</v>
      </c>
      <c r="V116">
        <f t="shared" si="38"/>
        <v>371.26659637876173</v>
      </c>
      <c r="W116">
        <f t="shared" si="39"/>
        <v>144.10130219584835</v>
      </c>
      <c r="AE116">
        <f t="shared" si="40"/>
        <v>0.36286240830249017</v>
      </c>
      <c r="AF116">
        <f t="shared" si="41"/>
        <v>0.35167975061821738</v>
      </c>
      <c r="AG116">
        <f t="shared" si="42"/>
        <v>0.35258369527118361</v>
      </c>
      <c r="AI116">
        <f t="shared" si="43"/>
        <v>0.10874186035947815</v>
      </c>
      <c r="AJ116">
        <f t="shared" si="44"/>
        <v>14.367204290011381</v>
      </c>
      <c r="AL116">
        <f t="shared" si="45"/>
        <v>0.11219961702079684</v>
      </c>
      <c r="AM116">
        <f t="shared" si="46"/>
        <v>15.295423239337421</v>
      </c>
      <c r="AO116">
        <f t="shared" si="47"/>
        <v>0.11191196264190448</v>
      </c>
      <c r="AP116">
        <f t="shared" si="48"/>
        <v>15.217095780661985</v>
      </c>
    </row>
    <row r="117" spans="1:42" x14ac:dyDescent="0.2">
      <c r="A117" s="3">
        <v>120</v>
      </c>
      <c r="B117" s="3">
        <v>9.5500000000000002E-8</v>
      </c>
      <c r="C117" s="2">
        <v>5.9940000000000002E-3</v>
      </c>
      <c r="D117" s="3">
        <v>110000</v>
      </c>
      <c r="E117" s="3">
        <v>144000000000</v>
      </c>
      <c r="F117" s="3">
        <v>127000000000</v>
      </c>
      <c r="G117" s="2">
        <v>0</v>
      </c>
      <c r="H117" s="3">
        <v>11600000000</v>
      </c>
      <c r="I117" s="2"/>
      <c r="J117" s="7">
        <f t="shared" si="32"/>
        <v>9.5500000000000002E-2</v>
      </c>
      <c r="K117" s="7">
        <f t="shared" si="33"/>
        <v>5.9939999999999998</v>
      </c>
      <c r="L117" s="7">
        <f t="shared" si="34"/>
        <v>144</v>
      </c>
      <c r="M117" s="7">
        <f t="shared" si="35"/>
        <v>110</v>
      </c>
      <c r="O117">
        <f t="shared" si="36"/>
        <v>5.4631818181818184E-2</v>
      </c>
      <c r="P117">
        <f t="shared" si="37"/>
        <v>54.631818181818183</v>
      </c>
      <c r="V117">
        <f t="shared" si="38"/>
        <v>376.15137857675916</v>
      </c>
      <c r="W117">
        <f t="shared" si="39"/>
        <v>146.21772810750565</v>
      </c>
      <c r="AE117">
        <f t="shared" si="40"/>
        <v>0.37303612068480296</v>
      </c>
      <c r="AF117">
        <f t="shared" si="41"/>
        <v>0.3615399305420926</v>
      </c>
      <c r="AG117">
        <f t="shared" si="42"/>
        <v>0.36246921943766541</v>
      </c>
      <c r="AI117">
        <f t="shared" si="43"/>
        <v>0.10666974177626261</v>
      </c>
      <c r="AJ117">
        <f t="shared" si="44"/>
        <v>13.710884126008983</v>
      </c>
      <c r="AL117">
        <f t="shared" si="45"/>
        <v>0.1100616095350881</v>
      </c>
      <c r="AM117">
        <f t="shared" si="46"/>
        <v>14.596700336377983</v>
      </c>
      <c r="AO117">
        <f t="shared" si="47"/>
        <v>0.10977943652263616</v>
      </c>
      <c r="AP117">
        <f t="shared" si="48"/>
        <v>14.52195101924533</v>
      </c>
    </row>
    <row r="118" spans="1:42" x14ac:dyDescent="0.2">
      <c r="A118" s="3">
        <v>120</v>
      </c>
      <c r="B118" s="3">
        <v>9.6400000000000003E-8</v>
      </c>
      <c r="C118" s="2">
        <v>6.0480000000000004E-3</v>
      </c>
      <c r="D118" s="3">
        <v>117000</v>
      </c>
      <c r="E118" s="3">
        <v>150000000000</v>
      </c>
      <c r="F118" s="3">
        <v>131000000000</v>
      </c>
      <c r="G118" s="3">
        <v>939000000</v>
      </c>
      <c r="H118" s="3">
        <v>11100000000</v>
      </c>
      <c r="I118" s="2"/>
      <c r="J118" s="7">
        <f t="shared" si="32"/>
        <v>9.64E-2</v>
      </c>
      <c r="K118" s="7">
        <f t="shared" si="33"/>
        <v>6.048</v>
      </c>
      <c r="L118" s="7">
        <f t="shared" si="34"/>
        <v>150</v>
      </c>
      <c r="M118" s="7">
        <f t="shared" si="35"/>
        <v>117</v>
      </c>
      <c r="O118">
        <f t="shared" si="36"/>
        <v>5.7630769230769235E-2</v>
      </c>
      <c r="P118">
        <f t="shared" si="37"/>
        <v>57.630769230769232</v>
      </c>
      <c r="V118">
        <f t="shared" si="38"/>
        <v>385.16303801074935</v>
      </c>
      <c r="W118">
        <f t="shared" si="39"/>
        <v>151.88373293069557</v>
      </c>
      <c r="AE118">
        <f t="shared" si="40"/>
        <v>0.39677478291019952</v>
      </c>
      <c r="AF118">
        <f t="shared" si="41"/>
        <v>0.38454701703113486</v>
      </c>
      <c r="AG118">
        <f t="shared" si="42"/>
        <v>0.38553544249278959</v>
      </c>
      <c r="AI118">
        <f t="shared" si="43"/>
        <v>0.10123291196093334</v>
      </c>
      <c r="AJ118">
        <f t="shared" si="44"/>
        <v>12.228527125131293</v>
      </c>
      <c r="AL118">
        <f t="shared" si="45"/>
        <v>0.10445190025596941</v>
      </c>
      <c r="AM118">
        <f t="shared" si="46"/>
        <v>13.01857300815572</v>
      </c>
      <c r="AO118">
        <f t="shared" si="47"/>
        <v>0.10418410926621326</v>
      </c>
      <c r="AP118">
        <f t="shared" si="48"/>
        <v>12.951905239415133</v>
      </c>
    </row>
    <row r="119" spans="1:42" x14ac:dyDescent="0.2">
      <c r="A119" s="3">
        <v>120</v>
      </c>
      <c r="B119" s="3">
        <v>9.6999999999999995E-8</v>
      </c>
      <c r="C119" s="2">
        <v>6.1029999999999999E-3</v>
      </c>
      <c r="D119" s="3">
        <v>110000</v>
      </c>
      <c r="E119" s="3">
        <v>143000000000</v>
      </c>
      <c r="F119" s="3">
        <v>126000000000</v>
      </c>
      <c r="G119" s="3">
        <v>2200000000</v>
      </c>
      <c r="H119" s="3">
        <v>11600000000</v>
      </c>
      <c r="I119" s="2"/>
      <c r="J119" s="7">
        <f t="shared" si="32"/>
        <v>9.6999999999999989E-2</v>
      </c>
      <c r="K119" s="7">
        <f t="shared" si="33"/>
        <v>6.1029999999999998</v>
      </c>
      <c r="L119" s="7">
        <f t="shared" si="34"/>
        <v>143</v>
      </c>
      <c r="M119" s="7">
        <f t="shared" si="35"/>
        <v>110</v>
      </c>
      <c r="O119">
        <f t="shared" si="36"/>
        <v>5.5388636363636355E-2</v>
      </c>
      <c r="P119">
        <f t="shared" si="37"/>
        <v>55.388636363636358</v>
      </c>
      <c r="V119">
        <f t="shared" si="38"/>
        <v>378.45104665776859</v>
      </c>
      <c r="W119">
        <f t="shared" si="39"/>
        <v>145.32923210471719</v>
      </c>
      <c r="AE119">
        <f t="shared" si="40"/>
        <v>0.37303612068480296</v>
      </c>
      <c r="AF119">
        <f t="shared" si="41"/>
        <v>0.3615399305420926</v>
      </c>
      <c r="AG119">
        <f t="shared" si="42"/>
        <v>0.36246921943766541</v>
      </c>
      <c r="AI119">
        <f t="shared" si="43"/>
        <v>0.10834518274657039</v>
      </c>
      <c r="AJ119">
        <f t="shared" si="44"/>
        <v>13.960214518023493</v>
      </c>
      <c r="AL119">
        <f t="shared" si="45"/>
        <v>0.11179032591522037</v>
      </c>
      <c r="AM119">
        <f t="shared" si="46"/>
        <v>14.862139164650456</v>
      </c>
      <c r="AO119">
        <f t="shared" si="47"/>
        <v>0.11150372086592364</v>
      </c>
      <c r="AP119">
        <f t="shared" si="48"/>
        <v>14.786030542284658</v>
      </c>
    </row>
    <row r="120" spans="1:42" x14ac:dyDescent="0.2">
      <c r="A120" s="3">
        <v>120</v>
      </c>
      <c r="B120" s="3">
        <v>9.7399999999999999E-8</v>
      </c>
      <c r="C120" s="2">
        <v>6.1539999999999997E-3</v>
      </c>
      <c r="D120" s="3">
        <v>105000</v>
      </c>
      <c r="E120" s="3">
        <v>138000000000</v>
      </c>
      <c r="F120" s="3">
        <v>123000000000</v>
      </c>
      <c r="G120" s="2">
        <v>0</v>
      </c>
      <c r="H120" s="3">
        <v>12200000000</v>
      </c>
      <c r="I120" s="2"/>
      <c r="J120" s="7">
        <f t="shared" si="32"/>
        <v>9.74E-2</v>
      </c>
      <c r="K120" s="7">
        <f t="shared" si="33"/>
        <v>6.1539999999999999</v>
      </c>
      <c r="L120" s="7">
        <f t="shared" si="34"/>
        <v>138</v>
      </c>
      <c r="M120" s="7">
        <f t="shared" si="35"/>
        <v>105</v>
      </c>
      <c r="O120">
        <f t="shared" si="36"/>
        <v>5.3442857142857146E-2</v>
      </c>
      <c r="P120">
        <f t="shared" si="37"/>
        <v>53.442857142857143</v>
      </c>
      <c r="V120">
        <f t="shared" si="38"/>
        <v>372.50247686850327</v>
      </c>
      <c r="W120">
        <f t="shared" si="39"/>
        <v>140.93866017039392</v>
      </c>
      <c r="AE120">
        <f t="shared" si="40"/>
        <v>0.35607993338094829</v>
      </c>
      <c r="AF120">
        <f t="shared" si="41"/>
        <v>0.34510629733563386</v>
      </c>
      <c r="AG120">
        <f t="shared" si="42"/>
        <v>0.34599334582686242</v>
      </c>
      <c r="AI120">
        <f t="shared" si="43"/>
        <v>0.11397253686271529</v>
      </c>
      <c r="AJ120">
        <f t="shared" si="44"/>
        <v>15.449448678136296</v>
      </c>
      <c r="AL120">
        <f t="shared" si="45"/>
        <v>0.11759661775706146</v>
      </c>
      <c r="AM120">
        <f t="shared" si="46"/>
        <v>16.447587963289791</v>
      </c>
      <c r="AO120">
        <f t="shared" si="47"/>
        <v>0.11729512669194953</v>
      </c>
      <c r="AP120">
        <f t="shared" si="48"/>
        <v>16.363360299475179</v>
      </c>
    </row>
    <row r="121" spans="1:42" x14ac:dyDescent="0.2">
      <c r="A121" s="3">
        <v>120</v>
      </c>
      <c r="B121" s="3">
        <v>9.8599999999999996E-8</v>
      </c>
      <c r="C121" s="2">
        <v>6.2049999999999996E-3</v>
      </c>
      <c r="D121" s="3">
        <v>109000</v>
      </c>
      <c r="E121" s="3">
        <v>140000000000</v>
      </c>
      <c r="F121" s="3">
        <v>124000000000</v>
      </c>
      <c r="G121" s="3">
        <v>7430000000</v>
      </c>
      <c r="H121" s="3">
        <v>11700000000</v>
      </c>
      <c r="I121" s="2"/>
      <c r="J121" s="7">
        <f t="shared" si="32"/>
        <v>9.8599999999999993E-2</v>
      </c>
      <c r="K121" s="7">
        <f t="shared" si="33"/>
        <v>6.2049999999999992</v>
      </c>
      <c r="L121" s="7">
        <f t="shared" si="34"/>
        <v>140</v>
      </c>
      <c r="M121" s="7">
        <f t="shared" si="35"/>
        <v>109</v>
      </c>
      <c r="O121">
        <f t="shared" si="36"/>
        <v>5.590504587155963E-2</v>
      </c>
      <c r="P121">
        <f t="shared" si="37"/>
        <v>55.905045871559629</v>
      </c>
      <c r="V121">
        <f t="shared" si="38"/>
        <v>380.01017885239702</v>
      </c>
      <c r="W121">
        <f t="shared" si="39"/>
        <v>143.4172109931003</v>
      </c>
      <c r="AE121">
        <f t="shared" si="40"/>
        <v>0.36964488322403199</v>
      </c>
      <c r="AF121">
        <f t="shared" si="41"/>
        <v>0.35825320390080084</v>
      </c>
      <c r="AG121">
        <f t="shared" si="42"/>
        <v>0.35917404471550479</v>
      </c>
      <c r="AI121">
        <f t="shared" si="43"/>
        <v>0.11114270803644212</v>
      </c>
      <c r="AJ121">
        <f t="shared" si="44"/>
        <v>14.455159303494744</v>
      </c>
      <c r="AL121">
        <f t="shared" si="45"/>
        <v>0.11467680647654215</v>
      </c>
      <c r="AM121">
        <f t="shared" si="46"/>
        <v>15.389060743899456</v>
      </c>
      <c r="AO121">
        <f t="shared" si="47"/>
        <v>0.11438280114554127</v>
      </c>
      <c r="AP121">
        <f t="shared" si="48"/>
        <v>15.310253770034784</v>
      </c>
    </row>
    <row r="122" spans="1:42" x14ac:dyDescent="0.2">
      <c r="A122" s="3">
        <v>120</v>
      </c>
      <c r="B122" s="3">
        <v>9.8799999999999998E-8</v>
      </c>
      <c r="C122" s="2">
        <v>6.2560000000000003E-3</v>
      </c>
      <c r="D122" s="3">
        <v>103000</v>
      </c>
      <c r="E122" s="3">
        <v>136000000000</v>
      </c>
      <c r="F122" s="3">
        <v>120000000000</v>
      </c>
      <c r="G122" s="3">
        <v>5660000000</v>
      </c>
      <c r="H122" s="3">
        <v>12500000000</v>
      </c>
      <c r="I122" s="2"/>
      <c r="J122" s="7">
        <f t="shared" si="32"/>
        <v>9.8799999999999999E-2</v>
      </c>
      <c r="K122" s="7">
        <f t="shared" si="33"/>
        <v>6.2560000000000002</v>
      </c>
      <c r="L122" s="7">
        <f t="shared" si="34"/>
        <v>136</v>
      </c>
      <c r="M122" s="7">
        <f t="shared" si="35"/>
        <v>103</v>
      </c>
      <c r="O122">
        <f t="shared" si="36"/>
        <v>5.3246601941747566E-2</v>
      </c>
      <c r="P122">
        <f t="shared" si="37"/>
        <v>53.246601941747564</v>
      </c>
      <c r="V122">
        <f t="shared" si="38"/>
        <v>371.89584004228198</v>
      </c>
      <c r="W122">
        <f t="shared" si="39"/>
        <v>138.47963449697315</v>
      </c>
      <c r="AE122">
        <f t="shared" si="40"/>
        <v>0.34929745845940641</v>
      </c>
      <c r="AF122">
        <f t="shared" si="41"/>
        <v>0.33853284405305034</v>
      </c>
      <c r="AG122">
        <f t="shared" si="42"/>
        <v>0.33940299638254123</v>
      </c>
      <c r="AI122">
        <f t="shared" si="43"/>
        <v>0.11785561466216866</v>
      </c>
      <c r="AJ122">
        <f t="shared" si="44"/>
        <v>16.321361456611317</v>
      </c>
      <c r="AL122">
        <f t="shared" si="45"/>
        <v>0.12160316905681263</v>
      </c>
      <c r="AM122">
        <f t="shared" si="46"/>
        <v>17.375832227473744</v>
      </c>
      <c r="AO122">
        <f t="shared" si="47"/>
        <v>0.12129140610257813</v>
      </c>
      <c r="AP122">
        <f t="shared" si="48"/>
        <v>17.286851049283882</v>
      </c>
    </row>
    <row r="123" spans="1:42" x14ac:dyDescent="0.2">
      <c r="A123" s="3">
        <v>120</v>
      </c>
      <c r="B123" s="3">
        <v>9.9400000000000003E-8</v>
      </c>
      <c r="C123" s="2">
        <v>6.3090000000000004E-3</v>
      </c>
      <c r="D123" s="3">
        <v>106000</v>
      </c>
      <c r="E123" s="3">
        <v>138000000000</v>
      </c>
      <c r="F123" s="3">
        <v>122000000000</v>
      </c>
      <c r="G123" s="3">
        <v>13500000000</v>
      </c>
      <c r="H123" s="3">
        <v>12200000000</v>
      </c>
      <c r="I123" s="2"/>
      <c r="J123" s="7">
        <f t="shared" si="32"/>
        <v>9.9400000000000002E-2</v>
      </c>
      <c r="K123" s="7">
        <f t="shared" si="33"/>
        <v>6.3090000000000002</v>
      </c>
      <c r="L123" s="7">
        <f t="shared" si="34"/>
        <v>138</v>
      </c>
      <c r="M123" s="7">
        <f t="shared" si="35"/>
        <v>106</v>
      </c>
      <c r="O123">
        <f t="shared" si="36"/>
        <v>5.4760849056603778E-2</v>
      </c>
      <c r="P123">
        <f t="shared" si="37"/>
        <v>54.760849056603774</v>
      </c>
      <c r="V123">
        <f t="shared" si="38"/>
        <v>376.54470088455753</v>
      </c>
      <c r="W123">
        <f t="shared" si="39"/>
        <v>140.75354101517135</v>
      </c>
      <c r="AE123">
        <f t="shared" si="40"/>
        <v>0.3594711708417192</v>
      </c>
      <c r="AF123">
        <f t="shared" si="41"/>
        <v>0.34839302397692562</v>
      </c>
      <c r="AG123">
        <f t="shared" si="42"/>
        <v>0.34928852054902304</v>
      </c>
      <c r="AI123">
        <f t="shared" si="43"/>
        <v>0.11521554446129166</v>
      </c>
      <c r="AJ123">
        <f t="shared" si="44"/>
        <v>15.541140585925122</v>
      </c>
      <c r="AL123">
        <f t="shared" si="45"/>
        <v>0.11887915031676906</v>
      </c>
      <c r="AM123">
        <f t="shared" si="46"/>
        <v>16.545203790902644</v>
      </c>
      <c r="AO123">
        <f t="shared" si="47"/>
        <v>0.11857437112896413</v>
      </c>
      <c r="AP123">
        <f t="shared" si="48"/>
        <v>16.460476239011459</v>
      </c>
    </row>
    <row r="124" spans="1:42" x14ac:dyDescent="0.2">
      <c r="A124" s="3">
        <v>120</v>
      </c>
      <c r="B124" s="3">
        <v>9.9999999999999995E-8</v>
      </c>
      <c r="C124" s="2">
        <v>6.3610000000000003E-3</v>
      </c>
      <c r="D124" s="3">
        <v>99400</v>
      </c>
      <c r="E124" s="3">
        <v>132000000000</v>
      </c>
      <c r="F124" s="3">
        <v>118000000000</v>
      </c>
      <c r="G124" s="2">
        <v>0</v>
      </c>
      <c r="H124" s="3">
        <v>12900000000</v>
      </c>
      <c r="I124" s="2"/>
      <c r="J124" s="7">
        <f t="shared" si="32"/>
        <v>9.9999999999999992E-2</v>
      </c>
      <c r="K124" s="7">
        <f t="shared" si="33"/>
        <v>6.3610000000000007</v>
      </c>
      <c r="L124" s="7">
        <f t="shared" si="34"/>
        <v>132</v>
      </c>
      <c r="M124" s="7">
        <f t="shared" si="35"/>
        <v>99.4</v>
      </c>
      <c r="O124">
        <f t="shared" si="36"/>
        <v>5.2004527162977848E-2</v>
      </c>
      <c r="P124">
        <f t="shared" si="37"/>
        <v>52.004527162977851</v>
      </c>
      <c r="V124">
        <f t="shared" si="38"/>
        <v>368.02729973324426</v>
      </c>
      <c r="W124">
        <f t="shared" si="39"/>
        <v>135.04432968973728</v>
      </c>
      <c r="AE124">
        <f t="shared" si="40"/>
        <v>0.33708900360063104</v>
      </c>
      <c r="AF124">
        <f t="shared" si="41"/>
        <v>0.3267006281444001</v>
      </c>
      <c r="AG124">
        <f t="shared" si="42"/>
        <v>0.32754036738276315</v>
      </c>
      <c r="AI124">
        <f t="shared" si="43"/>
        <v>0.12360731504618165</v>
      </c>
      <c r="AJ124">
        <f t="shared" si="44"/>
        <v>17.819139139947477</v>
      </c>
      <c r="AL124">
        <f t="shared" si="45"/>
        <v>0.12753776110969153</v>
      </c>
      <c r="AM124">
        <f t="shared" si="46"/>
        <v>18.970376518946516</v>
      </c>
      <c r="AO124">
        <f t="shared" si="47"/>
        <v>0.12721078320699036</v>
      </c>
      <c r="AP124">
        <f t="shared" si="48"/>
        <v>18.873229721529118</v>
      </c>
    </row>
    <row r="125" spans="1:42" x14ac:dyDescent="0.2">
      <c r="A125" s="3">
        <v>120</v>
      </c>
      <c r="B125" s="3">
        <v>1.01E-7</v>
      </c>
      <c r="C125" s="2">
        <v>6.4130000000000003E-3</v>
      </c>
      <c r="D125" s="3">
        <v>122000</v>
      </c>
      <c r="E125" s="3">
        <v>153000000000</v>
      </c>
      <c r="F125" s="3">
        <v>134000000000</v>
      </c>
      <c r="G125" s="2">
        <v>0</v>
      </c>
      <c r="H125" s="3">
        <v>11200000000</v>
      </c>
      <c r="I125" s="2"/>
      <c r="J125" s="7">
        <f t="shared" si="32"/>
        <v>0.10100000000000001</v>
      </c>
      <c r="K125" s="7">
        <f t="shared" si="33"/>
        <v>6.4130000000000003</v>
      </c>
      <c r="L125" s="7">
        <f t="shared" si="34"/>
        <v>153</v>
      </c>
      <c r="M125" s="7">
        <f t="shared" si="35"/>
        <v>122</v>
      </c>
      <c r="O125">
        <f t="shared" si="36"/>
        <v>6.1575819672131153E-2</v>
      </c>
      <c r="P125">
        <f t="shared" si="37"/>
        <v>61.575819672131153</v>
      </c>
      <c r="V125">
        <f t="shared" si="38"/>
        <v>396.62856766247728</v>
      </c>
      <c r="W125">
        <f t="shared" si="39"/>
        <v>153.79628441668311</v>
      </c>
      <c r="AE125">
        <f t="shared" si="40"/>
        <v>0.41373097021405419</v>
      </c>
      <c r="AF125">
        <f t="shared" si="41"/>
        <v>0.40098065023759361</v>
      </c>
      <c r="AG125">
        <f t="shared" si="42"/>
        <v>0.40201131610359253</v>
      </c>
      <c r="AI125">
        <f t="shared" si="43"/>
        <v>0.10171666218644561</v>
      </c>
      <c r="AJ125">
        <f t="shared" si="44"/>
        <v>11.925474574179539</v>
      </c>
      <c r="AL125">
        <f t="shared" si="45"/>
        <v>0.1049510326954621</v>
      </c>
      <c r="AM125">
        <f t="shared" si="46"/>
        <v>12.695941204709404</v>
      </c>
      <c r="AO125">
        <f t="shared" si="47"/>
        <v>0.10468196204329996</v>
      </c>
      <c r="AP125">
        <f t="shared" si="48"/>
        <v>12.630925624918182</v>
      </c>
    </row>
    <row r="126" spans="1:42" x14ac:dyDescent="0.2">
      <c r="A126" s="3">
        <v>120</v>
      </c>
      <c r="B126" s="3">
        <v>1.02E-7</v>
      </c>
      <c r="C126" s="2">
        <v>6.4650000000000003E-3</v>
      </c>
      <c r="D126" s="3">
        <v>97700</v>
      </c>
      <c r="E126" s="3">
        <v>130000000000</v>
      </c>
      <c r="F126" s="3">
        <v>116000000000</v>
      </c>
      <c r="G126" s="3">
        <v>24300000000</v>
      </c>
      <c r="H126" s="3">
        <v>13200000000</v>
      </c>
      <c r="I126" s="2"/>
      <c r="J126" s="7">
        <f t="shared" si="32"/>
        <v>0.10199999999999999</v>
      </c>
      <c r="K126" s="7">
        <f t="shared" si="33"/>
        <v>6.4649999999999999</v>
      </c>
      <c r="L126" s="7">
        <f t="shared" si="34"/>
        <v>130</v>
      </c>
      <c r="M126" s="7">
        <f t="shared" si="35"/>
        <v>97.7</v>
      </c>
      <c r="O126">
        <f t="shared" si="36"/>
        <v>5.2371033776867956E-2</v>
      </c>
      <c r="P126">
        <f t="shared" si="37"/>
        <v>52.371033776867954</v>
      </c>
      <c r="V126">
        <f t="shared" si="38"/>
        <v>369.17411620422212</v>
      </c>
      <c r="W126">
        <f t="shared" si="39"/>
        <v>132.32238625574942</v>
      </c>
      <c r="AE126">
        <f t="shared" si="40"/>
        <v>0.33132389991732047</v>
      </c>
      <c r="AF126">
        <f t="shared" si="41"/>
        <v>0.32111319285420409</v>
      </c>
      <c r="AG126">
        <f t="shared" si="42"/>
        <v>0.3219385703550901</v>
      </c>
      <c r="AI126">
        <f t="shared" si="43"/>
        <v>0.12827326978405593</v>
      </c>
      <c r="AJ126">
        <f t="shared" si="44"/>
        <v>18.746210699874492</v>
      </c>
      <c r="AL126">
        <f t="shared" si="45"/>
        <v>0.13235208314625799</v>
      </c>
      <c r="AM126">
        <f t="shared" si="46"/>
        <v>19.957343196388067</v>
      </c>
      <c r="AO126">
        <f t="shared" si="47"/>
        <v>0.13201276241341189</v>
      </c>
      <c r="AP126">
        <f t="shared" si="48"/>
        <v>19.855142168667157</v>
      </c>
    </row>
    <row r="127" spans="1:42" x14ac:dyDescent="0.2">
      <c r="A127" s="3">
        <v>130</v>
      </c>
      <c r="B127" s="3">
        <v>1.02E-7</v>
      </c>
      <c r="C127" s="2">
        <v>6.5180000000000004E-3</v>
      </c>
      <c r="D127" s="3">
        <v>105000</v>
      </c>
      <c r="E127" s="3">
        <v>135000000000</v>
      </c>
      <c r="F127" s="3">
        <v>120000000000</v>
      </c>
      <c r="G127" s="3">
        <v>22800000000</v>
      </c>
      <c r="H127" s="3">
        <v>12300000000</v>
      </c>
      <c r="I127" s="2"/>
      <c r="J127" s="7">
        <f t="shared" si="32"/>
        <v>0.10199999999999999</v>
      </c>
      <c r="K127" s="7">
        <f t="shared" si="33"/>
        <v>6.5180000000000007</v>
      </c>
      <c r="L127" s="7">
        <f t="shared" si="34"/>
        <v>135</v>
      </c>
      <c r="M127" s="7">
        <f t="shared" si="35"/>
        <v>105</v>
      </c>
      <c r="O127">
        <f t="shared" si="36"/>
        <v>5.5442857142857134E-2</v>
      </c>
      <c r="P127">
        <f t="shared" si="37"/>
        <v>55.442857142857136</v>
      </c>
      <c r="V127">
        <f t="shared" si="38"/>
        <v>378.61512821622364</v>
      </c>
      <c r="W127">
        <f t="shared" si="39"/>
        <v>138.66323896602921</v>
      </c>
      <c r="AE127">
        <f t="shared" si="40"/>
        <v>0.35607993338094829</v>
      </c>
      <c r="AF127">
        <f t="shared" si="41"/>
        <v>0.34510629733563386</v>
      </c>
      <c r="AG127">
        <f t="shared" si="42"/>
        <v>0.34599334582686242</v>
      </c>
      <c r="AI127">
        <f t="shared" si="43"/>
        <v>0.119355223408593</v>
      </c>
      <c r="AJ127">
        <f t="shared" si="44"/>
        <v>16.363260722146961</v>
      </c>
      <c r="AL127">
        <f t="shared" si="45"/>
        <v>0.12315046212751815</v>
      </c>
      <c r="AM127">
        <f t="shared" si="46"/>
        <v>17.420438470055714</v>
      </c>
      <c r="AO127">
        <f t="shared" si="47"/>
        <v>0.12283473226466993</v>
      </c>
      <c r="AP127">
        <f t="shared" si="48"/>
        <v>17.331228864475012</v>
      </c>
    </row>
    <row r="128" spans="1:42" x14ac:dyDescent="0.2">
      <c r="A128" s="3">
        <v>130</v>
      </c>
      <c r="B128" s="3">
        <v>1.03E-7</v>
      </c>
      <c r="C128" s="2">
        <v>6.5700000000000003E-3</v>
      </c>
      <c r="D128" s="3">
        <v>122000</v>
      </c>
      <c r="E128" s="3">
        <v>152000000000</v>
      </c>
      <c r="F128" s="3">
        <v>133000000000</v>
      </c>
      <c r="G128" s="2">
        <v>0</v>
      </c>
      <c r="H128" s="3">
        <v>11400000000</v>
      </c>
      <c r="I128" s="2"/>
      <c r="J128" s="7">
        <f t="shared" si="32"/>
        <v>0.10299999999999999</v>
      </c>
      <c r="K128" s="7">
        <f t="shared" si="33"/>
        <v>6.57</v>
      </c>
      <c r="L128" s="7">
        <f t="shared" si="34"/>
        <v>152</v>
      </c>
      <c r="M128" s="7">
        <f t="shared" si="35"/>
        <v>122</v>
      </c>
      <c r="O128">
        <f t="shared" si="36"/>
        <v>6.2610655737704912E-2</v>
      </c>
      <c r="P128">
        <f t="shared" si="37"/>
        <v>62.61065573770491</v>
      </c>
      <c r="V128">
        <f t="shared" si="38"/>
        <v>399.56790150001422</v>
      </c>
      <c r="W128">
        <f t="shared" si="39"/>
        <v>152.66491570268897</v>
      </c>
      <c r="AE128">
        <f t="shared" si="40"/>
        <v>0.41373097021405419</v>
      </c>
      <c r="AF128">
        <f t="shared" si="41"/>
        <v>0.40098065023759361</v>
      </c>
      <c r="AG128">
        <f t="shared" si="42"/>
        <v>0.40201131610359253</v>
      </c>
      <c r="AI128">
        <f t="shared" si="43"/>
        <v>0.10373085351687025</v>
      </c>
      <c r="AJ128">
        <f t="shared" si="44"/>
        <v>12.217428341238042</v>
      </c>
      <c r="AL128">
        <f t="shared" si="45"/>
        <v>0.10702927096665936</v>
      </c>
      <c r="AM128">
        <f t="shared" si="46"/>
        <v>13.006757167463089</v>
      </c>
      <c r="AO128">
        <f t="shared" si="47"/>
        <v>0.10675487218277124</v>
      </c>
      <c r="AP128">
        <f t="shared" si="48"/>
        <v>12.940149907330806</v>
      </c>
    </row>
    <row r="129" spans="1:42" x14ac:dyDescent="0.2">
      <c r="A129" s="3">
        <v>130</v>
      </c>
      <c r="B129" s="3">
        <v>1.03E-7</v>
      </c>
      <c r="C129" s="2">
        <v>6.6210000000000001E-3</v>
      </c>
      <c r="D129" s="3">
        <v>115000</v>
      </c>
      <c r="E129" s="3">
        <v>145000000000</v>
      </c>
      <c r="F129" s="3">
        <v>128000000000</v>
      </c>
      <c r="G129" s="2">
        <v>0</v>
      </c>
      <c r="H129" s="3">
        <v>11800000000</v>
      </c>
      <c r="I129" s="2"/>
      <c r="J129" s="7">
        <f t="shared" si="32"/>
        <v>0.10299999999999999</v>
      </c>
      <c r="K129" s="7">
        <f t="shared" si="33"/>
        <v>6.6210000000000004</v>
      </c>
      <c r="L129" s="7">
        <f t="shared" si="34"/>
        <v>145</v>
      </c>
      <c r="M129" s="7">
        <f t="shared" si="35"/>
        <v>115</v>
      </c>
      <c r="O129">
        <f t="shared" si="36"/>
        <v>5.9819565217391291E-2</v>
      </c>
      <c r="P129">
        <f t="shared" si="37"/>
        <v>59.819565217391293</v>
      </c>
      <c r="V129">
        <f t="shared" si="38"/>
        <v>391.57646516050363</v>
      </c>
      <c r="W129">
        <f t="shared" si="39"/>
        <v>146.84232867884762</v>
      </c>
      <c r="AE129">
        <f t="shared" si="40"/>
        <v>0.38999230798865764</v>
      </c>
      <c r="AF129">
        <f t="shared" si="41"/>
        <v>0.3779735637485514</v>
      </c>
      <c r="AG129">
        <f t="shared" si="42"/>
        <v>0.37894509304846841</v>
      </c>
      <c r="AI129">
        <f t="shared" si="43"/>
        <v>0.11004490547007106</v>
      </c>
      <c r="AJ129">
        <f t="shared" si="44"/>
        <v>13.856769711860522</v>
      </c>
      <c r="AL129">
        <f t="shared" si="45"/>
        <v>0.11354409615593426</v>
      </c>
      <c r="AM129">
        <f t="shared" si="46"/>
        <v>14.752011121627225</v>
      </c>
      <c r="AO129">
        <f t="shared" si="47"/>
        <v>0.11325299483737469</v>
      </c>
      <c r="AP129">
        <f t="shared" si="48"/>
        <v>14.676466462062844</v>
      </c>
    </row>
    <row r="130" spans="1:42" x14ac:dyDescent="0.2">
      <c r="A130" s="3">
        <v>130</v>
      </c>
      <c r="B130" s="3">
        <v>1.04E-7</v>
      </c>
      <c r="C130" s="2">
        <v>6.6750000000000004E-3</v>
      </c>
      <c r="D130" s="3">
        <v>95900</v>
      </c>
      <c r="E130" s="3">
        <v>128000000000</v>
      </c>
      <c r="F130" s="3">
        <v>114000000000</v>
      </c>
      <c r="G130" s="2">
        <v>0</v>
      </c>
      <c r="H130" s="3">
        <v>13700000000</v>
      </c>
      <c r="I130" s="2"/>
      <c r="J130" s="7">
        <f t="shared" si="32"/>
        <v>0.10400000000000001</v>
      </c>
      <c r="K130" s="7">
        <f t="shared" si="33"/>
        <v>6.6750000000000007</v>
      </c>
      <c r="L130" s="7">
        <f t="shared" si="34"/>
        <v>128</v>
      </c>
      <c r="M130" s="7">
        <f t="shared" si="35"/>
        <v>95.9</v>
      </c>
      <c r="O130">
        <f t="shared" si="36"/>
        <v>5.179718456725757E-2</v>
      </c>
      <c r="P130">
        <f t="shared" si="37"/>
        <v>51.797184567257574</v>
      </c>
      <c r="V130">
        <f t="shared" si="38"/>
        <v>367.3765204871217</v>
      </c>
      <c r="W130">
        <f t="shared" si="39"/>
        <v>130.52004503831887</v>
      </c>
      <c r="AE130">
        <f t="shared" si="40"/>
        <v>0.32521967248793276</v>
      </c>
      <c r="AF130">
        <f t="shared" si="41"/>
        <v>0.31519708489987897</v>
      </c>
      <c r="AG130">
        <f t="shared" si="42"/>
        <v>0.31600725585520106</v>
      </c>
      <c r="AI130">
        <f t="shared" si="43"/>
        <v>0.13324327216073073</v>
      </c>
      <c r="AJ130">
        <f t="shared" si="44"/>
        <v>20.088529536933894</v>
      </c>
      <c r="AL130">
        <f t="shared" si="45"/>
        <v>0.13748012088087042</v>
      </c>
      <c r="AM130">
        <f t="shared" si="46"/>
        <v>21.386384944561218</v>
      </c>
      <c r="AO130">
        <f t="shared" si="47"/>
        <v>0.1371276530219587</v>
      </c>
      <c r="AP130">
        <f t="shared" si="48"/>
        <v>21.276865831768454</v>
      </c>
    </row>
    <row r="131" spans="1:42" x14ac:dyDescent="0.2">
      <c r="A131" s="3">
        <v>130</v>
      </c>
      <c r="B131" s="3">
        <v>1.05E-7</v>
      </c>
      <c r="C131" s="2">
        <v>6.7270000000000003E-3</v>
      </c>
      <c r="D131" s="3">
        <v>118000</v>
      </c>
      <c r="E131" s="3">
        <v>147000000000</v>
      </c>
      <c r="F131" s="3">
        <v>129000000000</v>
      </c>
      <c r="G131" s="3">
        <v>7250000000</v>
      </c>
      <c r="H131" s="3">
        <v>11800000000</v>
      </c>
      <c r="I131" s="2"/>
      <c r="J131" s="7">
        <f t="shared" si="32"/>
        <v>0.105</v>
      </c>
      <c r="K131" s="7">
        <f t="shared" si="33"/>
        <v>6.7270000000000003</v>
      </c>
      <c r="L131" s="7">
        <f t="shared" si="34"/>
        <v>147</v>
      </c>
      <c r="M131" s="7">
        <f t="shared" si="35"/>
        <v>118</v>
      </c>
      <c r="O131">
        <f t="shared" si="36"/>
        <v>6.2243644067796602E-2</v>
      </c>
      <c r="P131">
        <f t="shared" si="37"/>
        <v>62.243644067796602</v>
      </c>
      <c r="V131">
        <f t="shared" si="38"/>
        <v>398.52856519805084</v>
      </c>
      <c r="W131">
        <f t="shared" si="39"/>
        <v>148.0445949230255</v>
      </c>
      <c r="AE131">
        <f t="shared" si="40"/>
        <v>0.40016602037097043</v>
      </c>
      <c r="AF131">
        <f t="shared" si="41"/>
        <v>0.38783374367242662</v>
      </c>
      <c r="AG131">
        <f t="shared" si="42"/>
        <v>0.38883061721495016</v>
      </c>
      <c r="AI131">
        <f t="shared" si="43"/>
        <v>0.10932962263872865</v>
      </c>
      <c r="AJ131">
        <f t="shared" si="44"/>
        <v>13.371850280083725</v>
      </c>
      <c r="AL131">
        <f t="shared" si="45"/>
        <v>0.11280606887303819</v>
      </c>
      <c r="AM131">
        <f t="shared" si="46"/>
        <v>14.235762601992706</v>
      </c>
      <c r="AO131">
        <f t="shared" si="47"/>
        <v>0.11251685968909821</v>
      </c>
      <c r="AP131">
        <f t="shared" si="48"/>
        <v>14.162861637470639</v>
      </c>
    </row>
    <row r="132" spans="1:42" x14ac:dyDescent="0.2">
      <c r="A132" s="3">
        <v>130</v>
      </c>
      <c r="B132" s="3">
        <v>1.05E-7</v>
      </c>
      <c r="C132" s="2">
        <v>6.7790000000000003E-3</v>
      </c>
      <c r="D132" s="3">
        <v>110000</v>
      </c>
      <c r="E132" s="3">
        <v>138000000000</v>
      </c>
      <c r="F132" s="3">
        <v>122000000000</v>
      </c>
      <c r="G132" s="2">
        <v>0</v>
      </c>
      <c r="H132" s="3">
        <v>12200000000</v>
      </c>
      <c r="I132" s="2"/>
      <c r="J132" s="7">
        <f t="shared" si="32"/>
        <v>0.105</v>
      </c>
      <c r="K132" s="7">
        <f t="shared" si="33"/>
        <v>6.7789999999999999</v>
      </c>
      <c r="L132" s="7">
        <f t="shared" si="34"/>
        <v>138</v>
      </c>
      <c r="M132" s="7">
        <f t="shared" si="35"/>
        <v>110</v>
      </c>
      <c r="O132">
        <f t="shared" si="36"/>
        <v>5.8779545454545452E-2</v>
      </c>
      <c r="P132">
        <f t="shared" si="37"/>
        <v>58.779545454545449</v>
      </c>
      <c r="V132">
        <f t="shared" si="38"/>
        <v>388.54568073623534</v>
      </c>
      <c r="W132">
        <f t="shared" si="39"/>
        <v>141.5534973797246</v>
      </c>
      <c r="AE132">
        <f t="shared" si="40"/>
        <v>0.37303612068480296</v>
      </c>
      <c r="AF132">
        <f t="shared" si="41"/>
        <v>0.3615399305420926</v>
      </c>
      <c r="AG132">
        <f t="shared" si="42"/>
        <v>0.36246921943766541</v>
      </c>
      <c r="AI132">
        <f t="shared" si="43"/>
        <v>0.11728086792154527</v>
      </c>
      <c r="AJ132">
        <f t="shared" si="44"/>
        <v>15.506520435471286</v>
      </c>
      <c r="AL132">
        <f t="shared" si="45"/>
        <v>0.12101014660925917</v>
      </c>
      <c r="AM132">
        <f t="shared" si="46"/>
        <v>16.508346943661387</v>
      </c>
      <c r="AO132">
        <f t="shared" si="47"/>
        <v>0.12069990403012353</v>
      </c>
      <c r="AP132">
        <f t="shared" si="48"/>
        <v>16.423808134712061</v>
      </c>
    </row>
    <row r="133" spans="1:42" x14ac:dyDescent="0.2">
      <c r="A133" s="3">
        <v>130</v>
      </c>
      <c r="B133" s="3">
        <v>1.06E-7</v>
      </c>
      <c r="C133" s="2">
        <v>6.8310000000000003E-3</v>
      </c>
      <c r="D133" s="3">
        <v>104000</v>
      </c>
      <c r="E133" s="3">
        <v>133000000000</v>
      </c>
      <c r="F133" s="3">
        <v>118000000000</v>
      </c>
      <c r="G133" s="3">
        <v>7630000000</v>
      </c>
      <c r="H133" s="3">
        <v>12800000000</v>
      </c>
      <c r="I133" s="2"/>
      <c r="J133" s="7">
        <f t="shared" ref="J133:J196" si="49">B133*(10^6)</f>
        <v>0.106</v>
      </c>
      <c r="K133" s="7">
        <f t="shared" ref="K133:K196" si="50">C133*1000</f>
        <v>6.8310000000000004</v>
      </c>
      <c r="L133" s="7">
        <f t="shared" ref="L133:L196" si="51">E133*(10^-9)</f>
        <v>133</v>
      </c>
      <c r="M133" s="7">
        <f t="shared" ref="M133:M196" si="52">D133*(10^-3)</f>
        <v>104</v>
      </c>
      <c r="O133">
        <f t="shared" ref="O133:O196" si="53">J133-(0.75*(K133/M133))</f>
        <v>5.6737980769230756E-2</v>
      </c>
      <c r="P133">
        <f t="shared" ref="P133:P196" si="54">O133*1000</f>
        <v>56.737980769230759</v>
      </c>
      <c r="V133">
        <f t="shared" ref="V133:V196" si="55">$S$3*(P133^$S$4)</f>
        <v>382.50814602654708</v>
      </c>
      <c r="W133">
        <f t="shared" ref="W133:W196" si="56">M133/(2*(V133/1000))</f>
        <v>135.94481722852265</v>
      </c>
      <c r="AE133">
        <f t="shared" si="40"/>
        <v>0.35268869592017732</v>
      </c>
      <c r="AF133">
        <f t="shared" si="41"/>
        <v>0.3418195706943421</v>
      </c>
      <c r="AG133">
        <f t="shared" si="42"/>
        <v>0.34269817110470185</v>
      </c>
      <c r="AI133">
        <f t="shared" si="43"/>
        <v>0.12522847252428737</v>
      </c>
      <c r="AJ133">
        <f t="shared" si="44"/>
        <v>17.480413391135301</v>
      </c>
      <c r="AL133">
        <f t="shared" si="45"/>
        <v>0.1292104678996302</v>
      </c>
      <c r="AM133">
        <f t="shared" si="46"/>
        <v>18.609766786839785</v>
      </c>
      <c r="AO133">
        <f t="shared" si="47"/>
        <v>0.12887920155597438</v>
      </c>
      <c r="AP133">
        <f t="shared" si="48"/>
        <v>18.514466662341963</v>
      </c>
    </row>
    <row r="134" spans="1:42" x14ac:dyDescent="0.2">
      <c r="A134" s="3">
        <v>130</v>
      </c>
      <c r="B134" s="3">
        <v>1.0700000000000001E-7</v>
      </c>
      <c r="C134" s="2">
        <v>6.8830000000000002E-3</v>
      </c>
      <c r="D134" s="3">
        <v>110000</v>
      </c>
      <c r="E134" s="3">
        <v>138000000000</v>
      </c>
      <c r="F134" s="3">
        <v>122000000000</v>
      </c>
      <c r="G134" s="3">
        <v>2290000000</v>
      </c>
      <c r="H134" s="3">
        <v>12300000000</v>
      </c>
      <c r="I134" s="2"/>
      <c r="J134" s="7">
        <f t="shared" si="49"/>
        <v>0.10700000000000001</v>
      </c>
      <c r="K134" s="7">
        <f t="shared" si="50"/>
        <v>6.883</v>
      </c>
      <c r="L134" s="7">
        <f t="shared" si="51"/>
        <v>138</v>
      </c>
      <c r="M134" s="7">
        <f t="shared" si="52"/>
        <v>110</v>
      </c>
      <c r="O134">
        <f t="shared" si="53"/>
        <v>6.0070454545454566E-2</v>
      </c>
      <c r="P134">
        <f t="shared" si="54"/>
        <v>60.070454545454567</v>
      </c>
      <c r="V134">
        <f t="shared" si="55"/>
        <v>392.30319399818723</v>
      </c>
      <c r="W134">
        <f t="shared" si="56"/>
        <v>140.19768597717342</v>
      </c>
      <c r="AE134">
        <f t="shared" si="40"/>
        <v>0.37303612068480296</v>
      </c>
      <c r="AF134">
        <f t="shared" si="41"/>
        <v>0.3615399305420926</v>
      </c>
      <c r="AG134">
        <f t="shared" si="42"/>
        <v>0.36246921943766541</v>
      </c>
      <c r="AI134">
        <f t="shared" si="43"/>
        <v>0.11951478921528901</v>
      </c>
      <c r="AJ134">
        <f t="shared" si="44"/>
        <v>15.744413653540178</v>
      </c>
      <c r="AL134">
        <f t="shared" si="45"/>
        <v>0.12331510178276889</v>
      </c>
      <c r="AM134">
        <f t="shared" si="46"/>
        <v>16.761609678893837</v>
      </c>
      <c r="AO134">
        <f t="shared" si="47"/>
        <v>0.12299894982117351</v>
      </c>
      <c r="AP134">
        <f t="shared" si="48"/>
        <v>16.675773918162431</v>
      </c>
    </row>
    <row r="135" spans="1:42" x14ac:dyDescent="0.2">
      <c r="A135" s="3">
        <v>130</v>
      </c>
      <c r="B135" s="3">
        <v>1.0700000000000001E-7</v>
      </c>
      <c r="C135" s="2">
        <v>6.9340000000000001E-3</v>
      </c>
      <c r="D135" s="3">
        <v>111000</v>
      </c>
      <c r="E135" s="3">
        <v>139000000000</v>
      </c>
      <c r="F135" s="3">
        <v>123000000000</v>
      </c>
      <c r="G135" s="3">
        <v>12900000000</v>
      </c>
      <c r="H135" s="3">
        <v>12300000000</v>
      </c>
      <c r="I135" s="2"/>
      <c r="J135" s="7">
        <f t="shared" si="49"/>
        <v>0.10700000000000001</v>
      </c>
      <c r="K135" s="7">
        <f t="shared" si="50"/>
        <v>6.9340000000000002</v>
      </c>
      <c r="L135" s="7">
        <f t="shared" si="51"/>
        <v>139</v>
      </c>
      <c r="M135" s="7">
        <f t="shared" si="52"/>
        <v>111</v>
      </c>
      <c r="O135">
        <f t="shared" si="53"/>
        <v>6.0148648648648662E-2</v>
      </c>
      <c r="P135">
        <f t="shared" si="54"/>
        <v>60.14864864864866</v>
      </c>
      <c r="V135">
        <f t="shared" si="55"/>
        <v>392.52934624268886</v>
      </c>
      <c r="W135">
        <f t="shared" si="56"/>
        <v>141.39070245638666</v>
      </c>
      <c r="AE135">
        <f t="shared" si="40"/>
        <v>0.37642735814557388</v>
      </c>
      <c r="AF135">
        <f t="shared" si="41"/>
        <v>0.36482665718338436</v>
      </c>
      <c r="AG135">
        <f t="shared" si="42"/>
        <v>0.36576439415982603</v>
      </c>
      <c r="AI135">
        <f t="shared" si="43"/>
        <v>0.11843807940253867</v>
      </c>
      <c r="AJ135">
        <f t="shared" si="44"/>
        <v>15.576575052041603</v>
      </c>
      <c r="AL135">
        <f t="shared" si="45"/>
        <v>0.12220415491986104</v>
      </c>
      <c r="AM135">
        <f t="shared" si="46"/>
        <v>16.582927564127498</v>
      </c>
      <c r="AO135">
        <f t="shared" si="47"/>
        <v>0.12189085117413591</v>
      </c>
      <c r="AP135">
        <f t="shared" si="48"/>
        <v>16.498006829789365</v>
      </c>
    </row>
    <row r="136" spans="1:42" x14ac:dyDescent="0.2">
      <c r="A136" s="3">
        <v>130</v>
      </c>
      <c r="B136" s="3">
        <v>1.08E-7</v>
      </c>
      <c r="C136" s="2">
        <v>6.9870000000000002E-3</v>
      </c>
      <c r="D136" s="3">
        <v>98700</v>
      </c>
      <c r="E136" s="3">
        <v>127000000000</v>
      </c>
      <c r="F136" s="3">
        <v>114000000000</v>
      </c>
      <c r="G136" s="3">
        <v>18100000000</v>
      </c>
      <c r="H136" s="3">
        <v>13400000000</v>
      </c>
      <c r="I136" s="2"/>
      <c r="J136" s="7">
        <f t="shared" si="49"/>
        <v>0.108</v>
      </c>
      <c r="K136" s="7">
        <f t="shared" si="50"/>
        <v>6.9870000000000001</v>
      </c>
      <c r="L136" s="7">
        <f t="shared" si="51"/>
        <v>127.00000000000001</v>
      </c>
      <c r="M136" s="7">
        <f t="shared" si="52"/>
        <v>98.7</v>
      </c>
      <c r="O136">
        <f t="shared" si="53"/>
        <v>5.4907294832826747E-2</v>
      </c>
      <c r="P136">
        <f t="shared" si="54"/>
        <v>54.90729483282675</v>
      </c>
      <c r="V136">
        <f t="shared" si="55"/>
        <v>376.99048381306073</v>
      </c>
      <c r="W136">
        <f t="shared" si="56"/>
        <v>130.90516105566027</v>
      </c>
      <c r="AE136">
        <f t="shared" si="40"/>
        <v>0.33471513737809139</v>
      </c>
      <c r="AF136">
        <f t="shared" si="41"/>
        <v>0.32439991949549585</v>
      </c>
      <c r="AG136">
        <f t="shared" si="42"/>
        <v>0.32523374507725072</v>
      </c>
      <c r="AI136">
        <f t="shared" si="43"/>
        <v>0.13444267968427248</v>
      </c>
      <c r="AJ136">
        <f t="shared" si="44"/>
        <v>19.851372107557289</v>
      </c>
      <c r="AL136">
        <f t="shared" si="45"/>
        <v>0.13871766697717941</v>
      </c>
      <c r="AM136">
        <f t="shared" si="46"/>
        <v>21.133905534966523</v>
      </c>
      <c r="AO136">
        <f t="shared" si="47"/>
        <v>0.13836202633066699</v>
      </c>
      <c r="AP136">
        <f t="shared" si="48"/>
        <v>21.025679362565921</v>
      </c>
    </row>
    <row r="137" spans="1:42" x14ac:dyDescent="0.2">
      <c r="A137" s="3">
        <v>140</v>
      </c>
      <c r="B137" s="3">
        <v>1.09E-7</v>
      </c>
      <c r="C137" s="2">
        <v>7.038E-3</v>
      </c>
      <c r="D137" s="3">
        <v>107000</v>
      </c>
      <c r="E137" s="3">
        <v>134000000000</v>
      </c>
      <c r="F137" s="3">
        <v>119000000000</v>
      </c>
      <c r="G137" s="2">
        <v>0</v>
      </c>
      <c r="H137" s="3">
        <v>12600000000</v>
      </c>
      <c r="I137" s="2"/>
      <c r="J137" s="7">
        <f t="shared" si="49"/>
        <v>0.109</v>
      </c>
      <c r="K137" s="7">
        <f t="shared" si="50"/>
        <v>7.0380000000000003</v>
      </c>
      <c r="L137" s="7">
        <f t="shared" si="51"/>
        <v>134</v>
      </c>
      <c r="M137" s="7">
        <f t="shared" si="52"/>
        <v>107</v>
      </c>
      <c r="O137">
        <f t="shared" si="53"/>
        <v>5.9668224299065417E-2</v>
      </c>
      <c r="P137">
        <f t="shared" si="54"/>
        <v>59.668224299065415</v>
      </c>
      <c r="V137">
        <f t="shared" si="55"/>
        <v>391.13726821468168</v>
      </c>
      <c r="W137">
        <f t="shared" si="56"/>
        <v>136.78062498160034</v>
      </c>
      <c r="AE137">
        <f t="shared" si="40"/>
        <v>0.36286240830249017</v>
      </c>
      <c r="AF137">
        <f t="shared" si="41"/>
        <v>0.35167975061821738</v>
      </c>
      <c r="AG137">
        <f t="shared" si="42"/>
        <v>0.35258369527118361</v>
      </c>
      <c r="AI137">
        <f t="shared" si="43"/>
        <v>0.12516222575694952</v>
      </c>
      <c r="AJ137">
        <f t="shared" si="44"/>
        <v>17.014367119821653</v>
      </c>
      <c r="AL137">
        <f t="shared" si="45"/>
        <v>0.12914211462794992</v>
      </c>
      <c r="AM137">
        <f t="shared" si="46"/>
        <v>18.113610761981619</v>
      </c>
      <c r="AO137">
        <f t="shared" si="47"/>
        <v>0.12881102352658488</v>
      </c>
      <c r="AP137">
        <f t="shared" si="48"/>
        <v>18.020851439390718</v>
      </c>
    </row>
    <row r="138" spans="1:42" x14ac:dyDescent="0.2">
      <c r="A138" s="3">
        <v>140</v>
      </c>
      <c r="B138" s="3">
        <v>1.09E-7</v>
      </c>
      <c r="C138" s="2">
        <v>7.0910000000000001E-3</v>
      </c>
      <c r="D138" s="3">
        <v>110000</v>
      </c>
      <c r="E138" s="3">
        <v>137000000000</v>
      </c>
      <c r="F138" s="3">
        <v>122000000000</v>
      </c>
      <c r="G138" s="3">
        <v>3450000000</v>
      </c>
      <c r="H138" s="3">
        <v>12500000000</v>
      </c>
      <c r="I138" s="2"/>
      <c r="J138" s="7">
        <f t="shared" si="49"/>
        <v>0.109</v>
      </c>
      <c r="K138" s="7">
        <f t="shared" si="50"/>
        <v>7.0910000000000002</v>
      </c>
      <c r="L138" s="7">
        <f t="shared" si="51"/>
        <v>137</v>
      </c>
      <c r="M138" s="7">
        <f t="shared" si="52"/>
        <v>110</v>
      </c>
      <c r="O138">
        <f t="shared" si="53"/>
        <v>6.0652272727272728E-2</v>
      </c>
      <c r="P138">
        <f t="shared" si="54"/>
        <v>60.652272727272731</v>
      </c>
      <c r="V138">
        <f t="shared" si="55"/>
        <v>393.98201499462408</v>
      </c>
      <c r="W138">
        <f t="shared" si="56"/>
        <v>139.60028099442681</v>
      </c>
      <c r="AE138">
        <f t="shared" si="40"/>
        <v>0.37303612068480296</v>
      </c>
      <c r="AF138">
        <f t="shared" si="41"/>
        <v>0.3615399305420926</v>
      </c>
      <c r="AG138">
        <f t="shared" si="42"/>
        <v>0.36246921943766541</v>
      </c>
      <c r="AI138">
        <f t="shared" si="43"/>
        <v>0.12174871050903271</v>
      </c>
      <c r="AJ138">
        <f t="shared" si="44"/>
        <v>16.220200089677959</v>
      </c>
      <c r="AL138">
        <f t="shared" si="45"/>
        <v>0.12562005695627856</v>
      </c>
      <c r="AM138">
        <f t="shared" si="46"/>
        <v>17.268135149358741</v>
      </c>
      <c r="AO138">
        <f t="shared" si="47"/>
        <v>0.12529799561222349</v>
      </c>
      <c r="AP138">
        <f t="shared" si="48"/>
        <v>17.17970548506317</v>
      </c>
    </row>
    <row r="139" spans="1:42" x14ac:dyDescent="0.2">
      <c r="A139" s="3">
        <v>140</v>
      </c>
      <c r="B139" s="3">
        <v>1.1000000000000001E-7</v>
      </c>
      <c r="C139" s="2">
        <v>7.1419999999999999E-3</v>
      </c>
      <c r="D139" s="3">
        <v>116000</v>
      </c>
      <c r="E139" s="3">
        <v>144000000000</v>
      </c>
      <c r="F139" s="3">
        <v>127000000000</v>
      </c>
      <c r="G139" s="3">
        <v>22300000000</v>
      </c>
      <c r="H139" s="3">
        <v>12300000000</v>
      </c>
      <c r="I139" s="2"/>
      <c r="J139" s="7">
        <f t="shared" si="49"/>
        <v>0.11</v>
      </c>
      <c r="K139" s="7">
        <f t="shared" si="50"/>
        <v>7.1420000000000003</v>
      </c>
      <c r="L139" s="7">
        <f t="shared" si="51"/>
        <v>144</v>
      </c>
      <c r="M139" s="7">
        <f t="shared" si="52"/>
        <v>116</v>
      </c>
      <c r="O139">
        <f t="shared" si="53"/>
        <v>6.3823275862068957E-2</v>
      </c>
      <c r="P139">
        <f t="shared" si="54"/>
        <v>63.823275862068954</v>
      </c>
      <c r="V139">
        <f t="shared" si="55"/>
        <v>402.97798518985144</v>
      </c>
      <c r="W139">
        <f t="shared" si="56"/>
        <v>143.92845795949617</v>
      </c>
      <c r="AE139">
        <f t="shared" si="40"/>
        <v>0.39338354544942855</v>
      </c>
      <c r="AF139">
        <f t="shared" si="41"/>
        <v>0.3812602903898431</v>
      </c>
      <c r="AG139">
        <f t="shared" si="42"/>
        <v>0.38224026777062897</v>
      </c>
      <c r="AI139">
        <f t="shared" si="43"/>
        <v>0.11651055023404747</v>
      </c>
      <c r="AJ139">
        <f t="shared" si="44"/>
        <v>14.690546751892967</v>
      </c>
      <c r="AL139">
        <f t="shared" si="45"/>
        <v>0.12021533448046272</v>
      </c>
      <c r="AM139">
        <f t="shared" si="46"/>
        <v>15.639655819726533</v>
      </c>
      <c r="AO139">
        <f t="shared" si="47"/>
        <v>0.11990712961941664</v>
      </c>
      <c r="AP139">
        <f t="shared" si="48"/>
        <v>15.559565555093178</v>
      </c>
    </row>
    <row r="140" spans="1:42" x14ac:dyDescent="0.2">
      <c r="A140" s="3">
        <v>140</v>
      </c>
      <c r="B140" s="3">
        <v>1.1000000000000001E-7</v>
      </c>
      <c r="C140" s="2">
        <v>7.1939999999999999E-3</v>
      </c>
      <c r="D140" s="3">
        <v>124000</v>
      </c>
      <c r="E140" s="3">
        <v>152000000000</v>
      </c>
      <c r="F140" s="3">
        <v>133000000000</v>
      </c>
      <c r="G140" s="3">
        <v>1920000000</v>
      </c>
      <c r="H140" s="3">
        <v>12100000000</v>
      </c>
      <c r="I140" s="2"/>
      <c r="J140" s="7">
        <f t="shared" si="49"/>
        <v>0.11</v>
      </c>
      <c r="K140" s="7">
        <f t="shared" si="50"/>
        <v>7.194</v>
      </c>
      <c r="L140" s="7">
        <f t="shared" si="51"/>
        <v>152</v>
      </c>
      <c r="M140" s="7">
        <f t="shared" si="52"/>
        <v>124</v>
      </c>
      <c r="O140">
        <f t="shared" si="53"/>
        <v>6.6487903225806444E-2</v>
      </c>
      <c r="P140">
        <f t="shared" si="54"/>
        <v>66.487903225806448</v>
      </c>
      <c r="V140">
        <f t="shared" si="55"/>
        <v>410.3466829670453</v>
      </c>
      <c r="W140">
        <f t="shared" si="56"/>
        <v>151.0917538109579</v>
      </c>
      <c r="AE140">
        <f t="shared" si="40"/>
        <v>0.42051344513559608</v>
      </c>
      <c r="AF140">
        <f t="shared" si="41"/>
        <v>0.40755410352017712</v>
      </c>
      <c r="AG140">
        <f t="shared" si="42"/>
        <v>0.40860166554791372</v>
      </c>
      <c r="AI140">
        <f t="shared" si="43"/>
        <v>0.10899374054152826</v>
      </c>
      <c r="AJ140">
        <f t="shared" si="44"/>
        <v>12.949743175259398</v>
      </c>
      <c r="AL140">
        <f t="shared" si="45"/>
        <v>0.11245950644946512</v>
      </c>
      <c r="AM140">
        <f t="shared" si="46"/>
        <v>13.786384512122561</v>
      </c>
      <c r="AO140">
        <f t="shared" si="47"/>
        <v>0.11217118577300268</v>
      </c>
      <c r="AP140">
        <f t="shared" si="48"/>
        <v>13.71578480093708</v>
      </c>
    </row>
    <row r="141" spans="1:42" x14ac:dyDescent="0.2">
      <c r="A141" s="3">
        <v>140</v>
      </c>
      <c r="B141" s="3">
        <v>1.11E-7</v>
      </c>
      <c r="C141" s="2">
        <v>7.2459999999999998E-3</v>
      </c>
      <c r="D141" s="3">
        <v>130000</v>
      </c>
      <c r="E141" s="3">
        <v>159000000000</v>
      </c>
      <c r="F141" s="3">
        <v>139000000000</v>
      </c>
      <c r="G141" s="2">
        <v>0</v>
      </c>
      <c r="H141" s="3">
        <v>11900000000</v>
      </c>
      <c r="I141" s="2"/>
      <c r="J141" s="7">
        <f t="shared" si="49"/>
        <v>0.111</v>
      </c>
      <c r="K141" s="7">
        <f t="shared" si="50"/>
        <v>7.2459999999999996</v>
      </c>
      <c r="L141" s="7">
        <f t="shared" si="51"/>
        <v>159</v>
      </c>
      <c r="M141" s="7">
        <f t="shared" si="52"/>
        <v>130</v>
      </c>
      <c r="O141">
        <f t="shared" si="53"/>
        <v>6.9196153846153852E-2</v>
      </c>
      <c r="P141">
        <f t="shared" si="54"/>
        <v>69.196153846153848</v>
      </c>
      <c r="V141">
        <f t="shared" si="55"/>
        <v>417.66933612575554</v>
      </c>
      <c r="W141">
        <f t="shared" si="56"/>
        <v>155.62550174961666</v>
      </c>
      <c r="AE141">
        <f t="shared" si="40"/>
        <v>0.44086086990022166</v>
      </c>
      <c r="AF141">
        <f t="shared" si="41"/>
        <v>0.42727446336792763</v>
      </c>
      <c r="AG141">
        <f t="shared" si="42"/>
        <v>0.42837271388087733</v>
      </c>
      <c r="AI141">
        <f t="shared" si="43"/>
        <v>0.10490838075619546</v>
      </c>
      <c r="AJ141">
        <f t="shared" si="44"/>
        <v>11.867130475272505</v>
      </c>
      <c r="AL141">
        <f t="shared" si="45"/>
        <v>0.10824424103289776</v>
      </c>
      <c r="AM141">
        <f t="shared" si="46"/>
        <v>12.633827680861115</v>
      </c>
      <c r="AO141">
        <f t="shared" si="47"/>
        <v>0.10796672734123137</v>
      </c>
      <c r="AP141">
        <f t="shared" si="48"/>
        <v>12.56913018278599</v>
      </c>
    </row>
    <row r="142" spans="1:42" x14ac:dyDescent="0.2">
      <c r="A142" s="3">
        <v>140</v>
      </c>
      <c r="B142" s="3">
        <v>1.12E-7</v>
      </c>
      <c r="C142" s="2">
        <v>7.3029999999999996E-3</v>
      </c>
      <c r="D142" s="3">
        <v>117000</v>
      </c>
      <c r="E142" s="3">
        <v>144000000000</v>
      </c>
      <c r="F142" s="3">
        <v>127000000000</v>
      </c>
      <c r="G142" s="2">
        <v>0</v>
      </c>
      <c r="H142" s="3">
        <v>12400000000</v>
      </c>
      <c r="I142" s="2"/>
      <c r="J142" s="7">
        <f t="shared" si="49"/>
        <v>0.112</v>
      </c>
      <c r="K142" s="7">
        <f t="shared" si="50"/>
        <v>7.3029999999999999</v>
      </c>
      <c r="L142" s="7">
        <f t="shared" si="51"/>
        <v>144</v>
      </c>
      <c r="M142" s="7">
        <f t="shared" si="52"/>
        <v>117</v>
      </c>
      <c r="O142">
        <f t="shared" si="53"/>
        <v>6.5185897435897436E-2</v>
      </c>
      <c r="P142">
        <f t="shared" si="54"/>
        <v>65.185897435897431</v>
      </c>
      <c r="V142">
        <f t="shared" si="55"/>
        <v>406.7671134829838</v>
      </c>
      <c r="W142">
        <f t="shared" si="56"/>
        <v>143.81693618023331</v>
      </c>
      <c r="AE142">
        <f t="shared" si="40"/>
        <v>0.39677478291019952</v>
      </c>
      <c r="AF142">
        <f t="shared" si="41"/>
        <v>0.38454701703113486</v>
      </c>
      <c r="AG142">
        <f t="shared" si="42"/>
        <v>0.38553544249278959</v>
      </c>
      <c r="AI142">
        <f t="shared" si="43"/>
        <v>0.11761500144838728</v>
      </c>
      <c r="AJ142">
        <f t="shared" si="44"/>
        <v>14.766027380098189</v>
      </c>
      <c r="AL142">
        <f t="shared" si="45"/>
        <v>0.12135490486170721</v>
      </c>
      <c r="AM142">
        <f t="shared" si="46"/>
        <v>15.720013009021365</v>
      </c>
      <c r="AO142">
        <f t="shared" si="47"/>
        <v>0.12104377840057971</v>
      </c>
      <c r="AP142">
        <f t="shared" si="48"/>
        <v>15.639511237342711</v>
      </c>
    </row>
    <row r="143" spans="1:42" x14ac:dyDescent="0.2">
      <c r="A143" s="3">
        <v>140</v>
      </c>
      <c r="B143" s="3">
        <v>1.12E-7</v>
      </c>
      <c r="C143" s="2">
        <v>7.3530000000000002E-3</v>
      </c>
      <c r="D143" s="3">
        <v>110000</v>
      </c>
      <c r="E143" s="3">
        <v>136000000000</v>
      </c>
      <c r="F143" s="3">
        <v>121000000000</v>
      </c>
      <c r="G143" s="3">
        <v>9390000000</v>
      </c>
      <c r="H143" s="3">
        <v>12800000000</v>
      </c>
      <c r="I143" s="2"/>
      <c r="J143" s="7">
        <f t="shared" si="49"/>
        <v>0.112</v>
      </c>
      <c r="K143" s="7">
        <f t="shared" si="50"/>
        <v>7.3529999999999998</v>
      </c>
      <c r="L143" s="7">
        <f t="shared" si="51"/>
        <v>136</v>
      </c>
      <c r="M143" s="7">
        <f t="shared" si="52"/>
        <v>110</v>
      </c>
      <c r="O143">
        <f t="shared" si="53"/>
        <v>6.1865909090909096E-2</v>
      </c>
      <c r="P143">
        <f t="shared" si="54"/>
        <v>61.865909090909099</v>
      </c>
      <c r="V143">
        <f t="shared" si="55"/>
        <v>397.45529107371254</v>
      </c>
      <c r="W143">
        <f t="shared" si="56"/>
        <v>138.38034424304502</v>
      </c>
      <c r="AE143">
        <f t="shared" si="40"/>
        <v>0.37303612068480296</v>
      </c>
      <c r="AF143">
        <f t="shared" si="41"/>
        <v>0.3615399305420926</v>
      </c>
      <c r="AG143">
        <f t="shared" si="42"/>
        <v>0.36246921943766541</v>
      </c>
      <c r="AI143">
        <f t="shared" si="43"/>
        <v>0.1250995924496483</v>
      </c>
      <c r="AJ143">
        <f t="shared" si="44"/>
        <v>16.819508004428435</v>
      </c>
      <c r="AL143">
        <f t="shared" si="45"/>
        <v>0.12907748971654312</v>
      </c>
      <c r="AM143">
        <f t="shared" si="46"/>
        <v>17.906162424655875</v>
      </c>
      <c r="AO143">
        <f t="shared" si="47"/>
        <v>0.12874656429879844</v>
      </c>
      <c r="AP143">
        <f t="shared" si="48"/>
        <v>17.814465439524675</v>
      </c>
    </row>
    <row r="144" spans="1:42" x14ac:dyDescent="0.2">
      <c r="A144" s="3">
        <v>140</v>
      </c>
      <c r="B144" s="3">
        <v>1.1300000000000001E-7</v>
      </c>
      <c r="C144" s="2">
        <v>7.404E-3</v>
      </c>
      <c r="D144" s="3">
        <v>113000</v>
      </c>
      <c r="E144" s="3">
        <v>139000000000</v>
      </c>
      <c r="F144" s="3">
        <v>123000000000</v>
      </c>
      <c r="G144" s="3">
        <v>6390000000</v>
      </c>
      <c r="H144" s="3">
        <v>12700000000</v>
      </c>
      <c r="I144" s="2"/>
      <c r="J144" s="7">
        <f t="shared" si="49"/>
        <v>0.113</v>
      </c>
      <c r="K144" s="7">
        <f t="shared" si="50"/>
        <v>7.4039999999999999</v>
      </c>
      <c r="L144" s="7">
        <f t="shared" si="51"/>
        <v>139</v>
      </c>
      <c r="M144" s="7">
        <f t="shared" si="52"/>
        <v>113</v>
      </c>
      <c r="O144">
        <f t="shared" si="53"/>
        <v>6.3858407079646018E-2</v>
      </c>
      <c r="P144">
        <f t="shared" si="54"/>
        <v>63.858407079646021</v>
      </c>
      <c r="V144">
        <f t="shared" si="55"/>
        <v>403.07623963412522</v>
      </c>
      <c r="W144">
        <f t="shared" si="56"/>
        <v>140.17199339580372</v>
      </c>
      <c r="AE144">
        <f t="shared" ref="AE144:AE207" si="57">M144/(2*$Y$5)</f>
        <v>0.38320983306711576</v>
      </c>
      <c r="AF144">
        <f t="shared" ref="AF144:AF207" si="58">M144/(2*$Y$8)</f>
        <v>0.37140011046596788</v>
      </c>
      <c r="AG144">
        <f t="shared" ref="AG144:AG207" si="59">M144/(2*$Y$11)</f>
        <v>0.37235474360414722</v>
      </c>
      <c r="AI144">
        <f t="shared" ref="AI144:AI207" si="60">J144/(2.4*AE144)</f>
        <v>0.12286567115590458</v>
      </c>
      <c r="AJ144">
        <f t="shared" ref="AJ144:AJ207" si="61">K144/(3.14159*(AE144^2))</f>
        <v>16.048838817601414</v>
      </c>
      <c r="AL144">
        <f t="shared" ref="AL144:AL207" si="62">J144/(2.4*AF144)</f>
        <v>0.12677253454303342</v>
      </c>
      <c r="AM144">
        <f t="shared" ref="AM144:AM207" si="63">K144/(3.14159*(AF144^2))</f>
        <v>17.085702775576436</v>
      </c>
      <c r="AO144">
        <f t="shared" ref="AO144:AO207" si="64">J144/(2.4*AG144)</f>
        <v>0.12644751850774846</v>
      </c>
      <c r="AP144">
        <f t="shared" ref="AP144:AP207" si="65">K144/(3.14159*(AG144^2))</f>
        <v>16.998207342651575</v>
      </c>
    </row>
    <row r="145" spans="1:42" x14ac:dyDescent="0.2">
      <c r="A145" s="3">
        <v>140</v>
      </c>
      <c r="B145" s="3">
        <v>1.14E-7</v>
      </c>
      <c r="C145" s="2">
        <v>7.4549999999999998E-3</v>
      </c>
      <c r="D145" s="3">
        <v>115000</v>
      </c>
      <c r="E145" s="3">
        <v>141000000000</v>
      </c>
      <c r="F145" s="3">
        <v>124000000000</v>
      </c>
      <c r="G145" s="3">
        <v>5720000000</v>
      </c>
      <c r="H145" s="3">
        <v>12700000000</v>
      </c>
      <c r="I145" s="2"/>
      <c r="J145" s="7">
        <f t="shared" si="49"/>
        <v>0.114</v>
      </c>
      <c r="K145" s="7">
        <f t="shared" si="50"/>
        <v>7.4550000000000001</v>
      </c>
      <c r="L145" s="7">
        <f t="shared" si="51"/>
        <v>141</v>
      </c>
      <c r="M145" s="7">
        <f t="shared" si="52"/>
        <v>115</v>
      </c>
      <c r="O145">
        <f t="shared" si="53"/>
        <v>6.5380434782608701E-2</v>
      </c>
      <c r="P145">
        <f t="shared" si="54"/>
        <v>65.380434782608702</v>
      </c>
      <c r="V145">
        <f t="shared" si="55"/>
        <v>407.30446436634736</v>
      </c>
      <c r="W145">
        <f t="shared" si="56"/>
        <v>141.17203475649114</v>
      </c>
      <c r="AE145">
        <f t="shared" si="57"/>
        <v>0.38999230798865764</v>
      </c>
      <c r="AF145">
        <f t="shared" si="58"/>
        <v>0.3779735637485514</v>
      </c>
      <c r="AG145">
        <f t="shared" si="59"/>
        <v>0.37894509304846841</v>
      </c>
      <c r="AI145">
        <f t="shared" si="60"/>
        <v>0.12179727401541847</v>
      </c>
      <c r="AJ145">
        <f t="shared" si="61"/>
        <v>15.602207854088535</v>
      </c>
      <c r="AL145">
        <f t="shared" si="62"/>
        <v>0.12567016467744183</v>
      </c>
      <c r="AM145">
        <f t="shared" si="63"/>
        <v>16.610216419231378</v>
      </c>
      <c r="AO145">
        <f t="shared" si="64"/>
        <v>0.12534797486855065</v>
      </c>
      <c r="AP145">
        <f t="shared" si="65"/>
        <v>16.525155939386572</v>
      </c>
    </row>
    <row r="146" spans="1:42" x14ac:dyDescent="0.2">
      <c r="A146" s="3">
        <v>140</v>
      </c>
      <c r="B146" s="3">
        <v>1.14E-7</v>
      </c>
      <c r="C146" s="2">
        <v>7.5069999999999998E-3</v>
      </c>
      <c r="D146" s="3">
        <v>108000</v>
      </c>
      <c r="E146" s="3">
        <v>133000000000</v>
      </c>
      <c r="F146" s="3">
        <v>118000000000</v>
      </c>
      <c r="G146" s="2">
        <v>0</v>
      </c>
      <c r="H146" s="3">
        <v>13100000000</v>
      </c>
      <c r="I146" s="2"/>
      <c r="J146" s="7">
        <f t="shared" si="49"/>
        <v>0.114</v>
      </c>
      <c r="K146" s="7">
        <f t="shared" si="50"/>
        <v>7.5069999999999997</v>
      </c>
      <c r="L146" s="7">
        <f t="shared" si="51"/>
        <v>133</v>
      </c>
      <c r="M146" s="7">
        <f t="shared" si="52"/>
        <v>108</v>
      </c>
      <c r="O146">
        <f t="shared" si="53"/>
        <v>6.1868055555555565E-2</v>
      </c>
      <c r="P146">
        <f t="shared" si="54"/>
        <v>61.868055555555564</v>
      </c>
      <c r="V146">
        <f t="shared" si="55"/>
        <v>397.46140020924406</v>
      </c>
      <c r="W146">
        <f t="shared" si="56"/>
        <v>135.86224969662874</v>
      </c>
      <c r="AE146">
        <f t="shared" si="57"/>
        <v>0.36625364576326108</v>
      </c>
      <c r="AF146">
        <f t="shared" si="58"/>
        <v>0.35496647725950914</v>
      </c>
      <c r="AG146">
        <f t="shared" si="59"/>
        <v>0.35587886999334423</v>
      </c>
      <c r="AI146">
        <f t="shared" si="60"/>
        <v>0.12969154177567707</v>
      </c>
      <c r="AJ146">
        <f t="shared" si="61"/>
        <v>17.813653364166466</v>
      </c>
      <c r="AL146">
        <f t="shared" si="62"/>
        <v>0.13381545312875748</v>
      </c>
      <c r="AM146">
        <f t="shared" si="63"/>
        <v>18.964536324802069</v>
      </c>
      <c r="AO146">
        <f t="shared" si="64"/>
        <v>0.13347238064706782</v>
      </c>
      <c r="AP146">
        <f t="shared" si="65"/>
        <v>18.867419434864729</v>
      </c>
    </row>
    <row r="147" spans="1:42" x14ac:dyDescent="0.2">
      <c r="A147" s="3">
        <v>150</v>
      </c>
      <c r="B147" s="3">
        <v>1.14E-7</v>
      </c>
      <c r="C147" s="2">
        <v>7.561E-3</v>
      </c>
      <c r="D147" s="3">
        <v>123000</v>
      </c>
      <c r="E147" s="3">
        <v>150000000000</v>
      </c>
      <c r="F147" s="3">
        <v>132000000000</v>
      </c>
      <c r="G147" s="3">
        <v>6680000000</v>
      </c>
      <c r="H147" s="3">
        <v>12500000000</v>
      </c>
      <c r="I147" s="2"/>
      <c r="J147" s="7">
        <f t="shared" si="49"/>
        <v>0.114</v>
      </c>
      <c r="K147" s="7">
        <f t="shared" si="50"/>
        <v>7.5609999999999999</v>
      </c>
      <c r="L147" s="7">
        <f t="shared" si="51"/>
        <v>150</v>
      </c>
      <c r="M147" s="7">
        <f t="shared" si="52"/>
        <v>123</v>
      </c>
      <c r="O147">
        <f t="shared" si="53"/>
        <v>6.7896341463414639E-2</v>
      </c>
      <c r="P147">
        <f t="shared" si="54"/>
        <v>67.896341463414643</v>
      </c>
      <c r="V147">
        <f t="shared" si="55"/>
        <v>414.17517492947985</v>
      </c>
      <c r="W147">
        <f t="shared" si="56"/>
        <v>148.48789527395357</v>
      </c>
      <c r="AE147">
        <f t="shared" si="57"/>
        <v>0.41712220767482511</v>
      </c>
      <c r="AF147">
        <f t="shared" si="58"/>
        <v>0.40426737687888536</v>
      </c>
      <c r="AG147">
        <f t="shared" si="59"/>
        <v>0.40530649082575315</v>
      </c>
      <c r="AI147">
        <f t="shared" si="60"/>
        <v>0.11387550009571645</v>
      </c>
      <c r="AJ147">
        <f t="shared" si="61"/>
        <v>13.83257735017855</v>
      </c>
      <c r="AL147">
        <f t="shared" si="62"/>
        <v>0.11749649543012854</v>
      </c>
      <c r="AM147">
        <f t="shared" si="63"/>
        <v>14.726255769116356</v>
      </c>
      <c r="AO147">
        <f t="shared" si="64"/>
        <v>0.11719526105596199</v>
      </c>
      <c r="AP147">
        <f t="shared" si="65"/>
        <v>14.650843002032355</v>
      </c>
    </row>
    <row r="148" spans="1:42" x14ac:dyDescent="0.2">
      <c r="A148" s="3">
        <v>150</v>
      </c>
      <c r="B148" s="3">
        <v>1.15E-7</v>
      </c>
      <c r="C148" s="2">
        <v>7.613E-3</v>
      </c>
      <c r="D148" s="3">
        <v>102000</v>
      </c>
      <c r="E148" s="3">
        <v>127000000000</v>
      </c>
      <c r="F148" s="3">
        <v>113000000000</v>
      </c>
      <c r="G148" s="3">
        <v>20500000000</v>
      </c>
      <c r="H148" s="3">
        <v>13700000000</v>
      </c>
      <c r="I148" s="2"/>
      <c r="J148" s="7">
        <f t="shared" si="49"/>
        <v>0.11499999999999999</v>
      </c>
      <c r="K148" s="7">
        <f t="shared" si="50"/>
        <v>7.6129999999999995</v>
      </c>
      <c r="L148" s="7">
        <f t="shared" si="51"/>
        <v>127.00000000000001</v>
      </c>
      <c r="M148" s="7">
        <f t="shared" si="52"/>
        <v>102</v>
      </c>
      <c r="O148">
        <f t="shared" si="53"/>
        <v>5.90220588235294E-2</v>
      </c>
      <c r="P148">
        <f t="shared" si="54"/>
        <v>59.022058823529399</v>
      </c>
      <c r="V148">
        <f t="shared" si="55"/>
        <v>389.25505700648301</v>
      </c>
      <c r="W148">
        <f t="shared" si="56"/>
        <v>131.01949244335856</v>
      </c>
      <c r="AE148">
        <f t="shared" si="57"/>
        <v>0.34590622099863544</v>
      </c>
      <c r="AF148">
        <f t="shared" si="58"/>
        <v>0.33524611741175864</v>
      </c>
      <c r="AG148">
        <f t="shared" si="59"/>
        <v>0.33610782166038067</v>
      </c>
      <c r="AI148">
        <f t="shared" si="60"/>
        <v>0.13852502140126496</v>
      </c>
      <c r="AJ148">
        <f t="shared" si="61"/>
        <v>20.253010063453292</v>
      </c>
      <c r="AL148">
        <f t="shared" si="62"/>
        <v>0.14292981835734156</v>
      </c>
      <c r="AM148">
        <f t="shared" si="63"/>
        <v>21.561492029903658</v>
      </c>
      <c r="AO148">
        <f t="shared" si="64"/>
        <v>0.14256337870971639</v>
      </c>
      <c r="AP148">
        <f t="shared" si="65"/>
        <v>21.451076198348925</v>
      </c>
    </row>
    <row r="149" spans="1:42" x14ac:dyDescent="0.2">
      <c r="A149" s="3">
        <v>150</v>
      </c>
      <c r="B149" s="3">
        <v>1.15E-7</v>
      </c>
      <c r="C149" s="2">
        <v>7.6639999999999998E-3</v>
      </c>
      <c r="D149" s="3">
        <v>121000</v>
      </c>
      <c r="E149" s="3">
        <v>147000000000</v>
      </c>
      <c r="F149" s="3">
        <v>130000000000</v>
      </c>
      <c r="G149" s="3">
        <v>21200000000</v>
      </c>
      <c r="H149" s="3">
        <v>12800000000</v>
      </c>
      <c r="I149" s="2"/>
      <c r="J149" s="7">
        <f t="shared" si="49"/>
        <v>0.11499999999999999</v>
      </c>
      <c r="K149" s="7">
        <f t="shared" si="50"/>
        <v>7.6639999999999997</v>
      </c>
      <c r="L149" s="7">
        <f t="shared" si="51"/>
        <v>147</v>
      </c>
      <c r="M149" s="7">
        <f t="shared" si="52"/>
        <v>121</v>
      </c>
      <c r="O149">
        <f t="shared" si="53"/>
        <v>6.7495867768595036E-2</v>
      </c>
      <c r="P149">
        <f t="shared" si="54"/>
        <v>67.495867768595033</v>
      </c>
      <c r="V149">
        <f t="shared" si="55"/>
        <v>413.09112321003414</v>
      </c>
      <c r="W149">
        <f t="shared" si="56"/>
        <v>146.45679028362724</v>
      </c>
      <c r="AE149">
        <f t="shared" si="57"/>
        <v>0.41033973275328323</v>
      </c>
      <c r="AF149">
        <f t="shared" si="58"/>
        <v>0.3976939235963019</v>
      </c>
      <c r="AG149">
        <f t="shared" si="59"/>
        <v>0.39871614138143197</v>
      </c>
      <c r="AI149">
        <f t="shared" si="60"/>
        <v>0.11677315853660353</v>
      </c>
      <c r="AJ149">
        <f t="shared" si="61"/>
        <v>14.4883472924347</v>
      </c>
      <c r="AL149">
        <f t="shared" si="62"/>
        <v>0.12048629316073421</v>
      </c>
      <c r="AM149">
        <f t="shared" si="63"/>
        <v>15.424392902268776</v>
      </c>
      <c r="AO149">
        <f t="shared" si="64"/>
        <v>0.1201773936230667</v>
      </c>
      <c r="AP149">
        <f t="shared" si="65"/>
        <v>15.345404993353711</v>
      </c>
    </row>
    <row r="150" spans="1:42" x14ac:dyDescent="0.2">
      <c r="A150" s="3">
        <v>150</v>
      </c>
      <c r="B150" s="3">
        <v>1.1600000000000001E-7</v>
      </c>
      <c r="C150" s="2">
        <v>7.7159999999999998E-3</v>
      </c>
      <c r="D150" s="3">
        <v>121000</v>
      </c>
      <c r="E150" s="3">
        <v>147000000000</v>
      </c>
      <c r="F150" s="3">
        <v>130000000000</v>
      </c>
      <c r="G150" s="2">
        <v>0</v>
      </c>
      <c r="H150" s="3">
        <v>12800000000</v>
      </c>
      <c r="I150" s="2"/>
      <c r="J150" s="7">
        <f t="shared" si="49"/>
        <v>0.11600000000000001</v>
      </c>
      <c r="K150" s="7">
        <f t="shared" si="50"/>
        <v>7.7160000000000002</v>
      </c>
      <c r="L150" s="7">
        <f t="shared" si="51"/>
        <v>147</v>
      </c>
      <c r="M150" s="7">
        <f t="shared" si="52"/>
        <v>121</v>
      </c>
      <c r="O150">
        <f t="shared" si="53"/>
        <v>6.8173553719008267E-2</v>
      </c>
      <c r="P150">
        <f t="shared" si="54"/>
        <v>68.173553719008268</v>
      </c>
      <c r="V150">
        <f t="shared" si="55"/>
        <v>414.92348295696229</v>
      </c>
      <c r="W150">
        <f t="shared" si="56"/>
        <v>145.81001675018555</v>
      </c>
      <c r="AE150">
        <f t="shared" si="57"/>
        <v>0.41033973275328323</v>
      </c>
      <c r="AF150">
        <f t="shared" si="58"/>
        <v>0.3976939235963019</v>
      </c>
      <c r="AG150">
        <f t="shared" si="59"/>
        <v>0.39871614138143197</v>
      </c>
      <c r="AI150">
        <f t="shared" si="60"/>
        <v>0.11778857730648705</v>
      </c>
      <c r="AJ150">
        <f t="shared" si="61"/>
        <v>14.586650275107797</v>
      </c>
      <c r="AL150">
        <f t="shared" si="62"/>
        <v>0.1215340000577841</v>
      </c>
      <c r="AM150">
        <f t="shared" si="63"/>
        <v>15.529046925092103</v>
      </c>
      <c r="AO150">
        <f t="shared" si="64"/>
        <v>0.12122241443718035</v>
      </c>
      <c r="AP150">
        <f t="shared" si="65"/>
        <v>15.449523085688574</v>
      </c>
    </row>
    <row r="151" spans="1:42" x14ac:dyDescent="0.2">
      <c r="A151" s="3">
        <v>150</v>
      </c>
      <c r="B151" s="3">
        <v>1.17E-7</v>
      </c>
      <c r="C151" s="2">
        <v>7.7689999999999999E-3</v>
      </c>
      <c r="D151" s="3">
        <v>123000</v>
      </c>
      <c r="E151" s="3">
        <v>149000000000</v>
      </c>
      <c r="F151" s="3">
        <v>131000000000</v>
      </c>
      <c r="G151" s="2">
        <v>0</v>
      </c>
      <c r="H151" s="3">
        <v>12800000000</v>
      </c>
      <c r="I151" s="2"/>
      <c r="J151" s="7">
        <f t="shared" si="49"/>
        <v>0.11700000000000001</v>
      </c>
      <c r="K151" s="7">
        <f t="shared" si="50"/>
        <v>7.7690000000000001</v>
      </c>
      <c r="L151" s="7">
        <f t="shared" si="51"/>
        <v>149</v>
      </c>
      <c r="M151" s="7">
        <f t="shared" si="52"/>
        <v>123</v>
      </c>
      <c r="O151">
        <f t="shared" si="53"/>
        <v>6.9628048780487811E-2</v>
      </c>
      <c r="P151">
        <f t="shared" si="54"/>
        <v>69.628048780487816</v>
      </c>
      <c r="V151">
        <f t="shared" si="55"/>
        <v>418.82225556375465</v>
      </c>
      <c r="W151">
        <f t="shared" si="56"/>
        <v>146.84033425400969</v>
      </c>
      <c r="AE151">
        <f t="shared" si="57"/>
        <v>0.41712220767482511</v>
      </c>
      <c r="AF151">
        <f t="shared" si="58"/>
        <v>0.40426737687888536</v>
      </c>
      <c r="AG151">
        <f t="shared" si="59"/>
        <v>0.40530649082575315</v>
      </c>
      <c r="AI151">
        <f t="shared" si="60"/>
        <v>0.11687222378244584</v>
      </c>
      <c r="AJ151">
        <f t="shared" si="61"/>
        <v>14.213105863448904</v>
      </c>
      <c r="AL151">
        <f t="shared" si="62"/>
        <v>0.12058850846776351</v>
      </c>
      <c r="AM151">
        <f t="shared" si="63"/>
        <v>15.131369008102761</v>
      </c>
      <c r="AO151">
        <f t="shared" si="64"/>
        <v>0.12027934687322414</v>
      </c>
      <c r="AP151">
        <f t="shared" si="65"/>
        <v>15.053881666815153</v>
      </c>
    </row>
    <row r="152" spans="1:42" x14ac:dyDescent="0.2">
      <c r="A152" s="3">
        <v>150</v>
      </c>
      <c r="B152" s="3">
        <v>1.17E-7</v>
      </c>
      <c r="C152" s="2">
        <v>7.8200000000000006E-3</v>
      </c>
      <c r="D152" s="3">
        <v>117000</v>
      </c>
      <c r="E152" s="3">
        <v>143000000000</v>
      </c>
      <c r="F152" s="3">
        <v>126000000000</v>
      </c>
      <c r="G152" s="3">
        <v>1140000000</v>
      </c>
      <c r="H152" s="3">
        <v>13100000000</v>
      </c>
      <c r="I152" s="2"/>
      <c r="J152" s="7">
        <f t="shared" si="49"/>
        <v>0.11700000000000001</v>
      </c>
      <c r="K152" s="7">
        <f t="shared" si="50"/>
        <v>7.82</v>
      </c>
      <c r="L152" s="7">
        <f t="shared" si="51"/>
        <v>143</v>
      </c>
      <c r="M152" s="7">
        <f t="shared" si="52"/>
        <v>117</v>
      </c>
      <c r="O152">
        <f t="shared" si="53"/>
        <v>6.6871794871794871E-2</v>
      </c>
      <c r="P152">
        <f t="shared" si="54"/>
        <v>66.871794871794876</v>
      </c>
      <c r="V152">
        <f t="shared" si="55"/>
        <v>411.39464001193278</v>
      </c>
      <c r="W152">
        <f t="shared" si="56"/>
        <v>142.1992274821645</v>
      </c>
      <c r="AE152">
        <f t="shared" si="57"/>
        <v>0.39677478291019952</v>
      </c>
      <c r="AF152">
        <f t="shared" si="58"/>
        <v>0.38454701703113486</v>
      </c>
      <c r="AG152">
        <f t="shared" si="59"/>
        <v>0.38553544249278959</v>
      </c>
      <c r="AI152">
        <f t="shared" si="60"/>
        <v>0.12286567115590458</v>
      </c>
      <c r="AJ152">
        <f t="shared" si="61"/>
        <v>15.811356170391324</v>
      </c>
      <c r="AL152">
        <f t="shared" si="62"/>
        <v>0.12677253454303342</v>
      </c>
      <c r="AM152">
        <f t="shared" si="63"/>
        <v>16.83287713686801</v>
      </c>
      <c r="AO152">
        <f t="shared" si="64"/>
        <v>0.12644751850774846</v>
      </c>
      <c r="AP152">
        <f t="shared" si="65"/>
        <v>16.746676417365467</v>
      </c>
    </row>
    <row r="153" spans="1:42" x14ac:dyDescent="0.2">
      <c r="A153" s="3">
        <v>150</v>
      </c>
      <c r="B153" s="3">
        <v>1.18E-7</v>
      </c>
      <c r="C153" s="2">
        <v>7.8740000000000008E-3</v>
      </c>
      <c r="D153" s="3">
        <v>124000</v>
      </c>
      <c r="E153" s="3">
        <v>149000000000</v>
      </c>
      <c r="F153" s="3">
        <v>131000000000</v>
      </c>
      <c r="G153" s="3">
        <v>5690000000</v>
      </c>
      <c r="H153" s="3">
        <v>12900000000</v>
      </c>
      <c r="I153" s="2"/>
      <c r="J153" s="7">
        <f t="shared" si="49"/>
        <v>0.11799999999999999</v>
      </c>
      <c r="K153" s="7">
        <f t="shared" si="50"/>
        <v>7.8740000000000006</v>
      </c>
      <c r="L153" s="7">
        <f t="shared" si="51"/>
        <v>149</v>
      </c>
      <c r="M153" s="7">
        <f t="shared" si="52"/>
        <v>124</v>
      </c>
      <c r="O153">
        <f t="shared" si="53"/>
        <v>7.0374999999999993E-2</v>
      </c>
      <c r="P153">
        <f t="shared" si="54"/>
        <v>70.375</v>
      </c>
      <c r="V153">
        <f t="shared" si="55"/>
        <v>420.80683675133628</v>
      </c>
      <c r="W153">
        <f t="shared" si="56"/>
        <v>147.33600926887297</v>
      </c>
      <c r="AE153">
        <f t="shared" si="57"/>
        <v>0.42051344513559608</v>
      </c>
      <c r="AF153">
        <f t="shared" si="58"/>
        <v>0.40755410352017712</v>
      </c>
      <c r="AG153">
        <f t="shared" si="59"/>
        <v>0.40860166554791372</v>
      </c>
      <c r="AI153">
        <f t="shared" si="60"/>
        <v>0.11692055803545759</v>
      </c>
      <c r="AJ153">
        <f t="shared" si="61"/>
        <v>14.173794517930567</v>
      </c>
      <c r="AL153">
        <f t="shared" si="62"/>
        <v>0.12063837964578984</v>
      </c>
      <c r="AM153">
        <f t="shared" si="63"/>
        <v>15.089517882742989</v>
      </c>
      <c r="AO153">
        <f t="shared" si="64"/>
        <v>0.12032909019285741</v>
      </c>
      <c r="AP153">
        <f t="shared" si="65"/>
        <v>15.01224485996366</v>
      </c>
    </row>
    <row r="154" spans="1:42" x14ac:dyDescent="0.2">
      <c r="A154" s="3">
        <v>150</v>
      </c>
      <c r="B154" s="3">
        <v>1.18E-7</v>
      </c>
      <c r="C154" s="2">
        <v>7.927E-3</v>
      </c>
      <c r="D154" s="3">
        <v>109000</v>
      </c>
      <c r="E154" s="3">
        <v>133000000000</v>
      </c>
      <c r="F154" s="3">
        <v>118000000000</v>
      </c>
      <c r="G154" s="3">
        <v>12300000000</v>
      </c>
      <c r="H154" s="3">
        <v>13700000000</v>
      </c>
      <c r="I154" s="2"/>
      <c r="J154" s="7">
        <f t="shared" si="49"/>
        <v>0.11799999999999999</v>
      </c>
      <c r="K154" s="7">
        <f t="shared" si="50"/>
        <v>7.9269999999999996</v>
      </c>
      <c r="L154" s="7">
        <f t="shared" si="51"/>
        <v>133</v>
      </c>
      <c r="M154" s="7">
        <f t="shared" si="52"/>
        <v>109</v>
      </c>
      <c r="O154">
        <f t="shared" si="53"/>
        <v>6.3456422018348627E-2</v>
      </c>
      <c r="P154">
        <f t="shared" si="54"/>
        <v>63.456422018348626</v>
      </c>
      <c r="V154">
        <f t="shared" si="55"/>
        <v>401.95016923362084</v>
      </c>
      <c r="W154">
        <f t="shared" si="56"/>
        <v>135.58894652019316</v>
      </c>
      <c r="AE154">
        <f t="shared" si="57"/>
        <v>0.36964488322403199</v>
      </c>
      <c r="AF154">
        <f t="shared" si="58"/>
        <v>0.35825320390080084</v>
      </c>
      <c r="AG154">
        <f t="shared" si="59"/>
        <v>0.35917404471550479</v>
      </c>
      <c r="AI154">
        <f t="shared" si="60"/>
        <v>0.13301054308620863</v>
      </c>
      <c r="AJ154">
        <f t="shared" si="61"/>
        <v>18.466728090056865</v>
      </c>
      <c r="AL154">
        <f t="shared" si="62"/>
        <v>0.13723999152365085</v>
      </c>
      <c r="AM154">
        <f t="shared" si="63"/>
        <v>19.6598041123112</v>
      </c>
      <c r="AO154">
        <f t="shared" si="64"/>
        <v>0.13688813930196622</v>
      </c>
      <c r="AP154">
        <f t="shared" si="65"/>
        <v>19.559126774386097</v>
      </c>
    </row>
    <row r="155" spans="1:42" x14ac:dyDescent="0.2">
      <c r="A155" s="3">
        <v>150</v>
      </c>
      <c r="B155" s="3">
        <v>1.1999999999999999E-7</v>
      </c>
      <c r="C155" s="2">
        <v>7.9749999999999995E-3</v>
      </c>
      <c r="D155" s="3">
        <v>118000</v>
      </c>
      <c r="E155" s="3">
        <v>142000000000</v>
      </c>
      <c r="F155" s="3">
        <v>126000000000</v>
      </c>
      <c r="G155" s="3">
        <v>9940000000</v>
      </c>
      <c r="H155" s="3">
        <v>13100000000</v>
      </c>
      <c r="I155" s="2"/>
      <c r="J155" s="7">
        <f t="shared" si="49"/>
        <v>0.12</v>
      </c>
      <c r="K155" s="7">
        <f t="shared" si="50"/>
        <v>7.9749999999999996</v>
      </c>
      <c r="L155" s="7">
        <f t="shared" si="51"/>
        <v>142</v>
      </c>
      <c r="M155" s="7">
        <f t="shared" si="52"/>
        <v>118</v>
      </c>
      <c r="O155">
        <f t="shared" si="53"/>
        <v>6.9311440677966102E-2</v>
      </c>
      <c r="P155">
        <f t="shared" si="54"/>
        <v>69.311440677966104</v>
      </c>
      <c r="V155">
        <f t="shared" si="55"/>
        <v>417.97747911648878</v>
      </c>
      <c r="W155">
        <f t="shared" si="56"/>
        <v>141.15593051738779</v>
      </c>
      <c r="AE155">
        <f t="shared" si="57"/>
        <v>0.40016602037097043</v>
      </c>
      <c r="AF155">
        <f t="shared" si="58"/>
        <v>0.38783374367242662</v>
      </c>
      <c r="AG155">
        <f t="shared" si="59"/>
        <v>0.38883061721495016</v>
      </c>
      <c r="AI155">
        <f t="shared" si="60"/>
        <v>0.12494814015854704</v>
      </c>
      <c r="AJ155">
        <f t="shared" si="61"/>
        <v>15.852609779049754</v>
      </c>
      <c r="AL155">
        <f t="shared" si="62"/>
        <v>0.12892122156918651</v>
      </c>
      <c r="AM155">
        <f t="shared" si="63"/>
        <v>16.876796008754543</v>
      </c>
      <c r="AO155">
        <f t="shared" si="64"/>
        <v>0.12859069678754081</v>
      </c>
      <c r="AP155">
        <f t="shared" si="65"/>
        <v>16.790370381868343</v>
      </c>
    </row>
    <row r="156" spans="1:42" x14ac:dyDescent="0.2">
      <c r="A156" s="3">
        <v>150</v>
      </c>
      <c r="B156" s="3">
        <v>1.2200000000000001E-7</v>
      </c>
      <c r="C156" s="2">
        <v>8.0269999999999994E-3</v>
      </c>
      <c r="D156" s="3">
        <v>119000</v>
      </c>
      <c r="E156" s="3">
        <v>143000000000</v>
      </c>
      <c r="F156" s="3">
        <v>126000000000</v>
      </c>
      <c r="G156" s="2">
        <v>0</v>
      </c>
      <c r="H156" s="3">
        <v>13000000000</v>
      </c>
      <c r="I156" s="2"/>
      <c r="J156" s="7">
        <f t="shared" si="49"/>
        <v>0.12200000000000001</v>
      </c>
      <c r="K156" s="7">
        <f t="shared" si="50"/>
        <v>8.0269999999999992</v>
      </c>
      <c r="L156" s="7">
        <f t="shared" si="51"/>
        <v>143</v>
      </c>
      <c r="M156" s="7">
        <f t="shared" si="52"/>
        <v>119</v>
      </c>
      <c r="O156">
        <f t="shared" si="53"/>
        <v>7.140966386554623E-2</v>
      </c>
      <c r="P156">
        <f t="shared" si="54"/>
        <v>71.409663865546236</v>
      </c>
      <c r="V156">
        <f t="shared" si="55"/>
        <v>423.53656028892908</v>
      </c>
      <c r="W156">
        <f t="shared" si="56"/>
        <v>140.48373996192953</v>
      </c>
      <c r="AE156">
        <f t="shared" si="57"/>
        <v>0.4035572578317414</v>
      </c>
      <c r="AF156">
        <f t="shared" si="58"/>
        <v>0.39112047031371838</v>
      </c>
      <c r="AG156">
        <f t="shared" si="59"/>
        <v>0.39212579193711078</v>
      </c>
      <c r="AI156">
        <f t="shared" si="60"/>
        <v>0.12596312505059126</v>
      </c>
      <c r="AJ156">
        <f t="shared" si="61"/>
        <v>15.688933869981325</v>
      </c>
      <c r="AL156">
        <f t="shared" si="62"/>
        <v>0.12996848079201745</v>
      </c>
      <c r="AM156">
        <f t="shared" si="63"/>
        <v>16.702545524613701</v>
      </c>
      <c r="AO156">
        <f t="shared" si="64"/>
        <v>0.1296352710751707</v>
      </c>
      <c r="AP156">
        <f t="shared" si="65"/>
        <v>16.61701222985732</v>
      </c>
    </row>
    <row r="157" spans="1:42" x14ac:dyDescent="0.2">
      <c r="A157" s="3">
        <v>160</v>
      </c>
      <c r="B157" s="3">
        <v>1.2200000000000001E-7</v>
      </c>
      <c r="C157" s="2">
        <v>8.0800000000000004E-3</v>
      </c>
      <c r="D157" s="3">
        <v>112000</v>
      </c>
      <c r="E157" s="3">
        <v>135000000000</v>
      </c>
      <c r="F157" s="3">
        <v>120000000000</v>
      </c>
      <c r="G157" s="3">
        <v>1160000000</v>
      </c>
      <c r="H157" s="3">
        <v>13400000000</v>
      </c>
      <c r="I157" s="2"/>
      <c r="J157" s="7">
        <f t="shared" si="49"/>
        <v>0.12200000000000001</v>
      </c>
      <c r="K157" s="7">
        <f t="shared" si="50"/>
        <v>8.08</v>
      </c>
      <c r="L157" s="7">
        <f t="shared" si="51"/>
        <v>135</v>
      </c>
      <c r="M157" s="7">
        <f t="shared" si="52"/>
        <v>112</v>
      </c>
      <c r="O157">
        <f t="shared" si="53"/>
        <v>6.7892857142857144E-2</v>
      </c>
      <c r="P157">
        <f t="shared" si="54"/>
        <v>67.892857142857139</v>
      </c>
      <c r="V157">
        <f t="shared" si="55"/>
        <v>414.165758520042</v>
      </c>
      <c r="W157">
        <f t="shared" si="56"/>
        <v>135.2115640851321</v>
      </c>
      <c r="AE157">
        <f t="shared" si="57"/>
        <v>0.37981859560634484</v>
      </c>
      <c r="AF157">
        <f t="shared" si="58"/>
        <v>0.36811338382467612</v>
      </c>
      <c r="AG157">
        <f t="shared" si="59"/>
        <v>0.3690595688819866</v>
      </c>
      <c r="AI157">
        <f t="shared" si="60"/>
        <v>0.13383582036625322</v>
      </c>
      <c r="AJ157">
        <f t="shared" si="61"/>
        <v>17.82827841701776</v>
      </c>
      <c r="AL157">
        <f t="shared" si="62"/>
        <v>0.13809151084151855</v>
      </c>
      <c r="AM157">
        <f t="shared" si="63"/>
        <v>18.980106255370519</v>
      </c>
      <c r="AO157">
        <f t="shared" si="64"/>
        <v>0.13773747551736887</v>
      </c>
      <c r="AP157">
        <f t="shared" si="65"/>
        <v>18.882909632229719</v>
      </c>
    </row>
    <row r="158" spans="1:42" x14ac:dyDescent="0.2">
      <c r="A158" s="3">
        <v>160</v>
      </c>
      <c r="B158" s="3">
        <v>1.23E-7</v>
      </c>
      <c r="C158" s="2">
        <v>8.1329999999999996E-3</v>
      </c>
      <c r="D158" s="3">
        <v>106000</v>
      </c>
      <c r="E158" s="3">
        <v>128000000000</v>
      </c>
      <c r="F158" s="3">
        <v>114000000000</v>
      </c>
      <c r="G158" s="3">
        <v>7390000000</v>
      </c>
      <c r="H158" s="3">
        <v>13800000000</v>
      </c>
      <c r="I158" s="2"/>
      <c r="J158" s="7">
        <f t="shared" si="49"/>
        <v>0.123</v>
      </c>
      <c r="K158" s="7">
        <f t="shared" si="50"/>
        <v>8.1329999999999991</v>
      </c>
      <c r="L158" s="7">
        <f t="shared" si="51"/>
        <v>128</v>
      </c>
      <c r="M158" s="7">
        <f t="shared" si="52"/>
        <v>106</v>
      </c>
      <c r="O158">
        <f t="shared" si="53"/>
        <v>6.5455188679245296E-2</v>
      </c>
      <c r="P158">
        <f t="shared" si="54"/>
        <v>65.455188679245296</v>
      </c>
      <c r="V158">
        <f t="shared" si="55"/>
        <v>407.510712633259</v>
      </c>
      <c r="W158">
        <f t="shared" si="56"/>
        <v>130.05793064315728</v>
      </c>
      <c r="AE158">
        <f t="shared" si="57"/>
        <v>0.3594711708417192</v>
      </c>
      <c r="AF158">
        <f t="shared" si="58"/>
        <v>0.34839302397692562</v>
      </c>
      <c r="AG158">
        <f t="shared" si="59"/>
        <v>0.34928852054902304</v>
      </c>
      <c r="AI158">
        <f t="shared" si="60"/>
        <v>0.14257054294505908</v>
      </c>
      <c r="AJ158">
        <f t="shared" si="61"/>
        <v>20.034252081998574</v>
      </c>
      <c r="AL158">
        <f t="shared" si="62"/>
        <v>0.14710397876219913</v>
      </c>
      <c r="AM158">
        <f t="shared" si="63"/>
        <v>21.328600797497415</v>
      </c>
      <c r="AO158">
        <f t="shared" si="64"/>
        <v>0.14672683751370813</v>
      </c>
      <c r="AP158">
        <f t="shared" si="65"/>
        <v>21.219377595796509</v>
      </c>
    </row>
    <row r="159" spans="1:42" x14ac:dyDescent="0.2">
      <c r="A159" s="3">
        <v>160</v>
      </c>
      <c r="B159" s="3">
        <v>1.23E-7</v>
      </c>
      <c r="C159" s="2">
        <v>8.1849999999999996E-3</v>
      </c>
      <c r="D159" s="3">
        <v>125000</v>
      </c>
      <c r="E159" s="3">
        <v>148000000000</v>
      </c>
      <c r="F159" s="3">
        <v>130000000000</v>
      </c>
      <c r="G159" s="3">
        <v>7190000000</v>
      </c>
      <c r="H159" s="3">
        <v>12900000000</v>
      </c>
      <c r="I159" s="2"/>
      <c r="J159" s="7">
        <f t="shared" si="49"/>
        <v>0.123</v>
      </c>
      <c r="K159" s="7">
        <f t="shared" si="50"/>
        <v>8.1849999999999987</v>
      </c>
      <c r="L159" s="7">
        <f t="shared" si="51"/>
        <v>148</v>
      </c>
      <c r="M159" s="7">
        <f t="shared" si="52"/>
        <v>125</v>
      </c>
      <c r="O159">
        <f t="shared" si="53"/>
        <v>7.3889999999999997E-2</v>
      </c>
      <c r="P159">
        <f t="shared" si="54"/>
        <v>73.89</v>
      </c>
      <c r="V159">
        <f t="shared" si="55"/>
        <v>429.99193111614829</v>
      </c>
      <c r="W159">
        <f t="shared" si="56"/>
        <v>145.35156470905417</v>
      </c>
      <c r="AE159">
        <f t="shared" si="57"/>
        <v>0.42390468259636699</v>
      </c>
      <c r="AF159">
        <f t="shared" si="58"/>
        <v>0.41084083016146888</v>
      </c>
      <c r="AG159">
        <f t="shared" si="59"/>
        <v>0.41189684027007434</v>
      </c>
      <c r="AI159">
        <f t="shared" si="60"/>
        <v>0.12089982041741011</v>
      </c>
      <c r="AJ159">
        <f t="shared" si="61"/>
        <v>14.498823063209777</v>
      </c>
      <c r="AL159">
        <f t="shared" si="62"/>
        <v>0.12474417399034488</v>
      </c>
      <c r="AM159">
        <f t="shared" si="63"/>
        <v>15.435545478965587</v>
      </c>
      <c r="AO159">
        <f t="shared" si="64"/>
        <v>0.12442435821162448</v>
      </c>
      <c r="AP159">
        <f t="shared" si="65"/>
        <v>15.356500457999635</v>
      </c>
    </row>
    <row r="160" spans="1:42" x14ac:dyDescent="0.2">
      <c r="A160" s="3">
        <v>160</v>
      </c>
      <c r="B160" s="3">
        <v>1.24E-7</v>
      </c>
      <c r="C160" s="2">
        <v>8.2389999999999998E-3</v>
      </c>
      <c r="D160" s="3">
        <v>135000</v>
      </c>
      <c r="E160" s="3">
        <v>158000000000</v>
      </c>
      <c r="F160" s="3">
        <v>138000000000</v>
      </c>
      <c r="G160" s="3">
        <v>1590000000</v>
      </c>
      <c r="H160" s="3">
        <v>12400000000</v>
      </c>
      <c r="I160" s="2"/>
      <c r="J160" s="7">
        <f t="shared" si="49"/>
        <v>0.124</v>
      </c>
      <c r="K160" s="7">
        <f t="shared" si="50"/>
        <v>8.238999999999999</v>
      </c>
      <c r="L160" s="7">
        <f t="shared" si="51"/>
        <v>158</v>
      </c>
      <c r="M160" s="7">
        <f t="shared" si="52"/>
        <v>135</v>
      </c>
      <c r="O160">
        <f t="shared" si="53"/>
        <v>7.8227777777777785E-2</v>
      </c>
      <c r="P160">
        <f t="shared" si="54"/>
        <v>78.227777777777789</v>
      </c>
      <c r="V160">
        <f t="shared" si="55"/>
        <v>440.99764607125849</v>
      </c>
      <c r="W160">
        <f t="shared" si="56"/>
        <v>153.06204149011043</v>
      </c>
      <c r="AE160">
        <f t="shared" si="57"/>
        <v>0.45781705720407634</v>
      </c>
      <c r="AF160">
        <f t="shared" si="58"/>
        <v>0.44370809657438642</v>
      </c>
      <c r="AG160">
        <f t="shared" si="59"/>
        <v>0.44484858749168027</v>
      </c>
      <c r="AI160">
        <f t="shared" si="60"/>
        <v>0.11285439424690497</v>
      </c>
      <c r="AJ160">
        <f t="shared" si="61"/>
        <v>12.512412633957002</v>
      </c>
      <c r="AL160">
        <f t="shared" si="62"/>
        <v>0.11644292061730474</v>
      </c>
      <c r="AM160">
        <f t="shared" si="63"/>
        <v>13.320799448411922</v>
      </c>
      <c r="AO160">
        <f t="shared" si="64"/>
        <v>0.11614438737008008</v>
      </c>
      <c r="AP160">
        <f t="shared" si="65"/>
        <v>13.252583986048261</v>
      </c>
    </row>
    <row r="161" spans="1:42" x14ac:dyDescent="0.2">
      <c r="A161" s="3">
        <v>160</v>
      </c>
      <c r="B161" s="3">
        <v>1.2499999999999999E-7</v>
      </c>
      <c r="C161" s="2">
        <v>8.2900000000000005E-3</v>
      </c>
      <c r="D161" s="3">
        <v>113000</v>
      </c>
      <c r="E161" s="3">
        <v>135000000000</v>
      </c>
      <c r="F161" s="3">
        <v>120000000000</v>
      </c>
      <c r="G161" s="3">
        <v>11000000000</v>
      </c>
      <c r="H161" s="3">
        <v>13600000000</v>
      </c>
      <c r="I161" s="2"/>
      <c r="J161" s="7">
        <f t="shared" si="49"/>
        <v>0.125</v>
      </c>
      <c r="K161" s="7">
        <f t="shared" si="50"/>
        <v>8.2900000000000009</v>
      </c>
      <c r="L161" s="7">
        <f t="shared" si="51"/>
        <v>135</v>
      </c>
      <c r="M161" s="7">
        <f t="shared" si="52"/>
        <v>113</v>
      </c>
      <c r="O161">
        <f t="shared" si="53"/>
        <v>6.9977876106194686E-2</v>
      </c>
      <c r="P161">
        <f t="shared" si="54"/>
        <v>69.977876106194685</v>
      </c>
      <c r="V161">
        <f t="shared" si="55"/>
        <v>419.75318353915787</v>
      </c>
      <c r="W161">
        <f t="shared" si="56"/>
        <v>134.60291003303192</v>
      </c>
      <c r="AE161">
        <f t="shared" si="57"/>
        <v>0.38320983306711576</v>
      </c>
      <c r="AF161">
        <f t="shared" si="58"/>
        <v>0.37140011046596788</v>
      </c>
      <c r="AG161">
        <f t="shared" si="59"/>
        <v>0.37235474360414722</v>
      </c>
      <c r="AI161">
        <f t="shared" si="60"/>
        <v>0.13591335304856703</v>
      </c>
      <c r="AJ161">
        <f t="shared" si="61"/>
        <v>17.969323851690405</v>
      </c>
      <c r="AL161">
        <f t="shared" si="62"/>
        <v>0.14023510458300156</v>
      </c>
      <c r="AM161">
        <f t="shared" si="63"/>
        <v>19.130264182810464</v>
      </c>
      <c r="AO161">
        <f t="shared" si="64"/>
        <v>0.13987557357051819</v>
      </c>
      <c r="AP161">
        <f t="shared" si="65"/>
        <v>19.032298604886762</v>
      </c>
    </row>
    <row r="162" spans="1:42" x14ac:dyDescent="0.2">
      <c r="A162" s="3">
        <v>160</v>
      </c>
      <c r="B162" s="3">
        <v>1.2499999999999999E-7</v>
      </c>
      <c r="C162" s="2">
        <v>8.3409999999999995E-3</v>
      </c>
      <c r="D162" s="3">
        <v>122000</v>
      </c>
      <c r="E162" s="3">
        <v>145000000000</v>
      </c>
      <c r="F162" s="3">
        <v>128000000000</v>
      </c>
      <c r="G162" s="3">
        <v>9190000000</v>
      </c>
      <c r="H162" s="3">
        <v>13200000000</v>
      </c>
      <c r="I162" s="2"/>
      <c r="J162" s="7">
        <f t="shared" si="49"/>
        <v>0.125</v>
      </c>
      <c r="K162" s="7">
        <f t="shared" si="50"/>
        <v>8.3409999999999993</v>
      </c>
      <c r="L162" s="7">
        <f t="shared" si="51"/>
        <v>145</v>
      </c>
      <c r="M162" s="7">
        <f t="shared" si="52"/>
        <v>122</v>
      </c>
      <c r="O162">
        <f t="shared" si="53"/>
        <v>7.3723360655737702E-2</v>
      </c>
      <c r="P162">
        <f t="shared" si="54"/>
        <v>73.723360655737707</v>
      </c>
      <c r="V162">
        <f t="shared" si="55"/>
        <v>429.5620498520297</v>
      </c>
      <c r="W162">
        <f t="shared" si="56"/>
        <v>142.00509570389781</v>
      </c>
      <c r="AE162">
        <f t="shared" si="57"/>
        <v>0.41373097021405419</v>
      </c>
      <c r="AF162">
        <f t="shared" si="58"/>
        <v>0.40098065023759361</v>
      </c>
      <c r="AG162">
        <f t="shared" si="59"/>
        <v>0.40201131610359253</v>
      </c>
      <c r="AI162">
        <f t="shared" si="60"/>
        <v>0.12588695815154158</v>
      </c>
      <c r="AJ162">
        <f t="shared" si="61"/>
        <v>15.510741216783334</v>
      </c>
      <c r="AL162">
        <f t="shared" si="62"/>
        <v>0.12988989194982933</v>
      </c>
      <c r="AM162">
        <f t="shared" si="63"/>
        <v>16.512840416104964</v>
      </c>
      <c r="AO162">
        <f t="shared" si="64"/>
        <v>0.1295568837169554</v>
      </c>
      <c r="AP162">
        <f t="shared" si="65"/>
        <v>16.428278596201864</v>
      </c>
    </row>
    <row r="163" spans="1:42" x14ac:dyDescent="0.2">
      <c r="A163" s="3">
        <v>160</v>
      </c>
      <c r="B163" s="3">
        <v>1.2499999999999999E-7</v>
      </c>
      <c r="C163" s="2">
        <v>8.3940000000000004E-3</v>
      </c>
      <c r="D163" s="3">
        <v>130000</v>
      </c>
      <c r="E163" s="3">
        <v>152000000000</v>
      </c>
      <c r="F163" s="3">
        <v>133000000000</v>
      </c>
      <c r="G163" s="3">
        <v>12600000000</v>
      </c>
      <c r="H163" s="3">
        <v>12900000000</v>
      </c>
      <c r="I163" s="2"/>
      <c r="J163" s="7">
        <f t="shared" si="49"/>
        <v>0.125</v>
      </c>
      <c r="K163" s="7">
        <f t="shared" si="50"/>
        <v>8.3940000000000001</v>
      </c>
      <c r="L163" s="7">
        <f t="shared" si="51"/>
        <v>152</v>
      </c>
      <c r="M163" s="7">
        <f t="shared" si="52"/>
        <v>130</v>
      </c>
      <c r="O163">
        <f t="shared" si="53"/>
        <v>7.6573076923076924E-2</v>
      </c>
      <c r="P163">
        <f t="shared" si="54"/>
        <v>76.573076923076925</v>
      </c>
      <c r="V163">
        <f t="shared" si="55"/>
        <v>436.84048162271523</v>
      </c>
      <c r="W163">
        <f t="shared" si="56"/>
        <v>148.79573376200599</v>
      </c>
      <c r="AE163">
        <f t="shared" si="57"/>
        <v>0.44086086990022166</v>
      </c>
      <c r="AF163">
        <f t="shared" si="58"/>
        <v>0.42727446336792763</v>
      </c>
      <c r="AG163">
        <f t="shared" si="59"/>
        <v>0.42837271388087733</v>
      </c>
      <c r="AI163">
        <f t="shared" si="60"/>
        <v>0.11814006841913903</v>
      </c>
      <c r="AJ163">
        <f t="shared" si="61"/>
        <v>13.747266520761443</v>
      </c>
      <c r="AL163">
        <f t="shared" si="62"/>
        <v>0.12189666782983981</v>
      </c>
      <c r="AM163">
        <f t="shared" si="63"/>
        <v>14.635433280865058</v>
      </c>
      <c r="AO163">
        <f t="shared" si="64"/>
        <v>0.12158415241129659</v>
      </c>
      <c r="AP163">
        <f t="shared" si="65"/>
        <v>14.560485613346067</v>
      </c>
    </row>
    <row r="164" spans="1:42" x14ac:dyDescent="0.2">
      <c r="A164" s="3">
        <v>160</v>
      </c>
      <c r="B164" s="3">
        <v>1.2599999999999999E-7</v>
      </c>
      <c r="C164" s="2">
        <v>8.4460000000000004E-3</v>
      </c>
      <c r="D164" s="3">
        <v>141000</v>
      </c>
      <c r="E164" s="3">
        <v>162000000000</v>
      </c>
      <c r="F164" s="3">
        <v>141000000000</v>
      </c>
      <c r="G164" s="3">
        <v>4440000000</v>
      </c>
      <c r="H164" s="3">
        <v>12200000000</v>
      </c>
      <c r="I164" s="2"/>
      <c r="J164" s="7">
        <f t="shared" si="49"/>
        <v>0.126</v>
      </c>
      <c r="K164" s="7">
        <f t="shared" si="50"/>
        <v>8.4459999999999997</v>
      </c>
      <c r="L164" s="7">
        <f t="shared" si="51"/>
        <v>162</v>
      </c>
      <c r="M164" s="7">
        <f t="shared" si="52"/>
        <v>141</v>
      </c>
      <c r="O164">
        <f t="shared" si="53"/>
        <v>8.1074468085106377E-2</v>
      </c>
      <c r="P164">
        <f t="shared" si="54"/>
        <v>81.074468085106375</v>
      </c>
      <c r="V164">
        <f t="shared" si="55"/>
        <v>448.03642329638819</v>
      </c>
      <c r="W164">
        <f t="shared" si="56"/>
        <v>157.35327829220336</v>
      </c>
      <c r="AE164">
        <f t="shared" si="57"/>
        <v>0.47816448196870198</v>
      </c>
      <c r="AF164">
        <f t="shared" si="58"/>
        <v>0.46342845642213693</v>
      </c>
      <c r="AG164">
        <f t="shared" si="59"/>
        <v>0.46461963582464383</v>
      </c>
      <c r="AI164">
        <f t="shared" si="60"/>
        <v>0.10979485507548919</v>
      </c>
      <c r="AJ164">
        <f t="shared" si="61"/>
        <v>11.758365181338219</v>
      </c>
      <c r="AL164">
        <f t="shared" si="62"/>
        <v>0.11328609469802985</v>
      </c>
      <c r="AM164">
        <f t="shared" si="63"/>
        <v>12.518035410430851</v>
      </c>
      <c r="AO164">
        <f t="shared" si="64"/>
        <v>0.11299565483671141</v>
      </c>
      <c r="AP164">
        <f t="shared" si="65"/>
        <v>12.453930881516186</v>
      </c>
    </row>
    <row r="165" spans="1:42" x14ac:dyDescent="0.2">
      <c r="A165" s="3">
        <v>160</v>
      </c>
      <c r="B165" s="3">
        <v>1.2599999999999999E-7</v>
      </c>
      <c r="C165" s="2">
        <v>8.4980000000000003E-3</v>
      </c>
      <c r="D165" s="3">
        <v>111000</v>
      </c>
      <c r="E165" s="3">
        <v>133000000000</v>
      </c>
      <c r="F165" s="3">
        <v>118000000000</v>
      </c>
      <c r="G165" s="2">
        <v>0</v>
      </c>
      <c r="H165" s="3">
        <v>14000000000</v>
      </c>
      <c r="I165" s="2"/>
      <c r="J165" s="7">
        <f t="shared" si="49"/>
        <v>0.126</v>
      </c>
      <c r="K165" s="7">
        <f t="shared" si="50"/>
        <v>8.4980000000000011</v>
      </c>
      <c r="L165" s="7">
        <f t="shared" si="51"/>
        <v>133</v>
      </c>
      <c r="M165" s="7">
        <f t="shared" si="52"/>
        <v>111</v>
      </c>
      <c r="O165">
        <f t="shared" si="53"/>
        <v>6.8581081081081074E-2</v>
      </c>
      <c r="P165">
        <f t="shared" si="54"/>
        <v>68.581081081081081</v>
      </c>
      <c r="V165">
        <f t="shared" si="55"/>
        <v>416.02049357013436</v>
      </c>
      <c r="W165">
        <f t="shared" si="56"/>
        <v>133.40688946287111</v>
      </c>
      <c r="AE165">
        <f t="shared" si="57"/>
        <v>0.37642735814557388</v>
      </c>
      <c r="AF165">
        <f t="shared" si="58"/>
        <v>0.36482665718338436</v>
      </c>
      <c r="AG165">
        <f t="shared" si="59"/>
        <v>0.36576439415982603</v>
      </c>
      <c r="AI165">
        <f t="shared" si="60"/>
        <v>0.13946914023102683</v>
      </c>
      <c r="AJ165">
        <f t="shared" si="61"/>
        <v>19.089953099545653</v>
      </c>
      <c r="AL165">
        <f t="shared" si="62"/>
        <v>0.14390395812992982</v>
      </c>
      <c r="AM165">
        <f t="shared" si="63"/>
        <v>20.323293689061938</v>
      </c>
      <c r="AO165">
        <f t="shared" si="64"/>
        <v>0.14353502100879553</v>
      </c>
      <c r="AP165">
        <f t="shared" si="65"/>
        <v>20.219218638527554</v>
      </c>
    </row>
    <row r="166" spans="1:42" x14ac:dyDescent="0.2">
      <c r="A166" s="3">
        <v>160</v>
      </c>
      <c r="B166" s="3">
        <v>1.2700000000000001E-7</v>
      </c>
      <c r="C166" s="2">
        <v>8.5509999999999996E-3</v>
      </c>
      <c r="D166" s="3">
        <v>137000</v>
      </c>
      <c r="E166" s="3">
        <v>158000000000</v>
      </c>
      <c r="F166" s="3">
        <v>138000000000</v>
      </c>
      <c r="G166" s="2">
        <v>0</v>
      </c>
      <c r="H166" s="3">
        <v>12500000000</v>
      </c>
      <c r="I166" s="2"/>
      <c r="J166" s="7">
        <f t="shared" si="49"/>
        <v>0.127</v>
      </c>
      <c r="K166" s="7">
        <f t="shared" si="50"/>
        <v>8.5510000000000002</v>
      </c>
      <c r="L166" s="7">
        <f t="shared" si="51"/>
        <v>158</v>
      </c>
      <c r="M166" s="7">
        <f t="shared" si="52"/>
        <v>137</v>
      </c>
      <c r="O166">
        <f t="shared" si="53"/>
        <v>8.0187956204379573E-2</v>
      </c>
      <c r="P166">
        <f t="shared" si="54"/>
        <v>80.187956204379574</v>
      </c>
      <c r="V166">
        <f t="shared" si="55"/>
        <v>445.85938971616292</v>
      </c>
      <c r="W166">
        <f t="shared" si="56"/>
        <v>153.63588068338666</v>
      </c>
      <c r="AE166">
        <f t="shared" si="57"/>
        <v>0.46459953212561822</v>
      </c>
      <c r="AF166">
        <f t="shared" si="58"/>
        <v>0.45028154985696989</v>
      </c>
      <c r="AG166">
        <f t="shared" si="59"/>
        <v>0.45143893693600146</v>
      </c>
      <c r="AI166">
        <f t="shared" si="60"/>
        <v>0.11389737399124002</v>
      </c>
      <c r="AJ166">
        <f t="shared" si="61"/>
        <v>12.609848370705265</v>
      </c>
      <c r="AL166">
        <f t="shared" si="62"/>
        <v>0.11751906486835945</v>
      </c>
      <c r="AM166">
        <f t="shared" si="63"/>
        <v>13.424530195335144</v>
      </c>
      <c r="AO166">
        <f t="shared" si="64"/>
        <v>0.11721777263127048</v>
      </c>
      <c r="AP166">
        <f t="shared" si="65"/>
        <v>13.355783530554534</v>
      </c>
    </row>
    <row r="167" spans="1:42" x14ac:dyDescent="0.2">
      <c r="A167" s="3">
        <v>170</v>
      </c>
      <c r="B167" s="3">
        <v>1.2800000000000001E-7</v>
      </c>
      <c r="C167" s="2">
        <v>8.6060000000000008E-3</v>
      </c>
      <c r="D167" s="3">
        <v>156000</v>
      </c>
      <c r="E167" s="3">
        <v>175000000000</v>
      </c>
      <c r="F167" s="3">
        <v>151000000000</v>
      </c>
      <c r="G167" s="2">
        <v>0</v>
      </c>
      <c r="H167" s="3">
        <v>11600000000</v>
      </c>
      <c r="I167" s="2"/>
      <c r="J167" s="7">
        <f t="shared" si="49"/>
        <v>0.128</v>
      </c>
      <c r="K167" s="7">
        <f t="shared" si="50"/>
        <v>8.6060000000000016</v>
      </c>
      <c r="L167" s="7">
        <f t="shared" si="51"/>
        <v>175</v>
      </c>
      <c r="M167" s="7">
        <f t="shared" si="52"/>
        <v>156</v>
      </c>
      <c r="O167">
        <f t="shared" si="53"/>
        <v>8.6624999999999994E-2</v>
      </c>
      <c r="P167">
        <f t="shared" si="54"/>
        <v>86.625</v>
      </c>
      <c r="V167">
        <f t="shared" si="55"/>
        <v>461.37514595907908</v>
      </c>
      <c r="W167">
        <f t="shared" si="56"/>
        <v>169.05982188931799</v>
      </c>
      <c r="AE167">
        <f t="shared" si="57"/>
        <v>0.52903304388026595</v>
      </c>
      <c r="AF167">
        <f t="shared" si="58"/>
        <v>0.51272935604151315</v>
      </c>
      <c r="AG167">
        <f t="shared" si="59"/>
        <v>0.51404725665705275</v>
      </c>
      <c r="AI167">
        <f t="shared" si="60"/>
        <v>0.10081285838433197</v>
      </c>
      <c r="AJ167">
        <f t="shared" si="61"/>
        <v>9.7878259336755917</v>
      </c>
      <c r="AL167">
        <f t="shared" si="62"/>
        <v>0.10401848988146331</v>
      </c>
      <c r="AM167">
        <f t="shared" si="63"/>
        <v>10.420185947562139</v>
      </c>
      <c r="AO167">
        <f t="shared" si="64"/>
        <v>0.10375181005763977</v>
      </c>
      <c r="AP167">
        <f t="shared" si="65"/>
        <v>10.366824450372645</v>
      </c>
    </row>
    <row r="168" spans="1:42" x14ac:dyDescent="0.2">
      <c r="A168" s="3">
        <v>170</v>
      </c>
      <c r="B168" s="3">
        <v>1.2800000000000001E-7</v>
      </c>
      <c r="C168" s="2">
        <v>8.6560000000000005E-3</v>
      </c>
      <c r="D168" s="3">
        <v>121000</v>
      </c>
      <c r="E168" s="3">
        <v>143000000000</v>
      </c>
      <c r="F168" s="3">
        <v>126000000000</v>
      </c>
      <c r="G168" s="3">
        <v>12600000000</v>
      </c>
      <c r="H168" s="3">
        <v>13700000000</v>
      </c>
      <c r="I168" s="2"/>
      <c r="J168" s="7">
        <f t="shared" si="49"/>
        <v>0.128</v>
      </c>
      <c r="K168" s="7">
        <f t="shared" si="50"/>
        <v>8.6560000000000006</v>
      </c>
      <c r="L168" s="7">
        <f t="shared" si="51"/>
        <v>143</v>
      </c>
      <c r="M168" s="7">
        <f t="shared" si="52"/>
        <v>121</v>
      </c>
      <c r="O168">
        <f t="shared" si="53"/>
        <v>7.4347107438016535E-2</v>
      </c>
      <c r="P168">
        <f t="shared" si="54"/>
        <v>74.347107438016536</v>
      </c>
      <c r="V168">
        <f t="shared" si="55"/>
        <v>431.16837115500857</v>
      </c>
      <c r="W168">
        <f t="shared" si="56"/>
        <v>140.31641476375771</v>
      </c>
      <c r="AE168">
        <f t="shared" si="57"/>
        <v>0.41033973275328323</v>
      </c>
      <c r="AF168">
        <f t="shared" si="58"/>
        <v>0.3976939235963019</v>
      </c>
      <c r="AG168">
        <f t="shared" si="59"/>
        <v>0.39871614138143197</v>
      </c>
      <c r="AI168">
        <f t="shared" si="60"/>
        <v>0.12997360254508916</v>
      </c>
      <c r="AJ168">
        <f t="shared" si="61"/>
        <v>16.363665731121447</v>
      </c>
      <c r="AL168">
        <f t="shared" si="62"/>
        <v>0.13410648282238244</v>
      </c>
      <c r="AM168">
        <f t="shared" si="63"/>
        <v>17.420869645359936</v>
      </c>
      <c r="AO168">
        <f t="shared" si="64"/>
        <v>0.13376266420654381</v>
      </c>
      <c r="AP168">
        <f t="shared" si="65"/>
        <v>17.331657831741875</v>
      </c>
    </row>
    <row r="169" spans="1:42" x14ac:dyDescent="0.2">
      <c r="A169" s="3">
        <v>170</v>
      </c>
      <c r="B169" s="3">
        <v>1.29E-7</v>
      </c>
      <c r="C169" s="2">
        <v>8.7069999999999995E-3</v>
      </c>
      <c r="D169" s="3">
        <v>114000</v>
      </c>
      <c r="E169" s="3">
        <v>136000000000</v>
      </c>
      <c r="F169" s="3">
        <v>120000000000</v>
      </c>
      <c r="G169" s="2">
        <v>0</v>
      </c>
      <c r="H169" s="3">
        <v>14100000000</v>
      </c>
      <c r="I169" s="2"/>
      <c r="J169" s="7">
        <f t="shared" si="49"/>
        <v>0.129</v>
      </c>
      <c r="K169" s="7">
        <f t="shared" si="50"/>
        <v>8.706999999999999</v>
      </c>
      <c r="L169" s="7">
        <f t="shared" si="51"/>
        <v>136</v>
      </c>
      <c r="M169" s="7">
        <f t="shared" si="52"/>
        <v>114</v>
      </c>
      <c r="O169">
        <f t="shared" si="53"/>
        <v>7.1717105263157915E-2</v>
      </c>
      <c r="P169">
        <f t="shared" si="54"/>
        <v>71.717105263157919</v>
      </c>
      <c r="V169">
        <f t="shared" si="55"/>
        <v>424.34342315798227</v>
      </c>
      <c r="W169">
        <f t="shared" si="56"/>
        <v>134.32516421676459</v>
      </c>
      <c r="AE169">
        <f t="shared" si="57"/>
        <v>0.38660107052788667</v>
      </c>
      <c r="AF169">
        <f t="shared" si="58"/>
        <v>0.37468683710725964</v>
      </c>
      <c r="AG169">
        <f t="shared" si="59"/>
        <v>0.37564991832630779</v>
      </c>
      <c r="AI169">
        <f t="shared" si="60"/>
        <v>0.13903220683431308</v>
      </c>
      <c r="AJ169">
        <f t="shared" si="61"/>
        <v>18.543552322077371</v>
      </c>
      <c r="AL169">
        <f t="shared" si="62"/>
        <v>0.14345313119343253</v>
      </c>
      <c r="AM169">
        <f t="shared" si="63"/>
        <v>19.74159171135074</v>
      </c>
      <c r="AO169">
        <f t="shared" si="64"/>
        <v>0.14308534989034696</v>
      </c>
      <c r="AP169">
        <f t="shared" si="65"/>
        <v>19.640495541289795</v>
      </c>
    </row>
    <row r="170" spans="1:42" x14ac:dyDescent="0.2">
      <c r="A170" s="3">
        <v>170</v>
      </c>
      <c r="B170" s="3">
        <v>1.29E-7</v>
      </c>
      <c r="C170" s="2">
        <v>8.7580000000000002E-3</v>
      </c>
      <c r="D170" s="3">
        <v>132000</v>
      </c>
      <c r="E170" s="3">
        <v>152000000000</v>
      </c>
      <c r="F170" s="3">
        <v>133000000000</v>
      </c>
      <c r="G170" s="3">
        <v>3570000000</v>
      </c>
      <c r="H170" s="3">
        <v>12900000000</v>
      </c>
      <c r="I170" s="2"/>
      <c r="J170" s="7">
        <f t="shared" si="49"/>
        <v>0.129</v>
      </c>
      <c r="K170" s="7">
        <f t="shared" si="50"/>
        <v>8.7580000000000009</v>
      </c>
      <c r="L170" s="7">
        <f t="shared" si="51"/>
        <v>152</v>
      </c>
      <c r="M170" s="7">
        <f t="shared" si="52"/>
        <v>132</v>
      </c>
      <c r="O170">
        <f t="shared" si="53"/>
        <v>7.9238636363636372E-2</v>
      </c>
      <c r="P170">
        <f t="shared" si="54"/>
        <v>79.238636363636374</v>
      </c>
      <c r="V170">
        <f t="shared" si="55"/>
        <v>443.51320072399847</v>
      </c>
      <c r="W170">
        <f t="shared" si="56"/>
        <v>148.81180513288101</v>
      </c>
      <c r="AE170">
        <f t="shared" si="57"/>
        <v>0.44764334482176354</v>
      </c>
      <c r="AF170">
        <f t="shared" si="58"/>
        <v>0.43384791665051115</v>
      </c>
      <c r="AG170">
        <f t="shared" si="59"/>
        <v>0.43496306332519852</v>
      </c>
      <c r="AI170">
        <f t="shared" si="60"/>
        <v>0.12007326953872494</v>
      </c>
      <c r="AJ170">
        <f t="shared" si="61"/>
        <v>13.912051307741388</v>
      </c>
      <c r="AL170">
        <f t="shared" si="62"/>
        <v>0.12389134057614629</v>
      </c>
      <c r="AM170">
        <f t="shared" si="63"/>
        <v>14.810864283959697</v>
      </c>
      <c r="AO170">
        <f t="shared" si="64"/>
        <v>0.123573711268936</v>
      </c>
      <c r="AP170">
        <f t="shared" si="65"/>
        <v>14.73501823890448</v>
      </c>
    </row>
    <row r="171" spans="1:42" x14ac:dyDescent="0.2">
      <c r="A171" s="3">
        <v>170</v>
      </c>
      <c r="B171" s="3">
        <v>1.3E-7</v>
      </c>
      <c r="C171" s="2">
        <v>8.8100000000000001E-3</v>
      </c>
      <c r="D171" s="3">
        <v>125000</v>
      </c>
      <c r="E171" s="3">
        <v>146000000000</v>
      </c>
      <c r="F171" s="3">
        <v>129000000000</v>
      </c>
      <c r="G171" s="3">
        <v>12400000000</v>
      </c>
      <c r="H171" s="3">
        <v>13500000000</v>
      </c>
      <c r="I171" s="2"/>
      <c r="J171" s="7">
        <f t="shared" si="49"/>
        <v>0.13</v>
      </c>
      <c r="K171" s="7">
        <f t="shared" si="50"/>
        <v>8.81</v>
      </c>
      <c r="L171" s="7">
        <f t="shared" si="51"/>
        <v>146</v>
      </c>
      <c r="M171" s="7">
        <f t="shared" si="52"/>
        <v>125</v>
      </c>
      <c r="O171">
        <f t="shared" si="53"/>
        <v>7.714E-2</v>
      </c>
      <c r="P171">
        <f t="shared" si="54"/>
        <v>77.14</v>
      </c>
      <c r="V171">
        <f t="shared" si="55"/>
        <v>438.27036725674708</v>
      </c>
      <c r="W171">
        <f t="shared" si="56"/>
        <v>142.60603652308146</v>
      </c>
      <c r="AE171">
        <f t="shared" si="57"/>
        <v>0.42390468259636699</v>
      </c>
      <c r="AF171">
        <f t="shared" si="58"/>
        <v>0.41084083016146888</v>
      </c>
      <c r="AG171">
        <f t="shared" si="59"/>
        <v>0.41189684027007434</v>
      </c>
      <c r="AI171">
        <f t="shared" si="60"/>
        <v>0.12778029800214077</v>
      </c>
      <c r="AJ171">
        <f t="shared" si="61"/>
        <v>15.605941501145773</v>
      </c>
      <c r="AL171">
        <f t="shared" si="62"/>
        <v>0.13184343592475475</v>
      </c>
      <c r="AM171">
        <f t="shared" si="63"/>
        <v>16.614191285239688</v>
      </c>
      <c r="AO171">
        <f t="shared" si="64"/>
        <v>0.13150541924805839</v>
      </c>
      <c r="AP171">
        <f t="shared" si="65"/>
        <v>16.529110450210972</v>
      </c>
    </row>
    <row r="172" spans="1:42" x14ac:dyDescent="0.2">
      <c r="A172" s="3">
        <v>170</v>
      </c>
      <c r="B172" s="3">
        <v>1.31E-7</v>
      </c>
      <c r="C172" s="2">
        <v>8.8610000000000008E-3</v>
      </c>
      <c r="D172" s="3">
        <v>114000</v>
      </c>
      <c r="E172" s="3">
        <v>135000000000</v>
      </c>
      <c r="F172" s="3">
        <v>120000000000</v>
      </c>
      <c r="G172" s="3">
        <v>17300000000</v>
      </c>
      <c r="H172" s="3">
        <v>14200000000</v>
      </c>
      <c r="I172" s="2"/>
      <c r="J172" s="7">
        <f t="shared" si="49"/>
        <v>0.13100000000000001</v>
      </c>
      <c r="K172" s="7">
        <f t="shared" si="50"/>
        <v>8.8610000000000007</v>
      </c>
      <c r="L172" s="7">
        <f t="shared" si="51"/>
        <v>135</v>
      </c>
      <c r="M172" s="7">
        <f t="shared" si="52"/>
        <v>114</v>
      </c>
      <c r="O172">
        <f t="shared" si="53"/>
        <v>7.2703947368421049E-2</v>
      </c>
      <c r="P172">
        <f t="shared" si="54"/>
        <v>72.703947368421055</v>
      </c>
      <c r="V172">
        <f t="shared" si="55"/>
        <v>426.92039757134671</v>
      </c>
      <c r="W172">
        <f t="shared" si="56"/>
        <v>133.51435144411013</v>
      </c>
      <c r="AE172">
        <f t="shared" si="57"/>
        <v>0.38660107052788667</v>
      </c>
      <c r="AF172">
        <f t="shared" si="58"/>
        <v>0.37468683710725964</v>
      </c>
      <c r="AG172">
        <f t="shared" si="59"/>
        <v>0.37564991832630779</v>
      </c>
      <c r="AI172">
        <f t="shared" si="60"/>
        <v>0.14118774492476757</v>
      </c>
      <c r="AJ172">
        <f t="shared" si="61"/>
        <v>18.871530622019939</v>
      </c>
      <c r="AL172">
        <f t="shared" si="62"/>
        <v>0.14567721074681908</v>
      </c>
      <c r="AM172">
        <f t="shared" si="63"/>
        <v>20.090759636416553</v>
      </c>
      <c r="AO172">
        <f t="shared" si="64"/>
        <v>0.14530372740802674</v>
      </c>
      <c r="AP172">
        <f t="shared" si="65"/>
        <v>19.987875386627877</v>
      </c>
    </row>
    <row r="173" spans="1:42" x14ac:dyDescent="0.2">
      <c r="A173" s="3">
        <v>170</v>
      </c>
      <c r="B173" s="3">
        <v>1.31E-7</v>
      </c>
      <c r="C173" s="2">
        <v>8.9149999999999993E-3</v>
      </c>
      <c r="D173" s="3">
        <v>112000</v>
      </c>
      <c r="E173" s="3">
        <v>133000000000</v>
      </c>
      <c r="F173" s="3">
        <v>118000000000</v>
      </c>
      <c r="G173" s="3">
        <v>2550000000</v>
      </c>
      <c r="H173" s="3">
        <v>14400000000</v>
      </c>
      <c r="I173" s="2"/>
      <c r="J173" s="7">
        <f t="shared" si="49"/>
        <v>0.13100000000000001</v>
      </c>
      <c r="K173" s="7">
        <f t="shared" si="50"/>
        <v>8.9149999999999991</v>
      </c>
      <c r="L173" s="7">
        <f t="shared" si="51"/>
        <v>133</v>
      </c>
      <c r="M173" s="7">
        <f t="shared" si="52"/>
        <v>112</v>
      </c>
      <c r="O173">
        <f t="shared" si="53"/>
        <v>7.1301339285714305E-2</v>
      </c>
      <c r="P173">
        <f t="shared" si="54"/>
        <v>71.301339285714306</v>
      </c>
      <c r="V173">
        <f t="shared" si="55"/>
        <v>423.25180759749537</v>
      </c>
      <c r="W173">
        <f t="shared" si="56"/>
        <v>132.30894468678787</v>
      </c>
      <c r="AE173">
        <f t="shared" si="57"/>
        <v>0.37981859560634484</v>
      </c>
      <c r="AF173">
        <f t="shared" si="58"/>
        <v>0.36811338382467612</v>
      </c>
      <c r="AG173">
        <f t="shared" si="59"/>
        <v>0.3690595688819866</v>
      </c>
      <c r="AI173">
        <f t="shared" si="60"/>
        <v>0.14370895465556696</v>
      </c>
      <c r="AJ173">
        <f t="shared" si="61"/>
        <v>19.670680951449665</v>
      </c>
      <c r="AL173">
        <f t="shared" si="62"/>
        <v>0.14827858951015516</v>
      </c>
      <c r="AM173">
        <f t="shared" si="63"/>
        <v>20.941540503295563</v>
      </c>
      <c r="AO173">
        <f t="shared" si="64"/>
        <v>0.14789843682602724</v>
      </c>
      <c r="AP173">
        <f t="shared" si="65"/>
        <v>20.834299427144547</v>
      </c>
    </row>
    <row r="174" spans="1:42" x14ac:dyDescent="0.2">
      <c r="A174" s="3">
        <v>170</v>
      </c>
      <c r="B174" s="3">
        <v>1.3300000000000001E-7</v>
      </c>
      <c r="C174" s="2">
        <v>8.9650000000000007E-3</v>
      </c>
      <c r="D174" s="3">
        <v>128000</v>
      </c>
      <c r="E174" s="3">
        <v>146000000000</v>
      </c>
      <c r="F174" s="3">
        <v>129000000000</v>
      </c>
      <c r="G174" s="3">
        <v>2360000000</v>
      </c>
      <c r="H174" s="3">
        <v>13000000000</v>
      </c>
      <c r="I174" s="2"/>
      <c r="J174" s="7">
        <f t="shared" si="49"/>
        <v>0.13300000000000001</v>
      </c>
      <c r="K174" s="7">
        <f t="shared" si="50"/>
        <v>8.9649999999999999</v>
      </c>
      <c r="L174" s="7">
        <f t="shared" si="51"/>
        <v>146</v>
      </c>
      <c r="M174" s="7">
        <f t="shared" si="52"/>
        <v>128</v>
      </c>
      <c r="O174">
        <f t="shared" si="53"/>
        <v>8.0470703125000015E-2</v>
      </c>
      <c r="P174">
        <f t="shared" si="54"/>
        <v>80.470703125000014</v>
      </c>
      <c r="V174">
        <f t="shared" si="55"/>
        <v>446.5551891881899</v>
      </c>
      <c r="W174">
        <f t="shared" si="56"/>
        <v>143.31935122363731</v>
      </c>
      <c r="AE174">
        <f t="shared" si="57"/>
        <v>0.43407839497867978</v>
      </c>
      <c r="AF174">
        <f t="shared" si="58"/>
        <v>0.42070101008534416</v>
      </c>
      <c r="AG174">
        <f t="shared" si="59"/>
        <v>0.42178236443655609</v>
      </c>
      <c r="AI174">
        <f t="shared" si="60"/>
        <v>0.12766511143543213</v>
      </c>
      <c r="AJ174">
        <f t="shared" si="61"/>
        <v>15.144831537012005</v>
      </c>
      <c r="AL174">
        <f t="shared" si="62"/>
        <v>0.13172458667362066</v>
      </c>
      <c r="AM174">
        <f t="shared" si="63"/>
        <v>16.123290486522347</v>
      </c>
      <c r="AO174">
        <f t="shared" si="64"/>
        <v>0.1313868746994574</v>
      </c>
      <c r="AP174">
        <f t="shared" si="65"/>
        <v>16.040723541526209</v>
      </c>
    </row>
    <row r="175" spans="1:42" x14ac:dyDescent="0.2">
      <c r="A175" s="3">
        <v>170</v>
      </c>
      <c r="B175" s="3">
        <v>1.3400000000000001E-7</v>
      </c>
      <c r="C175" s="2">
        <v>9.018E-3</v>
      </c>
      <c r="D175" s="3">
        <v>140000</v>
      </c>
      <c r="E175" s="3">
        <v>155000000000</v>
      </c>
      <c r="F175" s="3">
        <v>136000000000</v>
      </c>
      <c r="G175" s="3">
        <v>384000000</v>
      </c>
      <c r="H175" s="3">
        <v>12300000000</v>
      </c>
      <c r="I175" s="2"/>
      <c r="J175" s="7">
        <f t="shared" si="49"/>
        <v>0.13400000000000001</v>
      </c>
      <c r="K175" s="7">
        <f t="shared" si="50"/>
        <v>9.0180000000000007</v>
      </c>
      <c r="L175" s="7">
        <f t="shared" si="51"/>
        <v>155</v>
      </c>
      <c r="M175" s="7">
        <f t="shared" si="52"/>
        <v>140</v>
      </c>
      <c r="O175">
        <f t="shared" si="53"/>
        <v>8.5689285714285718E-2</v>
      </c>
      <c r="P175">
        <f t="shared" si="54"/>
        <v>85.689285714285717</v>
      </c>
      <c r="V175">
        <f t="shared" si="55"/>
        <v>459.16057609405499</v>
      </c>
      <c r="W175">
        <f t="shared" si="56"/>
        <v>152.45211293066484</v>
      </c>
      <c r="AE175">
        <f t="shared" si="57"/>
        <v>0.47477324450793101</v>
      </c>
      <c r="AF175">
        <f t="shared" si="58"/>
        <v>0.46014172978084517</v>
      </c>
      <c r="AG175">
        <f t="shared" si="59"/>
        <v>0.46132446110248326</v>
      </c>
      <c r="AI175">
        <f t="shared" si="60"/>
        <v>0.11759999953493724</v>
      </c>
      <c r="AJ175">
        <f t="shared" si="61"/>
        <v>12.734686317993361</v>
      </c>
      <c r="AL175">
        <f t="shared" si="62"/>
        <v>0.12133942591976056</v>
      </c>
      <c r="AM175">
        <f t="shared" si="63"/>
        <v>13.557433521657927</v>
      </c>
      <c r="AO175">
        <f t="shared" si="64"/>
        <v>0.12102833914313067</v>
      </c>
      <c r="AP175">
        <f t="shared" si="65"/>
        <v>13.488006262451293</v>
      </c>
    </row>
    <row r="176" spans="1:42" x14ac:dyDescent="0.2">
      <c r="A176" s="3">
        <v>170</v>
      </c>
      <c r="B176" s="3">
        <v>1.35E-7</v>
      </c>
      <c r="C176" s="2">
        <v>9.0709999999999992E-3</v>
      </c>
      <c r="D176" s="3">
        <v>121000</v>
      </c>
      <c r="E176" s="3">
        <v>139000000000</v>
      </c>
      <c r="F176" s="3">
        <v>123000000000</v>
      </c>
      <c r="G176" s="3">
        <v>15700000000</v>
      </c>
      <c r="H176" s="3">
        <v>13600000000</v>
      </c>
      <c r="I176" s="2"/>
      <c r="J176" s="7">
        <f t="shared" si="49"/>
        <v>0.13500000000000001</v>
      </c>
      <c r="K176" s="7">
        <f t="shared" si="50"/>
        <v>9.0709999999999997</v>
      </c>
      <c r="L176" s="7">
        <f t="shared" si="51"/>
        <v>139</v>
      </c>
      <c r="M176" s="7">
        <f t="shared" si="52"/>
        <v>121</v>
      </c>
      <c r="O176">
        <f t="shared" si="53"/>
        <v>7.8774793388429756E-2</v>
      </c>
      <c r="P176">
        <f t="shared" si="54"/>
        <v>78.774793388429757</v>
      </c>
      <c r="V176">
        <f t="shared" si="55"/>
        <v>442.3611451105545</v>
      </c>
      <c r="W176">
        <f t="shared" si="56"/>
        <v>136.76608054009782</v>
      </c>
      <c r="AE176">
        <f t="shared" si="57"/>
        <v>0.41033973275328323</v>
      </c>
      <c r="AF176">
        <f t="shared" si="58"/>
        <v>0.3976939235963019</v>
      </c>
      <c r="AG176">
        <f t="shared" si="59"/>
        <v>0.39871614138143197</v>
      </c>
      <c r="AI176">
        <f t="shared" si="60"/>
        <v>0.13708153393427372</v>
      </c>
      <c r="AJ176">
        <f t="shared" si="61"/>
        <v>17.148199150531727</v>
      </c>
      <c r="AL176">
        <f t="shared" si="62"/>
        <v>0.14144043110173149</v>
      </c>
      <c r="AM176">
        <f t="shared" si="63"/>
        <v>18.256089250584559</v>
      </c>
      <c r="AO176">
        <f t="shared" si="64"/>
        <v>0.14107780990533919</v>
      </c>
      <c r="AP176">
        <f t="shared" si="65"/>
        <v>18.16260029941434</v>
      </c>
    </row>
    <row r="177" spans="1:42" x14ac:dyDescent="0.2">
      <c r="A177" s="3">
        <v>180</v>
      </c>
      <c r="B177" s="3">
        <v>1.35E-7</v>
      </c>
      <c r="C177" s="2">
        <v>9.1229999999999992E-3</v>
      </c>
      <c r="D177" s="3">
        <v>107000</v>
      </c>
      <c r="E177" s="3">
        <v>127000000000</v>
      </c>
      <c r="F177" s="3">
        <v>113000000000</v>
      </c>
      <c r="G177" s="3">
        <v>20200000000</v>
      </c>
      <c r="H177" s="3">
        <v>14800000000</v>
      </c>
      <c r="I177" s="2"/>
      <c r="J177" s="7">
        <f t="shared" si="49"/>
        <v>0.13500000000000001</v>
      </c>
      <c r="K177" s="7">
        <f t="shared" si="50"/>
        <v>9.1229999999999993</v>
      </c>
      <c r="L177" s="7">
        <f t="shared" si="51"/>
        <v>127.00000000000001</v>
      </c>
      <c r="M177" s="7">
        <f t="shared" si="52"/>
        <v>107</v>
      </c>
      <c r="O177">
        <f t="shared" si="53"/>
        <v>7.105373831775702E-2</v>
      </c>
      <c r="P177">
        <f t="shared" si="54"/>
        <v>71.053738317757023</v>
      </c>
      <c r="V177">
        <f t="shared" si="55"/>
        <v>422.60003310638803</v>
      </c>
      <c r="W177">
        <f t="shared" si="56"/>
        <v>126.59724516995379</v>
      </c>
      <c r="AE177">
        <f t="shared" si="57"/>
        <v>0.36286240830249017</v>
      </c>
      <c r="AF177">
        <f t="shared" si="58"/>
        <v>0.35167975061821738</v>
      </c>
      <c r="AG177">
        <f t="shared" si="59"/>
        <v>0.35258369527118361</v>
      </c>
      <c r="AI177">
        <f t="shared" si="60"/>
        <v>0.15501743557053382</v>
      </c>
      <c r="AJ177">
        <f t="shared" si="61"/>
        <v>22.054855247816558</v>
      </c>
      <c r="AL177">
        <f t="shared" si="62"/>
        <v>0.15994665573186459</v>
      </c>
      <c r="AM177">
        <f t="shared" si="63"/>
        <v>23.479748647564406</v>
      </c>
      <c r="AO177">
        <f t="shared" si="64"/>
        <v>0.15953658877145835</v>
      </c>
      <c r="AP177">
        <f t="shared" si="65"/>
        <v>23.359509474504335</v>
      </c>
    </row>
    <row r="178" spans="1:42" x14ac:dyDescent="0.2">
      <c r="A178" s="3">
        <v>180</v>
      </c>
      <c r="B178" s="3">
        <v>1.36E-7</v>
      </c>
      <c r="C178" s="2">
        <v>9.1750000000000009E-3</v>
      </c>
      <c r="D178" s="3">
        <v>147000</v>
      </c>
      <c r="E178" s="3">
        <v>160000000000</v>
      </c>
      <c r="F178" s="3">
        <v>139000000000</v>
      </c>
      <c r="G178" s="3">
        <v>17800000000</v>
      </c>
      <c r="H178" s="3">
        <v>11900000000</v>
      </c>
      <c r="I178" s="2"/>
      <c r="J178" s="7">
        <f t="shared" si="49"/>
        <v>0.13600000000000001</v>
      </c>
      <c r="K178" s="7">
        <f t="shared" si="50"/>
        <v>9.1750000000000007</v>
      </c>
      <c r="L178" s="7">
        <f t="shared" si="51"/>
        <v>160</v>
      </c>
      <c r="M178" s="7">
        <f t="shared" si="52"/>
        <v>147</v>
      </c>
      <c r="O178">
        <f t="shared" si="53"/>
        <v>8.9188775510204085E-2</v>
      </c>
      <c r="P178">
        <f t="shared" si="54"/>
        <v>89.188775510204081</v>
      </c>
      <c r="V178">
        <f t="shared" si="55"/>
        <v>467.37546417492973</v>
      </c>
      <c r="W178">
        <f t="shared" si="56"/>
        <v>157.26114362839198</v>
      </c>
      <c r="AE178">
        <f t="shared" si="57"/>
        <v>0.49851190673332757</v>
      </c>
      <c r="AF178">
        <f t="shared" si="58"/>
        <v>0.48314881626988743</v>
      </c>
      <c r="AG178">
        <f t="shared" si="59"/>
        <v>0.48439068415760739</v>
      </c>
      <c r="AI178">
        <f t="shared" si="60"/>
        <v>0.11367164134151717</v>
      </c>
      <c r="AJ178">
        <f t="shared" si="61"/>
        <v>11.751829871885263</v>
      </c>
      <c r="AL178">
        <f t="shared" si="62"/>
        <v>0.11728615440716016</v>
      </c>
      <c r="AM178">
        <f t="shared" si="63"/>
        <v>12.511077875612994</v>
      </c>
      <c r="AO178">
        <f t="shared" si="64"/>
        <v>0.11698545929968568</v>
      </c>
      <c r="AP178">
        <f t="shared" si="65"/>
        <v>12.447008976050482</v>
      </c>
    </row>
    <row r="179" spans="1:42" x14ac:dyDescent="0.2">
      <c r="A179" s="3">
        <v>180</v>
      </c>
      <c r="B179" s="3">
        <v>1.37E-7</v>
      </c>
      <c r="C179" s="2">
        <v>9.2289999999999994E-3</v>
      </c>
      <c r="D179" s="3">
        <v>128000</v>
      </c>
      <c r="E179" s="3">
        <v>143000000000</v>
      </c>
      <c r="F179" s="3">
        <v>127000000000</v>
      </c>
      <c r="G179" s="2">
        <v>0</v>
      </c>
      <c r="H179" s="3">
        <v>13100000000</v>
      </c>
      <c r="I179" s="2"/>
      <c r="J179" s="7">
        <f t="shared" si="49"/>
        <v>0.13699999999999998</v>
      </c>
      <c r="K179" s="7">
        <f t="shared" si="50"/>
        <v>9.2289999999999992</v>
      </c>
      <c r="L179" s="7">
        <f t="shared" si="51"/>
        <v>143</v>
      </c>
      <c r="M179" s="7">
        <f t="shared" si="52"/>
        <v>128</v>
      </c>
      <c r="O179">
        <f t="shared" si="53"/>
        <v>8.2923828124999988E-2</v>
      </c>
      <c r="P179">
        <f t="shared" si="54"/>
        <v>82.923828124999986</v>
      </c>
      <c r="V179">
        <f t="shared" si="55"/>
        <v>452.53565896758329</v>
      </c>
      <c r="W179">
        <f t="shared" si="56"/>
        <v>141.42531915829542</v>
      </c>
      <c r="AE179">
        <f t="shared" si="57"/>
        <v>0.43407839497867978</v>
      </c>
      <c r="AF179">
        <f t="shared" si="58"/>
        <v>0.42070101008534416</v>
      </c>
      <c r="AG179">
        <f t="shared" si="59"/>
        <v>0.42178236443655609</v>
      </c>
      <c r="AI179">
        <f t="shared" si="60"/>
        <v>0.13150466365905411</v>
      </c>
      <c r="AJ179">
        <f t="shared" si="61"/>
        <v>15.590814306200087</v>
      </c>
      <c r="AL179">
        <f t="shared" si="62"/>
        <v>0.13568622837809041</v>
      </c>
      <c r="AM179">
        <f t="shared" si="63"/>
        <v>16.598086770788036</v>
      </c>
      <c r="AO179">
        <f t="shared" si="64"/>
        <v>0.13533835965282451</v>
      </c>
      <c r="AP179">
        <f t="shared" si="65"/>
        <v>16.513088406552747</v>
      </c>
    </row>
    <row r="180" spans="1:42" x14ac:dyDescent="0.2">
      <c r="A180" s="3">
        <v>180</v>
      </c>
      <c r="B180" s="3">
        <v>1.37E-7</v>
      </c>
      <c r="C180" s="2">
        <v>9.2820000000000003E-3</v>
      </c>
      <c r="D180" s="3">
        <v>128000</v>
      </c>
      <c r="E180" s="3">
        <v>143000000000</v>
      </c>
      <c r="F180" s="3">
        <v>127000000000</v>
      </c>
      <c r="G180" s="3">
        <v>9180000000</v>
      </c>
      <c r="H180" s="3">
        <v>13100000000</v>
      </c>
      <c r="I180" s="2"/>
      <c r="J180" s="7">
        <f t="shared" si="49"/>
        <v>0.13699999999999998</v>
      </c>
      <c r="K180" s="7">
        <f t="shared" si="50"/>
        <v>9.282</v>
      </c>
      <c r="L180" s="7">
        <f t="shared" si="51"/>
        <v>143</v>
      </c>
      <c r="M180" s="7">
        <f t="shared" si="52"/>
        <v>128</v>
      </c>
      <c r="O180">
        <f t="shared" si="53"/>
        <v>8.2613281249999976E-2</v>
      </c>
      <c r="P180">
        <f t="shared" si="54"/>
        <v>82.613281249999972</v>
      </c>
      <c r="V180">
        <f t="shared" si="55"/>
        <v>451.78407493248011</v>
      </c>
      <c r="W180">
        <f t="shared" si="56"/>
        <v>141.66059308213752</v>
      </c>
      <c r="AE180">
        <f t="shared" si="57"/>
        <v>0.43407839497867978</v>
      </c>
      <c r="AF180">
        <f t="shared" si="58"/>
        <v>0.42070101008534416</v>
      </c>
      <c r="AG180">
        <f t="shared" si="59"/>
        <v>0.42178236443655609</v>
      </c>
      <c r="AI180">
        <f t="shared" si="60"/>
        <v>0.13150466365905411</v>
      </c>
      <c r="AJ180">
        <f t="shared" si="61"/>
        <v>15.680348725771939</v>
      </c>
      <c r="AL180">
        <f t="shared" si="62"/>
        <v>0.13568622837809041</v>
      </c>
      <c r="AM180">
        <f t="shared" si="63"/>
        <v>16.693405721795923</v>
      </c>
      <c r="AO180">
        <f t="shared" si="64"/>
        <v>0.13533835965282451</v>
      </c>
      <c r="AP180">
        <f t="shared" si="65"/>
        <v>16.60791923172853</v>
      </c>
    </row>
    <row r="181" spans="1:42" x14ac:dyDescent="0.2">
      <c r="A181" s="3">
        <v>180</v>
      </c>
      <c r="B181" s="3">
        <v>1.3799999999999999E-7</v>
      </c>
      <c r="C181" s="2">
        <v>9.332E-3</v>
      </c>
      <c r="D181" s="3">
        <v>134000</v>
      </c>
      <c r="E181" s="3">
        <v>148000000000</v>
      </c>
      <c r="F181" s="3">
        <v>130000000000</v>
      </c>
      <c r="G181" s="3">
        <v>5940000000</v>
      </c>
      <c r="H181" s="3">
        <v>12700000000</v>
      </c>
      <c r="I181" s="2"/>
      <c r="J181" s="7">
        <f t="shared" si="49"/>
        <v>0.13799999999999998</v>
      </c>
      <c r="K181" s="7">
        <f t="shared" si="50"/>
        <v>9.3320000000000007</v>
      </c>
      <c r="L181" s="7">
        <f t="shared" si="51"/>
        <v>148</v>
      </c>
      <c r="M181" s="7">
        <f t="shared" si="52"/>
        <v>134</v>
      </c>
      <c r="O181">
        <f t="shared" si="53"/>
        <v>8.5768656716417896E-2</v>
      </c>
      <c r="P181">
        <f t="shared" si="54"/>
        <v>85.768656716417894</v>
      </c>
      <c r="V181">
        <f t="shared" si="55"/>
        <v>459.34894589402393</v>
      </c>
      <c r="W181">
        <f t="shared" si="56"/>
        <v>145.85861271456477</v>
      </c>
      <c r="AE181">
        <f t="shared" si="57"/>
        <v>0.45442581974330543</v>
      </c>
      <c r="AF181">
        <f t="shared" si="58"/>
        <v>0.44042136993309466</v>
      </c>
      <c r="AG181">
        <f t="shared" si="59"/>
        <v>0.4415534127695197</v>
      </c>
      <c r="AI181">
        <f t="shared" si="60"/>
        <v>0.12653330313070768</v>
      </c>
      <c r="AJ181">
        <f t="shared" si="61"/>
        <v>14.384647559059225</v>
      </c>
      <c r="AL181">
        <f t="shared" si="62"/>
        <v>0.13055678930551201</v>
      </c>
      <c r="AM181">
        <f t="shared" si="63"/>
        <v>15.313993462004179</v>
      </c>
      <c r="AO181">
        <f t="shared" si="64"/>
        <v>0.13022207129902452</v>
      </c>
      <c r="AP181">
        <f t="shared" si="65"/>
        <v>15.235570905708641</v>
      </c>
    </row>
    <row r="182" spans="1:42" x14ac:dyDescent="0.2">
      <c r="A182" s="3">
        <v>180</v>
      </c>
      <c r="B182" s="3">
        <v>1.3899999999999999E-7</v>
      </c>
      <c r="C182" s="2">
        <v>9.384E-3</v>
      </c>
      <c r="D182" s="3">
        <v>115000</v>
      </c>
      <c r="E182" s="3">
        <v>132000000000</v>
      </c>
      <c r="F182" s="3">
        <v>118000000000</v>
      </c>
      <c r="G182" s="2">
        <v>0</v>
      </c>
      <c r="H182" s="3">
        <v>14300000000</v>
      </c>
      <c r="I182" s="2"/>
      <c r="J182" s="7">
        <f t="shared" si="49"/>
        <v>0.13899999999999998</v>
      </c>
      <c r="K182" s="7">
        <f t="shared" si="50"/>
        <v>9.3840000000000003</v>
      </c>
      <c r="L182" s="7">
        <f t="shared" si="51"/>
        <v>132</v>
      </c>
      <c r="M182" s="7">
        <f t="shared" si="52"/>
        <v>115</v>
      </c>
      <c r="O182">
        <f t="shared" si="53"/>
        <v>7.779999999999998E-2</v>
      </c>
      <c r="P182">
        <f t="shared" si="54"/>
        <v>77.799999999999983</v>
      </c>
      <c r="V182">
        <f t="shared" si="55"/>
        <v>439.92765639226945</v>
      </c>
      <c r="W182">
        <f t="shared" si="56"/>
        <v>130.70330806556314</v>
      </c>
      <c r="AE182">
        <f t="shared" si="57"/>
        <v>0.38999230798865764</v>
      </c>
      <c r="AF182">
        <f t="shared" si="58"/>
        <v>0.3779735637485514</v>
      </c>
      <c r="AG182">
        <f t="shared" si="59"/>
        <v>0.37894509304846841</v>
      </c>
      <c r="AI182">
        <f t="shared" si="60"/>
        <v>0.1485072025275716</v>
      </c>
      <c r="AJ182">
        <f t="shared" si="61"/>
        <v>19.639318377299372</v>
      </c>
      <c r="AL182">
        <f t="shared" si="62"/>
        <v>0.15322941131723167</v>
      </c>
      <c r="AM182">
        <f t="shared" si="63"/>
        <v>20.908151693905737</v>
      </c>
      <c r="AO182">
        <f t="shared" si="64"/>
        <v>0.15283656584849595</v>
      </c>
      <c r="AP182">
        <f t="shared" si="65"/>
        <v>20.801081600966278</v>
      </c>
    </row>
    <row r="183" spans="1:42" x14ac:dyDescent="0.2">
      <c r="A183" s="3">
        <v>180</v>
      </c>
      <c r="B183" s="3">
        <v>1.3899999999999999E-7</v>
      </c>
      <c r="C183" s="2">
        <v>9.4369999999999992E-3</v>
      </c>
      <c r="D183" s="3">
        <v>116000</v>
      </c>
      <c r="E183" s="3">
        <v>133000000000</v>
      </c>
      <c r="F183" s="3">
        <v>118000000000</v>
      </c>
      <c r="G183" s="3">
        <v>1730000000</v>
      </c>
      <c r="H183" s="3">
        <v>14300000000</v>
      </c>
      <c r="I183" s="2"/>
      <c r="J183" s="7">
        <f t="shared" si="49"/>
        <v>0.13899999999999998</v>
      </c>
      <c r="K183" s="7">
        <f t="shared" si="50"/>
        <v>9.4369999999999994</v>
      </c>
      <c r="L183" s="7">
        <f t="shared" si="51"/>
        <v>133</v>
      </c>
      <c r="M183" s="7">
        <f t="shared" si="52"/>
        <v>116</v>
      </c>
      <c r="O183">
        <f t="shared" si="53"/>
        <v>7.7984913793103433E-2</v>
      </c>
      <c r="P183">
        <f t="shared" si="54"/>
        <v>77.984913793103431</v>
      </c>
      <c r="V183">
        <f t="shared" si="55"/>
        <v>440.39057762735246</v>
      </c>
      <c r="W183">
        <f t="shared" si="56"/>
        <v>131.70127370226834</v>
      </c>
      <c r="AE183">
        <f t="shared" si="57"/>
        <v>0.39338354544942855</v>
      </c>
      <c r="AF183">
        <f t="shared" si="58"/>
        <v>0.3812602903898431</v>
      </c>
      <c r="AG183">
        <f t="shared" si="59"/>
        <v>0.38224026777062897</v>
      </c>
      <c r="AI183">
        <f t="shared" si="60"/>
        <v>0.1472269680230236</v>
      </c>
      <c r="AJ183">
        <f t="shared" si="61"/>
        <v>19.411185899973944</v>
      </c>
      <c r="AL183">
        <f t="shared" si="62"/>
        <v>0.15190846811622105</v>
      </c>
      <c r="AM183">
        <f t="shared" si="63"/>
        <v>20.665280309543444</v>
      </c>
      <c r="AO183">
        <f t="shared" si="64"/>
        <v>0.15151900924635375</v>
      </c>
      <c r="AP183">
        <f t="shared" si="65"/>
        <v>20.559453954552549</v>
      </c>
    </row>
    <row r="184" spans="1:42" x14ac:dyDescent="0.2">
      <c r="A184" s="3">
        <v>180</v>
      </c>
      <c r="B184" s="3">
        <v>1.3899999999999999E-7</v>
      </c>
      <c r="C184" s="2">
        <v>9.4889999999999992E-3</v>
      </c>
      <c r="D184" s="3">
        <v>124000</v>
      </c>
      <c r="E184" s="3">
        <v>139000000000</v>
      </c>
      <c r="F184" s="3">
        <v>123000000000</v>
      </c>
      <c r="G184" s="3">
        <v>10900000000</v>
      </c>
      <c r="H184" s="3">
        <v>13500000000</v>
      </c>
      <c r="I184" s="2"/>
      <c r="J184" s="7">
        <f t="shared" si="49"/>
        <v>0.13899999999999998</v>
      </c>
      <c r="K184" s="7">
        <f t="shared" si="50"/>
        <v>9.488999999999999</v>
      </c>
      <c r="L184" s="7">
        <f t="shared" si="51"/>
        <v>139</v>
      </c>
      <c r="M184" s="7">
        <f t="shared" si="52"/>
        <v>124</v>
      </c>
      <c r="O184">
        <f t="shared" si="53"/>
        <v>8.1606854838709664E-2</v>
      </c>
      <c r="P184">
        <f t="shared" si="54"/>
        <v>81.606854838709666</v>
      </c>
      <c r="V184">
        <f t="shared" si="55"/>
        <v>449.33745400548014</v>
      </c>
      <c r="W184">
        <f t="shared" si="56"/>
        <v>137.98093047289987</v>
      </c>
      <c r="AE184">
        <f t="shared" si="57"/>
        <v>0.42051344513559608</v>
      </c>
      <c r="AF184">
        <f t="shared" si="58"/>
        <v>0.40755410352017712</v>
      </c>
      <c r="AG184">
        <f t="shared" si="59"/>
        <v>0.40860166554791372</v>
      </c>
      <c r="AI184">
        <f t="shared" si="60"/>
        <v>0.13772845395702207</v>
      </c>
      <c r="AJ184">
        <f t="shared" si="61"/>
        <v>17.080916456774592</v>
      </c>
      <c r="AL184">
        <f t="shared" si="62"/>
        <v>0.14210792178614226</v>
      </c>
      <c r="AM184">
        <f t="shared" si="63"/>
        <v>18.184459637966498</v>
      </c>
      <c r="AO184">
        <f t="shared" si="64"/>
        <v>0.1417435892949761</v>
      </c>
      <c r="AP184">
        <f t="shared" si="65"/>
        <v>18.091337500151784</v>
      </c>
    </row>
    <row r="185" spans="1:42" x14ac:dyDescent="0.2">
      <c r="A185" s="3">
        <v>180</v>
      </c>
      <c r="B185" s="3">
        <v>1.4000000000000001E-7</v>
      </c>
      <c r="C185" s="2">
        <v>9.5399999999999999E-3</v>
      </c>
      <c r="D185" s="3">
        <v>114000</v>
      </c>
      <c r="E185" s="3">
        <v>131000000000</v>
      </c>
      <c r="F185" s="3">
        <v>117000000000</v>
      </c>
      <c r="G185" s="3">
        <v>13700000000</v>
      </c>
      <c r="H185" s="3">
        <v>14600000000</v>
      </c>
      <c r="I185" s="2"/>
      <c r="J185" s="7">
        <f t="shared" si="49"/>
        <v>0.14000000000000001</v>
      </c>
      <c r="K185" s="7">
        <f t="shared" si="50"/>
        <v>9.5399999999999991</v>
      </c>
      <c r="L185" s="7">
        <f t="shared" si="51"/>
        <v>131</v>
      </c>
      <c r="M185" s="7">
        <f t="shared" si="52"/>
        <v>114</v>
      </c>
      <c r="O185">
        <f t="shared" si="53"/>
        <v>7.7236842105263187E-2</v>
      </c>
      <c r="P185">
        <f t="shared" si="54"/>
        <v>77.236842105263193</v>
      </c>
      <c r="V185">
        <f t="shared" si="55"/>
        <v>438.51403512453692</v>
      </c>
      <c r="W185">
        <f t="shared" si="56"/>
        <v>129.98443706325645</v>
      </c>
      <c r="AE185">
        <f t="shared" si="57"/>
        <v>0.38660107052788667</v>
      </c>
      <c r="AF185">
        <f t="shared" si="58"/>
        <v>0.37468683710725964</v>
      </c>
      <c r="AG185">
        <f t="shared" si="59"/>
        <v>0.37564991832630779</v>
      </c>
      <c r="AI185">
        <f t="shared" si="60"/>
        <v>0.15088766633181266</v>
      </c>
      <c r="AJ185">
        <f t="shared" si="61"/>
        <v>20.317616762675794</v>
      </c>
      <c r="AL185">
        <f t="shared" si="62"/>
        <v>0.15568556873705858</v>
      </c>
      <c r="AM185">
        <f t="shared" si="63"/>
        <v>21.630272760570353</v>
      </c>
      <c r="AO185">
        <f t="shared" si="64"/>
        <v>0.15528642623758585</v>
      </c>
      <c r="AP185">
        <f t="shared" si="65"/>
        <v>21.519504704709391</v>
      </c>
    </row>
    <row r="186" spans="1:42" x14ac:dyDescent="0.2">
      <c r="A186" s="3">
        <v>180</v>
      </c>
      <c r="B186" s="3">
        <v>1.4100000000000001E-7</v>
      </c>
      <c r="C186" s="2">
        <v>9.5940000000000001E-3</v>
      </c>
      <c r="D186" s="3">
        <v>134000</v>
      </c>
      <c r="E186" s="3">
        <v>146000000000</v>
      </c>
      <c r="F186" s="3">
        <v>129000000000</v>
      </c>
      <c r="G186" s="3">
        <v>19100000000</v>
      </c>
      <c r="H186" s="3">
        <v>12800000000</v>
      </c>
      <c r="I186" s="2"/>
      <c r="J186" s="7">
        <f t="shared" si="49"/>
        <v>0.14100000000000001</v>
      </c>
      <c r="K186" s="7">
        <f t="shared" si="50"/>
        <v>9.5939999999999994</v>
      </c>
      <c r="L186" s="7">
        <f t="shared" si="51"/>
        <v>146</v>
      </c>
      <c r="M186" s="7">
        <f t="shared" si="52"/>
        <v>134</v>
      </c>
      <c r="O186">
        <f t="shared" si="53"/>
        <v>8.730223880597017E-2</v>
      </c>
      <c r="P186">
        <f t="shared" si="54"/>
        <v>87.302238805970177</v>
      </c>
      <c r="V186">
        <f t="shared" si="55"/>
        <v>462.96967834216531</v>
      </c>
      <c r="W186">
        <f t="shared" si="56"/>
        <v>144.71790083514401</v>
      </c>
      <c r="AE186">
        <f t="shared" si="57"/>
        <v>0.45442581974330543</v>
      </c>
      <c r="AF186">
        <f t="shared" si="58"/>
        <v>0.44042136993309466</v>
      </c>
      <c r="AG186">
        <f t="shared" si="59"/>
        <v>0.4415534127695197</v>
      </c>
      <c r="AI186">
        <f t="shared" si="60"/>
        <v>0.12928402711181006</v>
      </c>
      <c r="AJ186">
        <f t="shared" si="61"/>
        <v>14.788502859152826</v>
      </c>
      <c r="AL186">
        <f t="shared" si="62"/>
        <v>0.13339498037737099</v>
      </c>
      <c r="AM186">
        <f t="shared" si="63"/>
        <v>15.743940556629669</v>
      </c>
      <c r="AO186">
        <f t="shared" si="64"/>
        <v>0.1330529858924816</v>
      </c>
      <c r="AP186">
        <f t="shared" si="65"/>
        <v>15.663316252611304</v>
      </c>
    </row>
    <row r="187" spans="1:42" x14ac:dyDescent="0.2">
      <c r="A187" s="3">
        <v>190</v>
      </c>
      <c r="B187" s="3">
        <v>1.4100000000000001E-7</v>
      </c>
      <c r="C187" s="2">
        <v>9.6469999999999993E-3</v>
      </c>
      <c r="D187" s="3">
        <v>141000</v>
      </c>
      <c r="E187" s="3">
        <v>152000000000</v>
      </c>
      <c r="F187" s="3">
        <v>133000000000</v>
      </c>
      <c r="G187" s="3">
        <v>2300000000</v>
      </c>
      <c r="H187" s="3">
        <v>12400000000</v>
      </c>
      <c r="I187" s="2"/>
      <c r="J187" s="7">
        <f t="shared" si="49"/>
        <v>0.14100000000000001</v>
      </c>
      <c r="K187" s="7">
        <f t="shared" si="50"/>
        <v>9.6469999999999985</v>
      </c>
      <c r="L187" s="7">
        <f t="shared" si="51"/>
        <v>152</v>
      </c>
      <c r="M187" s="7">
        <f t="shared" si="52"/>
        <v>141</v>
      </c>
      <c r="O187">
        <f t="shared" si="53"/>
        <v>8.9686170212765981E-2</v>
      </c>
      <c r="P187">
        <f t="shared" si="54"/>
        <v>89.686170212765987</v>
      </c>
      <c r="V187">
        <f t="shared" si="55"/>
        <v>468.52840526075687</v>
      </c>
      <c r="W187">
        <f t="shared" si="56"/>
        <v>150.47113303784349</v>
      </c>
      <c r="AE187">
        <f t="shared" si="57"/>
        <v>0.47816448196870198</v>
      </c>
      <c r="AF187">
        <f t="shared" si="58"/>
        <v>0.46342845642213693</v>
      </c>
      <c r="AG187">
        <f t="shared" si="59"/>
        <v>0.46461963582464383</v>
      </c>
      <c r="AI187">
        <f t="shared" si="60"/>
        <v>0.12286567115590459</v>
      </c>
      <c r="AJ187">
        <f t="shared" si="61"/>
        <v>13.430375195876127</v>
      </c>
      <c r="AL187">
        <f t="shared" si="62"/>
        <v>0.12677253454303342</v>
      </c>
      <c r="AM187">
        <f t="shared" si="63"/>
        <v>14.298068624724888</v>
      </c>
      <c r="AO187">
        <f t="shared" si="64"/>
        <v>0.12644751850774849</v>
      </c>
      <c r="AP187">
        <f t="shared" si="65"/>
        <v>14.224848592705024</v>
      </c>
    </row>
    <row r="188" spans="1:42" x14ac:dyDescent="0.2">
      <c r="A188" s="3">
        <v>190</v>
      </c>
      <c r="B188" s="3">
        <v>1.4100000000000001E-7</v>
      </c>
      <c r="C188" s="2">
        <v>9.6959999999999998E-3</v>
      </c>
      <c r="D188" s="3">
        <v>145000</v>
      </c>
      <c r="E188" s="3">
        <v>155000000000</v>
      </c>
      <c r="F188" s="3">
        <v>136000000000</v>
      </c>
      <c r="G188" s="3">
        <v>65200000</v>
      </c>
      <c r="H188" s="3">
        <v>12300000000</v>
      </c>
      <c r="I188" s="2"/>
      <c r="J188" s="7">
        <f t="shared" si="49"/>
        <v>0.14100000000000001</v>
      </c>
      <c r="K188" s="7">
        <f t="shared" si="50"/>
        <v>9.6959999999999997</v>
      </c>
      <c r="L188" s="7">
        <f t="shared" si="51"/>
        <v>155</v>
      </c>
      <c r="M188" s="7">
        <f t="shared" si="52"/>
        <v>145</v>
      </c>
      <c r="O188">
        <f t="shared" si="53"/>
        <v>9.0848275862068978E-2</v>
      </c>
      <c r="P188">
        <f t="shared" si="54"/>
        <v>90.848275862068974</v>
      </c>
      <c r="V188">
        <f t="shared" si="55"/>
        <v>471.20831325993919</v>
      </c>
      <c r="W188">
        <f t="shared" si="56"/>
        <v>153.85976426949372</v>
      </c>
      <c r="AE188">
        <f t="shared" si="57"/>
        <v>0.49172943181178569</v>
      </c>
      <c r="AF188">
        <f t="shared" si="58"/>
        <v>0.47657536298730391</v>
      </c>
      <c r="AG188">
        <f t="shared" si="59"/>
        <v>0.4778003347132862</v>
      </c>
      <c r="AI188">
        <f t="shared" si="60"/>
        <v>0.11947627333091412</v>
      </c>
      <c r="AJ188">
        <f t="shared" si="61"/>
        <v>12.764114594800711</v>
      </c>
      <c r="AL188">
        <f t="shared" si="62"/>
        <v>0.12327536117632903</v>
      </c>
      <c r="AM188">
        <f t="shared" si="63"/>
        <v>13.588763064962727</v>
      </c>
      <c r="AO188">
        <f t="shared" si="64"/>
        <v>0.12295931110063818</v>
      </c>
      <c r="AP188">
        <f t="shared" si="65"/>
        <v>13.519175367991796</v>
      </c>
    </row>
    <row r="189" spans="1:42" x14ac:dyDescent="0.2">
      <c r="A189" s="3">
        <v>190</v>
      </c>
      <c r="B189" s="3">
        <v>1.43E-7</v>
      </c>
      <c r="C189" s="2">
        <v>9.7479999999999997E-3</v>
      </c>
      <c r="D189" s="3">
        <v>137000</v>
      </c>
      <c r="E189" s="3">
        <v>148000000000</v>
      </c>
      <c r="F189" s="3">
        <v>130000000000</v>
      </c>
      <c r="G189" s="2">
        <v>0</v>
      </c>
      <c r="H189" s="3">
        <v>12600000000</v>
      </c>
      <c r="I189" s="2"/>
      <c r="J189" s="7">
        <f t="shared" si="49"/>
        <v>0.14299999999999999</v>
      </c>
      <c r="K189" s="7">
        <f t="shared" si="50"/>
        <v>9.7479999999999993</v>
      </c>
      <c r="L189" s="7">
        <f t="shared" si="51"/>
        <v>148</v>
      </c>
      <c r="M189" s="7">
        <f t="shared" si="52"/>
        <v>137</v>
      </c>
      <c r="O189">
        <f t="shared" si="53"/>
        <v>8.9635036496350351E-2</v>
      </c>
      <c r="P189">
        <f t="shared" si="54"/>
        <v>89.635036496350352</v>
      </c>
      <c r="V189">
        <f t="shared" si="55"/>
        <v>468.4100438563791</v>
      </c>
      <c r="W189">
        <f t="shared" si="56"/>
        <v>146.2393919567682</v>
      </c>
      <c r="AE189">
        <f t="shared" si="57"/>
        <v>0.46459953212561822</v>
      </c>
      <c r="AF189">
        <f t="shared" si="58"/>
        <v>0.45028154985696989</v>
      </c>
      <c r="AG189">
        <f t="shared" si="59"/>
        <v>0.45143893693600146</v>
      </c>
      <c r="AI189">
        <f t="shared" si="60"/>
        <v>0.12824664945470332</v>
      </c>
      <c r="AJ189">
        <f t="shared" si="61"/>
        <v>14.375020689701193</v>
      </c>
      <c r="AL189">
        <f t="shared" si="62"/>
        <v>0.13232461634783779</v>
      </c>
      <c r="AM189">
        <f t="shared" si="63"/>
        <v>15.303744631519935</v>
      </c>
      <c r="AO189">
        <f t="shared" si="64"/>
        <v>0.13198536603363525</v>
      </c>
      <c r="AP189">
        <f t="shared" si="65"/>
        <v>15.225374559214782</v>
      </c>
    </row>
    <row r="190" spans="1:42" x14ac:dyDescent="0.2">
      <c r="A190" s="3">
        <v>190</v>
      </c>
      <c r="B190" s="3">
        <v>1.4399999999999999E-7</v>
      </c>
      <c r="C190" s="2">
        <v>9.8019999999999999E-3</v>
      </c>
      <c r="D190" s="3">
        <v>156000</v>
      </c>
      <c r="E190" s="3">
        <v>163000000000</v>
      </c>
      <c r="F190" s="3">
        <v>141000000000</v>
      </c>
      <c r="G190" s="3">
        <v>12500000000</v>
      </c>
      <c r="H190" s="3">
        <v>11700000000</v>
      </c>
      <c r="I190" s="2"/>
      <c r="J190" s="7">
        <f t="shared" si="49"/>
        <v>0.14399999999999999</v>
      </c>
      <c r="K190" s="7">
        <f t="shared" si="50"/>
        <v>9.8019999999999996</v>
      </c>
      <c r="L190" s="7">
        <f t="shared" si="51"/>
        <v>163</v>
      </c>
      <c r="M190" s="7">
        <f t="shared" si="52"/>
        <v>156</v>
      </c>
      <c r="O190">
        <f t="shared" si="53"/>
        <v>9.6874999999999989E-2</v>
      </c>
      <c r="P190">
        <f t="shared" si="54"/>
        <v>96.874999999999986</v>
      </c>
      <c r="V190">
        <f t="shared" si="55"/>
        <v>484.80936253575391</v>
      </c>
      <c r="W190">
        <f t="shared" si="56"/>
        <v>160.8879820142657</v>
      </c>
      <c r="AE190">
        <f t="shared" si="57"/>
        <v>0.52903304388026595</v>
      </c>
      <c r="AF190">
        <f t="shared" si="58"/>
        <v>0.51272935604151315</v>
      </c>
      <c r="AG190">
        <f t="shared" si="59"/>
        <v>0.51404725665705275</v>
      </c>
      <c r="AI190">
        <f t="shared" si="60"/>
        <v>0.11341446568237346</v>
      </c>
      <c r="AJ190">
        <f t="shared" si="61"/>
        <v>11.148067604216608</v>
      </c>
      <c r="AL190">
        <f t="shared" si="62"/>
        <v>0.11702080111664621</v>
      </c>
      <c r="AM190">
        <f t="shared" si="63"/>
        <v>11.868308465954458</v>
      </c>
      <c r="AO190">
        <f t="shared" si="64"/>
        <v>0.11672078631484473</v>
      </c>
      <c r="AP190">
        <f t="shared" si="65"/>
        <v>11.807531171572466</v>
      </c>
    </row>
    <row r="191" spans="1:42" x14ac:dyDescent="0.2">
      <c r="A191" s="3">
        <v>190</v>
      </c>
      <c r="B191" s="3">
        <v>1.4499999999999999E-7</v>
      </c>
      <c r="C191" s="2">
        <v>9.8519999999999996E-3</v>
      </c>
      <c r="D191" s="3">
        <v>134000</v>
      </c>
      <c r="E191" s="3">
        <v>144000000000</v>
      </c>
      <c r="F191" s="3">
        <v>127000000000</v>
      </c>
      <c r="G191" s="2">
        <v>0</v>
      </c>
      <c r="H191" s="3">
        <v>12800000000</v>
      </c>
      <c r="I191" s="2"/>
      <c r="J191" s="7">
        <f t="shared" si="49"/>
        <v>0.14499999999999999</v>
      </c>
      <c r="K191" s="7">
        <f t="shared" si="50"/>
        <v>9.8520000000000003</v>
      </c>
      <c r="L191" s="7">
        <f t="shared" si="51"/>
        <v>144</v>
      </c>
      <c r="M191" s="7">
        <f t="shared" si="52"/>
        <v>134</v>
      </c>
      <c r="O191">
        <f t="shared" si="53"/>
        <v>8.9858208955223867E-2</v>
      </c>
      <c r="P191">
        <f t="shared" si="54"/>
        <v>89.858208955223873</v>
      </c>
      <c r="V191">
        <f t="shared" si="55"/>
        <v>468.92635498126066</v>
      </c>
      <c r="W191">
        <f t="shared" si="56"/>
        <v>142.87957861246136</v>
      </c>
      <c r="AE191">
        <f t="shared" si="57"/>
        <v>0.45442581974330543</v>
      </c>
      <c r="AF191">
        <f t="shared" si="58"/>
        <v>0.44042136993309466</v>
      </c>
      <c r="AG191">
        <f t="shared" si="59"/>
        <v>0.4415534127695197</v>
      </c>
      <c r="AI191">
        <f t="shared" si="60"/>
        <v>0.13295165908661316</v>
      </c>
      <c r="AJ191">
        <f t="shared" si="61"/>
        <v>15.18619242947401</v>
      </c>
      <c r="AL191">
        <f t="shared" si="62"/>
        <v>0.13717923513984956</v>
      </c>
      <c r="AM191">
        <f t="shared" si="63"/>
        <v>16.167323573474622</v>
      </c>
      <c r="AO191">
        <f t="shared" si="64"/>
        <v>0.13682753868375766</v>
      </c>
      <c r="AP191">
        <f t="shared" si="65"/>
        <v>16.084531136202479</v>
      </c>
    </row>
    <row r="192" spans="1:42" x14ac:dyDescent="0.2">
      <c r="A192" s="3">
        <v>190</v>
      </c>
      <c r="B192" s="3">
        <v>1.4499999999999999E-7</v>
      </c>
      <c r="C192" s="2">
        <v>9.9050000000000006E-3</v>
      </c>
      <c r="D192" s="3">
        <v>121000</v>
      </c>
      <c r="E192" s="3">
        <v>134000000000</v>
      </c>
      <c r="F192" s="3">
        <v>119000000000</v>
      </c>
      <c r="G192" s="3">
        <v>502000000</v>
      </c>
      <c r="H192" s="3">
        <v>13900000000</v>
      </c>
      <c r="I192" s="2"/>
      <c r="J192" s="7">
        <f t="shared" si="49"/>
        <v>0.14499999999999999</v>
      </c>
      <c r="K192" s="7">
        <f t="shared" si="50"/>
        <v>9.9050000000000011</v>
      </c>
      <c r="L192" s="7">
        <f t="shared" si="51"/>
        <v>134</v>
      </c>
      <c r="M192" s="7">
        <f t="shared" si="52"/>
        <v>121</v>
      </c>
      <c r="O192">
        <f t="shared" si="53"/>
        <v>8.3605371900826425E-2</v>
      </c>
      <c r="P192">
        <f t="shared" si="54"/>
        <v>83.605371900826427</v>
      </c>
      <c r="V192">
        <f t="shared" si="55"/>
        <v>454.17965055364851</v>
      </c>
      <c r="W192">
        <f t="shared" si="56"/>
        <v>133.20720099689635</v>
      </c>
      <c r="AE192">
        <f t="shared" si="57"/>
        <v>0.41033973275328323</v>
      </c>
      <c r="AF192">
        <f t="shared" si="58"/>
        <v>0.3976939235963019</v>
      </c>
      <c r="AG192">
        <f t="shared" si="59"/>
        <v>0.39871614138143197</v>
      </c>
      <c r="AI192">
        <f t="shared" si="60"/>
        <v>0.1472357216331088</v>
      </c>
      <c r="AJ192">
        <f t="shared" si="61"/>
        <v>18.724827757250225</v>
      </c>
      <c r="AL192">
        <f t="shared" si="62"/>
        <v>0.15191750007223009</v>
      </c>
      <c r="AM192">
        <f t="shared" si="63"/>
        <v>19.934578770481764</v>
      </c>
      <c r="AO192">
        <f t="shared" si="64"/>
        <v>0.15152801804647542</v>
      </c>
      <c r="AP192">
        <f t="shared" si="65"/>
        <v>19.832494318785038</v>
      </c>
    </row>
    <row r="193" spans="1:42" x14ac:dyDescent="0.2">
      <c r="A193" s="3">
        <v>190</v>
      </c>
      <c r="B193" s="3">
        <v>1.4600000000000001E-7</v>
      </c>
      <c r="C193" s="2">
        <v>9.9600000000000001E-3</v>
      </c>
      <c r="D193" s="3">
        <v>130000</v>
      </c>
      <c r="E193" s="3">
        <v>140000000000</v>
      </c>
      <c r="F193" s="3">
        <v>124000000000</v>
      </c>
      <c r="G193" s="3">
        <v>1040000000</v>
      </c>
      <c r="H193" s="3">
        <v>13100000000</v>
      </c>
      <c r="I193" s="2"/>
      <c r="J193" s="7">
        <f t="shared" si="49"/>
        <v>0.14600000000000002</v>
      </c>
      <c r="K193" s="7">
        <f t="shared" si="50"/>
        <v>9.9600000000000009</v>
      </c>
      <c r="L193" s="7">
        <f t="shared" si="51"/>
        <v>140</v>
      </c>
      <c r="M193" s="7">
        <f t="shared" si="52"/>
        <v>130</v>
      </c>
      <c r="O193">
        <f t="shared" si="53"/>
        <v>8.8538461538461552E-2</v>
      </c>
      <c r="P193">
        <f t="shared" si="54"/>
        <v>88.538461538461547</v>
      </c>
      <c r="V193">
        <f t="shared" si="55"/>
        <v>465.86264698065304</v>
      </c>
      <c r="W193">
        <f t="shared" si="56"/>
        <v>139.52610371592939</v>
      </c>
      <c r="AE193">
        <f t="shared" si="57"/>
        <v>0.44086086990022166</v>
      </c>
      <c r="AF193">
        <f t="shared" si="58"/>
        <v>0.42727446336792763</v>
      </c>
      <c r="AG193">
        <f t="shared" si="59"/>
        <v>0.42837271388087733</v>
      </c>
      <c r="AI193">
        <f t="shared" si="60"/>
        <v>0.13798759991355442</v>
      </c>
      <c r="AJ193">
        <f t="shared" si="61"/>
        <v>16.311981718701926</v>
      </c>
      <c r="AL193">
        <f t="shared" si="62"/>
        <v>0.14237530802525292</v>
      </c>
      <c r="AM193">
        <f t="shared" si="63"/>
        <v>17.36584649480772</v>
      </c>
      <c r="AO193">
        <f t="shared" si="64"/>
        <v>0.14201029001639445</v>
      </c>
      <c r="AP193">
        <f t="shared" si="65"/>
        <v>17.27691645329126</v>
      </c>
    </row>
    <row r="194" spans="1:42" x14ac:dyDescent="0.2">
      <c r="A194" s="3">
        <v>190</v>
      </c>
      <c r="B194" s="3">
        <v>1.4600000000000001E-7</v>
      </c>
      <c r="C194" s="2">
        <v>1.001E-2</v>
      </c>
      <c r="D194" s="3">
        <v>128000</v>
      </c>
      <c r="E194" s="3">
        <v>139000000000</v>
      </c>
      <c r="F194" s="3">
        <v>123000000000</v>
      </c>
      <c r="G194" s="3">
        <v>6810000000</v>
      </c>
      <c r="H194" s="3">
        <v>13300000000</v>
      </c>
      <c r="I194" s="2"/>
      <c r="J194" s="7">
        <f t="shared" si="49"/>
        <v>0.14600000000000002</v>
      </c>
      <c r="K194" s="7">
        <f t="shared" si="50"/>
        <v>10.01</v>
      </c>
      <c r="L194" s="7">
        <f t="shared" si="51"/>
        <v>139</v>
      </c>
      <c r="M194" s="7">
        <f t="shared" si="52"/>
        <v>128</v>
      </c>
      <c r="O194">
        <f t="shared" si="53"/>
        <v>8.7347656250000016E-2</v>
      </c>
      <c r="P194">
        <f t="shared" si="54"/>
        <v>87.347656250000014</v>
      </c>
      <c r="V194">
        <f t="shared" si="55"/>
        <v>463.07636504214355</v>
      </c>
      <c r="W194">
        <f t="shared" si="56"/>
        <v>138.20614661293607</v>
      </c>
      <c r="AE194">
        <f t="shared" si="57"/>
        <v>0.43407839497867978</v>
      </c>
      <c r="AF194">
        <f t="shared" si="58"/>
        <v>0.42070101008534416</v>
      </c>
      <c r="AG194">
        <f t="shared" si="59"/>
        <v>0.42178236443655609</v>
      </c>
      <c r="AI194">
        <f t="shared" si="60"/>
        <v>0.1401436561622037</v>
      </c>
      <c r="AJ194">
        <f t="shared" si="61"/>
        <v>16.910179998381501</v>
      </c>
      <c r="AL194">
        <f t="shared" si="62"/>
        <v>0.14459992221314749</v>
      </c>
      <c r="AM194">
        <f t="shared" si="63"/>
        <v>18.002692445074032</v>
      </c>
      <c r="AO194">
        <f t="shared" si="64"/>
        <v>0.14422920079790061</v>
      </c>
      <c r="AP194">
        <f t="shared" si="65"/>
        <v>17.910501132256258</v>
      </c>
    </row>
    <row r="195" spans="1:42" x14ac:dyDescent="0.2">
      <c r="A195" s="3">
        <v>190</v>
      </c>
      <c r="B195" s="3">
        <v>1.4700000000000001E-7</v>
      </c>
      <c r="C195" s="2">
        <v>1.0059999999999999E-2</v>
      </c>
      <c r="D195" s="3">
        <v>136000</v>
      </c>
      <c r="E195" s="3">
        <v>144000000000</v>
      </c>
      <c r="F195" s="3">
        <v>127000000000</v>
      </c>
      <c r="G195" s="3">
        <v>11100000000</v>
      </c>
      <c r="H195" s="3">
        <v>12800000000</v>
      </c>
      <c r="I195" s="2"/>
      <c r="J195" s="7">
        <f t="shared" si="49"/>
        <v>0.14700000000000002</v>
      </c>
      <c r="K195" s="7">
        <f t="shared" si="50"/>
        <v>10.059999999999999</v>
      </c>
      <c r="L195" s="7">
        <f t="shared" si="51"/>
        <v>144</v>
      </c>
      <c r="M195" s="7">
        <f t="shared" si="52"/>
        <v>136</v>
      </c>
      <c r="O195">
        <f t="shared" si="53"/>
        <v>9.1522058823529442E-2</v>
      </c>
      <c r="P195">
        <f t="shared" si="54"/>
        <v>91.522058823529449</v>
      </c>
      <c r="V195">
        <f t="shared" si="55"/>
        <v>472.75337243512809</v>
      </c>
      <c r="W195">
        <f t="shared" si="56"/>
        <v>143.83821240604911</v>
      </c>
      <c r="AE195">
        <f t="shared" si="57"/>
        <v>0.46120829466484731</v>
      </c>
      <c r="AF195">
        <f t="shared" si="58"/>
        <v>0.44699482321567813</v>
      </c>
      <c r="AG195">
        <f t="shared" si="59"/>
        <v>0.44814376221384089</v>
      </c>
      <c r="AI195">
        <f t="shared" si="60"/>
        <v>0.132803335734691</v>
      </c>
      <c r="AJ195">
        <f t="shared" si="61"/>
        <v>15.054081268431144</v>
      </c>
      <c r="AL195">
        <f t="shared" si="62"/>
        <v>0.13702619542519054</v>
      </c>
      <c r="AM195">
        <f t="shared" si="63"/>
        <v>16.026677134403958</v>
      </c>
      <c r="AO195">
        <f t="shared" si="64"/>
        <v>0.13667489132822813</v>
      </c>
      <c r="AP195">
        <f t="shared" si="65"/>
        <v>15.944604943833831</v>
      </c>
    </row>
    <row r="196" spans="1:42" x14ac:dyDescent="0.2">
      <c r="A196" s="3">
        <v>190</v>
      </c>
      <c r="B196" s="3">
        <v>1.48E-7</v>
      </c>
      <c r="C196" s="2">
        <v>1.0109999999999999E-2</v>
      </c>
      <c r="D196" s="3">
        <v>114000</v>
      </c>
      <c r="E196" s="3">
        <v>128000000000</v>
      </c>
      <c r="F196" s="3">
        <v>114000000000</v>
      </c>
      <c r="G196" s="3">
        <v>7440000000</v>
      </c>
      <c r="H196" s="3">
        <v>14600000000</v>
      </c>
      <c r="I196" s="2"/>
      <c r="J196" s="7">
        <f t="shared" si="49"/>
        <v>0.14799999999999999</v>
      </c>
      <c r="K196" s="7">
        <f t="shared" si="50"/>
        <v>10.11</v>
      </c>
      <c r="L196" s="7">
        <f t="shared" si="51"/>
        <v>128</v>
      </c>
      <c r="M196" s="7">
        <f t="shared" si="52"/>
        <v>114</v>
      </c>
      <c r="O196">
        <f t="shared" si="53"/>
        <v>8.1486842105263163E-2</v>
      </c>
      <c r="P196">
        <f t="shared" si="54"/>
        <v>81.486842105263165</v>
      </c>
      <c r="V196">
        <f t="shared" si="55"/>
        <v>449.04458419494222</v>
      </c>
      <c r="W196">
        <f t="shared" si="56"/>
        <v>126.93617071941966</v>
      </c>
      <c r="AE196">
        <f t="shared" si="57"/>
        <v>0.38660107052788667</v>
      </c>
      <c r="AF196">
        <f t="shared" si="58"/>
        <v>0.37468683710725964</v>
      </c>
      <c r="AG196">
        <f t="shared" si="59"/>
        <v>0.37564991832630779</v>
      </c>
      <c r="AI196">
        <f t="shared" si="60"/>
        <v>0.15950981869363051</v>
      </c>
      <c r="AJ196">
        <f t="shared" si="61"/>
        <v>21.531562418307367</v>
      </c>
      <c r="AL196">
        <f t="shared" si="62"/>
        <v>0.16458188695060477</v>
      </c>
      <c r="AM196">
        <f t="shared" si="63"/>
        <v>22.922647548151602</v>
      </c>
      <c r="AO196">
        <f t="shared" si="64"/>
        <v>0.16415993630830503</v>
      </c>
      <c r="AP196">
        <f t="shared" si="65"/>
        <v>22.805261275116557</v>
      </c>
    </row>
    <row r="197" spans="1:42" x14ac:dyDescent="0.2">
      <c r="A197" s="3">
        <v>200</v>
      </c>
      <c r="B197" s="3">
        <v>1.48E-7</v>
      </c>
      <c r="C197" s="2">
        <v>1.017E-2</v>
      </c>
      <c r="D197" s="3">
        <v>133000</v>
      </c>
      <c r="E197" s="3">
        <v>142000000000</v>
      </c>
      <c r="F197" s="3">
        <v>125000000000</v>
      </c>
      <c r="G197" s="2">
        <v>0</v>
      </c>
      <c r="H197" s="3">
        <v>13100000000</v>
      </c>
      <c r="I197" s="2"/>
      <c r="J197" s="7">
        <f t="shared" ref="J197:J260" si="66">B197*(10^6)</f>
        <v>0.14799999999999999</v>
      </c>
      <c r="K197" s="7">
        <f t="shared" ref="K197:K260" si="67">C197*1000</f>
        <v>10.17</v>
      </c>
      <c r="L197" s="7">
        <f t="shared" ref="L197:L260" si="68">E197*(10^-9)</f>
        <v>142</v>
      </c>
      <c r="M197" s="7">
        <f t="shared" ref="M197:M260" si="69">D197*(10^-3)</f>
        <v>133</v>
      </c>
      <c r="O197">
        <f t="shared" ref="O197:O260" si="70">J197-(0.75*(K197/M197))</f>
        <v>9.065037593984962E-2</v>
      </c>
      <c r="P197">
        <f t="shared" ref="P197:P260" si="71">O197*1000</f>
        <v>90.650375939849624</v>
      </c>
      <c r="V197">
        <f t="shared" ref="V197:V260" si="72">$S$3*(P197^$S$4)</f>
        <v>470.75329492833185</v>
      </c>
      <c r="W197">
        <f t="shared" ref="W197:W260" si="73">M197/(2*(V197/1000))</f>
        <v>141.26295177631005</v>
      </c>
      <c r="AE197">
        <f t="shared" si="57"/>
        <v>0.45103458228253446</v>
      </c>
      <c r="AF197">
        <f t="shared" si="58"/>
        <v>0.4371346432918029</v>
      </c>
      <c r="AG197">
        <f t="shared" si="59"/>
        <v>0.43825823804735908</v>
      </c>
      <c r="AI197">
        <f t="shared" si="60"/>
        <v>0.13672270173739756</v>
      </c>
      <c r="AJ197">
        <f t="shared" si="61"/>
        <v>15.912989023982503</v>
      </c>
      <c r="AL197">
        <f t="shared" si="62"/>
        <v>0.14107018881480407</v>
      </c>
      <c r="AM197">
        <f t="shared" si="63"/>
        <v>16.941076162880286</v>
      </c>
      <c r="AO197">
        <f t="shared" si="64"/>
        <v>0.14070851683569002</v>
      </c>
      <c r="AP197">
        <f t="shared" si="65"/>
        <v>16.854321359021526</v>
      </c>
    </row>
    <row r="198" spans="1:42" x14ac:dyDescent="0.2">
      <c r="A198" s="3">
        <v>200</v>
      </c>
      <c r="B198" s="3">
        <v>1.48E-7</v>
      </c>
      <c r="C198" s="2">
        <v>1.022E-2</v>
      </c>
      <c r="D198" s="3">
        <v>141000</v>
      </c>
      <c r="E198" s="3">
        <v>148000000000</v>
      </c>
      <c r="F198" s="3">
        <v>130000000000</v>
      </c>
      <c r="G198" s="3">
        <v>3830000000</v>
      </c>
      <c r="H198" s="3">
        <v>12500000000</v>
      </c>
      <c r="I198" s="2"/>
      <c r="J198" s="7">
        <f t="shared" si="66"/>
        <v>0.14799999999999999</v>
      </c>
      <c r="K198" s="7">
        <f t="shared" si="67"/>
        <v>10.220000000000001</v>
      </c>
      <c r="L198" s="7">
        <f t="shared" si="68"/>
        <v>148</v>
      </c>
      <c r="M198" s="7">
        <f t="shared" si="69"/>
        <v>141</v>
      </c>
      <c r="O198">
        <f t="shared" si="70"/>
        <v>9.3638297872340404E-2</v>
      </c>
      <c r="P198">
        <f t="shared" si="71"/>
        <v>93.638297872340402</v>
      </c>
      <c r="V198">
        <f t="shared" si="72"/>
        <v>477.56536045607231</v>
      </c>
      <c r="W198">
        <f t="shared" si="73"/>
        <v>147.62377223648065</v>
      </c>
      <c r="AE198">
        <f t="shared" si="57"/>
        <v>0.47816448196870198</v>
      </c>
      <c r="AF198">
        <f t="shared" si="58"/>
        <v>0.46342845642213693</v>
      </c>
      <c r="AG198">
        <f t="shared" si="59"/>
        <v>0.46461963582464383</v>
      </c>
      <c r="AI198">
        <f t="shared" si="60"/>
        <v>0.12896538532676508</v>
      </c>
      <c r="AJ198">
        <f t="shared" si="61"/>
        <v>14.228095211138598</v>
      </c>
      <c r="AL198">
        <f t="shared" si="62"/>
        <v>0.13306620647070172</v>
      </c>
      <c r="AM198">
        <f t="shared" si="63"/>
        <v>15.147326769429707</v>
      </c>
      <c r="AO198">
        <f t="shared" si="64"/>
        <v>0.13272505488756578</v>
      </c>
      <c r="AP198">
        <f t="shared" si="65"/>
        <v>15.069757708867563</v>
      </c>
    </row>
    <row r="199" spans="1:42" x14ac:dyDescent="0.2">
      <c r="A199" s="3">
        <v>200</v>
      </c>
      <c r="B199" s="3">
        <v>1.49E-7</v>
      </c>
      <c r="C199" s="2">
        <v>1.027E-2</v>
      </c>
      <c r="D199" s="3">
        <v>139000</v>
      </c>
      <c r="E199" s="3">
        <v>145000000000</v>
      </c>
      <c r="F199" s="3">
        <v>128000000000</v>
      </c>
      <c r="G199" s="3">
        <v>3180000000</v>
      </c>
      <c r="H199" s="3">
        <v>12600000000</v>
      </c>
      <c r="I199" s="2"/>
      <c r="J199" s="7">
        <f t="shared" si="66"/>
        <v>0.14899999999999999</v>
      </c>
      <c r="K199" s="7">
        <f t="shared" si="67"/>
        <v>10.27</v>
      </c>
      <c r="L199" s="7">
        <f t="shared" si="68"/>
        <v>145</v>
      </c>
      <c r="M199" s="7">
        <f t="shared" si="69"/>
        <v>139</v>
      </c>
      <c r="O199">
        <f t="shared" si="70"/>
        <v>9.3586330935251788E-2</v>
      </c>
      <c r="P199">
        <f t="shared" si="71"/>
        <v>93.586330935251794</v>
      </c>
      <c r="V199">
        <f t="shared" si="72"/>
        <v>477.44792563310455</v>
      </c>
      <c r="W199">
        <f t="shared" si="73"/>
        <v>145.5656130620774</v>
      </c>
      <c r="AE199">
        <f t="shared" si="57"/>
        <v>0.4713820070471601</v>
      </c>
      <c r="AF199">
        <f t="shared" si="58"/>
        <v>0.45685500313955341</v>
      </c>
      <c r="AG199">
        <f t="shared" si="59"/>
        <v>0.45802928638032264</v>
      </c>
      <c r="AI199">
        <f t="shared" si="60"/>
        <v>0.13170492807359555</v>
      </c>
      <c r="AJ199">
        <f t="shared" si="61"/>
        <v>14.712109049224495</v>
      </c>
      <c r="AL199">
        <f t="shared" si="62"/>
        <v>0.13589286076915089</v>
      </c>
      <c r="AM199">
        <f t="shared" si="63"/>
        <v>15.662611187871985</v>
      </c>
      <c r="AO199">
        <f t="shared" si="64"/>
        <v>0.13554446228528433</v>
      </c>
      <c r="AP199">
        <f t="shared" si="65"/>
        <v>15.582403369404283</v>
      </c>
    </row>
    <row r="200" spans="1:42" x14ac:dyDescent="0.2">
      <c r="A200" s="3">
        <v>200</v>
      </c>
      <c r="B200" s="3">
        <v>1.4999999999999999E-7</v>
      </c>
      <c r="C200" s="2">
        <v>1.0319999999999999E-2</v>
      </c>
      <c r="D200" s="3">
        <v>133000</v>
      </c>
      <c r="E200" s="3">
        <v>140000000000</v>
      </c>
      <c r="F200" s="3">
        <v>124000000000</v>
      </c>
      <c r="G200" s="3">
        <v>25400000000</v>
      </c>
      <c r="H200" s="3">
        <v>13000000000</v>
      </c>
      <c r="I200" s="2"/>
      <c r="J200" s="7">
        <f t="shared" si="66"/>
        <v>0.15</v>
      </c>
      <c r="K200" s="7">
        <f t="shared" si="67"/>
        <v>10.319999999999999</v>
      </c>
      <c r="L200" s="7">
        <f t="shared" si="68"/>
        <v>140</v>
      </c>
      <c r="M200" s="7">
        <f t="shared" si="69"/>
        <v>133</v>
      </c>
      <c r="O200">
        <f t="shared" si="70"/>
        <v>9.1804511278195486E-2</v>
      </c>
      <c r="P200">
        <f t="shared" si="71"/>
        <v>91.804511278195491</v>
      </c>
      <c r="V200">
        <f t="shared" si="72"/>
        <v>473.39918236069042</v>
      </c>
      <c r="W200">
        <f t="shared" si="73"/>
        <v>140.47341541315251</v>
      </c>
      <c r="AE200">
        <f t="shared" si="57"/>
        <v>0.45103458228253446</v>
      </c>
      <c r="AF200">
        <f t="shared" si="58"/>
        <v>0.4371346432918029</v>
      </c>
      <c r="AG200">
        <f t="shared" si="59"/>
        <v>0.43825823804735908</v>
      </c>
      <c r="AI200">
        <f t="shared" si="60"/>
        <v>0.13857030581492996</v>
      </c>
      <c r="AJ200">
        <f t="shared" si="61"/>
        <v>16.147693876843601</v>
      </c>
      <c r="AL200">
        <f t="shared" si="62"/>
        <v>0.14297654271770682</v>
      </c>
      <c r="AM200">
        <f t="shared" si="63"/>
        <v>17.190944542863768</v>
      </c>
      <c r="AO200">
        <f t="shared" si="64"/>
        <v>0.14260998327941557</v>
      </c>
      <c r="AP200">
        <f t="shared" si="65"/>
        <v>17.102910169626561</v>
      </c>
    </row>
    <row r="201" spans="1:42" x14ac:dyDescent="0.2">
      <c r="A201" s="3">
        <v>200</v>
      </c>
      <c r="B201" s="3">
        <v>1.4999999999999999E-7</v>
      </c>
      <c r="C201" s="2">
        <v>1.038E-2</v>
      </c>
      <c r="D201" s="3">
        <v>129000</v>
      </c>
      <c r="E201" s="3">
        <v>137000000000</v>
      </c>
      <c r="F201" s="3">
        <v>121000000000</v>
      </c>
      <c r="G201" s="3">
        <v>2270000000</v>
      </c>
      <c r="H201" s="3">
        <v>13400000000</v>
      </c>
      <c r="I201" s="2"/>
      <c r="J201" s="7">
        <f t="shared" si="66"/>
        <v>0.15</v>
      </c>
      <c r="K201" s="7">
        <f t="shared" si="67"/>
        <v>10.38</v>
      </c>
      <c r="L201" s="7">
        <f t="shared" si="68"/>
        <v>137</v>
      </c>
      <c r="M201" s="7">
        <f t="shared" si="69"/>
        <v>129</v>
      </c>
      <c r="O201">
        <f t="shared" si="70"/>
        <v>8.9651162790697667E-2</v>
      </c>
      <c r="P201">
        <f t="shared" si="71"/>
        <v>89.651162790697668</v>
      </c>
      <c r="V201">
        <f t="shared" si="72"/>
        <v>468.44737613998285</v>
      </c>
      <c r="W201">
        <f t="shared" si="73"/>
        <v>137.68889161357137</v>
      </c>
      <c r="AE201">
        <f t="shared" si="57"/>
        <v>0.43746963243945075</v>
      </c>
      <c r="AF201">
        <f t="shared" si="58"/>
        <v>0.42398773672663587</v>
      </c>
      <c r="AG201">
        <f t="shared" si="59"/>
        <v>0.42507753915871671</v>
      </c>
      <c r="AI201">
        <f t="shared" si="60"/>
        <v>0.14286705948360995</v>
      </c>
      <c r="AJ201">
        <f t="shared" si="61"/>
        <v>17.264421287446094</v>
      </c>
      <c r="AL201">
        <f t="shared" si="62"/>
        <v>0.14740992388724816</v>
      </c>
      <c r="AM201">
        <f t="shared" si="63"/>
        <v>18.379820126682802</v>
      </c>
      <c r="AO201">
        <f t="shared" si="64"/>
        <v>0.1470319982648238</v>
      </c>
      <c r="AP201">
        <f t="shared" si="65"/>
        <v>18.285697552962041</v>
      </c>
    </row>
    <row r="202" spans="1:42" x14ac:dyDescent="0.2">
      <c r="A202" s="3">
        <v>200</v>
      </c>
      <c r="B202" s="3">
        <v>1.5099999999999999E-7</v>
      </c>
      <c r="C202" s="2">
        <v>1.043E-2</v>
      </c>
      <c r="D202" s="3">
        <v>117000</v>
      </c>
      <c r="E202" s="3">
        <v>128000000000</v>
      </c>
      <c r="F202" s="3">
        <v>115000000000</v>
      </c>
      <c r="G202" s="3">
        <v>632000000</v>
      </c>
      <c r="H202" s="3">
        <v>14400000000</v>
      </c>
      <c r="I202" s="2"/>
      <c r="J202" s="7">
        <f t="shared" si="66"/>
        <v>0.151</v>
      </c>
      <c r="K202" s="7">
        <f t="shared" si="67"/>
        <v>10.43</v>
      </c>
      <c r="L202" s="7">
        <f t="shared" si="68"/>
        <v>128</v>
      </c>
      <c r="M202" s="7">
        <f t="shared" si="69"/>
        <v>117</v>
      </c>
      <c r="O202">
        <f t="shared" si="70"/>
        <v>8.414102564102563E-2</v>
      </c>
      <c r="P202">
        <f t="shared" si="71"/>
        <v>84.141025641025635</v>
      </c>
      <c r="V202">
        <f t="shared" si="72"/>
        <v>455.4665006073065</v>
      </c>
      <c r="W202">
        <f t="shared" si="73"/>
        <v>128.4397423784136</v>
      </c>
      <c r="AE202">
        <f t="shared" si="57"/>
        <v>0.39677478291019952</v>
      </c>
      <c r="AF202">
        <f t="shared" si="58"/>
        <v>0.38454701703113486</v>
      </c>
      <c r="AG202">
        <f t="shared" si="59"/>
        <v>0.38553544249278959</v>
      </c>
      <c r="AI202">
        <f t="shared" si="60"/>
        <v>0.15857022516702213</v>
      </c>
      <c r="AJ202">
        <f t="shared" si="61"/>
        <v>21.088547935700959</v>
      </c>
      <c r="AL202">
        <f t="shared" si="62"/>
        <v>0.16361241637605167</v>
      </c>
      <c r="AM202">
        <f t="shared" si="63"/>
        <v>22.451011321935209</v>
      </c>
      <c r="AO202">
        <f t="shared" si="64"/>
        <v>0.16319295123649585</v>
      </c>
      <c r="AP202">
        <f t="shared" si="65"/>
        <v>22.336040285565449</v>
      </c>
    </row>
    <row r="203" spans="1:42" x14ac:dyDescent="0.2">
      <c r="A203" s="3">
        <v>200</v>
      </c>
      <c r="B203" s="3">
        <v>1.5200000000000001E-7</v>
      </c>
      <c r="C203" s="2">
        <v>1.048E-2</v>
      </c>
      <c r="D203" s="3">
        <v>168000</v>
      </c>
      <c r="E203" s="3">
        <v>168000000000</v>
      </c>
      <c r="F203" s="3">
        <v>145000000000</v>
      </c>
      <c r="G203" s="2">
        <v>0</v>
      </c>
      <c r="H203" s="3">
        <v>11300000000</v>
      </c>
      <c r="I203" s="2"/>
      <c r="J203" s="7">
        <f t="shared" si="66"/>
        <v>0.15200000000000002</v>
      </c>
      <c r="K203" s="7">
        <f t="shared" si="67"/>
        <v>10.48</v>
      </c>
      <c r="L203" s="7">
        <f t="shared" si="68"/>
        <v>168</v>
      </c>
      <c r="M203" s="7">
        <f t="shared" si="69"/>
        <v>168</v>
      </c>
      <c r="O203">
        <f t="shared" si="70"/>
        <v>0.10521428571428573</v>
      </c>
      <c r="P203">
        <f t="shared" si="71"/>
        <v>105.21428571428574</v>
      </c>
      <c r="V203">
        <f t="shared" si="72"/>
        <v>502.87381545212071</v>
      </c>
      <c r="W203">
        <f t="shared" si="73"/>
        <v>167.03991621531893</v>
      </c>
      <c r="AE203">
        <f t="shared" si="57"/>
        <v>0.56972789340951724</v>
      </c>
      <c r="AF203">
        <f t="shared" si="58"/>
        <v>0.55217007573701415</v>
      </c>
      <c r="AG203">
        <f t="shared" si="59"/>
        <v>0.55358935332297987</v>
      </c>
      <c r="AI203">
        <f t="shared" si="60"/>
        <v>0.11116417866486607</v>
      </c>
      <c r="AJ203">
        <f t="shared" si="61"/>
        <v>10.277247404309469</v>
      </c>
      <c r="AL203">
        <f t="shared" si="62"/>
        <v>0.1146989598246493</v>
      </c>
      <c r="AM203">
        <f t="shared" si="63"/>
        <v>10.941227368332402</v>
      </c>
      <c r="AO203">
        <f t="shared" si="64"/>
        <v>0.11440489769748673</v>
      </c>
      <c r="AP203">
        <f t="shared" si="65"/>
        <v>10.88519763178039</v>
      </c>
    </row>
    <row r="204" spans="1:42" x14ac:dyDescent="0.2">
      <c r="A204" s="3">
        <v>200</v>
      </c>
      <c r="B204" s="3">
        <v>1.5300000000000001E-7</v>
      </c>
      <c r="C204" s="2">
        <v>1.0529999999999999E-2</v>
      </c>
      <c r="D204" s="3">
        <v>122000</v>
      </c>
      <c r="E204" s="3">
        <v>131000000000</v>
      </c>
      <c r="F204" s="3">
        <v>116000000000</v>
      </c>
      <c r="G204" s="2">
        <v>0</v>
      </c>
      <c r="H204" s="3">
        <v>13900000000</v>
      </c>
      <c r="I204" s="2"/>
      <c r="J204" s="7">
        <f t="shared" si="66"/>
        <v>0.153</v>
      </c>
      <c r="K204" s="7">
        <f t="shared" si="67"/>
        <v>10.53</v>
      </c>
      <c r="L204" s="7">
        <f t="shared" si="68"/>
        <v>131</v>
      </c>
      <c r="M204" s="7">
        <f t="shared" si="69"/>
        <v>122</v>
      </c>
      <c r="O204">
        <f t="shared" si="70"/>
        <v>8.8266393442622951E-2</v>
      </c>
      <c r="P204">
        <f t="shared" si="71"/>
        <v>88.266393442622956</v>
      </c>
      <c r="V204">
        <f t="shared" si="72"/>
        <v>465.22790246441002</v>
      </c>
      <c r="W204">
        <f t="shared" si="73"/>
        <v>131.11853282417107</v>
      </c>
      <c r="AE204">
        <f t="shared" si="57"/>
        <v>0.41373097021405419</v>
      </c>
      <c r="AF204">
        <f t="shared" si="58"/>
        <v>0.40098065023759361</v>
      </c>
      <c r="AG204">
        <f t="shared" si="59"/>
        <v>0.40201131610359253</v>
      </c>
      <c r="AI204">
        <f t="shared" si="60"/>
        <v>0.15408563677748691</v>
      </c>
      <c r="AJ204">
        <f t="shared" si="61"/>
        <v>19.581357752395217</v>
      </c>
      <c r="AL204">
        <f t="shared" si="62"/>
        <v>0.1589852277465911</v>
      </c>
      <c r="AM204">
        <f t="shared" si="63"/>
        <v>20.846446419084675</v>
      </c>
      <c r="AO204">
        <f t="shared" si="64"/>
        <v>0.15857762566955341</v>
      </c>
      <c r="AP204">
        <f t="shared" si="65"/>
        <v>20.739692317228823</v>
      </c>
    </row>
    <row r="205" spans="1:42" x14ac:dyDescent="0.2">
      <c r="A205" s="3">
        <v>200</v>
      </c>
      <c r="B205" s="3">
        <v>1.54E-7</v>
      </c>
      <c r="C205" s="2">
        <v>1.0580000000000001E-2</v>
      </c>
      <c r="D205" s="3">
        <v>124000</v>
      </c>
      <c r="E205" s="3">
        <v>131000000000</v>
      </c>
      <c r="F205" s="3">
        <v>117000000000</v>
      </c>
      <c r="G205" s="2">
        <v>0</v>
      </c>
      <c r="H205" s="3">
        <v>13700000000</v>
      </c>
      <c r="I205" s="2"/>
      <c r="J205" s="7">
        <f t="shared" si="66"/>
        <v>0.154</v>
      </c>
      <c r="K205" s="7">
        <f t="shared" si="67"/>
        <v>10.58</v>
      </c>
      <c r="L205" s="7">
        <f t="shared" si="68"/>
        <v>131</v>
      </c>
      <c r="M205" s="7">
        <f t="shared" si="69"/>
        <v>124</v>
      </c>
      <c r="O205">
        <f t="shared" si="70"/>
        <v>9.0008064516129027E-2</v>
      </c>
      <c r="P205">
        <f t="shared" si="71"/>
        <v>90.008064516129025</v>
      </c>
      <c r="V205">
        <f t="shared" si="72"/>
        <v>469.2726462220229</v>
      </c>
      <c r="W205">
        <f t="shared" si="73"/>
        <v>132.11935641070048</v>
      </c>
      <c r="AE205">
        <f t="shared" si="57"/>
        <v>0.42051344513559608</v>
      </c>
      <c r="AF205">
        <f t="shared" si="58"/>
        <v>0.40755410352017712</v>
      </c>
      <c r="AG205">
        <f t="shared" si="59"/>
        <v>0.40860166554791372</v>
      </c>
      <c r="AI205">
        <f t="shared" si="60"/>
        <v>0.15259123675813957</v>
      </c>
      <c r="AJ205">
        <f t="shared" si="61"/>
        <v>19.044798831560247</v>
      </c>
      <c r="AL205">
        <f t="shared" si="62"/>
        <v>0.15744330902925116</v>
      </c>
      <c r="AM205">
        <f t="shared" si="63"/>
        <v>20.275222148770741</v>
      </c>
      <c r="AO205">
        <f t="shared" si="64"/>
        <v>0.15703966008220374</v>
      </c>
      <c r="AP205">
        <f t="shared" si="65"/>
        <v>20.171393271325311</v>
      </c>
    </row>
    <row r="206" spans="1:42" x14ac:dyDescent="0.2">
      <c r="A206" s="3">
        <v>200</v>
      </c>
      <c r="B206" s="3">
        <v>1.55E-7</v>
      </c>
      <c r="C206" s="2">
        <v>1.0630000000000001E-2</v>
      </c>
      <c r="D206" s="3">
        <v>136000</v>
      </c>
      <c r="E206" s="3">
        <v>140000000000</v>
      </c>
      <c r="F206" s="3">
        <v>124000000000</v>
      </c>
      <c r="G206" s="2">
        <v>0</v>
      </c>
      <c r="H206" s="3">
        <v>12800000000</v>
      </c>
      <c r="I206" s="2"/>
      <c r="J206" s="7">
        <f t="shared" si="66"/>
        <v>0.155</v>
      </c>
      <c r="K206" s="7">
        <f t="shared" si="67"/>
        <v>10.63</v>
      </c>
      <c r="L206" s="7">
        <f t="shared" si="68"/>
        <v>140</v>
      </c>
      <c r="M206" s="7">
        <f t="shared" si="69"/>
        <v>136</v>
      </c>
      <c r="O206">
        <f t="shared" si="70"/>
        <v>9.6378676470588232E-2</v>
      </c>
      <c r="P206">
        <f t="shared" si="71"/>
        <v>96.378676470588232</v>
      </c>
      <c r="V206">
        <f t="shared" si="72"/>
        <v>483.70739616821601</v>
      </c>
      <c r="W206">
        <f t="shared" si="73"/>
        <v>140.5808563992932</v>
      </c>
      <c r="AE206">
        <f t="shared" si="57"/>
        <v>0.46120829466484731</v>
      </c>
      <c r="AF206">
        <f t="shared" si="58"/>
        <v>0.44699482321567813</v>
      </c>
      <c r="AG206">
        <f t="shared" si="59"/>
        <v>0.44814376221384089</v>
      </c>
      <c r="AI206">
        <f t="shared" si="60"/>
        <v>0.14003072815562653</v>
      </c>
      <c r="AJ206">
        <f t="shared" si="61"/>
        <v>15.907046111672274</v>
      </c>
      <c r="AL206">
        <f t="shared" si="62"/>
        <v>0.14448340333948662</v>
      </c>
      <c r="AM206">
        <f t="shared" si="63"/>
        <v>16.934749298082913</v>
      </c>
      <c r="AO206">
        <f t="shared" si="64"/>
        <v>0.14411298065221331</v>
      </c>
      <c r="AP206">
        <f t="shared" si="65"/>
        <v>16.848026893931774</v>
      </c>
    </row>
    <row r="207" spans="1:42" x14ac:dyDescent="0.2">
      <c r="A207" s="3">
        <v>210</v>
      </c>
      <c r="B207" s="3">
        <v>1.55E-7</v>
      </c>
      <c r="C207" s="2">
        <v>1.069E-2</v>
      </c>
      <c r="D207" s="3">
        <v>126000</v>
      </c>
      <c r="E207" s="3">
        <v>132000000000</v>
      </c>
      <c r="F207" s="3">
        <v>118000000000</v>
      </c>
      <c r="G207" s="3">
        <v>12600000000</v>
      </c>
      <c r="H207" s="3">
        <v>13500000000</v>
      </c>
      <c r="I207" s="2"/>
      <c r="J207" s="7">
        <f t="shared" si="66"/>
        <v>0.155</v>
      </c>
      <c r="K207" s="7">
        <f t="shared" si="67"/>
        <v>10.69</v>
      </c>
      <c r="L207" s="7">
        <f t="shared" si="68"/>
        <v>132</v>
      </c>
      <c r="M207" s="7">
        <f t="shared" si="69"/>
        <v>126</v>
      </c>
      <c r="O207">
        <f t="shared" si="70"/>
        <v>9.1369047619047614E-2</v>
      </c>
      <c r="P207">
        <f t="shared" si="71"/>
        <v>91.36904761904762</v>
      </c>
      <c r="V207">
        <f t="shared" si="72"/>
        <v>472.40305822505223</v>
      </c>
      <c r="W207">
        <f t="shared" si="73"/>
        <v>133.36069465068297</v>
      </c>
      <c r="AE207">
        <f t="shared" si="57"/>
        <v>0.4272959200571379</v>
      </c>
      <c r="AF207">
        <f t="shared" si="58"/>
        <v>0.41412755680276064</v>
      </c>
      <c r="AG207">
        <f t="shared" si="59"/>
        <v>0.4151920149922349</v>
      </c>
      <c r="AI207">
        <f t="shared" si="60"/>
        <v>0.15114427800924771</v>
      </c>
      <c r="AJ207">
        <f t="shared" si="61"/>
        <v>18.636772646661278</v>
      </c>
      <c r="AL207">
        <f t="shared" si="62"/>
        <v>0.15595034011246173</v>
      </c>
      <c r="AM207">
        <f t="shared" si="63"/>
        <v>19.840834701861468</v>
      </c>
      <c r="AO207">
        <f t="shared" si="64"/>
        <v>0.15555051879921439</v>
      </c>
      <c r="AP207">
        <f t="shared" si="65"/>
        <v>19.739230311065704</v>
      </c>
    </row>
    <row r="208" spans="1:42" x14ac:dyDescent="0.2">
      <c r="A208" s="3">
        <v>210</v>
      </c>
      <c r="B208" s="3">
        <v>1.5599999999999999E-7</v>
      </c>
      <c r="C208" s="2">
        <v>1.074E-2</v>
      </c>
      <c r="D208" s="3">
        <v>137000</v>
      </c>
      <c r="E208" s="3">
        <v>140000000000</v>
      </c>
      <c r="F208" s="3">
        <v>124000000000</v>
      </c>
      <c r="G208" s="3">
        <v>11500000000</v>
      </c>
      <c r="H208" s="3">
        <v>12800000000</v>
      </c>
      <c r="I208" s="2"/>
      <c r="J208" s="7">
        <f t="shared" si="66"/>
        <v>0.156</v>
      </c>
      <c r="K208" s="7">
        <f t="shared" si="67"/>
        <v>10.74</v>
      </c>
      <c r="L208" s="7">
        <f t="shared" si="68"/>
        <v>140</v>
      </c>
      <c r="M208" s="7">
        <f t="shared" si="69"/>
        <v>137</v>
      </c>
      <c r="O208">
        <f t="shared" si="70"/>
        <v>9.7204379562043794E-2</v>
      </c>
      <c r="P208">
        <f t="shared" si="71"/>
        <v>97.204379562043798</v>
      </c>
      <c r="V208">
        <f t="shared" si="72"/>
        <v>485.53893522588277</v>
      </c>
      <c r="W208">
        <f t="shared" si="73"/>
        <v>141.08034398545686</v>
      </c>
      <c r="AE208">
        <f t="shared" ref="AE208:AE271" si="74">M208/(2*$Y$5)</f>
        <v>0.46459953212561822</v>
      </c>
      <c r="AF208">
        <f t="shared" ref="AF208:AF271" si="75">M208/(2*$Y$8)</f>
        <v>0.45028154985696989</v>
      </c>
      <c r="AG208">
        <f t="shared" ref="AG208:AG271" si="76">M208/(2*$Y$11)</f>
        <v>0.45143893693600146</v>
      </c>
      <c r="AI208">
        <f t="shared" ref="AI208:AI271" si="77">J208/(2.4*AE208)</f>
        <v>0.13990543576876727</v>
      </c>
      <c r="AJ208">
        <f t="shared" ref="AJ208:AJ271" si="78">K208/(3.14159*(AE208^2))</f>
        <v>15.837886972444689</v>
      </c>
      <c r="AL208">
        <f t="shared" ref="AL208:AL271" si="79">J208/(2.4*AF208)</f>
        <v>0.14435412692491398</v>
      </c>
      <c r="AM208">
        <f t="shared" ref="AM208:AM271" si="80">K208/(3.14159*(AF208^2))</f>
        <v>16.861122008876091</v>
      </c>
      <c r="AO208">
        <f t="shared" ref="AO208:AO271" si="81">J208/(2.4*AG208)</f>
        <v>0.14398403567305665</v>
      </c>
      <c r="AP208">
        <f t="shared" ref="AP208:AP271" si="82">K208/(3.14159*(AG208^2))</f>
        <v>16.774776648129542</v>
      </c>
    </row>
    <row r="209" spans="1:42" x14ac:dyDescent="0.2">
      <c r="A209" s="3">
        <v>210</v>
      </c>
      <c r="B209" s="3">
        <v>1.5599999999999999E-7</v>
      </c>
      <c r="C209" s="2">
        <v>1.0789999999999999E-2</v>
      </c>
      <c r="D209" s="3">
        <v>125000</v>
      </c>
      <c r="E209" s="3">
        <v>131000000000</v>
      </c>
      <c r="F209" s="3">
        <v>117000000000</v>
      </c>
      <c r="G209" s="3">
        <v>1650000000</v>
      </c>
      <c r="H209" s="3">
        <v>13600000000</v>
      </c>
      <c r="I209" s="2"/>
      <c r="J209" s="7">
        <f t="shared" si="66"/>
        <v>0.156</v>
      </c>
      <c r="K209" s="7">
        <f t="shared" si="67"/>
        <v>10.79</v>
      </c>
      <c r="L209" s="7">
        <f t="shared" si="68"/>
        <v>131</v>
      </c>
      <c r="M209" s="7">
        <f t="shared" si="69"/>
        <v>125</v>
      </c>
      <c r="O209">
        <f t="shared" si="70"/>
        <v>9.1260000000000008E-2</v>
      </c>
      <c r="P209">
        <f t="shared" si="71"/>
        <v>91.26</v>
      </c>
      <c r="V209">
        <f t="shared" si="72"/>
        <v>472.15319776441993</v>
      </c>
      <c r="W209">
        <f t="shared" si="73"/>
        <v>132.37228995997242</v>
      </c>
      <c r="AE209">
        <f t="shared" si="74"/>
        <v>0.42390468259636699</v>
      </c>
      <c r="AF209">
        <f t="shared" si="75"/>
        <v>0.41084083016146888</v>
      </c>
      <c r="AG209">
        <f t="shared" si="76"/>
        <v>0.41189684027007434</v>
      </c>
      <c r="AI209">
        <f t="shared" si="77"/>
        <v>0.15333635760256892</v>
      </c>
      <c r="AJ209">
        <f t="shared" si="78"/>
        <v>19.113292712527002</v>
      </c>
      <c r="AL209">
        <f t="shared" si="79"/>
        <v>0.1582121231097057</v>
      </c>
      <c r="AM209">
        <f t="shared" si="80"/>
        <v>20.348141199516029</v>
      </c>
      <c r="AO209">
        <f t="shared" si="81"/>
        <v>0.15780650309767008</v>
      </c>
      <c r="AP209">
        <f t="shared" si="82"/>
        <v>20.243938905536478</v>
      </c>
    </row>
    <row r="210" spans="1:42" x14ac:dyDescent="0.2">
      <c r="A210" s="3">
        <v>210</v>
      </c>
      <c r="B210" s="3">
        <v>1.5699999999999999E-7</v>
      </c>
      <c r="C210" s="2">
        <v>1.0840000000000001E-2</v>
      </c>
      <c r="D210" s="3">
        <v>138000</v>
      </c>
      <c r="E210" s="3">
        <v>140000000000</v>
      </c>
      <c r="F210" s="3">
        <v>124000000000</v>
      </c>
      <c r="G210" s="3">
        <v>6730000000</v>
      </c>
      <c r="H210" s="3">
        <v>12700000000</v>
      </c>
      <c r="I210" s="2"/>
      <c r="J210" s="7">
        <f t="shared" si="66"/>
        <v>0.157</v>
      </c>
      <c r="K210" s="7">
        <f t="shared" si="67"/>
        <v>10.84</v>
      </c>
      <c r="L210" s="7">
        <f t="shared" si="68"/>
        <v>140</v>
      </c>
      <c r="M210" s="7">
        <f t="shared" si="69"/>
        <v>138</v>
      </c>
      <c r="O210">
        <f t="shared" si="70"/>
        <v>9.8086956521739127E-2</v>
      </c>
      <c r="P210">
        <f t="shared" si="71"/>
        <v>98.086956521739125</v>
      </c>
      <c r="V210">
        <f t="shared" si="72"/>
        <v>487.48707344777824</v>
      </c>
      <c r="W210">
        <f t="shared" si="73"/>
        <v>141.54221467247086</v>
      </c>
      <c r="AE210">
        <f t="shared" si="74"/>
        <v>0.46799076958638913</v>
      </c>
      <c r="AF210">
        <f t="shared" si="75"/>
        <v>0.45356827649826165</v>
      </c>
      <c r="AG210">
        <f t="shared" si="76"/>
        <v>0.45473411165816208</v>
      </c>
      <c r="AI210">
        <f t="shared" si="77"/>
        <v>0.13978195921360159</v>
      </c>
      <c r="AJ210">
        <f t="shared" si="78"/>
        <v>15.75452093471195</v>
      </c>
      <c r="AL210">
        <f t="shared" si="79"/>
        <v>0.144226724081567</v>
      </c>
      <c r="AM210">
        <f t="shared" si="80"/>
        <v>16.772369959056949</v>
      </c>
      <c r="AO210">
        <f t="shared" si="81"/>
        <v>0.14385695946171384</v>
      </c>
      <c r="AP210">
        <f t="shared" si="82"/>
        <v>16.686479095214853</v>
      </c>
    </row>
    <row r="211" spans="1:42" x14ac:dyDescent="0.2">
      <c r="A211" s="3">
        <v>210</v>
      </c>
      <c r="B211" s="3">
        <v>1.5699999999999999E-7</v>
      </c>
      <c r="C211" s="2">
        <v>1.09E-2</v>
      </c>
      <c r="D211" s="3">
        <v>115000</v>
      </c>
      <c r="E211" s="3">
        <v>124000000000</v>
      </c>
      <c r="F211" s="3">
        <v>111000000000</v>
      </c>
      <c r="G211" s="2">
        <v>0</v>
      </c>
      <c r="H211" s="3">
        <v>14800000000</v>
      </c>
      <c r="I211" s="2"/>
      <c r="J211" s="7">
        <f t="shared" si="66"/>
        <v>0.157</v>
      </c>
      <c r="K211" s="7">
        <f t="shared" si="67"/>
        <v>10.9</v>
      </c>
      <c r="L211" s="7">
        <f t="shared" si="68"/>
        <v>124.00000000000001</v>
      </c>
      <c r="M211" s="7">
        <f t="shared" si="69"/>
        <v>115</v>
      </c>
      <c r="O211">
        <f t="shared" si="70"/>
        <v>8.591304347826087E-2</v>
      </c>
      <c r="P211">
        <f t="shared" si="71"/>
        <v>85.913043478260875</v>
      </c>
      <c r="V211">
        <f t="shared" si="72"/>
        <v>459.69136764851629</v>
      </c>
      <c r="W211">
        <f t="shared" si="73"/>
        <v>125.08392379463814</v>
      </c>
      <c r="AE211">
        <f t="shared" si="74"/>
        <v>0.38999230798865764</v>
      </c>
      <c r="AF211">
        <f t="shared" si="75"/>
        <v>0.3779735637485514</v>
      </c>
      <c r="AG211">
        <f t="shared" si="76"/>
        <v>0.37894509304846841</v>
      </c>
      <c r="AI211">
        <f t="shared" si="77"/>
        <v>0.1677383510563219</v>
      </c>
      <c r="AJ211">
        <f t="shared" si="78"/>
        <v>22.812081235354132</v>
      </c>
      <c r="AL211">
        <f t="shared" si="79"/>
        <v>0.17307206889788038</v>
      </c>
      <c r="AM211">
        <f t="shared" si="80"/>
        <v>24.285896575402017</v>
      </c>
      <c r="AO211">
        <f t="shared" si="81"/>
        <v>0.17262835135405658</v>
      </c>
      <c r="AP211">
        <f t="shared" si="82"/>
        <v>24.161529140082315</v>
      </c>
    </row>
    <row r="212" spans="1:42" x14ac:dyDescent="0.2">
      <c r="A212" s="3">
        <v>210</v>
      </c>
      <c r="B212" s="3">
        <v>1.5800000000000001E-7</v>
      </c>
      <c r="C212" s="2">
        <v>1.095E-2</v>
      </c>
      <c r="D212" s="3">
        <v>152000</v>
      </c>
      <c r="E212" s="3">
        <v>151000000000</v>
      </c>
      <c r="F212" s="3">
        <v>132000000000</v>
      </c>
      <c r="G212" s="2">
        <v>0</v>
      </c>
      <c r="H212" s="3">
        <v>12000000000</v>
      </c>
      <c r="I212" s="2"/>
      <c r="J212" s="7">
        <f t="shared" si="66"/>
        <v>0.158</v>
      </c>
      <c r="K212" s="7">
        <f t="shared" si="67"/>
        <v>10.95</v>
      </c>
      <c r="L212" s="7">
        <f t="shared" si="68"/>
        <v>151</v>
      </c>
      <c r="M212" s="7">
        <f t="shared" si="69"/>
        <v>152</v>
      </c>
      <c r="O212">
        <f t="shared" si="70"/>
        <v>0.10397039473684211</v>
      </c>
      <c r="P212">
        <f t="shared" si="71"/>
        <v>103.97039473684211</v>
      </c>
      <c r="V212">
        <f t="shared" si="72"/>
        <v>500.23124660600774</v>
      </c>
      <c r="W212">
        <f t="shared" si="73"/>
        <v>151.92973352953928</v>
      </c>
      <c r="AE212">
        <f t="shared" si="74"/>
        <v>0.5154680940371823</v>
      </c>
      <c r="AF212">
        <f t="shared" si="75"/>
        <v>0.49958244947634617</v>
      </c>
      <c r="AG212">
        <f t="shared" si="76"/>
        <v>0.50086655776841038</v>
      </c>
      <c r="AI212">
        <f t="shared" si="77"/>
        <v>0.12771563185942714</v>
      </c>
      <c r="AJ212">
        <f t="shared" si="78"/>
        <v>13.117800916939849</v>
      </c>
      <c r="AL212">
        <f t="shared" si="79"/>
        <v>0.13177671353815315</v>
      </c>
      <c r="AM212">
        <f t="shared" si="80"/>
        <v>13.96529992501447</v>
      </c>
      <c r="AO212">
        <f t="shared" si="81"/>
        <v>0.13143886792252801</v>
      </c>
      <c r="AP212">
        <f t="shared" si="82"/>
        <v>13.893783992722161</v>
      </c>
    </row>
    <row r="213" spans="1:42" x14ac:dyDescent="0.2">
      <c r="A213" s="3">
        <v>210</v>
      </c>
      <c r="B213" s="3">
        <v>1.5800000000000001E-7</v>
      </c>
      <c r="C213" s="2">
        <v>1.0999999999999999E-2</v>
      </c>
      <c r="D213" s="3">
        <v>149000</v>
      </c>
      <c r="E213" s="3">
        <v>148000000000</v>
      </c>
      <c r="F213" s="3">
        <v>130000000000</v>
      </c>
      <c r="G213" s="3">
        <v>1810000000</v>
      </c>
      <c r="H213" s="3">
        <v>12200000000</v>
      </c>
      <c r="I213" s="2"/>
      <c r="J213" s="7">
        <f t="shared" si="66"/>
        <v>0.158</v>
      </c>
      <c r="K213" s="7">
        <f t="shared" si="67"/>
        <v>11</v>
      </c>
      <c r="L213" s="7">
        <f t="shared" si="68"/>
        <v>148</v>
      </c>
      <c r="M213" s="7">
        <f t="shared" si="69"/>
        <v>149</v>
      </c>
      <c r="O213">
        <f t="shared" si="70"/>
        <v>0.10263087248322147</v>
      </c>
      <c r="P213">
        <f t="shared" si="71"/>
        <v>102.63087248322148</v>
      </c>
      <c r="V213">
        <f t="shared" si="72"/>
        <v>497.36574729916538</v>
      </c>
      <c r="W213">
        <f t="shared" si="73"/>
        <v>149.78916502504597</v>
      </c>
      <c r="AE213">
        <f t="shared" si="74"/>
        <v>0.50529438165486951</v>
      </c>
      <c r="AF213">
        <f t="shared" si="75"/>
        <v>0.48972226955247089</v>
      </c>
      <c r="AG213">
        <f t="shared" si="76"/>
        <v>0.49098103360192863</v>
      </c>
      <c r="AI213">
        <f t="shared" si="77"/>
        <v>0.13028708753444915</v>
      </c>
      <c r="AJ213">
        <f t="shared" si="78"/>
        <v>13.713687240772861</v>
      </c>
      <c r="AL213">
        <f t="shared" si="79"/>
        <v>0.13442993595838443</v>
      </c>
      <c r="AM213">
        <f t="shared" si="80"/>
        <v>14.59968455138854</v>
      </c>
      <c r="AO213">
        <f t="shared" si="81"/>
        <v>0.13408528808204198</v>
      </c>
      <c r="AP213">
        <f t="shared" si="82"/>
        <v>14.524919952169585</v>
      </c>
    </row>
    <row r="214" spans="1:42" x14ac:dyDescent="0.2">
      <c r="A214" s="3">
        <v>210</v>
      </c>
      <c r="B214" s="3">
        <v>1.5900000000000001E-7</v>
      </c>
      <c r="C214" s="2">
        <v>1.1050000000000001E-2</v>
      </c>
      <c r="D214" s="3">
        <v>133000</v>
      </c>
      <c r="E214" s="3">
        <v>136000000000</v>
      </c>
      <c r="F214" s="3">
        <v>121000000000</v>
      </c>
      <c r="G214" s="3">
        <v>18700000000</v>
      </c>
      <c r="H214" s="3">
        <v>13100000000</v>
      </c>
      <c r="I214" s="2"/>
      <c r="J214" s="7">
        <f t="shared" si="66"/>
        <v>0.159</v>
      </c>
      <c r="K214" s="7">
        <f t="shared" si="67"/>
        <v>11.05</v>
      </c>
      <c r="L214" s="7">
        <f t="shared" si="68"/>
        <v>136</v>
      </c>
      <c r="M214" s="7">
        <f t="shared" si="69"/>
        <v>133</v>
      </c>
      <c r="O214">
        <f t="shared" si="70"/>
        <v>9.6687969924812031E-2</v>
      </c>
      <c r="P214">
        <f t="shared" si="71"/>
        <v>96.687969924812037</v>
      </c>
      <c r="V214">
        <f t="shared" si="72"/>
        <v>484.39447753042384</v>
      </c>
      <c r="W214">
        <f t="shared" si="73"/>
        <v>137.28480212870153</v>
      </c>
      <c r="AE214">
        <f t="shared" si="74"/>
        <v>0.45103458228253446</v>
      </c>
      <c r="AF214">
        <f t="shared" si="75"/>
        <v>0.4371346432918029</v>
      </c>
      <c r="AG214">
        <f t="shared" si="76"/>
        <v>0.43825823804735908</v>
      </c>
      <c r="AI214">
        <f t="shared" si="77"/>
        <v>0.14688452416382577</v>
      </c>
      <c r="AJ214">
        <f t="shared" si="78"/>
        <v>17.289924160767615</v>
      </c>
      <c r="AL214">
        <f t="shared" si="79"/>
        <v>0.15155513528076925</v>
      </c>
      <c r="AM214">
        <f t="shared" si="80"/>
        <v>18.406970658783401</v>
      </c>
      <c r="AO214">
        <f t="shared" si="81"/>
        <v>0.15116658227618052</v>
      </c>
      <c r="AP214">
        <f t="shared" si="82"/>
        <v>18.312709047904413</v>
      </c>
    </row>
    <row r="215" spans="1:42" x14ac:dyDescent="0.2">
      <c r="A215" s="3">
        <v>210</v>
      </c>
      <c r="B215" s="3">
        <v>1.6E-7</v>
      </c>
      <c r="C215" s="2">
        <v>1.111E-2</v>
      </c>
      <c r="D215" s="3">
        <v>153000</v>
      </c>
      <c r="E215" s="3">
        <v>151000000000</v>
      </c>
      <c r="F215" s="3">
        <v>132000000000</v>
      </c>
      <c r="G215" s="3">
        <v>16600000000</v>
      </c>
      <c r="H215" s="3">
        <v>12000000000</v>
      </c>
      <c r="I215" s="2"/>
      <c r="J215" s="7">
        <f t="shared" si="66"/>
        <v>0.16</v>
      </c>
      <c r="K215" s="7">
        <f t="shared" si="67"/>
        <v>11.11</v>
      </c>
      <c r="L215" s="7">
        <f t="shared" si="68"/>
        <v>151</v>
      </c>
      <c r="M215" s="7">
        <f t="shared" si="69"/>
        <v>153</v>
      </c>
      <c r="O215">
        <f t="shared" si="70"/>
        <v>0.10553921568627452</v>
      </c>
      <c r="P215">
        <f t="shared" si="71"/>
        <v>105.53921568627452</v>
      </c>
      <c r="V215">
        <f t="shared" si="72"/>
        <v>503.56123889527458</v>
      </c>
      <c r="W215">
        <f t="shared" si="73"/>
        <v>151.91796764943155</v>
      </c>
      <c r="AE215">
        <f t="shared" si="74"/>
        <v>0.51885933149795316</v>
      </c>
      <c r="AF215">
        <f t="shared" si="75"/>
        <v>0.50286917611763793</v>
      </c>
      <c r="AG215">
        <f t="shared" si="76"/>
        <v>0.50416173249057095</v>
      </c>
      <c r="AI215">
        <f t="shared" si="77"/>
        <v>0.12848697637218781</v>
      </c>
      <c r="AJ215">
        <f t="shared" si="78"/>
        <v>13.136065023568813</v>
      </c>
      <c r="AL215">
        <f t="shared" si="79"/>
        <v>0.13257258514304146</v>
      </c>
      <c r="AM215">
        <f t="shared" si="80"/>
        <v>13.984744016943512</v>
      </c>
      <c r="AO215">
        <f t="shared" si="81"/>
        <v>0.13223269909307031</v>
      </c>
      <c r="AP215">
        <f t="shared" si="82"/>
        <v>13.913128511969678</v>
      </c>
    </row>
    <row r="216" spans="1:42" x14ac:dyDescent="0.2">
      <c r="A216" s="3">
        <v>210</v>
      </c>
      <c r="B216" s="3">
        <v>1.6E-7</v>
      </c>
      <c r="C216" s="2">
        <v>1.115E-2</v>
      </c>
      <c r="D216" s="3">
        <v>130000</v>
      </c>
      <c r="E216" s="3">
        <v>133000000000</v>
      </c>
      <c r="F216" s="3">
        <v>118000000000</v>
      </c>
      <c r="G216" s="2">
        <v>0</v>
      </c>
      <c r="H216" s="3">
        <v>13400000000</v>
      </c>
      <c r="I216" s="2"/>
      <c r="J216" s="7">
        <f t="shared" si="66"/>
        <v>0.16</v>
      </c>
      <c r="K216" s="7">
        <f t="shared" si="67"/>
        <v>11.15</v>
      </c>
      <c r="L216" s="7">
        <f t="shared" si="68"/>
        <v>133</v>
      </c>
      <c r="M216" s="7">
        <f t="shared" si="69"/>
        <v>130</v>
      </c>
      <c r="O216">
        <f t="shared" si="70"/>
        <v>9.5673076923076916E-2</v>
      </c>
      <c r="P216">
        <f t="shared" si="71"/>
        <v>95.67307692307692</v>
      </c>
      <c r="V216">
        <f t="shared" si="72"/>
        <v>482.13532814846991</v>
      </c>
      <c r="W216">
        <f t="shared" si="73"/>
        <v>134.81692007432349</v>
      </c>
      <c r="AE216">
        <f t="shared" si="74"/>
        <v>0.44086086990022166</v>
      </c>
      <c r="AF216">
        <f t="shared" si="75"/>
        <v>0.42727446336792763</v>
      </c>
      <c r="AG216">
        <f t="shared" si="76"/>
        <v>0.42837271388087733</v>
      </c>
      <c r="AI216">
        <f t="shared" si="77"/>
        <v>0.15121928757649797</v>
      </c>
      <c r="AJ216">
        <f t="shared" si="78"/>
        <v>18.260903229269726</v>
      </c>
      <c r="AL216">
        <f t="shared" si="79"/>
        <v>0.15602773482219495</v>
      </c>
      <c r="AM216">
        <f t="shared" si="80"/>
        <v>19.440681567982534</v>
      </c>
      <c r="AO216">
        <f t="shared" si="81"/>
        <v>0.15562771508645964</v>
      </c>
      <c r="AP216">
        <f t="shared" si="82"/>
        <v>19.341126350823046</v>
      </c>
    </row>
    <row r="217" spans="1:42" x14ac:dyDescent="0.2">
      <c r="A217" s="3">
        <v>220</v>
      </c>
      <c r="B217" s="3">
        <v>1.61E-7</v>
      </c>
      <c r="C217" s="2">
        <v>1.1209999999999999E-2</v>
      </c>
      <c r="D217" s="3">
        <v>164000</v>
      </c>
      <c r="E217" s="3">
        <v>159000000000</v>
      </c>
      <c r="F217" s="3">
        <v>139000000000</v>
      </c>
      <c r="G217" s="3">
        <v>2230000000</v>
      </c>
      <c r="H217" s="3">
        <v>11600000000</v>
      </c>
      <c r="I217" s="2"/>
      <c r="J217" s="7">
        <f t="shared" si="66"/>
        <v>0.161</v>
      </c>
      <c r="K217" s="7">
        <f t="shared" si="67"/>
        <v>11.209999999999999</v>
      </c>
      <c r="L217" s="7">
        <f t="shared" si="68"/>
        <v>159</v>
      </c>
      <c r="M217" s="7">
        <f t="shared" si="69"/>
        <v>164</v>
      </c>
      <c r="O217">
        <f t="shared" si="70"/>
        <v>0.10973475609756099</v>
      </c>
      <c r="P217">
        <f t="shared" si="71"/>
        <v>109.73475609756099</v>
      </c>
      <c r="V217">
        <f t="shared" si="72"/>
        <v>512.33352200499746</v>
      </c>
      <c r="W217">
        <f t="shared" si="73"/>
        <v>160.05199050629395</v>
      </c>
      <c r="AE217">
        <f t="shared" si="74"/>
        <v>0.55616294356643348</v>
      </c>
      <c r="AF217">
        <f t="shared" si="75"/>
        <v>0.53902316917184723</v>
      </c>
      <c r="AG217">
        <f t="shared" si="76"/>
        <v>0.5404086544343375</v>
      </c>
      <c r="AI217">
        <f t="shared" si="77"/>
        <v>0.12061812839085756</v>
      </c>
      <c r="AJ217">
        <f t="shared" si="78"/>
        <v>11.53591397351139</v>
      </c>
      <c r="AL217">
        <f t="shared" si="79"/>
        <v>0.12445352476480717</v>
      </c>
      <c r="AM217">
        <f t="shared" si="80"/>
        <v>12.281212344152136</v>
      </c>
      <c r="AO217">
        <f t="shared" si="81"/>
        <v>0.12413445414480186</v>
      </c>
      <c r="AP217">
        <f t="shared" si="82"/>
        <v>12.218320579908779</v>
      </c>
    </row>
    <row r="218" spans="1:42" x14ac:dyDescent="0.2">
      <c r="A218" s="3">
        <v>220</v>
      </c>
      <c r="B218" s="3">
        <v>1.61E-7</v>
      </c>
      <c r="C218" s="2">
        <v>1.1259999999999999E-2</v>
      </c>
      <c r="D218" s="3">
        <v>123000</v>
      </c>
      <c r="E218" s="3">
        <v>128000000000</v>
      </c>
      <c r="F218" s="3">
        <v>114000000000</v>
      </c>
      <c r="G218" s="3">
        <v>2180000000</v>
      </c>
      <c r="H218" s="3">
        <v>14200000000</v>
      </c>
      <c r="I218" s="2"/>
      <c r="J218" s="7">
        <f t="shared" si="66"/>
        <v>0.161</v>
      </c>
      <c r="K218" s="7">
        <f t="shared" si="67"/>
        <v>11.26</v>
      </c>
      <c r="L218" s="7">
        <f t="shared" si="68"/>
        <v>128</v>
      </c>
      <c r="M218" s="7">
        <f t="shared" si="69"/>
        <v>123</v>
      </c>
      <c r="O218">
        <f t="shared" si="70"/>
        <v>9.2341463414634159E-2</v>
      </c>
      <c r="P218">
        <f t="shared" si="71"/>
        <v>92.341463414634163</v>
      </c>
      <c r="V218">
        <f t="shared" si="72"/>
        <v>474.62384523774938</v>
      </c>
      <c r="W218">
        <f t="shared" si="73"/>
        <v>129.57629629668799</v>
      </c>
      <c r="AE218">
        <f t="shared" si="74"/>
        <v>0.41712220767482511</v>
      </c>
      <c r="AF218">
        <f t="shared" si="75"/>
        <v>0.40426737687888536</v>
      </c>
      <c r="AG218">
        <f t="shared" si="76"/>
        <v>0.40530649082575315</v>
      </c>
      <c r="AI218">
        <f t="shared" si="77"/>
        <v>0.16082417118781009</v>
      </c>
      <c r="AJ218">
        <f t="shared" si="78"/>
        <v>20.599764708770067</v>
      </c>
      <c r="AL218">
        <f t="shared" si="79"/>
        <v>0.16593803301974294</v>
      </c>
      <c r="AM218">
        <f t="shared" si="80"/>
        <v>21.930649379744764</v>
      </c>
      <c r="AO218">
        <f t="shared" si="81"/>
        <v>0.16551260552640246</v>
      </c>
      <c r="AP218">
        <f t="shared" si="82"/>
        <v>21.818343103145658</v>
      </c>
    </row>
    <row r="219" spans="1:42" x14ac:dyDescent="0.2">
      <c r="A219" s="3">
        <v>220</v>
      </c>
      <c r="B219" s="3">
        <v>1.6199999999999999E-7</v>
      </c>
      <c r="C219" s="2">
        <v>1.1310000000000001E-2</v>
      </c>
      <c r="D219" s="3">
        <v>125000</v>
      </c>
      <c r="E219" s="3">
        <v>129000000000</v>
      </c>
      <c r="F219" s="3">
        <v>115000000000</v>
      </c>
      <c r="G219" s="2">
        <v>0</v>
      </c>
      <c r="H219" s="3">
        <v>14000000000</v>
      </c>
      <c r="I219" s="2"/>
      <c r="J219" s="7">
        <f t="shared" si="66"/>
        <v>0.16200000000000001</v>
      </c>
      <c r="K219" s="7">
        <f t="shared" si="67"/>
        <v>11.31</v>
      </c>
      <c r="L219" s="7">
        <f t="shared" si="68"/>
        <v>129</v>
      </c>
      <c r="M219" s="7">
        <f t="shared" si="69"/>
        <v>125</v>
      </c>
      <c r="O219">
        <f t="shared" si="70"/>
        <v>9.4140000000000001E-2</v>
      </c>
      <c r="P219">
        <f t="shared" si="71"/>
        <v>94.14</v>
      </c>
      <c r="V219">
        <f t="shared" si="72"/>
        <v>478.69724435175982</v>
      </c>
      <c r="W219">
        <f t="shared" si="73"/>
        <v>130.5626901709785</v>
      </c>
      <c r="AE219">
        <f t="shared" si="74"/>
        <v>0.42390468259636699</v>
      </c>
      <c r="AF219">
        <f t="shared" si="75"/>
        <v>0.41084083016146888</v>
      </c>
      <c r="AG219">
        <f t="shared" si="76"/>
        <v>0.41189684027007434</v>
      </c>
      <c r="AI219">
        <f t="shared" si="77"/>
        <v>0.15923390981805235</v>
      </c>
      <c r="AJ219">
        <f t="shared" si="78"/>
        <v>20.034415252889751</v>
      </c>
      <c r="AL219">
        <f t="shared" si="79"/>
        <v>0.16429720476777129</v>
      </c>
      <c r="AM219">
        <f t="shared" si="80"/>
        <v>21.328774510336078</v>
      </c>
      <c r="AO219">
        <f t="shared" si="81"/>
        <v>0.163875983986042</v>
      </c>
      <c r="AP219">
        <f t="shared" si="82"/>
        <v>21.219550419056311</v>
      </c>
    </row>
    <row r="220" spans="1:42" x14ac:dyDescent="0.2">
      <c r="A220" s="3">
        <v>220</v>
      </c>
      <c r="B220" s="3">
        <v>1.6199999999999999E-7</v>
      </c>
      <c r="C220" s="2">
        <v>1.137E-2</v>
      </c>
      <c r="D220" s="3">
        <v>118000</v>
      </c>
      <c r="E220" s="3">
        <v>124000000000</v>
      </c>
      <c r="F220" s="3">
        <v>111000000000</v>
      </c>
      <c r="G220" s="3">
        <v>13500000000</v>
      </c>
      <c r="H220" s="3">
        <v>14700000000</v>
      </c>
      <c r="I220" s="2"/>
      <c r="J220" s="7">
        <f t="shared" si="66"/>
        <v>0.16200000000000001</v>
      </c>
      <c r="K220" s="7">
        <f t="shared" si="67"/>
        <v>11.37</v>
      </c>
      <c r="L220" s="7">
        <f t="shared" si="68"/>
        <v>124.00000000000001</v>
      </c>
      <c r="M220" s="7">
        <f t="shared" si="69"/>
        <v>118</v>
      </c>
      <c r="O220">
        <f t="shared" si="70"/>
        <v>8.973305084745764E-2</v>
      </c>
      <c r="P220">
        <f t="shared" si="71"/>
        <v>89.733050847457633</v>
      </c>
      <c r="V220">
        <f t="shared" si="72"/>
        <v>468.63688885199105</v>
      </c>
      <c r="W220">
        <f t="shared" si="73"/>
        <v>125.897046100086</v>
      </c>
      <c r="AE220">
        <f t="shared" si="74"/>
        <v>0.40016602037097043</v>
      </c>
      <c r="AF220">
        <f t="shared" si="75"/>
        <v>0.38783374367242662</v>
      </c>
      <c r="AG220">
        <f t="shared" si="76"/>
        <v>0.38883061721495016</v>
      </c>
      <c r="AI220">
        <f t="shared" si="77"/>
        <v>0.16867998921403851</v>
      </c>
      <c r="AJ220">
        <f t="shared" si="78"/>
        <v>22.601150242983788</v>
      </c>
      <c r="AL220">
        <f t="shared" si="79"/>
        <v>0.17404364911840178</v>
      </c>
      <c r="AM220">
        <f t="shared" si="80"/>
        <v>24.061338008719645</v>
      </c>
      <c r="AO220">
        <f t="shared" si="81"/>
        <v>0.17359744066318011</v>
      </c>
      <c r="AP220">
        <f t="shared" si="82"/>
        <v>23.938120531892547</v>
      </c>
    </row>
    <row r="221" spans="1:42" x14ac:dyDescent="0.2">
      <c r="A221" s="3">
        <v>220</v>
      </c>
      <c r="B221" s="3">
        <v>1.6299999999999999E-7</v>
      </c>
      <c r="C221" s="2">
        <v>1.142E-2</v>
      </c>
      <c r="D221" s="3">
        <v>147000</v>
      </c>
      <c r="E221" s="3">
        <v>144000000000</v>
      </c>
      <c r="F221" s="3">
        <v>127000000000</v>
      </c>
      <c r="G221" s="2">
        <v>0</v>
      </c>
      <c r="H221" s="3">
        <v>12400000000</v>
      </c>
      <c r="I221" s="2"/>
      <c r="J221" s="7">
        <f t="shared" si="66"/>
        <v>0.16299999999999998</v>
      </c>
      <c r="K221" s="7">
        <f t="shared" si="67"/>
        <v>11.42</v>
      </c>
      <c r="L221" s="7">
        <f t="shared" si="68"/>
        <v>144</v>
      </c>
      <c r="M221" s="7">
        <f t="shared" si="69"/>
        <v>147</v>
      </c>
      <c r="O221">
        <f t="shared" si="70"/>
        <v>0.10473469387755099</v>
      </c>
      <c r="P221">
        <f t="shared" si="71"/>
        <v>104.734693877551</v>
      </c>
      <c r="V221">
        <f t="shared" si="72"/>
        <v>501.85702446734371</v>
      </c>
      <c r="W221">
        <f t="shared" si="73"/>
        <v>146.4560550447824</v>
      </c>
      <c r="AE221">
        <f t="shared" si="74"/>
        <v>0.49851190673332757</v>
      </c>
      <c r="AF221">
        <f t="shared" si="75"/>
        <v>0.48314881626988743</v>
      </c>
      <c r="AG221">
        <f t="shared" si="76"/>
        <v>0.48439068415760739</v>
      </c>
      <c r="AI221">
        <f t="shared" si="77"/>
        <v>0.13623880543137717</v>
      </c>
      <c r="AJ221">
        <f t="shared" si="78"/>
        <v>14.627345736995062</v>
      </c>
      <c r="AL221">
        <f t="shared" si="79"/>
        <v>0.1405709056497581</v>
      </c>
      <c r="AM221">
        <f t="shared" si="80"/>
        <v>15.572371590136282</v>
      </c>
      <c r="AO221">
        <f t="shared" si="81"/>
        <v>0.14021051371947618</v>
      </c>
      <c r="AP221">
        <f t="shared" si="82"/>
        <v>15.492625886266648</v>
      </c>
    </row>
    <row r="222" spans="1:42" x14ac:dyDescent="0.2">
      <c r="A222" s="3">
        <v>220</v>
      </c>
      <c r="B222" s="3">
        <v>1.6400000000000001E-7</v>
      </c>
      <c r="C222" s="2">
        <v>1.1469999999999999E-2</v>
      </c>
      <c r="D222" s="3">
        <v>122000</v>
      </c>
      <c r="E222" s="3">
        <v>126000000000</v>
      </c>
      <c r="F222" s="3">
        <v>113000000000</v>
      </c>
      <c r="G222" s="3">
        <v>14800000000</v>
      </c>
      <c r="H222" s="3">
        <v>14200000000</v>
      </c>
      <c r="I222" s="2"/>
      <c r="J222" s="7">
        <f t="shared" si="66"/>
        <v>0.16400000000000001</v>
      </c>
      <c r="K222" s="7">
        <f t="shared" si="67"/>
        <v>11.469999999999999</v>
      </c>
      <c r="L222" s="7">
        <f t="shared" si="68"/>
        <v>126.00000000000001</v>
      </c>
      <c r="M222" s="7">
        <f t="shared" si="69"/>
        <v>122</v>
      </c>
      <c r="O222">
        <f t="shared" si="70"/>
        <v>9.3487704918032793E-2</v>
      </c>
      <c r="P222">
        <f t="shared" si="71"/>
        <v>93.48770491803279</v>
      </c>
      <c r="V222">
        <f t="shared" si="72"/>
        <v>477.22495075827402</v>
      </c>
      <c r="W222">
        <f t="shared" si="73"/>
        <v>127.82231922927679</v>
      </c>
      <c r="AE222">
        <f t="shared" si="74"/>
        <v>0.41373097021405419</v>
      </c>
      <c r="AF222">
        <f t="shared" si="75"/>
        <v>0.40098065023759361</v>
      </c>
      <c r="AG222">
        <f t="shared" si="76"/>
        <v>0.40201131610359253</v>
      </c>
      <c r="AI222">
        <f t="shared" si="77"/>
        <v>0.16516368909482257</v>
      </c>
      <c r="AJ222">
        <f t="shared" si="78"/>
        <v>21.329361198477979</v>
      </c>
      <c r="AL222">
        <f t="shared" si="79"/>
        <v>0.17041553823817607</v>
      </c>
      <c r="AM222">
        <f t="shared" si="80"/>
        <v>22.70738275659081</v>
      </c>
      <c r="AO222">
        <f t="shared" si="81"/>
        <v>0.16997863143664549</v>
      </c>
      <c r="AP222">
        <f t="shared" si="82"/>
        <v>22.591098848871283</v>
      </c>
    </row>
    <row r="223" spans="1:42" x14ac:dyDescent="0.2">
      <c r="A223" s="3">
        <v>220</v>
      </c>
      <c r="B223" s="3">
        <v>1.6500000000000001E-7</v>
      </c>
      <c r="C223" s="2">
        <v>1.1520000000000001E-2</v>
      </c>
      <c r="D223" s="3">
        <v>128000</v>
      </c>
      <c r="E223" s="3">
        <v>130000000000</v>
      </c>
      <c r="F223" s="3">
        <v>116000000000</v>
      </c>
      <c r="G223" s="2">
        <v>0</v>
      </c>
      <c r="H223" s="3">
        <v>13600000000</v>
      </c>
      <c r="I223" s="2"/>
      <c r="J223" s="7">
        <f t="shared" si="66"/>
        <v>0.16500000000000001</v>
      </c>
      <c r="K223" s="7">
        <f t="shared" si="67"/>
        <v>11.520000000000001</v>
      </c>
      <c r="L223" s="7">
        <f t="shared" si="68"/>
        <v>130</v>
      </c>
      <c r="M223" s="7">
        <f t="shared" si="69"/>
        <v>128</v>
      </c>
      <c r="O223">
        <f t="shared" si="70"/>
        <v>9.7500000000000003E-2</v>
      </c>
      <c r="P223">
        <f t="shared" si="71"/>
        <v>97.5</v>
      </c>
      <c r="V223">
        <f t="shared" si="72"/>
        <v>486.19256016712109</v>
      </c>
      <c r="W223">
        <f t="shared" si="73"/>
        <v>131.63508708977571</v>
      </c>
      <c r="AE223">
        <f t="shared" si="74"/>
        <v>0.43407839497867978</v>
      </c>
      <c r="AF223">
        <f t="shared" si="75"/>
        <v>0.42070101008534416</v>
      </c>
      <c r="AG223">
        <f t="shared" si="76"/>
        <v>0.42178236443655609</v>
      </c>
      <c r="AI223">
        <f t="shared" si="77"/>
        <v>0.15838152922440829</v>
      </c>
      <c r="AJ223">
        <f t="shared" si="78"/>
        <v>19.46106629184365</v>
      </c>
      <c r="AL223">
        <f t="shared" si="79"/>
        <v>0.16341772030937901</v>
      </c>
      <c r="AM223">
        <f t="shared" si="80"/>
        <v>20.718383313411877</v>
      </c>
      <c r="AO223">
        <f t="shared" si="81"/>
        <v>0.16299875432639449</v>
      </c>
      <c r="AP223">
        <f t="shared" si="82"/>
        <v>20.612285019339872</v>
      </c>
    </row>
    <row r="224" spans="1:42" x14ac:dyDescent="0.2">
      <c r="A224" s="3">
        <v>220</v>
      </c>
      <c r="B224" s="3">
        <v>1.6500000000000001E-7</v>
      </c>
      <c r="C224" s="2">
        <v>1.157E-2</v>
      </c>
      <c r="D224" s="3">
        <v>144000</v>
      </c>
      <c r="E224" s="3">
        <v>141000000000</v>
      </c>
      <c r="F224" s="3">
        <v>124000000000</v>
      </c>
      <c r="G224" s="2">
        <v>0</v>
      </c>
      <c r="H224" s="3">
        <v>12600000000</v>
      </c>
      <c r="I224" s="2"/>
      <c r="J224" s="7">
        <f t="shared" si="66"/>
        <v>0.16500000000000001</v>
      </c>
      <c r="K224" s="7">
        <f t="shared" si="67"/>
        <v>11.57</v>
      </c>
      <c r="L224" s="7">
        <f t="shared" si="68"/>
        <v>141</v>
      </c>
      <c r="M224" s="7">
        <f t="shared" si="69"/>
        <v>144</v>
      </c>
      <c r="O224">
        <f t="shared" si="70"/>
        <v>0.10473958333333334</v>
      </c>
      <c r="P224">
        <f t="shared" si="71"/>
        <v>104.73958333333334</v>
      </c>
      <c r="V224">
        <f t="shared" si="72"/>
        <v>501.86740375740942</v>
      </c>
      <c r="W224">
        <f t="shared" si="73"/>
        <v>143.46418886930351</v>
      </c>
      <c r="AE224">
        <f t="shared" si="74"/>
        <v>0.48833819435101478</v>
      </c>
      <c r="AF224">
        <f t="shared" si="75"/>
        <v>0.47328863634601215</v>
      </c>
      <c r="AG224">
        <f t="shared" si="76"/>
        <v>0.47450515999112564</v>
      </c>
      <c r="AI224">
        <f t="shared" si="77"/>
        <v>0.14078358153280734</v>
      </c>
      <c r="AJ224">
        <f t="shared" si="78"/>
        <v>15.443383881799106</v>
      </c>
      <c r="AL224">
        <f t="shared" si="79"/>
        <v>0.14526019583055913</v>
      </c>
      <c r="AM224">
        <f t="shared" si="80"/>
        <v>16.441131339929726</v>
      </c>
      <c r="AO224">
        <f t="shared" si="81"/>
        <v>0.14488778162346178</v>
      </c>
      <c r="AP224">
        <f t="shared" si="82"/>
        <v>16.356936740312911</v>
      </c>
    </row>
    <row r="225" spans="1:42" x14ac:dyDescent="0.2">
      <c r="A225" s="3">
        <v>220</v>
      </c>
      <c r="B225" s="3">
        <v>1.66E-7</v>
      </c>
      <c r="C225" s="2">
        <v>1.163E-2</v>
      </c>
      <c r="D225" s="3">
        <v>132000</v>
      </c>
      <c r="E225" s="3">
        <v>132000000000</v>
      </c>
      <c r="F225" s="3">
        <v>117000000000</v>
      </c>
      <c r="G225" s="3">
        <v>1570000000</v>
      </c>
      <c r="H225" s="3">
        <v>13400000000</v>
      </c>
      <c r="I225" s="2"/>
      <c r="J225" s="7">
        <f t="shared" si="66"/>
        <v>0.16600000000000001</v>
      </c>
      <c r="K225" s="7">
        <f t="shared" si="67"/>
        <v>11.629999999999999</v>
      </c>
      <c r="L225" s="7">
        <f t="shared" si="68"/>
        <v>132</v>
      </c>
      <c r="M225" s="7">
        <f t="shared" si="69"/>
        <v>132</v>
      </c>
      <c r="O225">
        <f t="shared" si="70"/>
        <v>9.9920454545454562E-2</v>
      </c>
      <c r="P225">
        <f t="shared" si="71"/>
        <v>99.920454545454561</v>
      </c>
      <c r="V225">
        <f t="shared" si="72"/>
        <v>491.50323062185635</v>
      </c>
      <c r="W225">
        <f t="shared" si="73"/>
        <v>134.28192509842901</v>
      </c>
      <c r="AE225">
        <f t="shared" si="74"/>
        <v>0.44764334482176354</v>
      </c>
      <c r="AF225">
        <f t="shared" si="75"/>
        <v>0.43384791665051115</v>
      </c>
      <c r="AG225">
        <f t="shared" si="76"/>
        <v>0.43496306332519852</v>
      </c>
      <c r="AI225">
        <f t="shared" si="77"/>
        <v>0.15451288948394062</v>
      </c>
      <c r="AJ225">
        <f t="shared" si="78"/>
        <v>18.474212914938605</v>
      </c>
      <c r="AL225">
        <f t="shared" si="79"/>
        <v>0.15942606616775415</v>
      </c>
      <c r="AM225">
        <f t="shared" si="80"/>
        <v>19.667772507701674</v>
      </c>
      <c r="AO225">
        <f t="shared" si="81"/>
        <v>0.1590173338809564</v>
      </c>
      <c r="AP225">
        <f t="shared" si="82"/>
        <v>19.567054363834103</v>
      </c>
    </row>
    <row r="226" spans="1:42" x14ac:dyDescent="0.2">
      <c r="A226" s="3">
        <v>220</v>
      </c>
      <c r="B226" s="3">
        <v>1.66E-7</v>
      </c>
      <c r="C226" s="2">
        <v>1.1679999999999999E-2</v>
      </c>
      <c r="D226" s="3">
        <v>135000</v>
      </c>
      <c r="E226" s="3">
        <v>134000000000</v>
      </c>
      <c r="F226" s="3">
        <v>119000000000</v>
      </c>
      <c r="G226" s="3">
        <v>14200000000</v>
      </c>
      <c r="H226" s="3">
        <v>13200000000</v>
      </c>
      <c r="I226" s="2"/>
      <c r="J226" s="7">
        <f t="shared" si="66"/>
        <v>0.16600000000000001</v>
      </c>
      <c r="K226" s="7">
        <f t="shared" si="67"/>
        <v>11.68</v>
      </c>
      <c r="L226" s="7">
        <f t="shared" si="68"/>
        <v>134</v>
      </c>
      <c r="M226" s="7">
        <f t="shared" si="69"/>
        <v>135</v>
      </c>
      <c r="O226">
        <f t="shared" si="70"/>
        <v>0.10111111111111112</v>
      </c>
      <c r="P226">
        <f t="shared" si="71"/>
        <v>101.11111111111113</v>
      </c>
      <c r="V226">
        <f t="shared" si="72"/>
        <v>494.08934120835335</v>
      </c>
      <c r="W226">
        <f t="shared" si="73"/>
        <v>136.61496893440534</v>
      </c>
      <c r="AE226">
        <f t="shared" si="74"/>
        <v>0.45781705720407634</v>
      </c>
      <c r="AF226">
        <f t="shared" si="75"/>
        <v>0.44370809657438642</v>
      </c>
      <c r="AG226">
        <f t="shared" si="76"/>
        <v>0.44484858749168027</v>
      </c>
      <c r="AI226">
        <f t="shared" si="77"/>
        <v>0.15107926971763083</v>
      </c>
      <c r="AJ226">
        <f t="shared" si="78"/>
        <v>17.738193902733073</v>
      </c>
      <c r="AL226">
        <f t="shared" si="79"/>
        <v>0.15588326469735958</v>
      </c>
      <c r="AM226">
        <f t="shared" si="80"/>
        <v>18.884201669796244</v>
      </c>
      <c r="AO226">
        <f t="shared" si="81"/>
        <v>0.1554836153502685</v>
      </c>
      <c r="AP226">
        <f t="shared" si="82"/>
        <v>18.787496171506703</v>
      </c>
    </row>
    <row r="227" spans="1:42" x14ac:dyDescent="0.2">
      <c r="A227" s="3">
        <v>230</v>
      </c>
      <c r="B227" s="3">
        <v>1.66E-7</v>
      </c>
      <c r="C227" s="2">
        <v>1.1730000000000001E-2</v>
      </c>
      <c r="D227" s="3">
        <v>136000</v>
      </c>
      <c r="E227" s="3">
        <v>134000000000</v>
      </c>
      <c r="F227" s="3">
        <v>120000000000</v>
      </c>
      <c r="G227" s="3">
        <v>15400000000</v>
      </c>
      <c r="H227" s="3">
        <v>13200000000</v>
      </c>
      <c r="I227" s="2"/>
      <c r="J227" s="7">
        <f t="shared" si="66"/>
        <v>0.16600000000000001</v>
      </c>
      <c r="K227" s="7">
        <f t="shared" si="67"/>
        <v>11.73</v>
      </c>
      <c r="L227" s="7">
        <f t="shared" si="68"/>
        <v>134</v>
      </c>
      <c r="M227" s="7">
        <f t="shared" si="69"/>
        <v>136</v>
      </c>
      <c r="O227">
        <f t="shared" si="70"/>
        <v>0.1013125</v>
      </c>
      <c r="P227">
        <f t="shared" si="71"/>
        <v>101.3125</v>
      </c>
      <c r="V227">
        <f t="shared" si="72"/>
        <v>494.52507849657701</v>
      </c>
      <c r="W227">
        <f t="shared" si="73"/>
        <v>137.50566544922086</v>
      </c>
      <c r="AE227">
        <f t="shared" si="74"/>
        <v>0.46120829466484731</v>
      </c>
      <c r="AF227">
        <f t="shared" si="75"/>
        <v>0.44699482321567813</v>
      </c>
      <c r="AG227">
        <f t="shared" si="76"/>
        <v>0.44814376221384089</v>
      </c>
      <c r="AI227">
        <f t="shared" si="77"/>
        <v>0.14996839273441293</v>
      </c>
      <c r="AJ227">
        <f t="shared" si="78"/>
        <v>17.553118616172696</v>
      </c>
      <c r="AL227">
        <f t="shared" si="79"/>
        <v>0.15473706422164374</v>
      </c>
      <c r="AM227">
        <f t="shared" si="80"/>
        <v>18.687169263077379</v>
      </c>
      <c r="AO227">
        <f t="shared" si="81"/>
        <v>0.15434035347269298</v>
      </c>
      <c r="AP227">
        <f t="shared" si="82"/>
        <v>18.591472762541837</v>
      </c>
    </row>
    <row r="228" spans="1:42" x14ac:dyDescent="0.2">
      <c r="A228" s="3">
        <v>230</v>
      </c>
      <c r="B228" s="3">
        <v>1.67E-7</v>
      </c>
      <c r="C228" s="2">
        <v>1.1780000000000001E-2</v>
      </c>
      <c r="D228" s="3">
        <v>135000</v>
      </c>
      <c r="E228" s="3">
        <v>134000000000</v>
      </c>
      <c r="F228" s="3">
        <v>119000000000</v>
      </c>
      <c r="G228" s="3">
        <v>7810000000</v>
      </c>
      <c r="H228" s="3">
        <v>13200000000</v>
      </c>
      <c r="I228" s="2"/>
      <c r="J228" s="7">
        <f t="shared" si="66"/>
        <v>0.16700000000000001</v>
      </c>
      <c r="K228" s="7">
        <f t="shared" si="67"/>
        <v>11.780000000000001</v>
      </c>
      <c r="L228" s="7">
        <f t="shared" si="68"/>
        <v>134</v>
      </c>
      <c r="M228" s="7">
        <f t="shared" si="69"/>
        <v>135</v>
      </c>
      <c r="O228">
        <f t="shared" si="70"/>
        <v>0.10155555555555555</v>
      </c>
      <c r="P228">
        <f t="shared" si="71"/>
        <v>101.55555555555556</v>
      </c>
      <c r="V228">
        <f t="shared" si="72"/>
        <v>495.05032634019574</v>
      </c>
      <c r="W228">
        <f t="shared" si="73"/>
        <v>136.34977376747426</v>
      </c>
      <c r="AE228">
        <f t="shared" si="74"/>
        <v>0.45781705720407634</v>
      </c>
      <c r="AF228">
        <f t="shared" si="75"/>
        <v>0.44370809657438642</v>
      </c>
      <c r="AG228">
        <f t="shared" si="76"/>
        <v>0.44484858749168027</v>
      </c>
      <c r="AI228">
        <f t="shared" si="77"/>
        <v>0.15198938580026716</v>
      </c>
      <c r="AJ228">
        <f t="shared" si="78"/>
        <v>17.89006200121538</v>
      </c>
      <c r="AL228">
        <f t="shared" si="79"/>
        <v>0.15682232050878947</v>
      </c>
      <c r="AM228">
        <f t="shared" si="80"/>
        <v>19.045881478612994</v>
      </c>
      <c r="AO228">
        <f t="shared" si="81"/>
        <v>0.15642026363551109</v>
      </c>
      <c r="AP228">
        <f t="shared" si="82"/>
        <v>18.948348022290151</v>
      </c>
    </row>
    <row r="229" spans="1:42" x14ac:dyDescent="0.2">
      <c r="A229" s="3">
        <v>230</v>
      </c>
      <c r="B229" s="3">
        <v>1.68E-7</v>
      </c>
      <c r="C229" s="2">
        <v>1.183E-2</v>
      </c>
      <c r="D229" s="3">
        <v>131000</v>
      </c>
      <c r="E229" s="3">
        <v>130000000000</v>
      </c>
      <c r="F229" s="3">
        <v>116000000000</v>
      </c>
      <c r="G229" s="2">
        <v>0</v>
      </c>
      <c r="H229" s="3">
        <v>13500000000</v>
      </c>
      <c r="I229" s="2"/>
      <c r="J229" s="7">
        <f t="shared" si="66"/>
        <v>0.16799999999999998</v>
      </c>
      <c r="K229" s="7">
        <f t="shared" si="67"/>
        <v>11.83</v>
      </c>
      <c r="L229" s="7">
        <f t="shared" si="68"/>
        <v>130</v>
      </c>
      <c r="M229" s="7">
        <f t="shared" si="69"/>
        <v>131</v>
      </c>
      <c r="O229">
        <f t="shared" si="70"/>
        <v>0.1002709923664122</v>
      </c>
      <c r="P229">
        <f t="shared" si="71"/>
        <v>100.2709923664122</v>
      </c>
      <c r="V229">
        <f t="shared" si="72"/>
        <v>492.26637455142054</v>
      </c>
      <c r="W229">
        <f t="shared" si="73"/>
        <v>133.05804212137608</v>
      </c>
      <c r="AE229">
        <f t="shared" si="74"/>
        <v>0.44425210736099263</v>
      </c>
      <c r="AF229">
        <f t="shared" si="75"/>
        <v>0.43056119000921939</v>
      </c>
      <c r="AG229">
        <f t="shared" si="76"/>
        <v>0.4316678886030379</v>
      </c>
      <c r="AI229">
        <f t="shared" si="77"/>
        <v>0.15756818896329747</v>
      </c>
      <c r="AJ229">
        <f t="shared" si="78"/>
        <v>19.07990664993708</v>
      </c>
      <c r="AL229">
        <f t="shared" si="79"/>
        <v>0.16257851758190545</v>
      </c>
      <c r="AM229">
        <f t="shared" si="80"/>
        <v>20.31259817059405</v>
      </c>
      <c r="AO229">
        <f t="shared" si="81"/>
        <v>0.16216170312444078</v>
      </c>
      <c r="AP229">
        <f t="shared" si="82"/>
        <v>20.20857789152743</v>
      </c>
    </row>
    <row r="230" spans="1:42" x14ac:dyDescent="0.2">
      <c r="A230" s="3">
        <v>230</v>
      </c>
      <c r="B230" s="3">
        <v>1.68E-7</v>
      </c>
      <c r="C230" s="2">
        <v>1.189E-2</v>
      </c>
      <c r="D230" s="3">
        <v>146000</v>
      </c>
      <c r="E230" s="3">
        <v>141000000000</v>
      </c>
      <c r="F230" s="3">
        <v>125000000000</v>
      </c>
      <c r="G230" s="3">
        <v>3940000000</v>
      </c>
      <c r="H230" s="3">
        <v>12600000000</v>
      </c>
      <c r="I230" s="2"/>
      <c r="J230" s="7">
        <f t="shared" si="66"/>
        <v>0.16799999999999998</v>
      </c>
      <c r="K230" s="7">
        <f t="shared" si="67"/>
        <v>11.889999999999999</v>
      </c>
      <c r="L230" s="7">
        <f t="shared" si="68"/>
        <v>141</v>
      </c>
      <c r="M230" s="7">
        <f t="shared" si="69"/>
        <v>146</v>
      </c>
      <c r="O230">
        <f t="shared" si="70"/>
        <v>0.10692123287671232</v>
      </c>
      <c r="P230">
        <f t="shared" si="71"/>
        <v>106.92123287671232</v>
      </c>
      <c r="V230">
        <f t="shared" si="72"/>
        <v>506.47195100072645</v>
      </c>
      <c r="W230">
        <f t="shared" si="73"/>
        <v>144.13433923786098</v>
      </c>
      <c r="AE230">
        <f t="shared" si="74"/>
        <v>0.49512066927255666</v>
      </c>
      <c r="AF230">
        <f t="shared" si="75"/>
        <v>0.47986208962859567</v>
      </c>
      <c r="AG230">
        <f t="shared" si="76"/>
        <v>0.48109550943544682</v>
      </c>
      <c r="AI230">
        <f t="shared" si="77"/>
        <v>0.14137967639857513</v>
      </c>
      <c r="AJ230">
        <f t="shared" si="78"/>
        <v>15.438682476847166</v>
      </c>
      <c r="AL230">
        <f t="shared" si="79"/>
        <v>0.14587524522760006</v>
      </c>
      <c r="AM230">
        <f t="shared" si="80"/>
        <v>16.43612619229572</v>
      </c>
      <c r="AO230">
        <f t="shared" si="81"/>
        <v>0.14550125417329959</v>
      </c>
      <c r="AP230">
        <f t="shared" si="82"/>
        <v>16.351957223907821</v>
      </c>
    </row>
    <row r="231" spans="1:42" x14ac:dyDescent="0.2">
      <c r="A231" s="3">
        <v>230</v>
      </c>
      <c r="B231" s="3">
        <v>1.6899999999999999E-7</v>
      </c>
      <c r="C231" s="2">
        <v>1.1939999999999999E-2</v>
      </c>
      <c r="D231" s="3">
        <v>135000</v>
      </c>
      <c r="E231" s="3">
        <v>133000000000</v>
      </c>
      <c r="F231" s="3">
        <v>118000000000</v>
      </c>
      <c r="G231" s="2">
        <v>0</v>
      </c>
      <c r="H231" s="3">
        <v>13300000000</v>
      </c>
      <c r="I231" s="2"/>
      <c r="J231" s="7">
        <f t="shared" si="66"/>
        <v>0.16899999999999998</v>
      </c>
      <c r="K231" s="7">
        <f t="shared" si="67"/>
        <v>11.94</v>
      </c>
      <c r="L231" s="7">
        <f t="shared" si="68"/>
        <v>133</v>
      </c>
      <c r="M231" s="7">
        <f t="shared" si="69"/>
        <v>135</v>
      </c>
      <c r="O231">
        <f t="shared" si="70"/>
        <v>0.10266666666666666</v>
      </c>
      <c r="P231">
        <f t="shared" si="71"/>
        <v>102.66666666666666</v>
      </c>
      <c r="V231">
        <f t="shared" si="72"/>
        <v>497.44258802661813</v>
      </c>
      <c r="W231">
        <f t="shared" si="73"/>
        <v>135.69405118242125</v>
      </c>
      <c r="AE231">
        <f t="shared" si="74"/>
        <v>0.45781705720407634</v>
      </c>
      <c r="AF231">
        <f t="shared" si="75"/>
        <v>0.44370809657438642</v>
      </c>
      <c r="AG231">
        <f t="shared" si="76"/>
        <v>0.44484858749168027</v>
      </c>
      <c r="AI231">
        <f t="shared" si="77"/>
        <v>0.15380961796553982</v>
      </c>
      <c r="AJ231">
        <f t="shared" si="78"/>
        <v>18.133050958787063</v>
      </c>
      <c r="AL231">
        <f t="shared" si="79"/>
        <v>0.15870043213164919</v>
      </c>
      <c r="AM231">
        <f t="shared" si="80"/>
        <v>19.304569172719791</v>
      </c>
      <c r="AO231">
        <f t="shared" si="81"/>
        <v>0.15829356020599622</v>
      </c>
      <c r="AP231">
        <f t="shared" si="82"/>
        <v>19.205710983543664</v>
      </c>
    </row>
    <row r="232" spans="1:42" x14ac:dyDescent="0.2">
      <c r="A232" s="3">
        <v>230</v>
      </c>
      <c r="B232" s="3">
        <v>1.6899999999999999E-7</v>
      </c>
      <c r="C232" s="2">
        <v>1.1990000000000001E-2</v>
      </c>
      <c r="D232" s="3">
        <v>137000</v>
      </c>
      <c r="E232" s="3">
        <v>134000000000</v>
      </c>
      <c r="F232" s="3">
        <v>119000000000</v>
      </c>
      <c r="G232" s="3">
        <v>12900000000</v>
      </c>
      <c r="H232" s="3">
        <v>13200000000</v>
      </c>
      <c r="I232" s="2"/>
      <c r="J232" s="7">
        <f t="shared" si="66"/>
        <v>0.16899999999999998</v>
      </c>
      <c r="K232" s="7">
        <f t="shared" si="67"/>
        <v>11.99</v>
      </c>
      <c r="L232" s="7">
        <f t="shared" si="68"/>
        <v>134</v>
      </c>
      <c r="M232" s="7">
        <f t="shared" si="69"/>
        <v>137</v>
      </c>
      <c r="O232">
        <f t="shared" si="70"/>
        <v>0.10336131386861312</v>
      </c>
      <c r="P232">
        <f t="shared" si="71"/>
        <v>103.36131386861312</v>
      </c>
      <c r="V232">
        <f t="shared" si="72"/>
        <v>498.93086886423259</v>
      </c>
      <c r="W232">
        <f t="shared" si="73"/>
        <v>137.29356966012858</v>
      </c>
      <c r="AE232">
        <f t="shared" si="74"/>
        <v>0.46459953212561822</v>
      </c>
      <c r="AF232">
        <f t="shared" si="75"/>
        <v>0.45028154985696989</v>
      </c>
      <c r="AG232">
        <f t="shared" si="76"/>
        <v>0.45143893693600146</v>
      </c>
      <c r="AI232">
        <f t="shared" si="77"/>
        <v>0.15156422208283118</v>
      </c>
      <c r="AJ232">
        <f t="shared" si="78"/>
        <v>17.681216461788811</v>
      </c>
      <c r="AL232">
        <f t="shared" si="79"/>
        <v>0.15638363750199011</v>
      </c>
      <c r="AM232">
        <f t="shared" si="80"/>
        <v>18.823543099294628</v>
      </c>
      <c r="AO232">
        <f t="shared" si="81"/>
        <v>0.15598270531247804</v>
      </c>
      <c r="AP232">
        <f t="shared" si="82"/>
        <v>18.727148231943499</v>
      </c>
    </row>
    <row r="233" spans="1:42" x14ac:dyDescent="0.2">
      <c r="A233" s="3">
        <v>230</v>
      </c>
      <c r="B233" s="3">
        <v>1.6999999999999999E-7</v>
      </c>
      <c r="C233" s="2">
        <v>1.204E-2</v>
      </c>
      <c r="D233" s="3">
        <v>144000</v>
      </c>
      <c r="E233" s="3">
        <v>139000000000</v>
      </c>
      <c r="F233" s="3">
        <v>123000000000</v>
      </c>
      <c r="G233" s="3">
        <v>11600000000</v>
      </c>
      <c r="H233" s="3">
        <v>12800000000</v>
      </c>
      <c r="I233" s="2"/>
      <c r="J233" s="7">
        <f t="shared" si="66"/>
        <v>0.16999999999999998</v>
      </c>
      <c r="K233" s="7">
        <f t="shared" si="67"/>
        <v>12.040000000000001</v>
      </c>
      <c r="L233" s="7">
        <f t="shared" si="68"/>
        <v>139</v>
      </c>
      <c r="M233" s="7">
        <f t="shared" si="69"/>
        <v>144</v>
      </c>
      <c r="O233">
        <f t="shared" si="70"/>
        <v>0.10729166666666665</v>
      </c>
      <c r="P233">
        <f t="shared" si="71"/>
        <v>107.29166666666664</v>
      </c>
      <c r="V233">
        <f t="shared" si="72"/>
        <v>507.24856800110769</v>
      </c>
      <c r="W233">
        <f t="shared" si="73"/>
        <v>141.94224398449708</v>
      </c>
      <c r="AE233">
        <f t="shared" si="74"/>
        <v>0.48833819435101478</v>
      </c>
      <c r="AF233">
        <f t="shared" si="75"/>
        <v>0.47328863634601215</v>
      </c>
      <c r="AG233">
        <f t="shared" si="76"/>
        <v>0.47450515999112564</v>
      </c>
      <c r="AI233">
        <f t="shared" si="77"/>
        <v>0.14504975067016512</v>
      </c>
      <c r="AJ233">
        <f t="shared" si="78"/>
        <v>16.070729640178154</v>
      </c>
      <c r="AL233">
        <f t="shared" si="79"/>
        <v>0.14966201994663664</v>
      </c>
      <c r="AM233">
        <f t="shared" si="80"/>
        <v>17.109007893928602</v>
      </c>
      <c r="AO233">
        <f t="shared" si="81"/>
        <v>0.14927832046053638</v>
      </c>
      <c r="AP233">
        <f t="shared" si="82"/>
        <v>17.021393116107816</v>
      </c>
    </row>
    <row r="234" spans="1:42" x14ac:dyDescent="0.2">
      <c r="A234" s="3">
        <v>230</v>
      </c>
      <c r="B234" s="3">
        <v>1.6999999999999999E-7</v>
      </c>
      <c r="C234" s="2">
        <v>1.209E-2</v>
      </c>
      <c r="D234" s="3">
        <v>140000</v>
      </c>
      <c r="E234" s="3">
        <v>136000000000</v>
      </c>
      <c r="F234" s="3">
        <v>121000000000</v>
      </c>
      <c r="G234" s="3">
        <v>13500000000</v>
      </c>
      <c r="H234" s="3">
        <v>13000000000</v>
      </c>
      <c r="I234" s="2"/>
      <c r="J234" s="7">
        <f t="shared" si="66"/>
        <v>0.16999999999999998</v>
      </c>
      <c r="K234" s="7">
        <f t="shared" si="67"/>
        <v>12.09</v>
      </c>
      <c r="L234" s="7">
        <f t="shared" si="68"/>
        <v>136</v>
      </c>
      <c r="M234" s="7">
        <f t="shared" si="69"/>
        <v>140</v>
      </c>
      <c r="O234">
        <f t="shared" si="70"/>
        <v>0.10523214285714284</v>
      </c>
      <c r="P234">
        <f t="shared" si="71"/>
        <v>105.23214285714285</v>
      </c>
      <c r="V234">
        <f t="shared" si="72"/>
        <v>502.91162479167065</v>
      </c>
      <c r="W234">
        <f t="shared" si="73"/>
        <v>139.18946500589891</v>
      </c>
      <c r="AE234">
        <f t="shared" si="74"/>
        <v>0.47477324450793101</v>
      </c>
      <c r="AF234">
        <f t="shared" si="75"/>
        <v>0.46014172978084517</v>
      </c>
      <c r="AG234">
        <f t="shared" si="76"/>
        <v>0.46132446110248326</v>
      </c>
      <c r="AI234">
        <f t="shared" si="77"/>
        <v>0.14919402926074127</v>
      </c>
      <c r="AJ234">
        <f t="shared" si="78"/>
        <v>17.072783054395625</v>
      </c>
      <c r="AL234">
        <f t="shared" si="79"/>
        <v>0.15393807765939771</v>
      </c>
      <c r="AM234">
        <f t="shared" si="80"/>
        <v>18.175800762568677</v>
      </c>
      <c r="AO234">
        <f t="shared" si="81"/>
        <v>0.1535434153308374</v>
      </c>
      <c r="AP234">
        <f t="shared" si="82"/>
        <v>18.082722966626317</v>
      </c>
    </row>
    <row r="235" spans="1:42" x14ac:dyDescent="0.2">
      <c r="A235" s="3">
        <v>230</v>
      </c>
      <c r="B235" s="3">
        <v>1.7100000000000001E-7</v>
      </c>
      <c r="C235" s="2">
        <v>1.2149999999999999E-2</v>
      </c>
      <c r="D235" s="3">
        <v>132000</v>
      </c>
      <c r="E235" s="3">
        <v>130000000000</v>
      </c>
      <c r="F235" s="3">
        <v>116000000000</v>
      </c>
      <c r="G235" s="2">
        <v>0</v>
      </c>
      <c r="H235" s="3">
        <v>13600000000</v>
      </c>
      <c r="I235" s="2"/>
      <c r="J235" s="7">
        <f t="shared" si="66"/>
        <v>0.17100000000000001</v>
      </c>
      <c r="K235" s="7">
        <f t="shared" si="67"/>
        <v>12.149999999999999</v>
      </c>
      <c r="L235" s="7">
        <f t="shared" si="68"/>
        <v>130</v>
      </c>
      <c r="M235" s="7">
        <f t="shared" si="69"/>
        <v>132</v>
      </c>
      <c r="O235">
        <f t="shared" si="70"/>
        <v>0.10196590909090911</v>
      </c>
      <c r="P235">
        <f t="shared" si="71"/>
        <v>101.96590909090911</v>
      </c>
      <c r="V235">
        <f t="shared" si="72"/>
        <v>495.93552188275595</v>
      </c>
      <c r="W235">
        <f t="shared" si="73"/>
        <v>133.08181625998358</v>
      </c>
      <c r="AE235">
        <f t="shared" si="74"/>
        <v>0.44764334482176354</v>
      </c>
      <c r="AF235">
        <f t="shared" si="75"/>
        <v>0.43384791665051115</v>
      </c>
      <c r="AG235">
        <f t="shared" si="76"/>
        <v>0.43496306332519852</v>
      </c>
      <c r="AI235">
        <f t="shared" si="77"/>
        <v>0.15916689217924004</v>
      </c>
      <c r="AJ235">
        <f t="shared" si="78"/>
        <v>19.300231033233366</v>
      </c>
      <c r="AL235">
        <f t="shared" si="79"/>
        <v>0.16422805611256602</v>
      </c>
      <c r="AM235">
        <f t="shared" si="80"/>
        <v>20.547157005036571</v>
      </c>
      <c r="AO235">
        <f t="shared" si="81"/>
        <v>0.16380701261231051</v>
      </c>
      <c r="AP235">
        <f t="shared" si="82"/>
        <v>20.441935556370108</v>
      </c>
    </row>
    <row r="236" spans="1:42" x14ac:dyDescent="0.2">
      <c r="A236" s="3">
        <v>230</v>
      </c>
      <c r="B236" s="3">
        <v>1.72E-7</v>
      </c>
      <c r="C236" s="2">
        <v>1.2200000000000001E-2</v>
      </c>
      <c r="D236" s="3">
        <v>142000</v>
      </c>
      <c r="E236" s="3">
        <v>137000000000</v>
      </c>
      <c r="F236" s="3">
        <v>121000000000</v>
      </c>
      <c r="G236" s="3">
        <v>2820000000</v>
      </c>
      <c r="H236" s="3">
        <v>12800000000</v>
      </c>
      <c r="I236" s="2"/>
      <c r="J236" s="7">
        <f t="shared" si="66"/>
        <v>0.17200000000000001</v>
      </c>
      <c r="K236" s="7">
        <f t="shared" si="67"/>
        <v>12.200000000000001</v>
      </c>
      <c r="L236" s="7">
        <f t="shared" si="68"/>
        <v>137</v>
      </c>
      <c r="M236" s="7">
        <f t="shared" si="69"/>
        <v>142</v>
      </c>
      <c r="O236">
        <f t="shared" si="70"/>
        <v>0.10756338028169014</v>
      </c>
      <c r="P236">
        <f t="shared" si="71"/>
        <v>107.56338028169014</v>
      </c>
      <c r="V236">
        <f t="shared" si="72"/>
        <v>507.81726844979403</v>
      </c>
      <c r="W236">
        <f t="shared" si="73"/>
        <v>139.81407173635628</v>
      </c>
      <c r="AE236">
        <f t="shared" si="74"/>
        <v>0.48155571942947289</v>
      </c>
      <c r="AF236">
        <f t="shared" si="75"/>
        <v>0.46671518306342863</v>
      </c>
      <c r="AG236">
        <f t="shared" si="76"/>
        <v>0.46791481054680445</v>
      </c>
      <c r="AI236">
        <f t="shared" si="77"/>
        <v>0.14882320731560275</v>
      </c>
      <c r="AJ236">
        <f t="shared" si="78"/>
        <v>16.746237034838238</v>
      </c>
      <c r="AL236">
        <f t="shared" si="79"/>
        <v>0.15355546437606865</v>
      </c>
      <c r="AM236">
        <f t="shared" si="80"/>
        <v>17.828157652926002</v>
      </c>
      <c r="AO236">
        <f t="shared" si="81"/>
        <v>0.15316178298121647</v>
      </c>
      <c r="AP236">
        <f t="shared" si="82"/>
        <v>17.736860128171845</v>
      </c>
    </row>
    <row r="237" spans="1:42" x14ac:dyDescent="0.2">
      <c r="A237" s="3">
        <v>240</v>
      </c>
      <c r="B237" s="3">
        <v>1.72E-7</v>
      </c>
      <c r="C237" s="2">
        <v>1.225E-2</v>
      </c>
      <c r="D237" s="3">
        <v>127000</v>
      </c>
      <c r="E237" s="3">
        <v>126000000000</v>
      </c>
      <c r="F237" s="3">
        <v>113000000000</v>
      </c>
      <c r="G237" s="3">
        <v>12600000000</v>
      </c>
      <c r="H237" s="3">
        <v>14100000000</v>
      </c>
      <c r="I237" s="2"/>
      <c r="J237" s="7">
        <f t="shared" si="66"/>
        <v>0.17200000000000001</v>
      </c>
      <c r="K237" s="7">
        <f t="shared" si="67"/>
        <v>12.25</v>
      </c>
      <c r="L237" s="7">
        <f t="shared" si="68"/>
        <v>126.00000000000001</v>
      </c>
      <c r="M237" s="7">
        <f t="shared" si="69"/>
        <v>127</v>
      </c>
      <c r="O237">
        <f t="shared" si="70"/>
        <v>9.9657480314960648E-2</v>
      </c>
      <c r="P237">
        <f t="shared" si="71"/>
        <v>99.657480314960651</v>
      </c>
      <c r="V237">
        <f t="shared" si="72"/>
        <v>490.92973892843924</v>
      </c>
      <c r="W237">
        <f t="shared" si="73"/>
        <v>129.34641144087652</v>
      </c>
      <c r="AE237">
        <f t="shared" si="74"/>
        <v>0.43068715751790887</v>
      </c>
      <c r="AF237">
        <f t="shared" si="75"/>
        <v>0.4174142834440524</v>
      </c>
      <c r="AG237">
        <f t="shared" si="76"/>
        <v>0.41848718971439552</v>
      </c>
      <c r="AI237">
        <f t="shared" si="77"/>
        <v>0.16640075148673691</v>
      </c>
      <c r="AJ237">
        <f t="shared" si="78"/>
        <v>21.021453383216453</v>
      </c>
      <c r="AL237">
        <f t="shared" si="79"/>
        <v>0.17169193654647044</v>
      </c>
      <c r="AM237">
        <f t="shared" si="80"/>
        <v>22.379582005793448</v>
      </c>
      <c r="AO237">
        <f t="shared" si="81"/>
        <v>0.17125175734907669</v>
      </c>
      <c r="AP237">
        <f t="shared" si="82"/>
        <v>22.264976757066226</v>
      </c>
    </row>
    <row r="238" spans="1:42" x14ac:dyDescent="0.2">
      <c r="A238" s="3">
        <v>240</v>
      </c>
      <c r="B238" s="3">
        <v>1.73E-7</v>
      </c>
      <c r="C238" s="2">
        <v>1.23E-2</v>
      </c>
      <c r="D238" s="3">
        <v>130000</v>
      </c>
      <c r="E238" s="3">
        <v>128000000000</v>
      </c>
      <c r="F238" s="3">
        <v>114000000000</v>
      </c>
      <c r="G238" s="3">
        <v>2570000000</v>
      </c>
      <c r="H238" s="3">
        <v>13800000000</v>
      </c>
      <c r="I238" s="2"/>
      <c r="J238" s="7">
        <f t="shared" si="66"/>
        <v>0.17299999999999999</v>
      </c>
      <c r="K238" s="7">
        <f t="shared" si="67"/>
        <v>12.3</v>
      </c>
      <c r="L238" s="7">
        <f t="shared" si="68"/>
        <v>128</v>
      </c>
      <c r="M238" s="7">
        <f t="shared" si="69"/>
        <v>130</v>
      </c>
      <c r="O238">
        <f t="shared" si="70"/>
        <v>0.10203846153846152</v>
      </c>
      <c r="P238">
        <f t="shared" si="71"/>
        <v>102.03846153846152</v>
      </c>
      <c r="V238">
        <f t="shared" si="72"/>
        <v>496.09182210176419</v>
      </c>
      <c r="W238">
        <f t="shared" si="73"/>
        <v>131.0241312275985</v>
      </c>
      <c r="AE238">
        <f t="shared" si="74"/>
        <v>0.44086086990022166</v>
      </c>
      <c r="AF238">
        <f t="shared" si="75"/>
        <v>0.42727446336792763</v>
      </c>
      <c r="AG238">
        <f t="shared" si="76"/>
        <v>0.42837271388087733</v>
      </c>
      <c r="AI238">
        <f t="shared" si="77"/>
        <v>0.16350585469208839</v>
      </c>
      <c r="AJ238">
        <f t="shared" si="78"/>
        <v>20.144314773095754</v>
      </c>
      <c r="AL238">
        <f t="shared" si="79"/>
        <v>0.1687049882764983</v>
      </c>
      <c r="AM238">
        <f t="shared" si="80"/>
        <v>21.445774285756521</v>
      </c>
      <c r="AO238">
        <f t="shared" si="81"/>
        <v>0.16827246693723447</v>
      </c>
      <c r="AP238">
        <f t="shared" si="82"/>
        <v>21.335951041715109</v>
      </c>
    </row>
    <row r="239" spans="1:42" x14ac:dyDescent="0.2">
      <c r="A239" s="3">
        <v>240</v>
      </c>
      <c r="B239" s="3">
        <v>1.74E-7</v>
      </c>
      <c r="C239" s="2">
        <v>1.235E-2</v>
      </c>
      <c r="D239" s="3">
        <v>143000</v>
      </c>
      <c r="E239" s="3">
        <v>136000000000</v>
      </c>
      <c r="F239" s="3">
        <v>121000000000</v>
      </c>
      <c r="G239" s="3">
        <v>12600000000</v>
      </c>
      <c r="H239" s="3">
        <v>12900000000</v>
      </c>
      <c r="I239" s="2"/>
      <c r="J239" s="7">
        <f t="shared" si="66"/>
        <v>0.17399999999999999</v>
      </c>
      <c r="K239" s="7">
        <f t="shared" si="67"/>
        <v>12.35</v>
      </c>
      <c r="L239" s="7">
        <f t="shared" si="68"/>
        <v>136</v>
      </c>
      <c r="M239" s="7">
        <f t="shared" si="69"/>
        <v>143</v>
      </c>
      <c r="O239">
        <f t="shared" si="70"/>
        <v>0.10922727272727271</v>
      </c>
      <c r="P239">
        <f t="shared" si="71"/>
        <v>109.22727272727272</v>
      </c>
      <c r="V239">
        <f t="shared" si="72"/>
        <v>511.28249460657804</v>
      </c>
      <c r="W239">
        <f t="shared" si="73"/>
        <v>139.84441234393887</v>
      </c>
      <c r="AE239">
        <f t="shared" si="74"/>
        <v>0.48494695689024386</v>
      </c>
      <c r="AF239">
        <f t="shared" si="75"/>
        <v>0.47000190970472039</v>
      </c>
      <c r="AG239">
        <f t="shared" si="76"/>
        <v>0.47120998526896501</v>
      </c>
      <c r="AI239">
        <f t="shared" si="77"/>
        <v>0.14950088658131044</v>
      </c>
      <c r="AJ239">
        <f t="shared" si="78"/>
        <v>16.715869612828897</v>
      </c>
      <c r="AL239">
        <f t="shared" si="79"/>
        <v>0.15425469238103368</v>
      </c>
      <c r="AM239">
        <f t="shared" si="80"/>
        <v>17.795828289262445</v>
      </c>
      <c r="AO239">
        <f t="shared" si="81"/>
        <v>0.15385921832411351</v>
      </c>
      <c r="AP239">
        <f t="shared" si="82"/>
        <v>17.704696322326253</v>
      </c>
    </row>
    <row r="240" spans="1:42" x14ac:dyDescent="0.2">
      <c r="A240" s="3">
        <v>240</v>
      </c>
      <c r="B240" s="3">
        <v>1.74E-7</v>
      </c>
      <c r="C240" s="2">
        <v>1.2409999999999999E-2</v>
      </c>
      <c r="D240" s="3">
        <v>153000</v>
      </c>
      <c r="E240" s="3">
        <v>144000000000</v>
      </c>
      <c r="F240" s="3">
        <v>127000000000</v>
      </c>
      <c r="G240" s="2">
        <v>0</v>
      </c>
      <c r="H240" s="3">
        <v>12400000000</v>
      </c>
      <c r="I240" s="2"/>
      <c r="J240" s="7">
        <f t="shared" si="66"/>
        <v>0.17399999999999999</v>
      </c>
      <c r="K240" s="7">
        <f t="shared" si="67"/>
        <v>12.409999999999998</v>
      </c>
      <c r="L240" s="7">
        <f t="shared" si="68"/>
        <v>144</v>
      </c>
      <c r="M240" s="7">
        <f t="shared" si="69"/>
        <v>153</v>
      </c>
      <c r="O240">
        <f t="shared" si="70"/>
        <v>0.11316666666666667</v>
      </c>
      <c r="P240">
        <f t="shared" si="71"/>
        <v>113.16666666666667</v>
      </c>
      <c r="V240">
        <f t="shared" si="72"/>
        <v>519.37120105825602</v>
      </c>
      <c r="W240">
        <f t="shared" si="73"/>
        <v>147.29349614327049</v>
      </c>
      <c r="AE240">
        <f t="shared" si="74"/>
        <v>0.51885933149795316</v>
      </c>
      <c r="AF240">
        <f t="shared" si="75"/>
        <v>0.50286917611763793</v>
      </c>
      <c r="AG240">
        <f t="shared" si="76"/>
        <v>0.50416173249057095</v>
      </c>
      <c r="AI240">
        <f t="shared" si="77"/>
        <v>0.13972958680475425</v>
      </c>
      <c r="AJ240">
        <f t="shared" si="78"/>
        <v>14.673138338657871</v>
      </c>
      <c r="AL240">
        <f t="shared" si="79"/>
        <v>0.14417268634305758</v>
      </c>
      <c r="AM240">
        <f t="shared" si="80"/>
        <v>15.621122704794686</v>
      </c>
      <c r="AO240">
        <f t="shared" si="81"/>
        <v>0.14380306026371395</v>
      </c>
      <c r="AP240">
        <f t="shared" si="82"/>
        <v>15.541127347753708</v>
      </c>
    </row>
    <row r="241" spans="1:42" x14ac:dyDescent="0.2">
      <c r="A241" s="3">
        <v>240</v>
      </c>
      <c r="B241" s="3">
        <v>1.7499999999999999E-7</v>
      </c>
      <c r="C241" s="2">
        <v>1.2460000000000001E-2</v>
      </c>
      <c r="D241" s="3">
        <v>130000</v>
      </c>
      <c r="E241" s="3">
        <v>127000000000</v>
      </c>
      <c r="F241" s="3">
        <v>114000000000</v>
      </c>
      <c r="G241" s="2">
        <v>0</v>
      </c>
      <c r="H241" s="3">
        <v>13800000000</v>
      </c>
      <c r="I241" s="2"/>
      <c r="J241" s="7">
        <f t="shared" si="66"/>
        <v>0.17499999999999999</v>
      </c>
      <c r="K241" s="7">
        <f t="shared" si="67"/>
        <v>12.46</v>
      </c>
      <c r="L241" s="7">
        <f t="shared" si="68"/>
        <v>127.00000000000001</v>
      </c>
      <c r="M241" s="7">
        <f t="shared" si="69"/>
        <v>130</v>
      </c>
      <c r="O241">
        <f t="shared" si="70"/>
        <v>0.10311538461538459</v>
      </c>
      <c r="P241">
        <f t="shared" si="71"/>
        <v>103.1153846153846</v>
      </c>
      <c r="V241">
        <f t="shared" si="72"/>
        <v>498.40460456666841</v>
      </c>
      <c r="W241">
        <f t="shared" si="73"/>
        <v>130.41613059837886</v>
      </c>
      <c r="AE241">
        <f t="shared" si="74"/>
        <v>0.44086086990022166</v>
      </c>
      <c r="AF241">
        <f t="shared" si="75"/>
        <v>0.42727446336792763</v>
      </c>
      <c r="AG241">
        <f t="shared" si="76"/>
        <v>0.42837271388087733</v>
      </c>
      <c r="AI241">
        <f t="shared" si="77"/>
        <v>0.16539609578679462</v>
      </c>
      <c r="AJ241">
        <f t="shared" si="78"/>
        <v>20.406354640062851</v>
      </c>
      <c r="AL241">
        <f t="shared" si="79"/>
        <v>0.17065533496177573</v>
      </c>
      <c r="AM241">
        <f t="shared" si="80"/>
        <v>21.724743707359856</v>
      </c>
      <c r="AO241">
        <f t="shared" si="81"/>
        <v>0.17021781337581521</v>
      </c>
      <c r="AP241">
        <f t="shared" si="82"/>
        <v>21.613491868274007</v>
      </c>
    </row>
    <row r="242" spans="1:42" x14ac:dyDescent="0.2">
      <c r="A242" s="3">
        <v>240</v>
      </c>
      <c r="B242" s="3">
        <v>1.7499999999999999E-7</v>
      </c>
      <c r="C242" s="2">
        <v>1.251E-2</v>
      </c>
      <c r="D242" s="3">
        <v>150000</v>
      </c>
      <c r="E242" s="3">
        <v>141000000000</v>
      </c>
      <c r="F242" s="3">
        <v>125000000000</v>
      </c>
      <c r="G242" s="3">
        <v>4200000000</v>
      </c>
      <c r="H242" s="3">
        <v>12600000000</v>
      </c>
      <c r="I242" s="2"/>
      <c r="J242" s="7">
        <f t="shared" si="66"/>
        <v>0.17499999999999999</v>
      </c>
      <c r="K242" s="7">
        <f t="shared" si="67"/>
        <v>12.51</v>
      </c>
      <c r="L242" s="7">
        <f t="shared" si="68"/>
        <v>141</v>
      </c>
      <c r="M242" s="7">
        <f t="shared" si="69"/>
        <v>150</v>
      </c>
      <c r="O242">
        <f t="shared" si="70"/>
        <v>0.11244999999999999</v>
      </c>
      <c r="P242">
        <f t="shared" si="71"/>
        <v>112.44999999999999</v>
      </c>
      <c r="V242">
        <f t="shared" si="72"/>
        <v>517.91148742802739</v>
      </c>
      <c r="W242">
        <f t="shared" si="73"/>
        <v>144.81238941513635</v>
      </c>
      <c r="AE242">
        <f t="shared" si="74"/>
        <v>0.50868561911564036</v>
      </c>
      <c r="AF242">
        <f t="shared" si="75"/>
        <v>0.49300899619376265</v>
      </c>
      <c r="AG242">
        <f t="shared" si="76"/>
        <v>0.49427620832408919</v>
      </c>
      <c r="AI242">
        <f t="shared" si="77"/>
        <v>0.14334328301522201</v>
      </c>
      <c r="AJ242">
        <f t="shared" si="78"/>
        <v>15.388946287310317</v>
      </c>
      <c r="AL242">
        <f t="shared" si="79"/>
        <v>0.14790129030020563</v>
      </c>
      <c r="AM242">
        <f t="shared" si="80"/>
        <v>16.383176707209959</v>
      </c>
      <c r="AO242">
        <f t="shared" si="81"/>
        <v>0.14752210492570653</v>
      </c>
      <c r="AP242">
        <f t="shared" si="82"/>
        <v>16.299278891737551</v>
      </c>
    </row>
    <row r="243" spans="1:42" x14ac:dyDescent="0.2">
      <c r="A243" s="3">
        <v>240</v>
      </c>
      <c r="B243" s="3">
        <v>1.7599999999999999E-7</v>
      </c>
      <c r="C243" s="2">
        <v>1.256E-2</v>
      </c>
      <c r="D243" s="3">
        <v>152000</v>
      </c>
      <c r="E243" s="3">
        <v>143000000000</v>
      </c>
      <c r="F243" s="3">
        <v>126000000000</v>
      </c>
      <c r="G243" s="3">
        <v>16500000000</v>
      </c>
      <c r="H243" s="3">
        <v>12500000000</v>
      </c>
      <c r="I243" s="2"/>
      <c r="J243" s="7">
        <f t="shared" si="66"/>
        <v>0.17599999999999999</v>
      </c>
      <c r="K243" s="7">
        <f t="shared" si="67"/>
        <v>12.56</v>
      </c>
      <c r="L243" s="7">
        <f t="shared" si="68"/>
        <v>143</v>
      </c>
      <c r="M243" s="7">
        <f t="shared" si="69"/>
        <v>152</v>
      </c>
      <c r="O243">
        <f t="shared" si="70"/>
        <v>0.11402631578947367</v>
      </c>
      <c r="P243">
        <f t="shared" si="71"/>
        <v>114.02631578947367</v>
      </c>
      <c r="V243">
        <f t="shared" si="72"/>
        <v>521.11536694592508</v>
      </c>
      <c r="W243">
        <f t="shared" si="73"/>
        <v>145.84102642263156</v>
      </c>
      <c r="AE243">
        <f t="shared" si="74"/>
        <v>0.5154680940371823</v>
      </c>
      <c r="AF243">
        <f t="shared" si="75"/>
        <v>0.49958244947634617</v>
      </c>
      <c r="AG243">
        <f t="shared" si="76"/>
        <v>0.50086655776841038</v>
      </c>
      <c r="AI243">
        <f t="shared" si="77"/>
        <v>0.14226551396999476</v>
      </c>
      <c r="AJ243">
        <f t="shared" si="78"/>
        <v>15.046536942170277</v>
      </c>
      <c r="AL243">
        <f t="shared" si="79"/>
        <v>0.14678925052351235</v>
      </c>
      <c r="AM243">
        <f t="shared" si="80"/>
        <v>16.018645393441258</v>
      </c>
      <c r="AO243">
        <f t="shared" si="81"/>
        <v>0.14641291616686664</v>
      </c>
      <c r="AP243">
        <f t="shared" si="82"/>
        <v>15.936614333204599</v>
      </c>
    </row>
    <row r="244" spans="1:42" x14ac:dyDescent="0.2">
      <c r="A244" s="3">
        <v>240</v>
      </c>
      <c r="B244" s="3">
        <v>1.7599999999999999E-7</v>
      </c>
      <c r="C244" s="2">
        <v>1.2619999999999999E-2</v>
      </c>
      <c r="D244" s="3">
        <v>147000</v>
      </c>
      <c r="E244" s="3">
        <v>138000000000</v>
      </c>
      <c r="F244" s="3">
        <v>123000000000</v>
      </c>
      <c r="G244" s="3">
        <v>3680000000</v>
      </c>
      <c r="H244" s="3">
        <v>12800000000</v>
      </c>
      <c r="I244" s="2"/>
      <c r="J244" s="7">
        <f t="shared" si="66"/>
        <v>0.17599999999999999</v>
      </c>
      <c r="K244" s="7">
        <f t="shared" si="67"/>
        <v>12.62</v>
      </c>
      <c r="L244" s="7">
        <f t="shared" si="68"/>
        <v>138</v>
      </c>
      <c r="M244" s="7">
        <f t="shared" si="69"/>
        <v>147</v>
      </c>
      <c r="O244">
        <f t="shared" si="70"/>
        <v>0.11161224489795918</v>
      </c>
      <c r="P244">
        <f t="shared" si="71"/>
        <v>111.61224489795917</v>
      </c>
      <c r="V244">
        <f t="shared" si="72"/>
        <v>516.19855546335793</v>
      </c>
      <c r="W244">
        <f t="shared" si="73"/>
        <v>142.38707028930722</v>
      </c>
      <c r="AE244">
        <f t="shared" si="74"/>
        <v>0.49851190673332757</v>
      </c>
      <c r="AF244">
        <f t="shared" si="75"/>
        <v>0.48314881626988743</v>
      </c>
      <c r="AG244">
        <f t="shared" si="76"/>
        <v>0.48439068415760739</v>
      </c>
      <c r="AI244">
        <f t="shared" si="77"/>
        <v>0.14710447703019866</v>
      </c>
      <c r="AJ244">
        <f t="shared" si="78"/>
        <v>16.164369807432372</v>
      </c>
      <c r="AL244">
        <f t="shared" si="79"/>
        <v>0.15178208217397196</v>
      </c>
      <c r="AM244">
        <f t="shared" si="80"/>
        <v>17.208697851796835</v>
      </c>
      <c r="AO244">
        <f t="shared" si="81"/>
        <v>0.15139294732900496</v>
      </c>
      <c r="AP244">
        <f t="shared" si="82"/>
        <v>17.120572564333195</v>
      </c>
    </row>
    <row r="245" spans="1:42" x14ac:dyDescent="0.2">
      <c r="A245" s="3">
        <v>240</v>
      </c>
      <c r="B245" s="3">
        <v>1.7700000000000001E-7</v>
      </c>
      <c r="C245" s="2">
        <v>1.2670000000000001E-2</v>
      </c>
      <c r="D245" s="3">
        <v>139000</v>
      </c>
      <c r="E245" s="3">
        <v>132000000000</v>
      </c>
      <c r="F245" s="3">
        <v>118000000000</v>
      </c>
      <c r="G245" s="3">
        <v>1770000000</v>
      </c>
      <c r="H245" s="3">
        <v>13300000000</v>
      </c>
      <c r="I245" s="2"/>
      <c r="J245" s="7">
        <f t="shared" si="66"/>
        <v>0.17700000000000002</v>
      </c>
      <c r="K245" s="7">
        <f t="shared" si="67"/>
        <v>12.67</v>
      </c>
      <c r="L245" s="7">
        <f t="shared" si="68"/>
        <v>132</v>
      </c>
      <c r="M245" s="7">
        <f t="shared" si="69"/>
        <v>139</v>
      </c>
      <c r="O245">
        <f t="shared" si="70"/>
        <v>0.10863669064748203</v>
      </c>
      <c r="P245">
        <f t="shared" si="71"/>
        <v>108.63669064748204</v>
      </c>
      <c r="V245">
        <f t="shared" si="72"/>
        <v>510.05593480922425</v>
      </c>
      <c r="W245">
        <f t="shared" si="73"/>
        <v>136.25956538667668</v>
      </c>
      <c r="AE245">
        <f t="shared" si="74"/>
        <v>0.4713820070471601</v>
      </c>
      <c r="AF245">
        <f t="shared" si="75"/>
        <v>0.45685500313955341</v>
      </c>
      <c r="AG245">
        <f t="shared" si="76"/>
        <v>0.45802928638032264</v>
      </c>
      <c r="AI245">
        <f t="shared" si="77"/>
        <v>0.15645484744313032</v>
      </c>
      <c r="AJ245">
        <f t="shared" si="78"/>
        <v>18.150187113308117</v>
      </c>
      <c r="AL245">
        <f t="shared" si="79"/>
        <v>0.16142977420227994</v>
      </c>
      <c r="AM245">
        <f t="shared" si="80"/>
        <v>19.322812439176051</v>
      </c>
      <c r="AO245">
        <f t="shared" si="81"/>
        <v>0.16101590486238476</v>
      </c>
      <c r="AP245">
        <f t="shared" si="82"/>
        <v>19.223860826713949</v>
      </c>
    </row>
    <row r="246" spans="1:42" x14ac:dyDescent="0.2">
      <c r="A246" s="3">
        <v>240</v>
      </c>
      <c r="B246" s="3">
        <v>1.7700000000000001E-7</v>
      </c>
      <c r="C246" s="2">
        <v>1.272E-2</v>
      </c>
      <c r="D246" s="3">
        <v>152000</v>
      </c>
      <c r="E246" s="3">
        <v>142000000000</v>
      </c>
      <c r="F246" s="3">
        <v>126000000000</v>
      </c>
      <c r="G246" s="3">
        <v>30500000000</v>
      </c>
      <c r="H246" s="3">
        <v>12600000000</v>
      </c>
      <c r="I246" s="2"/>
      <c r="J246" s="7">
        <f t="shared" si="66"/>
        <v>0.17700000000000002</v>
      </c>
      <c r="K246" s="7">
        <f t="shared" si="67"/>
        <v>12.72</v>
      </c>
      <c r="L246" s="7">
        <f t="shared" si="68"/>
        <v>142</v>
      </c>
      <c r="M246" s="7">
        <f t="shared" si="69"/>
        <v>152</v>
      </c>
      <c r="O246">
        <f t="shared" si="70"/>
        <v>0.11423684210526318</v>
      </c>
      <c r="P246">
        <f t="shared" si="71"/>
        <v>114.23684210526318</v>
      </c>
      <c r="V246">
        <f t="shared" si="72"/>
        <v>521.54139221935247</v>
      </c>
      <c r="W246">
        <f t="shared" si="73"/>
        <v>145.72189500931412</v>
      </c>
      <c r="AE246">
        <f t="shared" si="74"/>
        <v>0.5154680940371823</v>
      </c>
      <c r="AF246">
        <f t="shared" si="75"/>
        <v>0.49958244947634617</v>
      </c>
      <c r="AG246">
        <f t="shared" si="76"/>
        <v>0.50086655776841038</v>
      </c>
      <c r="AI246">
        <f t="shared" si="77"/>
        <v>0.14307384075391522</v>
      </c>
      <c r="AJ246">
        <f t="shared" si="78"/>
        <v>15.238212572006841</v>
      </c>
      <c r="AL246">
        <f t="shared" si="79"/>
        <v>0.14762328035603234</v>
      </c>
      <c r="AM246">
        <f t="shared" si="80"/>
        <v>16.222704570427769</v>
      </c>
      <c r="AO246">
        <f t="shared" si="81"/>
        <v>0.14724480773599657</v>
      </c>
      <c r="AP246">
        <f t="shared" si="82"/>
        <v>16.139628528532047</v>
      </c>
    </row>
    <row r="247" spans="1:42" x14ac:dyDescent="0.2">
      <c r="A247" s="3">
        <v>250</v>
      </c>
      <c r="B247" s="3">
        <v>1.7800000000000001E-7</v>
      </c>
      <c r="C247" s="2">
        <v>1.277E-2</v>
      </c>
      <c r="D247" s="3">
        <v>138000</v>
      </c>
      <c r="E247" s="3">
        <v>132000000000</v>
      </c>
      <c r="F247" s="3">
        <v>117000000000</v>
      </c>
      <c r="G247" s="2">
        <v>0</v>
      </c>
      <c r="H247" s="3">
        <v>13400000000</v>
      </c>
      <c r="I247" s="2"/>
      <c r="J247" s="7">
        <f t="shared" si="66"/>
        <v>0.17800000000000002</v>
      </c>
      <c r="K247" s="7">
        <f t="shared" si="67"/>
        <v>12.77</v>
      </c>
      <c r="L247" s="7">
        <f t="shared" si="68"/>
        <v>132</v>
      </c>
      <c r="M247" s="7">
        <f t="shared" si="69"/>
        <v>138</v>
      </c>
      <c r="O247">
        <f t="shared" si="70"/>
        <v>0.10859782608695655</v>
      </c>
      <c r="P247">
        <f t="shared" si="71"/>
        <v>108.59782608695654</v>
      </c>
      <c r="V247">
        <f t="shared" si="72"/>
        <v>509.97508823051965</v>
      </c>
      <c r="W247">
        <f t="shared" si="73"/>
        <v>135.30072662845549</v>
      </c>
      <c r="AE247">
        <f t="shared" si="74"/>
        <v>0.46799076958638913</v>
      </c>
      <c r="AF247">
        <f t="shared" si="75"/>
        <v>0.45356827649826165</v>
      </c>
      <c r="AG247">
        <f t="shared" si="76"/>
        <v>0.45473411165816208</v>
      </c>
      <c r="AI247">
        <f t="shared" si="77"/>
        <v>0.15847890917210883</v>
      </c>
      <c r="AJ247">
        <f t="shared" si="78"/>
        <v>18.559523278253838</v>
      </c>
      <c r="AL247">
        <f t="shared" si="79"/>
        <v>0.16351819672941992</v>
      </c>
      <c r="AM247">
        <f t="shared" si="80"/>
        <v>19.758594499737754</v>
      </c>
      <c r="AO247">
        <f t="shared" si="81"/>
        <v>0.16309897314767557</v>
      </c>
      <c r="AP247">
        <f t="shared" si="82"/>
        <v>19.657411258846281</v>
      </c>
    </row>
    <row r="248" spans="1:42" x14ac:dyDescent="0.2">
      <c r="A248" s="3">
        <v>250</v>
      </c>
      <c r="B248" s="3">
        <v>1.79E-7</v>
      </c>
      <c r="C248" s="2">
        <v>1.282E-2</v>
      </c>
      <c r="D248" s="3">
        <v>137000</v>
      </c>
      <c r="E248" s="3">
        <v>130000000000</v>
      </c>
      <c r="F248" s="3">
        <v>116000000000</v>
      </c>
      <c r="G248" s="2">
        <v>0</v>
      </c>
      <c r="H248" s="3">
        <v>13500000000</v>
      </c>
      <c r="I248" s="2"/>
      <c r="J248" s="7">
        <f t="shared" si="66"/>
        <v>0.17899999999999999</v>
      </c>
      <c r="K248" s="7">
        <f t="shared" si="67"/>
        <v>12.82</v>
      </c>
      <c r="L248" s="7">
        <f t="shared" si="68"/>
        <v>130</v>
      </c>
      <c r="M248" s="7">
        <f t="shared" si="69"/>
        <v>137</v>
      </c>
      <c r="O248">
        <f t="shared" si="70"/>
        <v>0.10881751824817518</v>
      </c>
      <c r="P248">
        <f t="shared" si="71"/>
        <v>108.81751824817518</v>
      </c>
      <c r="V248">
        <f t="shared" si="72"/>
        <v>510.43188312177296</v>
      </c>
      <c r="W248">
        <f t="shared" si="73"/>
        <v>134.20008088260047</v>
      </c>
      <c r="AE248">
        <f t="shared" si="74"/>
        <v>0.46459953212561822</v>
      </c>
      <c r="AF248">
        <f t="shared" si="75"/>
        <v>0.45028154985696989</v>
      </c>
      <c r="AG248">
        <f t="shared" si="76"/>
        <v>0.45143893693600146</v>
      </c>
      <c r="AI248">
        <f t="shared" si="77"/>
        <v>0.16053251924749576</v>
      </c>
      <c r="AJ248">
        <f t="shared" si="78"/>
        <v>18.905187242713307</v>
      </c>
      <c r="AL248">
        <f t="shared" si="79"/>
        <v>0.16563710717666411</v>
      </c>
      <c r="AM248">
        <f t="shared" si="80"/>
        <v>20.126590703332539</v>
      </c>
      <c r="AO248">
        <f t="shared" si="81"/>
        <v>0.16521245118895603</v>
      </c>
      <c r="AP248">
        <f t="shared" si="82"/>
        <v>20.023522963595969</v>
      </c>
    </row>
    <row r="249" spans="1:42" x14ac:dyDescent="0.2">
      <c r="A249" s="3">
        <v>250</v>
      </c>
      <c r="B249" s="3">
        <v>1.79E-7</v>
      </c>
      <c r="C249" s="2">
        <v>1.2880000000000001E-2</v>
      </c>
      <c r="D249" s="3">
        <v>155000</v>
      </c>
      <c r="E249" s="3">
        <v>143000000000</v>
      </c>
      <c r="F249" s="3">
        <v>126000000000</v>
      </c>
      <c r="G249" s="2">
        <v>0</v>
      </c>
      <c r="H249" s="3">
        <v>12500000000</v>
      </c>
      <c r="I249" s="2"/>
      <c r="J249" s="7">
        <f t="shared" si="66"/>
        <v>0.17899999999999999</v>
      </c>
      <c r="K249" s="7">
        <f t="shared" si="67"/>
        <v>12.88</v>
      </c>
      <c r="L249" s="7">
        <f t="shared" si="68"/>
        <v>143</v>
      </c>
      <c r="M249" s="7">
        <f t="shared" si="69"/>
        <v>155</v>
      </c>
      <c r="O249">
        <f t="shared" si="70"/>
        <v>0.11667741935483869</v>
      </c>
      <c r="P249">
        <f t="shared" si="71"/>
        <v>116.67741935483869</v>
      </c>
      <c r="V249">
        <f t="shared" si="72"/>
        <v>526.44860932433483</v>
      </c>
      <c r="W249">
        <f t="shared" si="73"/>
        <v>147.21284970144873</v>
      </c>
      <c r="AE249">
        <f t="shared" si="74"/>
        <v>0.52564180641949509</v>
      </c>
      <c r="AF249">
        <f t="shared" si="75"/>
        <v>0.50944262940022145</v>
      </c>
      <c r="AG249">
        <f t="shared" si="76"/>
        <v>0.51075208193489219</v>
      </c>
      <c r="AI249">
        <f t="shared" si="77"/>
        <v>0.14189003314133494</v>
      </c>
      <c r="AJ249">
        <f t="shared" si="78"/>
        <v>14.838382393980856</v>
      </c>
      <c r="AL249">
        <f t="shared" si="79"/>
        <v>0.14640183021421277</v>
      </c>
      <c r="AM249">
        <f t="shared" si="80"/>
        <v>15.797042648085723</v>
      </c>
      <c r="AO249">
        <f t="shared" si="81"/>
        <v>0.14602648911539981</v>
      </c>
      <c r="AP249">
        <f t="shared" si="82"/>
        <v>15.716146409658677</v>
      </c>
    </row>
    <row r="250" spans="1:42" x14ac:dyDescent="0.2">
      <c r="A250" s="3">
        <v>250</v>
      </c>
      <c r="B250" s="3">
        <v>1.8E-7</v>
      </c>
      <c r="C250" s="2">
        <v>1.2930000000000001E-2</v>
      </c>
      <c r="D250" s="3">
        <v>149000</v>
      </c>
      <c r="E250" s="3">
        <v>139000000000</v>
      </c>
      <c r="F250" s="3">
        <v>123000000000</v>
      </c>
      <c r="G250" s="2">
        <v>0</v>
      </c>
      <c r="H250" s="3">
        <v>12700000000</v>
      </c>
      <c r="I250" s="2"/>
      <c r="J250" s="7">
        <f t="shared" si="66"/>
        <v>0.18</v>
      </c>
      <c r="K250" s="7">
        <f t="shared" si="67"/>
        <v>12.93</v>
      </c>
      <c r="L250" s="7">
        <f t="shared" si="68"/>
        <v>139</v>
      </c>
      <c r="M250" s="7">
        <f t="shared" si="69"/>
        <v>149</v>
      </c>
      <c r="O250">
        <f t="shared" si="70"/>
        <v>0.11491610738255033</v>
      </c>
      <c r="P250">
        <f t="shared" si="71"/>
        <v>114.91610738255032</v>
      </c>
      <c r="V250">
        <f t="shared" si="72"/>
        <v>522.91299322922566</v>
      </c>
      <c r="W250">
        <f t="shared" si="73"/>
        <v>142.47112036732651</v>
      </c>
      <c r="AE250">
        <f t="shared" si="74"/>
        <v>0.50529438165486951</v>
      </c>
      <c r="AF250">
        <f t="shared" si="75"/>
        <v>0.48972226955247089</v>
      </c>
      <c r="AG250">
        <f t="shared" si="76"/>
        <v>0.49098103360192863</v>
      </c>
      <c r="AI250">
        <f t="shared" si="77"/>
        <v>0.14842832757089142</v>
      </c>
      <c r="AJ250">
        <f t="shared" si="78"/>
        <v>16.119816002108465</v>
      </c>
      <c r="AL250">
        <f t="shared" si="79"/>
        <v>0.15314802830702023</v>
      </c>
      <c r="AM250">
        <f t="shared" si="80"/>
        <v>17.161265568132166</v>
      </c>
      <c r="AO250">
        <f t="shared" si="81"/>
        <v>0.15275539148587061</v>
      </c>
      <c r="AP250">
        <f t="shared" si="82"/>
        <v>17.073383180141157</v>
      </c>
    </row>
    <row r="251" spans="1:42" x14ac:dyDescent="0.2">
      <c r="A251" s="3">
        <v>250</v>
      </c>
      <c r="B251" s="3">
        <v>1.8E-7</v>
      </c>
      <c r="C251" s="2">
        <v>1.299E-2</v>
      </c>
      <c r="D251" s="3">
        <v>164000</v>
      </c>
      <c r="E251" s="3">
        <v>150000000000</v>
      </c>
      <c r="F251" s="3">
        <v>132000000000</v>
      </c>
      <c r="G251" s="3">
        <v>7230000000</v>
      </c>
      <c r="H251" s="3">
        <v>12100000000</v>
      </c>
      <c r="I251" s="2"/>
      <c r="J251" s="7">
        <f t="shared" si="66"/>
        <v>0.18</v>
      </c>
      <c r="K251" s="7">
        <f t="shared" si="67"/>
        <v>12.99</v>
      </c>
      <c r="L251" s="7">
        <f t="shared" si="68"/>
        <v>150</v>
      </c>
      <c r="M251" s="7">
        <f t="shared" si="69"/>
        <v>164</v>
      </c>
      <c r="O251">
        <f t="shared" si="70"/>
        <v>0.12059451219512195</v>
      </c>
      <c r="P251">
        <f t="shared" si="71"/>
        <v>120.59451219512195</v>
      </c>
      <c r="V251">
        <f t="shared" si="72"/>
        <v>534.20655541625104</v>
      </c>
      <c r="W251">
        <f t="shared" si="73"/>
        <v>153.49867793386775</v>
      </c>
      <c r="AE251">
        <f t="shared" si="74"/>
        <v>0.55616294356643348</v>
      </c>
      <c r="AF251">
        <f t="shared" si="75"/>
        <v>0.53902316917184723</v>
      </c>
      <c r="AG251">
        <f t="shared" si="76"/>
        <v>0.5404086544343375</v>
      </c>
      <c r="AI251">
        <f t="shared" si="77"/>
        <v>0.1348525659028221</v>
      </c>
      <c r="AJ251">
        <f t="shared" si="78"/>
        <v>13.36766480962649</v>
      </c>
      <c r="AL251">
        <f t="shared" si="79"/>
        <v>0.13914058669357324</v>
      </c>
      <c r="AM251">
        <f t="shared" si="80"/>
        <v>14.231306721724913</v>
      </c>
      <c r="AO251">
        <f t="shared" si="81"/>
        <v>0.13878386177679711</v>
      </c>
      <c r="AP251">
        <f t="shared" si="82"/>
        <v>14.158428575648086</v>
      </c>
    </row>
    <row r="252" spans="1:42" x14ac:dyDescent="0.2">
      <c r="A252" s="3">
        <v>250</v>
      </c>
      <c r="B252" s="3">
        <v>1.8099999999999999E-7</v>
      </c>
      <c r="C252" s="2">
        <v>1.304E-2</v>
      </c>
      <c r="D252" s="3">
        <v>151000</v>
      </c>
      <c r="E252" s="3">
        <v>140000000000</v>
      </c>
      <c r="F252" s="3">
        <v>124000000000</v>
      </c>
      <c r="G252" s="2">
        <v>0</v>
      </c>
      <c r="H252" s="3">
        <v>12600000000</v>
      </c>
      <c r="I252" s="2"/>
      <c r="J252" s="7">
        <f t="shared" si="66"/>
        <v>0.18099999999999999</v>
      </c>
      <c r="K252" s="7">
        <f t="shared" si="67"/>
        <v>13.04</v>
      </c>
      <c r="L252" s="7">
        <f t="shared" si="68"/>
        <v>140</v>
      </c>
      <c r="M252" s="7">
        <f t="shared" si="69"/>
        <v>151</v>
      </c>
      <c r="O252">
        <f t="shared" si="70"/>
        <v>0.1162317880794702</v>
      </c>
      <c r="P252">
        <f t="shared" si="71"/>
        <v>116.23178807947019</v>
      </c>
      <c r="V252">
        <f t="shared" si="72"/>
        <v>525.55688467437221</v>
      </c>
      <c r="W252">
        <f t="shared" si="73"/>
        <v>143.65714197955708</v>
      </c>
      <c r="AE252">
        <f t="shared" si="74"/>
        <v>0.51207685657641133</v>
      </c>
      <c r="AF252">
        <f t="shared" si="75"/>
        <v>0.49629572283505441</v>
      </c>
      <c r="AG252">
        <f t="shared" si="76"/>
        <v>0.49757138304624982</v>
      </c>
      <c r="AI252">
        <f t="shared" si="77"/>
        <v>0.14727606939879953</v>
      </c>
      <c r="AJ252">
        <f t="shared" si="78"/>
        <v>15.829157088159905</v>
      </c>
      <c r="AL252">
        <f t="shared" si="79"/>
        <v>0.15195913080986123</v>
      </c>
      <c r="AM252">
        <f t="shared" si="80"/>
        <v>16.851828114791278</v>
      </c>
      <c r="AO252">
        <f t="shared" si="81"/>
        <v>0.15156954205233422</v>
      </c>
      <c r="AP252">
        <f t="shared" si="82"/>
        <v>16.765530347831014</v>
      </c>
    </row>
    <row r="253" spans="1:42" x14ac:dyDescent="0.2">
      <c r="A253" s="3">
        <v>250</v>
      </c>
      <c r="B253" s="3">
        <v>1.8099999999999999E-7</v>
      </c>
      <c r="C253" s="2">
        <v>1.3089999999999999E-2</v>
      </c>
      <c r="D253" s="3">
        <v>146000</v>
      </c>
      <c r="E253" s="3">
        <v>136000000000</v>
      </c>
      <c r="F253" s="3">
        <v>121000000000</v>
      </c>
      <c r="G253" s="3">
        <v>9590000000</v>
      </c>
      <c r="H253" s="3">
        <v>13000000000</v>
      </c>
      <c r="I253" s="2"/>
      <c r="J253" s="7">
        <f t="shared" si="66"/>
        <v>0.18099999999999999</v>
      </c>
      <c r="K253" s="7">
        <f t="shared" si="67"/>
        <v>13.09</v>
      </c>
      <c r="L253" s="7">
        <f t="shared" si="68"/>
        <v>136</v>
      </c>
      <c r="M253" s="7">
        <f t="shared" si="69"/>
        <v>146</v>
      </c>
      <c r="O253">
        <f t="shared" si="70"/>
        <v>0.11375684931506849</v>
      </c>
      <c r="P253">
        <f t="shared" si="71"/>
        <v>113.75684931506849</v>
      </c>
      <c r="V253">
        <f t="shared" si="72"/>
        <v>520.56942943149659</v>
      </c>
      <c r="W253">
        <f t="shared" si="73"/>
        <v>140.23105444305833</v>
      </c>
      <c r="AE253">
        <f t="shared" si="74"/>
        <v>0.49512066927255666</v>
      </c>
      <c r="AF253">
        <f t="shared" si="75"/>
        <v>0.47986208962859567</v>
      </c>
      <c r="AG253">
        <f t="shared" si="76"/>
        <v>0.48109550943544682</v>
      </c>
      <c r="AI253">
        <f t="shared" si="77"/>
        <v>0.15231977040560774</v>
      </c>
      <c r="AJ253">
        <f t="shared" si="78"/>
        <v>16.996833778126948</v>
      </c>
      <c r="AL253">
        <f t="shared" si="79"/>
        <v>0.15716321063211675</v>
      </c>
      <c r="AM253">
        <f t="shared" si="80"/>
        <v>18.094944647363413</v>
      </c>
      <c r="AO253">
        <f t="shared" si="81"/>
        <v>0.15676027979385254</v>
      </c>
      <c r="AP253">
        <f t="shared" si="82"/>
        <v>18.002280913452768</v>
      </c>
    </row>
    <row r="254" spans="1:42" x14ac:dyDescent="0.2">
      <c r="A254" s="3">
        <v>250</v>
      </c>
      <c r="B254" s="3">
        <v>1.8199999999999999E-7</v>
      </c>
      <c r="C254" s="2">
        <v>1.3140000000000001E-2</v>
      </c>
      <c r="D254" s="3">
        <v>133000</v>
      </c>
      <c r="E254" s="3">
        <v>126000000000</v>
      </c>
      <c r="F254" s="3">
        <v>113000000000</v>
      </c>
      <c r="G254" s="3">
        <v>13500000000</v>
      </c>
      <c r="H254" s="3">
        <v>13800000000</v>
      </c>
      <c r="I254" s="2"/>
      <c r="J254" s="7">
        <f t="shared" si="66"/>
        <v>0.182</v>
      </c>
      <c r="K254" s="7">
        <f t="shared" si="67"/>
        <v>13.14</v>
      </c>
      <c r="L254" s="7">
        <f t="shared" si="68"/>
        <v>126.00000000000001</v>
      </c>
      <c r="M254" s="7">
        <f t="shared" si="69"/>
        <v>133</v>
      </c>
      <c r="O254">
        <f t="shared" si="70"/>
        <v>0.10790225563909774</v>
      </c>
      <c r="P254">
        <f t="shared" si="71"/>
        <v>107.90225563909773</v>
      </c>
      <c r="V254">
        <f t="shared" si="72"/>
        <v>508.52541926692794</v>
      </c>
      <c r="W254">
        <f t="shared" si="73"/>
        <v>130.7702574551023</v>
      </c>
      <c r="AE254">
        <f t="shared" si="74"/>
        <v>0.45103458228253446</v>
      </c>
      <c r="AF254">
        <f t="shared" si="75"/>
        <v>0.4371346432918029</v>
      </c>
      <c r="AG254">
        <f t="shared" si="76"/>
        <v>0.43825823804735908</v>
      </c>
      <c r="AI254">
        <f t="shared" si="77"/>
        <v>0.16813197105544836</v>
      </c>
      <c r="AJ254">
        <f t="shared" si="78"/>
        <v>20.560145110632259</v>
      </c>
      <c r="AL254">
        <f t="shared" si="79"/>
        <v>0.17347820516415097</v>
      </c>
      <c r="AM254">
        <f t="shared" si="80"/>
        <v>21.888470086553291</v>
      </c>
      <c r="AO254">
        <f t="shared" si="81"/>
        <v>0.17303344637902421</v>
      </c>
      <c r="AP254">
        <f t="shared" si="82"/>
        <v>21.776379809001266</v>
      </c>
    </row>
    <row r="255" spans="1:42" x14ac:dyDescent="0.2">
      <c r="A255" s="3">
        <v>250</v>
      </c>
      <c r="B255" s="3">
        <v>1.8300000000000001E-7</v>
      </c>
      <c r="C255" s="2">
        <v>1.319E-2</v>
      </c>
      <c r="D255" s="3">
        <v>160000</v>
      </c>
      <c r="E255" s="3">
        <v>146000000000</v>
      </c>
      <c r="F255" s="3">
        <v>128000000000</v>
      </c>
      <c r="G255" s="2">
        <v>0</v>
      </c>
      <c r="H255" s="3">
        <v>12300000000</v>
      </c>
      <c r="I255" s="2"/>
      <c r="J255" s="7">
        <f t="shared" si="66"/>
        <v>0.18300000000000002</v>
      </c>
      <c r="K255" s="7">
        <f t="shared" si="67"/>
        <v>13.19</v>
      </c>
      <c r="L255" s="7">
        <f t="shared" si="68"/>
        <v>146</v>
      </c>
      <c r="M255" s="7">
        <f t="shared" si="69"/>
        <v>160</v>
      </c>
      <c r="O255">
        <f t="shared" si="70"/>
        <v>0.12117187500000003</v>
      </c>
      <c r="P255">
        <f t="shared" si="71"/>
        <v>121.17187500000003</v>
      </c>
      <c r="V255">
        <f t="shared" si="72"/>
        <v>535.33811077057192</v>
      </c>
      <c r="W255">
        <f t="shared" si="73"/>
        <v>149.43826787307756</v>
      </c>
      <c r="AE255">
        <f t="shared" si="74"/>
        <v>0.54259799372334971</v>
      </c>
      <c r="AF255">
        <f t="shared" si="75"/>
        <v>0.52587626260668019</v>
      </c>
      <c r="AG255">
        <f t="shared" si="76"/>
        <v>0.52722795554569513</v>
      </c>
      <c r="AI255">
        <f t="shared" si="77"/>
        <v>0.1405276113845659</v>
      </c>
      <c r="AJ255">
        <f t="shared" si="78"/>
        <v>14.260636910523205</v>
      </c>
      <c r="AL255">
        <f t="shared" si="79"/>
        <v>0.14499608638359449</v>
      </c>
      <c r="AM255">
        <f t="shared" si="80"/>
        <v>15.181970883550145</v>
      </c>
      <c r="AO255">
        <f t="shared" si="81"/>
        <v>0.14462434929323734</v>
      </c>
      <c r="AP255">
        <f t="shared" si="82"/>
        <v>15.104224411394043</v>
      </c>
    </row>
    <row r="256" spans="1:42" x14ac:dyDescent="0.2">
      <c r="A256" s="3">
        <v>250</v>
      </c>
      <c r="B256" s="3">
        <v>1.8300000000000001E-7</v>
      </c>
      <c r="C256" s="2">
        <v>1.324E-2</v>
      </c>
      <c r="D256" s="3">
        <v>127000</v>
      </c>
      <c r="E256" s="3">
        <v>122000000000</v>
      </c>
      <c r="F256" s="3">
        <v>110000000000</v>
      </c>
      <c r="G256" s="3">
        <v>7550000000</v>
      </c>
      <c r="H256" s="3">
        <v>14400000000</v>
      </c>
      <c r="I256" s="2"/>
      <c r="J256" s="7">
        <f t="shared" si="66"/>
        <v>0.18300000000000002</v>
      </c>
      <c r="K256" s="7">
        <f t="shared" si="67"/>
        <v>13.24</v>
      </c>
      <c r="L256" s="7">
        <f t="shared" si="68"/>
        <v>122.00000000000001</v>
      </c>
      <c r="M256" s="7">
        <f t="shared" si="69"/>
        <v>127</v>
      </c>
      <c r="O256">
        <f t="shared" si="70"/>
        <v>0.10481102362204728</v>
      </c>
      <c r="P256">
        <f t="shared" si="71"/>
        <v>104.81102362204727</v>
      </c>
      <c r="V256">
        <f t="shared" si="72"/>
        <v>502.01902575277012</v>
      </c>
      <c r="W256">
        <f t="shared" si="73"/>
        <v>126.48922997446698</v>
      </c>
      <c r="AE256">
        <f t="shared" si="74"/>
        <v>0.43068715751790887</v>
      </c>
      <c r="AF256">
        <f t="shared" si="75"/>
        <v>0.4174142834440524</v>
      </c>
      <c r="AG256">
        <f t="shared" si="76"/>
        <v>0.41848718971439552</v>
      </c>
      <c r="AI256">
        <f t="shared" si="77"/>
        <v>0.17704266001205149</v>
      </c>
      <c r="AJ256">
        <f t="shared" si="78"/>
        <v>22.72033002398252</v>
      </c>
      <c r="AL256">
        <f t="shared" si="79"/>
        <v>0.18267223481397726</v>
      </c>
      <c r="AM256">
        <f t="shared" si="80"/>
        <v>24.188217612792265</v>
      </c>
      <c r="AO256">
        <f t="shared" si="81"/>
        <v>0.18220390462140137</v>
      </c>
      <c r="AP256">
        <f t="shared" si="82"/>
        <v>24.064350388861783</v>
      </c>
    </row>
    <row r="257" spans="1:42" x14ac:dyDescent="0.2">
      <c r="A257" s="3">
        <v>260</v>
      </c>
      <c r="B257" s="3">
        <v>1.8400000000000001E-7</v>
      </c>
      <c r="C257" s="2">
        <v>1.329E-2</v>
      </c>
      <c r="D257" s="3">
        <v>127000</v>
      </c>
      <c r="E257" s="3">
        <v>122000000000</v>
      </c>
      <c r="F257" s="3">
        <v>110000000000</v>
      </c>
      <c r="G257" s="2">
        <v>0</v>
      </c>
      <c r="H257" s="3">
        <v>14300000000</v>
      </c>
      <c r="I257" s="2"/>
      <c r="J257" s="7">
        <f t="shared" si="66"/>
        <v>0.184</v>
      </c>
      <c r="K257" s="7">
        <f t="shared" si="67"/>
        <v>13.29</v>
      </c>
      <c r="L257" s="7">
        <f t="shared" si="68"/>
        <v>122.00000000000001</v>
      </c>
      <c r="M257" s="7">
        <f t="shared" si="69"/>
        <v>127</v>
      </c>
      <c r="O257">
        <f t="shared" si="70"/>
        <v>0.10551574803149606</v>
      </c>
      <c r="P257">
        <f t="shared" si="71"/>
        <v>105.51574803149606</v>
      </c>
      <c r="V257">
        <f t="shared" si="72"/>
        <v>503.51163013769644</v>
      </c>
      <c r="W257">
        <f t="shared" si="73"/>
        <v>126.11426668066142</v>
      </c>
      <c r="AE257">
        <f t="shared" si="74"/>
        <v>0.43068715751790887</v>
      </c>
      <c r="AF257">
        <f t="shared" si="75"/>
        <v>0.4174142834440524</v>
      </c>
      <c r="AG257">
        <f t="shared" si="76"/>
        <v>0.41848718971439552</v>
      </c>
      <c r="AI257">
        <f t="shared" si="77"/>
        <v>0.17801010624162553</v>
      </c>
      <c r="AJ257">
        <f t="shared" si="78"/>
        <v>22.806131874526258</v>
      </c>
      <c r="AL257">
        <f t="shared" si="79"/>
        <v>0.18367044374738695</v>
      </c>
      <c r="AM257">
        <f t="shared" si="80"/>
        <v>24.27956284546897</v>
      </c>
      <c r="AO257">
        <f t="shared" si="81"/>
        <v>0.18319955437343086</v>
      </c>
      <c r="AP257">
        <f t="shared" si="82"/>
        <v>24.155227845013073</v>
      </c>
    </row>
    <row r="258" spans="1:42" x14ac:dyDescent="0.2">
      <c r="A258" s="3">
        <v>260</v>
      </c>
      <c r="B258" s="3">
        <v>1.85E-7</v>
      </c>
      <c r="C258" s="2">
        <v>1.3339999999999999E-2</v>
      </c>
      <c r="D258" s="3">
        <v>131000</v>
      </c>
      <c r="E258" s="3">
        <v>124000000000</v>
      </c>
      <c r="F258" s="3">
        <v>111000000000</v>
      </c>
      <c r="G258" s="3">
        <v>6150000000</v>
      </c>
      <c r="H258" s="3">
        <v>14000000000</v>
      </c>
      <c r="I258" s="2"/>
      <c r="J258" s="7">
        <f t="shared" si="66"/>
        <v>0.185</v>
      </c>
      <c r="K258" s="7">
        <f t="shared" si="67"/>
        <v>13.34</v>
      </c>
      <c r="L258" s="7">
        <f t="shared" si="68"/>
        <v>124.00000000000001</v>
      </c>
      <c r="M258" s="7">
        <f t="shared" si="69"/>
        <v>131</v>
      </c>
      <c r="O258">
        <f t="shared" si="70"/>
        <v>0.10862595419847328</v>
      </c>
      <c r="P258">
        <f t="shared" si="71"/>
        <v>108.62595419847328</v>
      </c>
      <c r="V258">
        <f t="shared" si="72"/>
        <v>510.03360231502501</v>
      </c>
      <c r="W258">
        <f t="shared" si="73"/>
        <v>128.42291116251508</v>
      </c>
      <c r="AE258">
        <f t="shared" si="74"/>
        <v>0.44425210736099263</v>
      </c>
      <c r="AF258">
        <f t="shared" si="75"/>
        <v>0.43056119000921939</v>
      </c>
      <c r="AG258">
        <f t="shared" si="76"/>
        <v>0.4316678886030379</v>
      </c>
      <c r="AI258">
        <f t="shared" si="77"/>
        <v>0.17351258903696448</v>
      </c>
      <c r="AJ258">
        <f t="shared" si="78"/>
        <v>21.515296256142065</v>
      </c>
      <c r="AL258">
        <f t="shared" si="79"/>
        <v>0.17902991519436018</v>
      </c>
      <c r="AM258">
        <f t="shared" si="80"/>
        <v>22.905330481464468</v>
      </c>
      <c r="AO258">
        <f t="shared" si="81"/>
        <v>0.17857092308346159</v>
      </c>
      <c r="AP258">
        <f t="shared" si="82"/>
        <v>22.788032888670827</v>
      </c>
    </row>
    <row r="259" spans="1:42" x14ac:dyDescent="0.2">
      <c r="A259" s="3">
        <v>260</v>
      </c>
      <c r="B259" s="3">
        <v>1.85E-7</v>
      </c>
      <c r="C259" s="2">
        <v>1.34E-2</v>
      </c>
      <c r="D259" s="3">
        <v>130000</v>
      </c>
      <c r="E259" s="3">
        <v>124000000000</v>
      </c>
      <c r="F259" s="3">
        <v>111000000000</v>
      </c>
      <c r="G259" s="2">
        <v>0</v>
      </c>
      <c r="H259" s="3">
        <v>14100000000</v>
      </c>
      <c r="I259" s="2"/>
      <c r="J259" s="7">
        <f t="shared" si="66"/>
        <v>0.185</v>
      </c>
      <c r="K259" s="7">
        <f t="shared" si="67"/>
        <v>13.4</v>
      </c>
      <c r="L259" s="7">
        <f t="shared" si="68"/>
        <v>124.00000000000001</v>
      </c>
      <c r="M259" s="7">
        <f t="shared" si="69"/>
        <v>130</v>
      </c>
      <c r="O259">
        <f t="shared" si="70"/>
        <v>0.10769230769230768</v>
      </c>
      <c r="P259">
        <f t="shared" si="71"/>
        <v>107.69230769230768</v>
      </c>
      <c r="V259">
        <f t="shared" si="72"/>
        <v>508.08683544233037</v>
      </c>
      <c r="W259">
        <f t="shared" si="73"/>
        <v>127.93088792275495</v>
      </c>
      <c r="AE259">
        <f t="shared" si="74"/>
        <v>0.44086086990022166</v>
      </c>
      <c r="AF259">
        <f t="shared" si="75"/>
        <v>0.42727446336792763</v>
      </c>
      <c r="AG259">
        <f t="shared" si="76"/>
        <v>0.42837271388087733</v>
      </c>
      <c r="AI259">
        <f t="shared" si="77"/>
        <v>0.17484730126032577</v>
      </c>
      <c r="AJ259">
        <f t="shared" si="78"/>
        <v>21.945838858494561</v>
      </c>
      <c r="AL259">
        <f t="shared" si="79"/>
        <v>0.18040706838816292</v>
      </c>
      <c r="AM259">
        <f t="shared" si="80"/>
        <v>23.363689059279459</v>
      </c>
      <c r="AO259">
        <f t="shared" si="81"/>
        <v>0.17994454556871894</v>
      </c>
      <c r="AP259">
        <f t="shared" si="82"/>
        <v>23.244044224307519</v>
      </c>
    </row>
    <row r="260" spans="1:42" x14ac:dyDescent="0.2">
      <c r="A260" s="3">
        <v>260</v>
      </c>
      <c r="B260" s="3">
        <v>1.86E-7</v>
      </c>
      <c r="C260" s="2">
        <v>1.345E-2</v>
      </c>
      <c r="D260" s="3">
        <v>150000</v>
      </c>
      <c r="E260" s="3">
        <v>137000000000</v>
      </c>
      <c r="F260" s="3">
        <v>121000000000</v>
      </c>
      <c r="G260" s="2">
        <v>0</v>
      </c>
      <c r="H260" s="3">
        <v>12700000000</v>
      </c>
      <c r="I260" s="2"/>
      <c r="J260" s="7">
        <f t="shared" si="66"/>
        <v>0.186</v>
      </c>
      <c r="K260" s="7">
        <f t="shared" si="67"/>
        <v>13.45</v>
      </c>
      <c r="L260" s="7">
        <f t="shared" si="68"/>
        <v>137</v>
      </c>
      <c r="M260" s="7">
        <f t="shared" si="69"/>
        <v>150</v>
      </c>
      <c r="O260">
        <f t="shared" si="70"/>
        <v>0.11875000000000001</v>
      </c>
      <c r="P260">
        <f t="shared" si="71"/>
        <v>118.75000000000001</v>
      </c>
      <c r="V260">
        <f t="shared" si="72"/>
        <v>530.57119672421857</v>
      </c>
      <c r="W260">
        <f t="shared" si="73"/>
        <v>141.35708923336759</v>
      </c>
      <c r="AE260">
        <f t="shared" si="74"/>
        <v>0.50868561911564036</v>
      </c>
      <c r="AF260">
        <f t="shared" si="75"/>
        <v>0.49300899619376265</v>
      </c>
      <c r="AG260">
        <f t="shared" si="76"/>
        <v>0.49427620832408919</v>
      </c>
      <c r="AI260">
        <f t="shared" si="77"/>
        <v>0.15235343223332168</v>
      </c>
      <c r="AJ260">
        <f t="shared" si="78"/>
        <v>16.545269989154576</v>
      </c>
      <c r="AL260">
        <f t="shared" si="79"/>
        <v>0.15719794283336141</v>
      </c>
      <c r="AM260">
        <f t="shared" si="80"/>
        <v>17.614206771540683</v>
      </c>
      <c r="AO260">
        <f t="shared" si="81"/>
        <v>0.15679492294960809</v>
      </c>
      <c r="AP260">
        <f t="shared" si="82"/>
        <v>17.524004883602721</v>
      </c>
    </row>
    <row r="261" spans="1:42" x14ac:dyDescent="0.2">
      <c r="A261" s="3">
        <v>260</v>
      </c>
      <c r="B261" s="3">
        <v>1.8699999999999999E-7</v>
      </c>
      <c r="C261" s="2">
        <v>1.35E-2</v>
      </c>
      <c r="D261" s="3">
        <v>138000</v>
      </c>
      <c r="E261" s="3">
        <v>127000000000</v>
      </c>
      <c r="F261" s="3">
        <v>114000000000</v>
      </c>
      <c r="G261" s="2">
        <v>0</v>
      </c>
      <c r="H261" s="3">
        <v>13400000000</v>
      </c>
      <c r="I261" s="2"/>
      <c r="J261" s="7">
        <f t="shared" ref="J261:J324" si="83">B261*(10^6)</f>
        <v>0.187</v>
      </c>
      <c r="K261" s="7">
        <f t="shared" ref="K261:K324" si="84">C261*1000</f>
        <v>13.5</v>
      </c>
      <c r="L261" s="7">
        <f t="shared" ref="L261:L324" si="85">E261*(10^-9)</f>
        <v>127.00000000000001</v>
      </c>
      <c r="M261" s="7">
        <f t="shared" ref="M261:M324" si="86">D261*(10^-3)</f>
        <v>138</v>
      </c>
      <c r="O261">
        <f t="shared" ref="O261:O324" si="87">J261-(0.75*(K261/M261))</f>
        <v>0.11363043478260869</v>
      </c>
      <c r="P261">
        <f t="shared" ref="P261:P324" si="88">O261*1000</f>
        <v>113.63043478260869</v>
      </c>
      <c r="V261">
        <f t="shared" ref="V261:V324" si="89">$S$3*(P261^$S$4)</f>
        <v>520.31306610272929</v>
      </c>
      <c r="W261">
        <f t="shared" ref="W261:W324" si="90">M261/(2*(V261/1000))</f>
        <v>132.61246832955143</v>
      </c>
      <c r="AE261">
        <f t="shared" si="74"/>
        <v>0.46799076958638913</v>
      </c>
      <c r="AF261">
        <f t="shared" si="75"/>
        <v>0.45356827649826165</v>
      </c>
      <c r="AG261">
        <f t="shared" si="76"/>
        <v>0.45473411165816208</v>
      </c>
      <c r="AI261">
        <f t="shared" si="77"/>
        <v>0.16649188772575477</v>
      </c>
      <c r="AJ261">
        <f t="shared" si="78"/>
        <v>19.620482713894035</v>
      </c>
      <c r="AL261">
        <f t="shared" si="79"/>
        <v>0.17178597072135687</v>
      </c>
      <c r="AM261">
        <f t="shared" si="80"/>
        <v>20.888099118751736</v>
      </c>
      <c r="AO261">
        <f t="shared" si="81"/>
        <v>0.17134555044165914</v>
      </c>
      <c r="AP261">
        <f t="shared" si="82"/>
        <v>20.781131714520342</v>
      </c>
    </row>
    <row r="262" spans="1:42" x14ac:dyDescent="0.2">
      <c r="A262" s="3">
        <v>260</v>
      </c>
      <c r="B262" s="3">
        <v>1.9000000000000001E-7</v>
      </c>
      <c r="C262" s="2">
        <v>1.355E-2</v>
      </c>
      <c r="D262" s="3">
        <v>161000</v>
      </c>
      <c r="E262" s="3">
        <v>142000000000</v>
      </c>
      <c r="F262" s="3">
        <v>126000000000</v>
      </c>
      <c r="G262" s="3">
        <v>12300000000</v>
      </c>
      <c r="H262" s="3">
        <v>12000000000</v>
      </c>
      <c r="I262" s="2"/>
      <c r="J262" s="7">
        <f t="shared" si="83"/>
        <v>0.19</v>
      </c>
      <c r="K262" s="7">
        <f t="shared" si="84"/>
        <v>13.549999999999999</v>
      </c>
      <c r="L262" s="7">
        <f t="shared" si="85"/>
        <v>142</v>
      </c>
      <c r="M262" s="7">
        <f t="shared" si="86"/>
        <v>161</v>
      </c>
      <c r="O262">
        <f t="shared" si="87"/>
        <v>0.12687888198757763</v>
      </c>
      <c r="P262">
        <f t="shared" si="88"/>
        <v>126.87888198757763</v>
      </c>
      <c r="V262">
        <f t="shared" si="89"/>
        <v>546.36520136349554</v>
      </c>
      <c r="W262">
        <f t="shared" si="90"/>
        <v>147.33734835071155</v>
      </c>
      <c r="AE262">
        <f t="shared" si="74"/>
        <v>0.54598923118412068</v>
      </c>
      <c r="AF262">
        <f t="shared" si="75"/>
        <v>0.52916298924797189</v>
      </c>
      <c r="AG262">
        <f t="shared" si="76"/>
        <v>0.53052313026785569</v>
      </c>
      <c r="AI262">
        <f t="shared" si="77"/>
        <v>0.14499675478026006</v>
      </c>
      <c r="AJ262">
        <f t="shared" si="78"/>
        <v>14.468437593102811</v>
      </c>
      <c r="AL262">
        <f t="shared" si="79"/>
        <v>0.14960733890171646</v>
      </c>
      <c r="AM262">
        <f t="shared" si="80"/>
        <v>15.40319690117475</v>
      </c>
      <c r="AO262">
        <f t="shared" si="81"/>
        <v>0.14922377960541747</v>
      </c>
      <c r="AP262">
        <f t="shared" si="82"/>
        <v>15.324317536421805</v>
      </c>
    </row>
    <row r="263" spans="1:42" x14ac:dyDescent="0.2">
      <c r="A263" s="3">
        <v>260</v>
      </c>
      <c r="B263" s="3">
        <v>1.91E-7</v>
      </c>
      <c r="C263" s="2">
        <v>1.3599999999999999E-2</v>
      </c>
      <c r="D263" s="3">
        <v>148000</v>
      </c>
      <c r="E263" s="3">
        <v>133000000000</v>
      </c>
      <c r="F263" s="3">
        <v>118000000000</v>
      </c>
      <c r="G263" s="2">
        <v>0</v>
      </c>
      <c r="H263" s="3">
        <v>12600000000</v>
      </c>
      <c r="I263" s="2"/>
      <c r="J263" s="7">
        <f t="shared" si="83"/>
        <v>0.191</v>
      </c>
      <c r="K263" s="7">
        <f t="shared" si="84"/>
        <v>13.6</v>
      </c>
      <c r="L263" s="7">
        <f t="shared" si="85"/>
        <v>133</v>
      </c>
      <c r="M263" s="7">
        <f t="shared" si="86"/>
        <v>148</v>
      </c>
      <c r="O263">
        <f t="shared" si="87"/>
        <v>0.12208108108108109</v>
      </c>
      <c r="P263">
        <f t="shared" si="88"/>
        <v>122.08108108108109</v>
      </c>
      <c r="V263">
        <f t="shared" si="89"/>
        <v>537.11396394974611</v>
      </c>
      <c r="W263">
        <f t="shared" si="90"/>
        <v>137.77336834780868</v>
      </c>
      <c r="AE263">
        <f t="shared" si="74"/>
        <v>0.50190314419409854</v>
      </c>
      <c r="AF263">
        <f t="shared" si="75"/>
        <v>0.48643554291117919</v>
      </c>
      <c r="AG263">
        <f t="shared" si="76"/>
        <v>0.48768585887976801</v>
      </c>
      <c r="AI263">
        <f t="shared" si="77"/>
        <v>0.1585631296674174</v>
      </c>
      <c r="AJ263">
        <f t="shared" si="78"/>
        <v>17.185001319313269</v>
      </c>
      <c r="AL263">
        <f t="shared" si="79"/>
        <v>0.16360509525486069</v>
      </c>
      <c r="AM263">
        <f t="shared" si="80"/>
        <v>18.295269089353237</v>
      </c>
      <c r="AO263">
        <f t="shared" si="81"/>
        <v>0.1631856488849997</v>
      </c>
      <c r="AP263">
        <f t="shared" si="82"/>
        <v>18.201579499262863</v>
      </c>
    </row>
    <row r="264" spans="1:42" x14ac:dyDescent="0.2">
      <c r="A264" s="3">
        <v>260</v>
      </c>
      <c r="B264" s="3">
        <v>1.91E-7</v>
      </c>
      <c r="C264" s="2">
        <v>1.366E-2</v>
      </c>
      <c r="D264" s="3">
        <v>150000</v>
      </c>
      <c r="E264" s="3">
        <v>134000000000</v>
      </c>
      <c r="F264" s="3">
        <v>119000000000</v>
      </c>
      <c r="G264" s="3">
        <v>5120000000</v>
      </c>
      <c r="H264" s="3">
        <v>12500000000</v>
      </c>
      <c r="I264" s="2"/>
      <c r="J264" s="7">
        <f t="shared" si="83"/>
        <v>0.191</v>
      </c>
      <c r="K264" s="7">
        <f t="shared" si="84"/>
        <v>13.66</v>
      </c>
      <c r="L264" s="7">
        <f t="shared" si="85"/>
        <v>134</v>
      </c>
      <c r="M264" s="7">
        <f t="shared" si="86"/>
        <v>150</v>
      </c>
      <c r="O264">
        <f t="shared" si="87"/>
        <v>0.1227</v>
      </c>
      <c r="P264">
        <f t="shared" si="88"/>
        <v>122.7</v>
      </c>
      <c r="V264">
        <f t="shared" si="89"/>
        <v>538.31862030820423</v>
      </c>
      <c r="W264">
        <f t="shared" si="90"/>
        <v>139.32269323520737</v>
      </c>
      <c r="AE264">
        <f t="shared" si="74"/>
        <v>0.50868561911564036</v>
      </c>
      <c r="AF264">
        <f t="shared" si="75"/>
        <v>0.49300899619376265</v>
      </c>
      <c r="AG264">
        <f t="shared" si="76"/>
        <v>0.49427620832408919</v>
      </c>
      <c r="AI264">
        <f t="shared" si="77"/>
        <v>0.15644895460518518</v>
      </c>
      <c r="AJ264">
        <f t="shared" si="78"/>
        <v>16.803597624672978</v>
      </c>
      <c r="AL264">
        <f t="shared" si="79"/>
        <v>0.16142369398479589</v>
      </c>
      <c r="AM264">
        <f t="shared" si="80"/>
        <v>17.889224126337975</v>
      </c>
      <c r="AO264">
        <f t="shared" si="81"/>
        <v>0.16100984023319972</v>
      </c>
      <c r="AP264">
        <f t="shared" si="82"/>
        <v>17.797613881785367</v>
      </c>
    </row>
    <row r="265" spans="1:42" x14ac:dyDescent="0.2">
      <c r="A265" s="3">
        <v>260</v>
      </c>
      <c r="B265" s="3">
        <v>1.92E-7</v>
      </c>
      <c r="C265" s="2">
        <v>1.371E-2</v>
      </c>
      <c r="D265" s="3">
        <v>139000</v>
      </c>
      <c r="E265" s="3">
        <v>126000000000</v>
      </c>
      <c r="F265" s="3">
        <v>113000000000</v>
      </c>
      <c r="G265" s="2">
        <v>0</v>
      </c>
      <c r="H265" s="3">
        <v>13100000000</v>
      </c>
      <c r="I265" s="2"/>
      <c r="J265" s="7">
        <f t="shared" si="83"/>
        <v>0.192</v>
      </c>
      <c r="K265" s="7">
        <f t="shared" si="84"/>
        <v>13.71</v>
      </c>
      <c r="L265" s="7">
        <f t="shared" si="85"/>
        <v>126.00000000000001</v>
      </c>
      <c r="M265" s="7">
        <f t="shared" si="86"/>
        <v>139</v>
      </c>
      <c r="O265">
        <f t="shared" si="87"/>
        <v>0.1180251798561151</v>
      </c>
      <c r="P265">
        <f t="shared" si="88"/>
        <v>118.0251798561151</v>
      </c>
      <c r="V265">
        <f t="shared" si="89"/>
        <v>529.13404181179567</v>
      </c>
      <c r="W265">
        <f t="shared" si="90"/>
        <v>131.34668062940469</v>
      </c>
      <c r="AE265">
        <f t="shared" si="74"/>
        <v>0.4713820070471601</v>
      </c>
      <c r="AF265">
        <f t="shared" si="75"/>
        <v>0.45685500313955341</v>
      </c>
      <c r="AG265">
        <f t="shared" si="76"/>
        <v>0.45802928638032264</v>
      </c>
      <c r="AI265">
        <f t="shared" si="77"/>
        <v>0.16971373281966676</v>
      </c>
      <c r="AJ265">
        <f t="shared" si="78"/>
        <v>19.640020941077687</v>
      </c>
      <c r="AL265">
        <f t="shared" si="79"/>
        <v>0.1751102635414562</v>
      </c>
      <c r="AM265">
        <f t="shared" si="80"/>
        <v>20.908899648074481</v>
      </c>
      <c r="AO265">
        <f t="shared" si="81"/>
        <v>0.17466132052868855</v>
      </c>
      <c r="AP265">
        <f t="shared" si="82"/>
        <v>20.801825724881471</v>
      </c>
    </row>
    <row r="266" spans="1:42" x14ac:dyDescent="0.2">
      <c r="A266" s="3">
        <v>260</v>
      </c>
      <c r="B266" s="3">
        <v>1.9299999999999999E-7</v>
      </c>
      <c r="C266" s="2">
        <v>1.376E-2</v>
      </c>
      <c r="D266" s="3">
        <v>170000</v>
      </c>
      <c r="E266" s="3">
        <v>148000000000</v>
      </c>
      <c r="F266" s="3">
        <v>130000000000</v>
      </c>
      <c r="G266" s="2">
        <v>0</v>
      </c>
      <c r="H266" s="3">
        <v>11700000000</v>
      </c>
      <c r="I266" s="2"/>
      <c r="J266" s="7">
        <f t="shared" si="83"/>
        <v>0.193</v>
      </c>
      <c r="K266" s="7">
        <f t="shared" si="84"/>
        <v>13.76</v>
      </c>
      <c r="L266" s="7">
        <f t="shared" si="85"/>
        <v>148</v>
      </c>
      <c r="M266" s="7">
        <f t="shared" si="86"/>
        <v>170</v>
      </c>
      <c r="O266">
        <f t="shared" si="87"/>
        <v>0.13229411764705884</v>
      </c>
      <c r="P266">
        <f t="shared" si="88"/>
        <v>132.29411764705884</v>
      </c>
      <c r="V266">
        <f t="shared" si="89"/>
        <v>556.57586691612983</v>
      </c>
      <c r="W266">
        <f t="shared" si="90"/>
        <v>152.71952136726154</v>
      </c>
      <c r="AE266">
        <f t="shared" si="74"/>
        <v>0.57651036833105906</v>
      </c>
      <c r="AF266">
        <f t="shared" si="75"/>
        <v>0.55874352901959767</v>
      </c>
      <c r="AG266">
        <f t="shared" si="76"/>
        <v>0.56017970276730111</v>
      </c>
      <c r="AI266">
        <f t="shared" si="77"/>
        <v>0.13948867372405638</v>
      </c>
      <c r="AJ266">
        <f t="shared" si="78"/>
        <v>13.178157185120485</v>
      </c>
      <c r="AL266">
        <f t="shared" si="79"/>
        <v>0.14392411274591441</v>
      </c>
      <c r="AM266">
        <f t="shared" si="80"/>
        <v>14.0295556179339</v>
      </c>
      <c r="AO266">
        <f t="shared" si="81"/>
        <v>0.14355512395291442</v>
      </c>
      <c r="AP266">
        <f t="shared" si="82"/>
        <v>13.957710633934223</v>
      </c>
    </row>
    <row r="267" spans="1:42" x14ac:dyDescent="0.2">
      <c r="A267" s="3">
        <v>270</v>
      </c>
      <c r="B267" s="3">
        <v>1.9399999999999999E-7</v>
      </c>
      <c r="C267" s="2">
        <v>1.3820000000000001E-2</v>
      </c>
      <c r="D267" s="3">
        <v>129000</v>
      </c>
      <c r="E267" s="3">
        <v>119000000000</v>
      </c>
      <c r="F267" s="3">
        <v>107000000000</v>
      </c>
      <c r="G267" s="2">
        <v>0</v>
      </c>
      <c r="H267" s="3">
        <v>13800000000</v>
      </c>
      <c r="I267" s="2"/>
      <c r="J267" s="7">
        <f t="shared" si="83"/>
        <v>0.19399999999999998</v>
      </c>
      <c r="K267" s="7">
        <f t="shared" si="84"/>
        <v>13.82</v>
      </c>
      <c r="L267" s="7">
        <f t="shared" si="85"/>
        <v>119.00000000000001</v>
      </c>
      <c r="M267" s="7">
        <f t="shared" si="86"/>
        <v>129</v>
      </c>
      <c r="O267">
        <f t="shared" si="87"/>
        <v>0.11365116279069765</v>
      </c>
      <c r="P267">
        <f t="shared" si="88"/>
        <v>113.65116279069764</v>
      </c>
      <c r="V267">
        <f t="shared" si="89"/>
        <v>520.35511251117066</v>
      </c>
      <c r="W267">
        <f t="shared" si="90"/>
        <v>123.95381240463043</v>
      </c>
      <c r="AE267">
        <f t="shared" si="74"/>
        <v>0.43746963243945075</v>
      </c>
      <c r="AF267">
        <f t="shared" si="75"/>
        <v>0.42398773672663587</v>
      </c>
      <c r="AG267">
        <f t="shared" si="76"/>
        <v>0.42507753915871671</v>
      </c>
      <c r="AI267">
        <f t="shared" si="77"/>
        <v>0.18477473026546887</v>
      </c>
      <c r="AJ267">
        <f t="shared" si="78"/>
        <v>22.985963602360791</v>
      </c>
      <c r="AL267">
        <f t="shared" si="79"/>
        <v>0.1906501682275076</v>
      </c>
      <c r="AM267">
        <f t="shared" si="80"/>
        <v>24.471012923964963</v>
      </c>
      <c r="AO267">
        <f t="shared" si="81"/>
        <v>0.19016138442250544</v>
      </c>
      <c r="AP267">
        <f t="shared" si="82"/>
        <v>24.34569751271054</v>
      </c>
    </row>
    <row r="268" spans="1:42" x14ac:dyDescent="0.2">
      <c r="A268" s="3">
        <v>270</v>
      </c>
      <c r="B268" s="3">
        <v>1.9399999999999999E-7</v>
      </c>
      <c r="C268" s="2">
        <v>1.387E-2</v>
      </c>
      <c r="D268" s="3">
        <v>136000</v>
      </c>
      <c r="E268" s="3">
        <v>123000000000</v>
      </c>
      <c r="F268" s="3">
        <v>110000000000</v>
      </c>
      <c r="G268" s="2">
        <v>0</v>
      </c>
      <c r="H268" s="3">
        <v>13200000000</v>
      </c>
      <c r="I268" s="2"/>
      <c r="J268" s="7">
        <f t="shared" si="83"/>
        <v>0.19399999999999998</v>
      </c>
      <c r="K268" s="7">
        <f t="shared" si="84"/>
        <v>13.870000000000001</v>
      </c>
      <c r="L268" s="7">
        <f t="shared" si="85"/>
        <v>123.00000000000001</v>
      </c>
      <c r="M268" s="7">
        <f t="shared" si="86"/>
        <v>136</v>
      </c>
      <c r="O268">
        <f t="shared" si="87"/>
        <v>0.11751102941176468</v>
      </c>
      <c r="P268">
        <f t="shared" si="88"/>
        <v>117.51102941176468</v>
      </c>
      <c r="V268">
        <f t="shared" si="89"/>
        <v>528.11161476150096</v>
      </c>
      <c r="W268">
        <f t="shared" si="90"/>
        <v>128.76065986677702</v>
      </c>
      <c r="AE268">
        <f t="shared" si="74"/>
        <v>0.46120829466484731</v>
      </c>
      <c r="AF268">
        <f t="shared" si="75"/>
        <v>0.44699482321567813</v>
      </c>
      <c r="AG268">
        <f t="shared" si="76"/>
        <v>0.44814376221384089</v>
      </c>
      <c r="AI268">
        <f t="shared" si="77"/>
        <v>0.17526426620768737</v>
      </c>
      <c r="AJ268">
        <f t="shared" si="78"/>
        <v>20.755477852200794</v>
      </c>
      <c r="AL268">
        <f t="shared" si="79"/>
        <v>0.18083729192167999</v>
      </c>
      <c r="AM268">
        <f t="shared" si="80"/>
        <v>22.096422649521166</v>
      </c>
      <c r="AO268">
        <f t="shared" si="81"/>
        <v>0.18037366610664116</v>
      </c>
      <c r="AP268">
        <f t="shared" si="82"/>
        <v>21.983267452383227</v>
      </c>
    </row>
    <row r="269" spans="1:42" x14ac:dyDescent="0.2">
      <c r="A269" s="3">
        <v>270</v>
      </c>
      <c r="B269" s="3">
        <v>1.9500000000000001E-7</v>
      </c>
      <c r="C269" s="2">
        <v>1.392E-2</v>
      </c>
      <c r="D269" s="3">
        <v>145000</v>
      </c>
      <c r="E269" s="3">
        <v>128000000000</v>
      </c>
      <c r="F269" s="3">
        <v>115000000000</v>
      </c>
      <c r="G269" s="2">
        <v>0</v>
      </c>
      <c r="H269" s="3">
        <v>12700000000</v>
      </c>
      <c r="I269" s="2"/>
      <c r="J269" s="7">
        <f t="shared" si="83"/>
        <v>0.19500000000000001</v>
      </c>
      <c r="K269" s="7">
        <f t="shared" si="84"/>
        <v>13.92</v>
      </c>
      <c r="L269" s="7">
        <f t="shared" si="85"/>
        <v>128</v>
      </c>
      <c r="M269" s="7">
        <f t="shared" si="86"/>
        <v>145</v>
      </c>
      <c r="O269">
        <f t="shared" si="87"/>
        <v>0.123</v>
      </c>
      <c r="P269">
        <f t="shared" si="88"/>
        <v>123</v>
      </c>
      <c r="V269">
        <f t="shared" si="89"/>
        <v>538.90131892614306</v>
      </c>
      <c r="W269">
        <f t="shared" si="90"/>
        <v>134.53297932999899</v>
      </c>
      <c r="AE269">
        <f t="shared" si="74"/>
        <v>0.49172943181178569</v>
      </c>
      <c r="AF269">
        <f t="shared" si="75"/>
        <v>0.47657536298730391</v>
      </c>
      <c r="AG269">
        <f t="shared" si="76"/>
        <v>0.4778003347132862</v>
      </c>
      <c r="AI269">
        <f t="shared" si="77"/>
        <v>0.16523314396828548</v>
      </c>
      <c r="AJ269">
        <f t="shared" si="78"/>
        <v>18.324718972733695</v>
      </c>
      <c r="AL269">
        <f t="shared" si="79"/>
        <v>0.17048720162683803</v>
      </c>
      <c r="AM269">
        <f t="shared" si="80"/>
        <v>19.508620241778171</v>
      </c>
      <c r="AO269">
        <f t="shared" si="81"/>
        <v>0.17005011109662727</v>
      </c>
      <c r="AP269">
        <f t="shared" si="82"/>
        <v>19.408717112463471</v>
      </c>
    </row>
    <row r="270" spans="1:42" x14ac:dyDescent="0.2">
      <c r="A270" s="3">
        <v>270</v>
      </c>
      <c r="B270" s="3">
        <v>1.9600000000000001E-7</v>
      </c>
      <c r="C270" s="2">
        <v>1.397E-2</v>
      </c>
      <c r="D270" s="3">
        <v>136000</v>
      </c>
      <c r="E270" s="3">
        <v>122000000000</v>
      </c>
      <c r="F270" s="3">
        <v>110000000000</v>
      </c>
      <c r="G270" s="2">
        <v>0</v>
      </c>
      <c r="H270" s="3">
        <v>13300000000</v>
      </c>
      <c r="I270" s="2"/>
      <c r="J270" s="7">
        <f t="shared" si="83"/>
        <v>0.19600000000000001</v>
      </c>
      <c r="K270" s="7">
        <f t="shared" si="84"/>
        <v>13.97</v>
      </c>
      <c r="L270" s="7">
        <f t="shared" si="85"/>
        <v>122.00000000000001</v>
      </c>
      <c r="M270" s="7">
        <f t="shared" si="86"/>
        <v>136</v>
      </c>
      <c r="O270">
        <f t="shared" si="87"/>
        <v>0.11895955882352942</v>
      </c>
      <c r="P270">
        <f t="shared" si="88"/>
        <v>118.95955882352942</v>
      </c>
      <c r="V270">
        <f t="shared" si="89"/>
        <v>530.98579361735608</v>
      </c>
      <c r="W270">
        <f t="shared" si="90"/>
        <v>128.06368987152752</v>
      </c>
      <c r="AE270">
        <f t="shared" si="74"/>
        <v>0.46120829466484731</v>
      </c>
      <c r="AF270">
        <f t="shared" si="75"/>
        <v>0.44699482321567813</v>
      </c>
      <c r="AG270">
        <f t="shared" si="76"/>
        <v>0.44814376221384089</v>
      </c>
      <c r="AI270">
        <f t="shared" si="77"/>
        <v>0.1770711143129213</v>
      </c>
      <c r="AJ270">
        <f t="shared" si="78"/>
        <v>20.905120807155377</v>
      </c>
      <c r="AL270">
        <f t="shared" si="79"/>
        <v>0.18270159390025403</v>
      </c>
      <c r="AM270">
        <f t="shared" si="80"/>
        <v>22.255733555429753</v>
      </c>
      <c r="AO270">
        <f t="shared" si="81"/>
        <v>0.1822331884376375</v>
      </c>
      <c r="AP270">
        <f t="shared" si="82"/>
        <v>22.14176253134778</v>
      </c>
    </row>
    <row r="271" spans="1:42" x14ac:dyDescent="0.2">
      <c r="A271" s="3">
        <v>270</v>
      </c>
      <c r="B271" s="3">
        <v>1.97E-7</v>
      </c>
      <c r="C271" s="2">
        <v>1.4019999999999999E-2</v>
      </c>
      <c r="D271" s="3">
        <v>132000</v>
      </c>
      <c r="E271" s="3">
        <v>120000000000</v>
      </c>
      <c r="F271" s="3">
        <v>108000000000</v>
      </c>
      <c r="G271" s="3">
        <v>8180000000</v>
      </c>
      <c r="H271" s="3">
        <v>13500000000</v>
      </c>
      <c r="I271" s="2"/>
      <c r="J271" s="7">
        <f t="shared" si="83"/>
        <v>0.19700000000000001</v>
      </c>
      <c r="K271" s="7">
        <f t="shared" si="84"/>
        <v>14.02</v>
      </c>
      <c r="L271" s="7">
        <f t="shared" si="85"/>
        <v>120.00000000000001</v>
      </c>
      <c r="M271" s="7">
        <f t="shared" si="86"/>
        <v>132</v>
      </c>
      <c r="O271">
        <f t="shared" si="87"/>
        <v>0.11734090909090911</v>
      </c>
      <c r="P271">
        <f t="shared" si="88"/>
        <v>117.34090909090911</v>
      </c>
      <c r="V271">
        <f t="shared" si="89"/>
        <v>527.77276919737972</v>
      </c>
      <c r="W271">
        <f t="shared" si="90"/>
        <v>125.05381833240607</v>
      </c>
      <c r="AE271">
        <f t="shared" si="74"/>
        <v>0.44764334482176354</v>
      </c>
      <c r="AF271">
        <f t="shared" si="75"/>
        <v>0.43384791665051115</v>
      </c>
      <c r="AG271">
        <f t="shared" si="76"/>
        <v>0.43496306332519852</v>
      </c>
      <c r="AI271">
        <f t="shared" si="77"/>
        <v>0.183367706194797</v>
      </c>
      <c r="AJ271">
        <f t="shared" si="78"/>
        <v>22.270719266331838</v>
      </c>
      <c r="AL271">
        <f t="shared" si="79"/>
        <v>0.18919840382558775</v>
      </c>
      <c r="AM271">
        <f t="shared" si="80"/>
        <v>23.709558947375534</v>
      </c>
      <c r="AO271">
        <f t="shared" si="81"/>
        <v>0.18871334201535186</v>
      </c>
      <c r="AP271">
        <f t="shared" si="82"/>
        <v>23.588142921836127</v>
      </c>
    </row>
    <row r="272" spans="1:42" x14ac:dyDescent="0.2">
      <c r="A272" s="3">
        <v>270</v>
      </c>
      <c r="B272" s="3">
        <v>1.97E-7</v>
      </c>
      <c r="C272" s="2">
        <v>1.4080000000000001E-2</v>
      </c>
      <c r="D272" s="3">
        <v>142000</v>
      </c>
      <c r="E272" s="3">
        <v>126000000000</v>
      </c>
      <c r="F272" s="3">
        <v>113000000000</v>
      </c>
      <c r="G272" s="2">
        <v>0</v>
      </c>
      <c r="H272" s="3">
        <v>12900000000</v>
      </c>
      <c r="I272" s="2"/>
      <c r="J272" s="7">
        <f t="shared" si="83"/>
        <v>0.19700000000000001</v>
      </c>
      <c r="K272" s="7">
        <f t="shared" si="84"/>
        <v>14.08</v>
      </c>
      <c r="L272" s="7">
        <f t="shared" si="85"/>
        <v>126.00000000000001</v>
      </c>
      <c r="M272" s="7">
        <f t="shared" si="86"/>
        <v>142</v>
      </c>
      <c r="O272">
        <f t="shared" si="87"/>
        <v>0.12263380281690142</v>
      </c>
      <c r="P272">
        <f t="shared" si="88"/>
        <v>122.63380281690142</v>
      </c>
      <c r="V272">
        <f t="shared" si="89"/>
        <v>538.18993678404649</v>
      </c>
      <c r="W272">
        <f t="shared" si="90"/>
        <v>131.92368557513439</v>
      </c>
      <c r="AE272">
        <f t="shared" ref="AE272:AE335" si="91">M272/(2*$Y$5)</f>
        <v>0.48155571942947289</v>
      </c>
      <c r="AF272">
        <f t="shared" ref="AF272:AF335" si="92">M272/(2*$Y$8)</f>
        <v>0.46671518306342863</v>
      </c>
      <c r="AG272">
        <f t="shared" ref="AG272:AG335" si="93">M272/(2*$Y$11)</f>
        <v>0.46791481054680445</v>
      </c>
      <c r="AI272">
        <f t="shared" ref="AI272:AI335" si="94">J272/(2.4*AE272)</f>
        <v>0.17045448744868455</v>
      </c>
      <c r="AJ272">
        <f t="shared" ref="AJ272:AJ335" si="95">K272/(3.14159*(AE272^2))</f>
        <v>19.326804709059211</v>
      </c>
      <c r="AL272">
        <f t="shared" ref="AL272:AL335" si="96">J272/(2.4*AF272)</f>
        <v>0.17587457257026468</v>
      </c>
      <c r="AM272">
        <f t="shared" ref="AM272:AM335" si="97">K272/(3.14159*(AF272^2))</f>
        <v>20.575447520753944</v>
      </c>
      <c r="AO272">
        <f t="shared" ref="AO272:AO335" si="98">J272/(2.4*AG272)</f>
        <v>0.17542367004243978</v>
      </c>
      <c r="AP272">
        <f t="shared" ref="AP272:AP335" si="99">K272/(3.14159*(AG272^2))</f>
        <v>20.470081197103241</v>
      </c>
    </row>
    <row r="273" spans="1:42" x14ac:dyDescent="0.2">
      <c r="A273" s="3">
        <v>270</v>
      </c>
      <c r="B273" s="3">
        <v>1.97E-7</v>
      </c>
      <c r="C273" s="2">
        <v>1.413E-2</v>
      </c>
      <c r="D273" s="3">
        <v>148000</v>
      </c>
      <c r="E273" s="3">
        <v>130000000000</v>
      </c>
      <c r="F273" s="3">
        <v>116000000000</v>
      </c>
      <c r="G273" s="3">
        <v>2630000000</v>
      </c>
      <c r="H273" s="3">
        <v>12600000000</v>
      </c>
      <c r="I273" s="2"/>
      <c r="J273" s="7">
        <f t="shared" si="83"/>
        <v>0.19700000000000001</v>
      </c>
      <c r="K273" s="7">
        <f t="shared" si="84"/>
        <v>14.13</v>
      </c>
      <c r="L273" s="7">
        <f t="shared" si="85"/>
        <v>130</v>
      </c>
      <c r="M273" s="7">
        <f t="shared" si="86"/>
        <v>148</v>
      </c>
      <c r="O273">
        <f t="shared" si="87"/>
        <v>0.12539527027027025</v>
      </c>
      <c r="P273">
        <f t="shared" si="88"/>
        <v>125.39527027027026</v>
      </c>
      <c r="V273">
        <f t="shared" si="89"/>
        <v>543.52559695280058</v>
      </c>
      <c r="W273">
        <f t="shared" si="90"/>
        <v>136.1481417156258</v>
      </c>
      <c r="AE273">
        <f t="shared" si="91"/>
        <v>0.50190314419409854</v>
      </c>
      <c r="AF273">
        <f t="shared" si="92"/>
        <v>0.48643554291117919</v>
      </c>
      <c r="AG273">
        <f t="shared" si="93"/>
        <v>0.48768585887976801</v>
      </c>
      <c r="AI273">
        <f t="shared" si="94"/>
        <v>0.16354417038995406</v>
      </c>
      <c r="AJ273">
        <f t="shared" si="95"/>
        <v>17.854710929551214</v>
      </c>
      <c r="AL273">
        <f t="shared" si="96"/>
        <v>0.16874452233092962</v>
      </c>
      <c r="AM273">
        <f t="shared" si="97"/>
        <v>19.008246487688329</v>
      </c>
      <c r="AO273">
        <f t="shared" si="98"/>
        <v>0.16831189963531384</v>
      </c>
      <c r="AP273">
        <f t="shared" si="99"/>
        <v>18.91090575916061</v>
      </c>
    </row>
    <row r="274" spans="1:42" x14ac:dyDescent="0.2">
      <c r="A274" s="3">
        <v>270</v>
      </c>
      <c r="B274" s="3">
        <v>1.98E-7</v>
      </c>
      <c r="C274" s="2">
        <v>1.418E-2</v>
      </c>
      <c r="D274" s="3">
        <v>133000</v>
      </c>
      <c r="E274" s="3">
        <v>120000000000</v>
      </c>
      <c r="F274" s="3">
        <v>108000000000</v>
      </c>
      <c r="G274" s="3">
        <v>16900000000</v>
      </c>
      <c r="H274" s="3">
        <v>13500000000</v>
      </c>
      <c r="I274" s="2"/>
      <c r="J274" s="7">
        <f t="shared" si="83"/>
        <v>0.19800000000000001</v>
      </c>
      <c r="K274" s="7">
        <f t="shared" si="84"/>
        <v>14.18</v>
      </c>
      <c r="L274" s="7">
        <f t="shared" si="85"/>
        <v>120.00000000000001</v>
      </c>
      <c r="M274" s="7">
        <f t="shared" si="86"/>
        <v>133</v>
      </c>
      <c r="O274">
        <f t="shared" si="87"/>
        <v>0.11803759398496241</v>
      </c>
      <c r="P274">
        <f t="shared" si="88"/>
        <v>118.03759398496241</v>
      </c>
      <c r="V274">
        <f t="shared" si="89"/>
        <v>529.15869754331709</v>
      </c>
      <c r="W274">
        <f t="shared" si="90"/>
        <v>125.67118391653439</v>
      </c>
      <c r="AE274">
        <f t="shared" si="91"/>
        <v>0.45103458228253446</v>
      </c>
      <c r="AF274">
        <f t="shared" si="92"/>
        <v>0.4371346432918029</v>
      </c>
      <c r="AG274">
        <f t="shared" si="93"/>
        <v>0.43825823804735908</v>
      </c>
      <c r="AI274">
        <f t="shared" si="94"/>
        <v>0.18291280367570759</v>
      </c>
      <c r="AJ274">
        <f t="shared" si="95"/>
        <v>22.187432090469212</v>
      </c>
      <c r="AL274">
        <f t="shared" si="96"/>
        <v>0.18872903638737304</v>
      </c>
      <c r="AM274">
        <f t="shared" si="97"/>
        <v>23.620890854438787</v>
      </c>
      <c r="AO274">
        <f t="shared" si="98"/>
        <v>0.18824517792882856</v>
      </c>
      <c r="AP274">
        <f t="shared" si="99"/>
        <v>23.499928895862858</v>
      </c>
    </row>
    <row r="275" spans="1:42" x14ac:dyDescent="0.2">
      <c r="A275" s="3">
        <v>270</v>
      </c>
      <c r="B275" s="3">
        <v>1.99E-7</v>
      </c>
      <c r="C275" s="2">
        <v>1.423E-2</v>
      </c>
      <c r="D275" s="3">
        <v>149000</v>
      </c>
      <c r="E275" s="3">
        <v>130000000000</v>
      </c>
      <c r="F275" s="3">
        <v>116000000000</v>
      </c>
      <c r="G275" s="3">
        <v>6100000000</v>
      </c>
      <c r="H275" s="3">
        <v>12500000000</v>
      </c>
      <c r="I275" s="2"/>
      <c r="J275" s="7">
        <f t="shared" si="83"/>
        <v>0.19899999999999998</v>
      </c>
      <c r="K275" s="7">
        <f t="shared" si="84"/>
        <v>14.23</v>
      </c>
      <c r="L275" s="7">
        <f t="shared" si="85"/>
        <v>130</v>
      </c>
      <c r="M275" s="7">
        <f t="shared" si="86"/>
        <v>149</v>
      </c>
      <c r="O275">
        <f t="shared" si="87"/>
        <v>0.12737248322147648</v>
      </c>
      <c r="P275">
        <f t="shared" si="88"/>
        <v>127.37248322147649</v>
      </c>
      <c r="V275">
        <f t="shared" si="89"/>
        <v>547.30584133087325</v>
      </c>
      <c r="W275">
        <f t="shared" si="90"/>
        <v>136.12133175637183</v>
      </c>
      <c r="AE275">
        <f t="shared" si="91"/>
        <v>0.50529438165486951</v>
      </c>
      <c r="AF275">
        <f t="shared" si="92"/>
        <v>0.48972226955247089</v>
      </c>
      <c r="AG275">
        <f t="shared" si="93"/>
        <v>0.49098103360192863</v>
      </c>
      <c r="AI275">
        <f t="shared" si="94"/>
        <v>0.16409576214781885</v>
      </c>
      <c r="AJ275">
        <f t="shared" si="95"/>
        <v>17.740524494199803</v>
      </c>
      <c r="AL275">
        <f t="shared" si="96"/>
        <v>0.1693136535172057</v>
      </c>
      <c r="AM275">
        <f t="shared" si="97"/>
        <v>18.886682833296266</v>
      </c>
      <c r="AO275">
        <f t="shared" si="98"/>
        <v>0.16887957169826806</v>
      </c>
      <c r="AP275">
        <f t="shared" si="99"/>
        <v>18.789964629033925</v>
      </c>
    </row>
    <row r="276" spans="1:42" x14ac:dyDescent="0.2">
      <c r="A276" s="3">
        <v>270</v>
      </c>
      <c r="B276" s="3">
        <v>1.9999999999999999E-7</v>
      </c>
      <c r="C276" s="2">
        <v>1.4290000000000001E-2</v>
      </c>
      <c r="D276" s="3">
        <v>148000</v>
      </c>
      <c r="E276" s="3">
        <v>129000000000</v>
      </c>
      <c r="F276" s="3">
        <v>115000000000</v>
      </c>
      <c r="G276" s="3">
        <v>10300000000</v>
      </c>
      <c r="H276" s="3">
        <v>12600000000</v>
      </c>
      <c r="I276" s="2"/>
      <c r="J276" s="7">
        <f t="shared" si="83"/>
        <v>0.19999999999999998</v>
      </c>
      <c r="K276" s="7">
        <f t="shared" si="84"/>
        <v>14.290000000000001</v>
      </c>
      <c r="L276" s="7">
        <f t="shared" si="85"/>
        <v>129</v>
      </c>
      <c r="M276" s="7">
        <f t="shared" si="86"/>
        <v>148</v>
      </c>
      <c r="O276">
        <f t="shared" si="87"/>
        <v>0.12758445945945943</v>
      </c>
      <c r="P276">
        <f t="shared" si="88"/>
        <v>127.58445945945942</v>
      </c>
      <c r="V276">
        <f t="shared" si="89"/>
        <v>547.70917439475045</v>
      </c>
      <c r="W276">
        <f t="shared" si="90"/>
        <v>135.10819876583989</v>
      </c>
      <c r="AE276">
        <f t="shared" si="91"/>
        <v>0.50190314419409854</v>
      </c>
      <c r="AF276">
        <f t="shared" si="92"/>
        <v>0.48643554291117919</v>
      </c>
      <c r="AG276">
        <f t="shared" si="93"/>
        <v>0.48768585887976801</v>
      </c>
      <c r="AI276">
        <f t="shared" si="94"/>
        <v>0.16603469075122237</v>
      </c>
      <c r="AJ276">
        <f t="shared" si="95"/>
        <v>18.056887415660782</v>
      </c>
      <c r="AL276">
        <f t="shared" si="96"/>
        <v>0.17131423586896405</v>
      </c>
      <c r="AM276">
        <f t="shared" si="97"/>
        <v>19.223484947563072</v>
      </c>
      <c r="AO276">
        <f t="shared" si="98"/>
        <v>0.17087502501047089</v>
      </c>
      <c r="AP276">
        <f t="shared" si="99"/>
        <v>19.125041988563702</v>
      </c>
    </row>
    <row r="277" spans="1:42" x14ac:dyDescent="0.2">
      <c r="A277" s="3">
        <v>280</v>
      </c>
      <c r="B277" s="3">
        <v>1.9999999999999999E-7</v>
      </c>
      <c r="C277" s="2">
        <v>1.434E-2</v>
      </c>
      <c r="D277" s="3">
        <v>184000</v>
      </c>
      <c r="E277" s="3">
        <v>155000000000</v>
      </c>
      <c r="F277" s="3">
        <v>136000000000</v>
      </c>
      <c r="G277" s="2">
        <v>0</v>
      </c>
      <c r="H277" s="3">
        <v>11300000000</v>
      </c>
      <c r="I277" s="2"/>
      <c r="J277" s="7">
        <f t="shared" si="83"/>
        <v>0.19999999999999998</v>
      </c>
      <c r="K277" s="7">
        <f t="shared" si="84"/>
        <v>14.34</v>
      </c>
      <c r="L277" s="7">
        <f t="shared" si="85"/>
        <v>155</v>
      </c>
      <c r="M277" s="7">
        <f t="shared" si="86"/>
        <v>184</v>
      </c>
      <c r="O277">
        <f t="shared" si="87"/>
        <v>0.14154891304347825</v>
      </c>
      <c r="P277">
        <f t="shared" si="88"/>
        <v>141.54891304347825</v>
      </c>
      <c r="V277">
        <f t="shared" si="89"/>
        <v>573.50089347159451</v>
      </c>
      <c r="W277">
        <f t="shared" si="90"/>
        <v>160.41823307910289</v>
      </c>
      <c r="AE277">
        <f t="shared" si="91"/>
        <v>0.62398769278185218</v>
      </c>
      <c r="AF277">
        <f t="shared" si="92"/>
        <v>0.6047577019976822</v>
      </c>
      <c r="AG277">
        <f t="shared" si="93"/>
        <v>0.60631214887754936</v>
      </c>
      <c r="AI277">
        <f t="shared" si="94"/>
        <v>0.13354964256076585</v>
      </c>
      <c r="AJ277">
        <f t="shared" si="95"/>
        <v>11.723238421551686</v>
      </c>
      <c r="AL277">
        <f t="shared" si="96"/>
        <v>0.13779623319894935</v>
      </c>
      <c r="AM277">
        <f t="shared" si="97"/>
        <v>12.480639223454162</v>
      </c>
      <c r="AO277">
        <f t="shared" si="98"/>
        <v>0.1374429548997266</v>
      </c>
      <c r="AP277">
        <f t="shared" si="99"/>
        <v>12.416726199425907</v>
      </c>
    </row>
    <row r="278" spans="1:42" x14ac:dyDescent="0.2">
      <c r="A278" s="3">
        <v>280</v>
      </c>
      <c r="B278" s="3">
        <v>1.9999999999999999E-7</v>
      </c>
      <c r="C278" s="2">
        <v>1.439E-2</v>
      </c>
      <c r="D278" s="3">
        <v>137000</v>
      </c>
      <c r="E278" s="3">
        <v>122000000000</v>
      </c>
      <c r="F278" s="3">
        <v>109000000000</v>
      </c>
      <c r="G278" s="3">
        <v>1280000000</v>
      </c>
      <c r="H278" s="3">
        <v>13300000000</v>
      </c>
      <c r="I278" s="2"/>
      <c r="J278" s="7">
        <f t="shared" si="83"/>
        <v>0.19999999999999998</v>
      </c>
      <c r="K278" s="7">
        <f t="shared" si="84"/>
        <v>14.39</v>
      </c>
      <c r="L278" s="7">
        <f t="shared" si="85"/>
        <v>122.00000000000001</v>
      </c>
      <c r="M278" s="7">
        <f t="shared" si="86"/>
        <v>137</v>
      </c>
      <c r="O278">
        <f t="shared" si="87"/>
        <v>0.12122262773722625</v>
      </c>
      <c r="P278">
        <f t="shared" si="88"/>
        <v>121.22262773722625</v>
      </c>
      <c r="V278">
        <f t="shared" si="89"/>
        <v>535.43743575051371</v>
      </c>
      <c r="W278">
        <f t="shared" si="90"/>
        <v>127.93278061326566</v>
      </c>
      <c r="AE278">
        <f t="shared" si="91"/>
        <v>0.46459953212561822</v>
      </c>
      <c r="AF278">
        <f t="shared" si="92"/>
        <v>0.45028154985696989</v>
      </c>
      <c r="AG278">
        <f t="shared" si="93"/>
        <v>0.45143893693600146</v>
      </c>
      <c r="AI278">
        <f t="shared" si="94"/>
        <v>0.17936594329329136</v>
      </c>
      <c r="AJ278">
        <f t="shared" si="95"/>
        <v>21.220409081329525</v>
      </c>
      <c r="AL278">
        <f t="shared" si="96"/>
        <v>0.18506939349347942</v>
      </c>
      <c r="AM278">
        <f t="shared" si="97"/>
        <v>22.591391592898226</v>
      </c>
      <c r="AO278">
        <f t="shared" si="98"/>
        <v>0.18459491752955981</v>
      </c>
      <c r="AP278">
        <f t="shared" si="99"/>
        <v>22.475701672866304</v>
      </c>
    </row>
    <row r="279" spans="1:42" x14ac:dyDescent="0.2">
      <c r="A279" s="3">
        <v>280</v>
      </c>
      <c r="B279" s="3">
        <v>2.0100000000000001E-7</v>
      </c>
      <c r="C279" s="2">
        <v>1.444E-2</v>
      </c>
      <c r="D279" s="3">
        <v>148000</v>
      </c>
      <c r="E279" s="3">
        <v>129000000000</v>
      </c>
      <c r="F279" s="3">
        <v>115000000000</v>
      </c>
      <c r="G279" s="3">
        <v>19600000000</v>
      </c>
      <c r="H279" s="3">
        <v>12600000000</v>
      </c>
      <c r="I279" s="2"/>
      <c r="J279" s="7">
        <f t="shared" si="83"/>
        <v>0.20100000000000001</v>
      </c>
      <c r="K279" s="7">
        <f t="shared" si="84"/>
        <v>14.44</v>
      </c>
      <c r="L279" s="7">
        <f t="shared" si="85"/>
        <v>129</v>
      </c>
      <c r="M279" s="7">
        <f t="shared" si="86"/>
        <v>148</v>
      </c>
      <c r="O279">
        <f t="shared" si="87"/>
        <v>0.12782432432432433</v>
      </c>
      <c r="P279">
        <f t="shared" si="88"/>
        <v>127.82432432432434</v>
      </c>
      <c r="V279">
        <f t="shared" si="89"/>
        <v>548.16512204799039</v>
      </c>
      <c r="W279">
        <f t="shared" si="90"/>
        <v>134.995819733167</v>
      </c>
      <c r="AE279">
        <f t="shared" si="91"/>
        <v>0.50190314419409854</v>
      </c>
      <c r="AF279">
        <f t="shared" si="92"/>
        <v>0.48643554291117919</v>
      </c>
      <c r="AG279">
        <f t="shared" si="93"/>
        <v>0.48768585887976801</v>
      </c>
      <c r="AI279">
        <f t="shared" si="94"/>
        <v>0.16686486420497851</v>
      </c>
      <c r="AJ279">
        <f t="shared" si="95"/>
        <v>18.246427871388502</v>
      </c>
      <c r="AL279">
        <f t="shared" si="96"/>
        <v>0.17217080704830889</v>
      </c>
      <c r="AM279">
        <f t="shared" si="97"/>
        <v>19.425271003695642</v>
      </c>
      <c r="AO279">
        <f t="shared" si="98"/>
        <v>0.17172940013552326</v>
      </c>
      <c r="AP279">
        <f t="shared" si="99"/>
        <v>19.325794703629096</v>
      </c>
    </row>
    <row r="280" spans="1:42" x14ac:dyDescent="0.2">
      <c r="A280" s="3">
        <v>280</v>
      </c>
      <c r="B280" s="3">
        <v>2.0200000000000001E-7</v>
      </c>
      <c r="C280" s="2">
        <v>1.4489999999999999E-2</v>
      </c>
      <c r="D280" s="3">
        <v>151000</v>
      </c>
      <c r="E280" s="3">
        <v>131000000000</v>
      </c>
      <c r="F280" s="3">
        <v>116000000000</v>
      </c>
      <c r="G280" s="2">
        <v>0</v>
      </c>
      <c r="H280" s="3">
        <v>12500000000</v>
      </c>
      <c r="I280" s="2"/>
      <c r="J280" s="7">
        <f t="shared" si="83"/>
        <v>0.20200000000000001</v>
      </c>
      <c r="K280" s="7">
        <f t="shared" si="84"/>
        <v>14.49</v>
      </c>
      <c r="L280" s="7">
        <f t="shared" si="85"/>
        <v>131</v>
      </c>
      <c r="M280" s="7">
        <f t="shared" si="86"/>
        <v>151</v>
      </c>
      <c r="O280">
        <f t="shared" si="87"/>
        <v>0.13002980132450331</v>
      </c>
      <c r="P280">
        <f t="shared" si="88"/>
        <v>130.02980132450332</v>
      </c>
      <c r="V280">
        <f t="shared" si="89"/>
        <v>552.33526066702132</v>
      </c>
      <c r="W280">
        <f t="shared" si="90"/>
        <v>136.69234136676934</v>
      </c>
      <c r="AE280">
        <f t="shared" si="91"/>
        <v>0.51207685657641133</v>
      </c>
      <c r="AF280">
        <f t="shared" si="92"/>
        <v>0.49629572283505441</v>
      </c>
      <c r="AG280">
        <f t="shared" si="93"/>
        <v>0.49757138304624982</v>
      </c>
      <c r="AI280">
        <f t="shared" si="94"/>
        <v>0.164363348168826</v>
      </c>
      <c r="AJ280">
        <f t="shared" si="95"/>
        <v>17.589301089527382</v>
      </c>
      <c r="AL280">
        <f t="shared" si="96"/>
        <v>0.16958974819664072</v>
      </c>
      <c r="AM280">
        <f t="shared" si="97"/>
        <v>18.725689369886936</v>
      </c>
      <c r="AO280">
        <f t="shared" si="98"/>
        <v>0.16915495853354431</v>
      </c>
      <c r="AP280">
        <f t="shared" si="99"/>
        <v>18.629795608901183</v>
      </c>
    </row>
    <row r="281" spans="1:42" x14ac:dyDescent="0.2">
      <c r="A281" s="3">
        <v>280</v>
      </c>
      <c r="B281" s="3">
        <v>2.03E-7</v>
      </c>
      <c r="C281" s="2">
        <v>1.4540000000000001E-2</v>
      </c>
      <c r="D281" s="3">
        <v>168000</v>
      </c>
      <c r="E281" s="3">
        <v>142000000000</v>
      </c>
      <c r="F281" s="3">
        <v>126000000000</v>
      </c>
      <c r="G281" s="3">
        <v>9070000000</v>
      </c>
      <c r="H281" s="3">
        <v>11700000000</v>
      </c>
      <c r="I281" s="2"/>
      <c r="J281" s="7">
        <f t="shared" si="83"/>
        <v>0.20300000000000001</v>
      </c>
      <c r="K281" s="7">
        <f t="shared" si="84"/>
        <v>14.540000000000001</v>
      </c>
      <c r="L281" s="7">
        <f t="shared" si="85"/>
        <v>142</v>
      </c>
      <c r="M281" s="7">
        <f t="shared" si="86"/>
        <v>168</v>
      </c>
      <c r="O281">
        <f t="shared" si="87"/>
        <v>0.13808928571428572</v>
      </c>
      <c r="P281">
        <f t="shared" si="88"/>
        <v>138.08928571428572</v>
      </c>
      <c r="V281">
        <f t="shared" si="89"/>
        <v>567.2482435337281</v>
      </c>
      <c r="W281">
        <f t="shared" si="90"/>
        <v>148.08331441753586</v>
      </c>
      <c r="AE281">
        <f t="shared" si="91"/>
        <v>0.56972789340951724</v>
      </c>
      <c r="AF281">
        <f t="shared" si="92"/>
        <v>0.55217007573701415</v>
      </c>
      <c r="AG281">
        <f t="shared" si="93"/>
        <v>0.55358935332297987</v>
      </c>
      <c r="AI281">
        <f t="shared" si="94"/>
        <v>0.14846268598005136</v>
      </c>
      <c r="AJ281">
        <f t="shared" si="95"/>
        <v>14.258700120101112</v>
      </c>
      <c r="AL281">
        <f t="shared" si="96"/>
        <v>0.15318347923949871</v>
      </c>
      <c r="AM281">
        <f t="shared" si="97"/>
        <v>15.179908963316137</v>
      </c>
      <c r="AO281">
        <f t="shared" si="98"/>
        <v>0.15279075153019608</v>
      </c>
      <c r="AP281">
        <f t="shared" si="99"/>
        <v>15.102173050199129</v>
      </c>
    </row>
    <row r="282" spans="1:42" x14ac:dyDescent="0.2">
      <c r="A282" s="3">
        <v>280</v>
      </c>
      <c r="B282" s="3">
        <v>2.04E-7</v>
      </c>
      <c r="C282" s="2">
        <v>1.4590000000000001E-2</v>
      </c>
      <c r="D282" s="3">
        <v>176000</v>
      </c>
      <c r="E282" s="3">
        <v>147000000000</v>
      </c>
      <c r="F282" s="3">
        <v>130000000000</v>
      </c>
      <c r="G282" s="3">
        <v>9820000000</v>
      </c>
      <c r="H282" s="3">
        <v>11500000000</v>
      </c>
      <c r="I282" s="2"/>
      <c r="J282" s="7">
        <f t="shared" si="83"/>
        <v>0.20399999999999999</v>
      </c>
      <c r="K282" s="7">
        <f t="shared" si="84"/>
        <v>14.59</v>
      </c>
      <c r="L282" s="7">
        <f t="shared" si="85"/>
        <v>147</v>
      </c>
      <c r="M282" s="7">
        <f t="shared" si="86"/>
        <v>176</v>
      </c>
      <c r="O282">
        <f t="shared" si="87"/>
        <v>0.14182670454545454</v>
      </c>
      <c r="P282">
        <f t="shared" si="88"/>
        <v>141.82670454545453</v>
      </c>
      <c r="V282">
        <f t="shared" si="89"/>
        <v>573.99924141016243</v>
      </c>
      <c r="W282">
        <f t="shared" si="90"/>
        <v>153.31030714223169</v>
      </c>
      <c r="AE282">
        <f t="shared" si="91"/>
        <v>0.59685779309568476</v>
      </c>
      <c r="AF282">
        <f t="shared" si="92"/>
        <v>0.57846388886734823</v>
      </c>
      <c r="AG282">
        <f t="shared" si="93"/>
        <v>0.57995075110026462</v>
      </c>
      <c r="AI282">
        <f t="shared" si="94"/>
        <v>0.14241248247616212</v>
      </c>
      <c r="AJ282">
        <f t="shared" si="95"/>
        <v>13.036591239577534</v>
      </c>
      <c r="AL282">
        <f t="shared" si="96"/>
        <v>0.14694089231124324</v>
      </c>
      <c r="AM282">
        <f t="shared" si="97"/>
        <v>13.878843551087202</v>
      </c>
      <c r="AO282">
        <f t="shared" si="98"/>
        <v>0.14656416917943571</v>
      </c>
      <c r="AP282">
        <f t="shared" si="99"/>
        <v>13.807770359603705</v>
      </c>
    </row>
    <row r="283" spans="1:42" x14ac:dyDescent="0.2">
      <c r="A283" s="3">
        <v>280</v>
      </c>
      <c r="B283" s="3">
        <v>2.04E-7</v>
      </c>
      <c r="C283" s="2">
        <v>1.465E-2</v>
      </c>
      <c r="D283" s="3">
        <v>166000</v>
      </c>
      <c r="E283" s="3">
        <v>140000000000</v>
      </c>
      <c r="F283" s="3">
        <v>124000000000</v>
      </c>
      <c r="G283" s="3">
        <v>10300000000</v>
      </c>
      <c r="H283" s="3">
        <v>11800000000</v>
      </c>
      <c r="I283" s="2"/>
      <c r="J283" s="7">
        <f t="shared" si="83"/>
        <v>0.20399999999999999</v>
      </c>
      <c r="K283" s="7">
        <f t="shared" si="84"/>
        <v>14.65</v>
      </c>
      <c r="L283" s="7">
        <f t="shared" si="85"/>
        <v>140</v>
      </c>
      <c r="M283" s="7">
        <f t="shared" si="86"/>
        <v>166</v>
      </c>
      <c r="O283">
        <f t="shared" si="87"/>
        <v>0.13781024096385541</v>
      </c>
      <c r="P283">
        <f t="shared" si="88"/>
        <v>137.81024096385542</v>
      </c>
      <c r="V283">
        <f t="shared" si="89"/>
        <v>566.74013679173754</v>
      </c>
      <c r="W283">
        <f t="shared" si="90"/>
        <v>146.45160032224854</v>
      </c>
      <c r="AE283">
        <f t="shared" si="91"/>
        <v>0.56294541848797541</v>
      </c>
      <c r="AF283">
        <f t="shared" si="92"/>
        <v>0.54559662245443064</v>
      </c>
      <c r="AG283">
        <f t="shared" si="93"/>
        <v>0.54699900387865874</v>
      </c>
      <c r="AI283">
        <f t="shared" si="94"/>
        <v>0.15099154768556947</v>
      </c>
      <c r="AJ283">
        <f t="shared" si="95"/>
        <v>14.714839885834582</v>
      </c>
      <c r="AL283">
        <f t="shared" si="96"/>
        <v>0.15579275329384829</v>
      </c>
      <c r="AM283">
        <f t="shared" si="97"/>
        <v>15.665518455069256</v>
      </c>
      <c r="AO283">
        <f t="shared" si="98"/>
        <v>0.15539333599747399</v>
      </c>
      <c r="AP283">
        <f t="shared" si="99"/>
        <v>15.58529574856297</v>
      </c>
    </row>
    <row r="284" spans="1:42" x14ac:dyDescent="0.2">
      <c r="A284" s="3">
        <v>280</v>
      </c>
      <c r="B284" s="3">
        <v>2.05E-7</v>
      </c>
      <c r="C284" s="2">
        <v>1.47E-2</v>
      </c>
      <c r="D284" s="3">
        <v>146000</v>
      </c>
      <c r="E284" s="3">
        <v>126000000000</v>
      </c>
      <c r="F284" s="3">
        <v>113000000000</v>
      </c>
      <c r="G284" s="3">
        <v>12200000000</v>
      </c>
      <c r="H284" s="3">
        <v>12700000000</v>
      </c>
      <c r="I284" s="2"/>
      <c r="J284" s="7">
        <f t="shared" si="83"/>
        <v>0.20499999999999999</v>
      </c>
      <c r="K284" s="7">
        <f t="shared" si="84"/>
        <v>14.7</v>
      </c>
      <c r="L284" s="7">
        <f t="shared" si="85"/>
        <v>126.00000000000001</v>
      </c>
      <c r="M284" s="7">
        <f t="shared" si="86"/>
        <v>146</v>
      </c>
      <c r="O284">
        <f t="shared" si="87"/>
        <v>0.129486301369863</v>
      </c>
      <c r="P284">
        <f t="shared" si="88"/>
        <v>129.48630136986299</v>
      </c>
      <c r="V284">
        <f t="shared" si="89"/>
        <v>551.31128637442657</v>
      </c>
      <c r="W284">
        <f t="shared" si="90"/>
        <v>132.41158271957011</v>
      </c>
      <c r="AE284">
        <f t="shared" si="91"/>
        <v>0.49512066927255666</v>
      </c>
      <c r="AF284">
        <f t="shared" si="92"/>
        <v>0.47986208962859567</v>
      </c>
      <c r="AG284">
        <f t="shared" si="93"/>
        <v>0.48109550943544682</v>
      </c>
      <c r="AI284">
        <f t="shared" si="94"/>
        <v>0.17251686703397559</v>
      </c>
      <c r="AJ284">
        <f t="shared" si="95"/>
        <v>19.087353440677322</v>
      </c>
      <c r="AL284">
        <f t="shared" si="96"/>
        <v>0.17800253137891675</v>
      </c>
      <c r="AM284">
        <f t="shared" si="97"/>
        <v>20.320526074579234</v>
      </c>
      <c r="AO284">
        <f t="shared" si="98"/>
        <v>0.17754617324718105</v>
      </c>
      <c r="AP284">
        <f t="shared" si="99"/>
        <v>20.216465196925569</v>
      </c>
    </row>
    <row r="285" spans="1:42" x14ac:dyDescent="0.2">
      <c r="A285" s="3">
        <v>280</v>
      </c>
      <c r="B285" s="3">
        <v>2.0599999999999999E-7</v>
      </c>
      <c r="C285" s="2">
        <v>1.4749999999999999E-2</v>
      </c>
      <c r="D285" s="3">
        <v>158000</v>
      </c>
      <c r="E285" s="3">
        <v>134000000000</v>
      </c>
      <c r="F285" s="3">
        <v>119000000000</v>
      </c>
      <c r="G285" s="2">
        <v>0</v>
      </c>
      <c r="H285" s="3">
        <v>12100000000</v>
      </c>
      <c r="I285" s="2"/>
      <c r="J285" s="7">
        <f t="shared" si="83"/>
        <v>0.20599999999999999</v>
      </c>
      <c r="K285" s="7">
        <f t="shared" si="84"/>
        <v>14.75</v>
      </c>
      <c r="L285" s="7">
        <f t="shared" si="85"/>
        <v>134</v>
      </c>
      <c r="M285" s="7">
        <f t="shared" si="86"/>
        <v>158</v>
      </c>
      <c r="O285">
        <f t="shared" si="87"/>
        <v>0.13598417721518985</v>
      </c>
      <c r="P285">
        <f t="shared" si="88"/>
        <v>135.98417721518985</v>
      </c>
      <c r="V285">
        <f t="shared" si="89"/>
        <v>563.40085951081392</v>
      </c>
      <c r="W285">
        <f t="shared" si="90"/>
        <v>140.21987838036603</v>
      </c>
      <c r="AE285">
        <f t="shared" si="91"/>
        <v>0.53581551880180789</v>
      </c>
      <c r="AF285">
        <f t="shared" si="92"/>
        <v>0.51930280932409667</v>
      </c>
      <c r="AG285">
        <f t="shared" si="93"/>
        <v>0.520637606101374</v>
      </c>
      <c r="AI285">
        <f t="shared" si="94"/>
        <v>0.16019195100073635</v>
      </c>
      <c r="AJ285">
        <f t="shared" si="95"/>
        <v>16.353546065890793</v>
      </c>
      <c r="AL285">
        <f t="shared" si="96"/>
        <v>0.16528570959408154</v>
      </c>
      <c r="AM285">
        <f t="shared" si="97"/>
        <v>17.410096181043649</v>
      </c>
      <c r="AO285">
        <f t="shared" si="98"/>
        <v>0.16486195451010238</v>
      </c>
      <c r="AP285">
        <f t="shared" si="99"/>
        <v>17.320939538051977</v>
      </c>
    </row>
    <row r="286" spans="1:42" x14ac:dyDescent="0.2">
      <c r="A286" s="3">
        <v>280</v>
      </c>
      <c r="B286" s="3">
        <v>2.0599999999999999E-7</v>
      </c>
      <c r="C286" s="2">
        <v>1.4800000000000001E-2</v>
      </c>
      <c r="D286" s="3">
        <v>134000</v>
      </c>
      <c r="E286" s="3">
        <v>118000000000</v>
      </c>
      <c r="F286" s="3">
        <v>106000000000</v>
      </c>
      <c r="G286" s="2">
        <v>0</v>
      </c>
      <c r="H286" s="3">
        <v>13500000000</v>
      </c>
      <c r="I286" s="2"/>
      <c r="J286" s="7">
        <f t="shared" si="83"/>
        <v>0.20599999999999999</v>
      </c>
      <c r="K286" s="7">
        <f t="shared" si="84"/>
        <v>14.8</v>
      </c>
      <c r="L286" s="7">
        <f t="shared" si="85"/>
        <v>118.00000000000001</v>
      </c>
      <c r="M286" s="7">
        <f t="shared" si="86"/>
        <v>134</v>
      </c>
      <c r="O286">
        <f t="shared" si="87"/>
        <v>0.12316417910447761</v>
      </c>
      <c r="P286">
        <f t="shared" si="88"/>
        <v>123.16417910447761</v>
      </c>
      <c r="V286">
        <f t="shared" si="89"/>
        <v>539.21987360897901</v>
      </c>
      <c r="W286">
        <f t="shared" si="90"/>
        <v>124.25358055067858</v>
      </c>
      <c r="AE286">
        <f t="shared" si="91"/>
        <v>0.45442581974330543</v>
      </c>
      <c r="AF286">
        <f t="shared" si="92"/>
        <v>0.44042136993309466</v>
      </c>
      <c r="AG286">
        <f t="shared" si="93"/>
        <v>0.4415534127695197</v>
      </c>
      <c r="AI286">
        <f t="shared" si="94"/>
        <v>0.18888304670236075</v>
      </c>
      <c r="AJ286">
        <f t="shared" si="95"/>
        <v>22.813200157959336</v>
      </c>
      <c r="AL286">
        <f t="shared" si="96"/>
        <v>0.19488912026764837</v>
      </c>
      <c r="AM286">
        <f t="shared" si="97"/>
        <v>24.287087788004911</v>
      </c>
      <c r="AO286">
        <f t="shared" si="98"/>
        <v>0.19438946875071778</v>
      </c>
      <c r="AP286">
        <f t="shared" si="99"/>
        <v>24.162714252516921</v>
      </c>
    </row>
    <row r="287" spans="1:42" x14ac:dyDescent="0.2">
      <c r="A287" s="3">
        <v>290</v>
      </c>
      <c r="B287" s="3">
        <v>2.0699999999999999E-7</v>
      </c>
      <c r="C287" s="2">
        <v>1.486E-2</v>
      </c>
      <c r="D287" s="3">
        <v>142000</v>
      </c>
      <c r="E287" s="3">
        <v>123000000000</v>
      </c>
      <c r="F287" s="3">
        <v>110000000000</v>
      </c>
      <c r="G287" s="2">
        <v>0</v>
      </c>
      <c r="H287" s="3">
        <v>13000000000</v>
      </c>
      <c r="I287" s="2"/>
      <c r="J287" s="7">
        <f t="shared" si="83"/>
        <v>0.20699999999999999</v>
      </c>
      <c r="K287" s="7">
        <f t="shared" si="84"/>
        <v>14.86</v>
      </c>
      <c r="L287" s="7">
        <f t="shared" si="85"/>
        <v>123.00000000000001</v>
      </c>
      <c r="M287" s="7">
        <f t="shared" si="86"/>
        <v>142</v>
      </c>
      <c r="O287">
        <f t="shared" si="87"/>
        <v>0.12851408450704224</v>
      </c>
      <c r="P287">
        <f t="shared" si="88"/>
        <v>128.51408450704224</v>
      </c>
      <c r="V287">
        <f t="shared" si="89"/>
        <v>549.47360489253424</v>
      </c>
      <c r="W287">
        <f t="shared" si="90"/>
        <v>129.21457803944219</v>
      </c>
      <c r="AE287">
        <f t="shared" si="91"/>
        <v>0.48155571942947289</v>
      </c>
      <c r="AF287">
        <f t="shared" si="92"/>
        <v>0.46671518306342863</v>
      </c>
      <c r="AG287">
        <f t="shared" si="93"/>
        <v>0.46791481054680445</v>
      </c>
      <c r="AI287">
        <f t="shared" si="94"/>
        <v>0.17910699950191725</v>
      </c>
      <c r="AJ287">
        <f t="shared" si="95"/>
        <v>20.397465765384933</v>
      </c>
      <c r="AL287">
        <f t="shared" si="96"/>
        <v>0.18480221584794307</v>
      </c>
      <c r="AM287">
        <f t="shared" si="97"/>
        <v>21.715280551022982</v>
      </c>
      <c r="AO287">
        <f t="shared" si="98"/>
        <v>0.18432842486692907</v>
      </c>
      <c r="AP287">
        <f t="shared" si="99"/>
        <v>21.604077172510948</v>
      </c>
    </row>
    <row r="288" spans="1:42" x14ac:dyDescent="0.2">
      <c r="A288" s="3">
        <v>290</v>
      </c>
      <c r="B288" s="3">
        <v>2.0800000000000001E-7</v>
      </c>
      <c r="C288" s="2">
        <v>1.491E-2</v>
      </c>
      <c r="D288" s="3">
        <v>155000</v>
      </c>
      <c r="E288" s="3">
        <v>131000000000</v>
      </c>
      <c r="F288" s="3">
        <v>117000000000</v>
      </c>
      <c r="G288" s="3">
        <v>9900000000</v>
      </c>
      <c r="H288" s="3">
        <v>12300000000</v>
      </c>
      <c r="I288" s="2"/>
      <c r="J288" s="7">
        <f t="shared" si="83"/>
        <v>0.20800000000000002</v>
      </c>
      <c r="K288" s="7">
        <f t="shared" si="84"/>
        <v>14.91</v>
      </c>
      <c r="L288" s="7">
        <f t="shared" si="85"/>
        <v>131</v>
      </c>
      <c r="M288" s="7">
        <f t="shared" si="86"/>
        <v>155</v>
      </c>
      <c r="O288">
        <f t="shared" si="87"/>
        <v>0.13585483870967743</v>
      </c>
      <c r="P288">
        <f t="shared" si="88"/>
        <v>135.85483870967744</v>
      </c>
      <c r="V288">
        <f t="shared" si="89"/>
        <v>563.16339682477405</v>
      </c>
      <c r="W288">
        <f t="shared" si="90"/>
        <v>137.61547791806115</v>
      </c>
      <c r="AE288">
        <f t="shared" si="91"/>
        <v>0.52564180641949509</v>
      </c>
      <c r="AF288">
        <f t="shared" si="92"/>
        <v>0.50944262940022145</v>
      </c>
      <c r="AG288">
        <f t="shared" si="93"/>
        <v>0.51075208193489219</v>
      </c>
      <c r="AI288">
        <f t="shared" si="94"/>
        <v>0.16487780387373002</v>
      </c>
      <c r="AJ288">
        <f t="shared" si="95"/>
        <v>17.177040488684359</v>
      </c>
      <c r="AL288">
        <f t="shared" si="96"/>
        <v>0.1701205624835545</v>
      </c>
      <c r="AM288">
        <f t="shared" si="97"/>
        <v>18.286793935012277</v>
      </c>
      <c r="AO288">
        <f t="shared" si="98"/>
        <v>0.16968441193297859</v>
      </c>
      <c r="AP288">
        <f t="shared" si="99"/>
        <v>18.193147745963579</v>
      </c>
    </row>
    <row r="289" spans="1:42" x14ac:dyDescent="0.2">
      <c r="A289" s="3">
        <v>290</v>
      </c>
      <c r="B289" s="3">
        <v>2.0800000000000001E-7</v>
      </c>
      <c r="C289" s="2">
        <v>1.4959999999999999E-2</v>
      </c>
      <c r="D289" s="3">
        <v>153000</v>
      </c>
      <c r="E289" s="3">
        <v>129000000000</v>
      </c>
      <c r="F289" s="3">
        <v>115000000000</v>
      </c>
      <c r="G289" s="3">
        <v>11400000000</v>
      </c>
      <c r="H289" s="3">
        <v>12400000000</v>
      </c>
      <c r="I289" s="2"/>
      <c r="J289" s="7">
        <f t="shared" si="83"/>
        <v>0.20800000000000002</v>
      </c>
      <c r="K289" s="7">
        <f t="shared" si="84"/>
        <v>14.959999999999999</v>
      </c>
      <c r="L289" s="7">
        <f t="shared" si="85"/>
        <v>129</v>
      </c>
      <c r="M289" s="7">
        <f t="shared" si="86"/>
        <v>153</v>
      </c>
      <c r="O289">
        <f t="shared" si="87"/>
        <v>0.13466666666666668</v>
      </c>
      <c r="P289">
        <f t="shared" si="88"/>
        <v>134.66666666666669</v>
      </c>
      <c r="V289">
        <f t="shared" si="89"/>
        <v>560.97602160341557</v>
      </c>
      <c r="W289">
        <f t="shared" si="90"/>
        <v>136.36946510002883</v>
      </c>
      <c r="AE289">
        <f t="shared" si="91"/>
        <v>0.51885933149795316</v>
      </c>
      <c r="AF289">
        <f t="shared" si="92"/>
        <v>0.50286917611763793</v>
      </c>
      <c r="AG289">
        <f t="shared" si="93"/>
        <v>0.50416173249057095</v>
      </c>
      <c r="AI289">
        <f t="shared" si="94"/>
        <v>0.16703306928384418</v>
      </c>
      <c r="AJ289">
        <f t="shared" si="95"/>
        <v>17.688166764409491</v>
      </c>
      <c r="AL289">
        <f t="shared" si="96"/>
        <v>0.17234436068595391</v>
      </c>
      <c r="AM289">
        <f t="shared" si="97"/>
        <v>18.83094243865661</v>
      </c>
      <c r="AO289">
        <f t="shared" si="98"/>
        <v>0.17190250882099142</v>
      </c>
      <c r="AP289">
        <f t="shared" si="99"/>
        <v>18.734509679483924</v>
      </c>
    </row>
    <row r="290" spans="1:42" x14ac:dyDescent="0.2">
      <c r="A290" s="3">
        <v>290</v>
      </c>
      <c r="B290" s="3">
        <v>2.0900000000000001E-7</v>
      </c>
      <c r="C290" s="2">
        <v>1.5010000000000001E-2</v>
      </c>
      <c r="D290" s="3">
        <v>139000</v>
      </c>
      <c r="E290" s="3">
        <v>120000000000</v>
      </c>
      <c r="F290" s="3">
        <v>108000000000</v>
      </c>
      <c r="G290" s="3">
        <v>4940000000</v>
      </c>
      <c r="H290" s="3">
        <v>13100000000</v>
      </c>
      <c r="I290" s="2"/>
      <c r="J290" s="7">
        <f t="shared" si="83"/>
        <v>0.20900000000000002</v>
      </c>
      <c r="K290" s="7">
        <f t="shared" si="84"/>
        <v>15.010000000000002</v>
      </c>
      <c r="L290" s="7">
        <f t="shared" si="85"/>
        <v>120.00000000000001</v>
      </c>
      <c r="M290" s="7">
        <f t="shared" si="86"/>
        <v>139</v>
      </c>
      <c r="O290">
        <f t="shared" si="87"/>
        <v>0.12801079136690649</v>
      </c>
      <c r="P290">
        <f t="shared" si="88"/>
        <v>128.01079136690649</v>
      </c>
      <c r="V290">
        <f t="shared" si="89"/>
        <v>548.5192392081882</v>
      </c>
      <c r="W290">
        <f t="shared" si="90"/>
        <v>126.70476262660598</v>
      </c>
      <c r="AE290">
        <f t="shared" si="91"/>
        <v>0.4713820070471601</v>
      </c>
      <c r="AF290">
        <f t="shared" si="92"/>
        <v>0.45685500313955341</v>
      </c>
      <c r="AG290">
        <f t="shared" si="93"/>
        <v>0.45802928638032264</v>
      </c>
      <c r="AI290">
        <f t="shared" si="94"/>
        <v>0.18474046957974144</v>
      </c>
      <c r="AJ290">
        <f t="shared" si="95"/>
        <v>21.502313225789649</v>
      </c>
      <c r="AL290">
        <f t="shared" si="96"/>
        <v>0.19061481812585598</v>
      </c>
      <c r="AM290">
        <f t="shared" si="97"/>
        <v>22.89150865919752</v>
      </c>
      <c r="AO290">
        <f t="shared" si="98"/>
        <v>0.19012612495049952</v>
      </c>
      <c r="AP290">
        <f t="shared" si="99"/>
        <v>22.774281847590878</v>
      </c>
    </row>
    <row r="291" spans="1:42" x14ac:dyDescent="0.2">
      <c r="A291" s="3">
        <v>290</v>
      </c>
      <c r="B291" s="3">
        <v>2.1E-7</v>
      </c>
      <c r="C291" s="2">
        <v>1.506E-2</v>
      </c>
      <c r="D291" s="3">
        <v>135000</v>
      </c>
      <c r="E291" s="3">
        <v>117000000000</v>
      </c>
      <c r="F291" s="3">
        <v>106000000000</v>
      </c>
      <c r="G291" s="3">
        <v>5500000000</v>
      </c>
      <c r="H291" s="3">
        <v>13400000000</v>
      </c>
      <c r="I291" s="2"/>
      <c r="J291" s="7">
        <f t="shared" si="83"/>
        <v>0.21</v>
      </c>
      <c r="K291" s="7">
        <f t="shared" si="84"/>
        <v>15.06</v>
      </c>
      <c r="L291" s="7">
        <f t="shared" si="85"/>
        <v>117.00000000000001</v>
      </c>
      <c r="M291" s="7">
        <f t="shared" si="86"/>
        <v>135</v>
      </c>
      <c r="O291">
        <f t="shared" si="87"/>
        <v>0.12633333333333333</v>
      </c>
      <c r="P291">
        <f t="shared" si="88"/>
        <v>126.33333333333333</v>
      </c>
      <c r="V291">
        <f t="shared" si="89"/>
        <v>545.32319252674961</v>
      </c>
      <c r="W291">
        <f t="shared" si="90"/>
        <v>123.77980787363803</v>
      </c>
      <c r="AE291">
        <f t="shared" si="91"/>
        <v>0.45781705720407634</v>
      </c>
      <c r="AF291">
        <f t="shared" si="92"/>
        <v>0.44370809657438642</v>
      </c>
      <c r="AG291">
        <f t="shared" si="93"/>
        <v>0.44484858749168027</v>
      </c>
      <c r="AI291">
        <f t="shared" si="94"/>
        <v>0.19112437735362936</v>
      </c>
      <c r="AJ291">
        <f t="shared" si="95"/>
        <v>22.871335631434942</v>
      </c>
      <c r="AL291">
        <f t="shared" si="96"/>
        <v>0.19720172040027417</v>
      </c>
      <c r="AM291">
        <f t="shared" si="97"/>
        <v>24.348979207802351</v>
      </c>
      <c r="AO291">
        <f t="shared" si="98"/>
        <v>0.19669613990094206</v>
      </c>
      <c r="AP291">
        <f t="shared" si="99"/>
        <v>24.22428872798724</v>
      </c>
    </row>
    <row r="292" spans="1:42" x14ac:dyDescent="0.2">
      <c r="A292" s="3">
        <v>290</v>
      </c>
      <c r="B292" s="3">
        <v>2.11E-7</v>
      </c>
      <c r="C292" s="2">
        <v>1.512E-2</v>
      </c>
      <c r="D292" s="3">
        <v>142000</v>
      </c>
      <c r="E292" s="3">
        <v>121000000000</v>
      </c>
      <c r="F292" s="3">
        <v>109000000000</v>
      </c>
      <c r="G292" s="3">
        <v>231000000</v>
      </c>
      <c r="H292" s="3">
        <v>13000000000</v>
      </c>
      <c r="I292" s="2"/>
      <c r="J292" s="7">
        <f t="shared" si="83"/>
        <v>0.21099999999999999</v>
      </c>
      <c r="K292" s="7">
        <f t="shared" si="84"/>
        <v>15.12</v>
      </c>
      <c r="L292" s="7">
        <f t="shared" si="85"/>
        <v>121.00000000000001</v>
      </c>
      <c r="M292" s="7">
        <f t="shared" si="86"/>
        <v>142</v>
      </c>
      <c r="O292">
        <f t="shared" si="87"/>
        <v>0.13114084507042253</v>
      </c>
      <c r="P292">
        <f t="shared" si="88"/>
        <v>131.14084507042253</v>
      </c>
      <c r="V292">
        <f t="shared" si="89"/>
        <v>554.42111639616655</v>
      </c>
      <c r="W292">
        <f t="shared" si="90"/>
        <v>128.06150036548448</v>
      </c>
      <c r="AE292">
        <f t="shared" si="91"/>
        <v>0.48155571942947289</v>
      </c>
      <c r="AF292">
        <f t="shared" si="92"/>
        <v>0.46671518306342863</v>
      </c>
      <c r="AG292">
        <f t="shared" si="93"/>
        <v>0.46791481054680445</v>
      </c>
      <c r="AI292">
        <f t="shared" si="94"/>
        <v>0.18256800432321035</v>
      </c>
      <c r="AJ292">
        <f t="shared" si="95"/>
        <v>20.754352784160172</v>
      </c>
      <c r="AL292">
        <f t="shared" si="96"/>
        <v>0.18837327315901442</v>
      </c>
      <c r="AM292">
        <f t="shared" si="97"/>
        <v>22.095224894445995</v>
      </c>
      <c r="AO292">
        <f t="shared" si="98"/>
        <v>0.18789032679672482</v>
      </c>
      <c r="AP292">
        <f t="shared" si="99"/>
        <v>21.982075830980182</v>
      </c>
    </row>
    <row r="293" spans="1:42" x14ac:dyDescent="0.2">
      <c r="A293" s="3">
        <v>290</v>
      </c>
      <c r="B293" s="3">
        <v>2.11E-7</v>
      </c>
      <c r="C293" s="2">
        <v>1.5169999999999999E-2</v>
      </c>
      <c r="D293" s="3">
        <v>147000</v>
      </c>
      <c r="E293" s="3">
        <v>124000000000</v>
      </c>
      <c r="F293" s="3">
        <v>111000000000</v>
      </c>
      <c r="G293" s="3">
        <v>6200000000</v>
      </c>
      <c r="H293" s="3">
        <v>12700000000</v>
      </c>
      <c r="I293" s="2"/>
      <c r="J293" s="7">
        <f t="shared" si="83"/>
        <v>0.21099999999999999</v>
      </c>
      <c r="K293" s="7">
        <f t="shared" si="84"/>
        <v>15.17</v>
      </c>
      <c r="L293" s="7">
        <f t="shared" si="85"/>
        <v>124.00000000000001</v>
      </c>
      <c r="M293" s="7">
        <f t="shared" si="86"/>
        <v>147</v>
      </c>
      <c r="O293">
        <f t="shared" si="87"/>
        <v>0.13360204081632654</v>
      </c>
      <c r="P293">
        <f t="shared" si="88"/>
        <v>133.60204081632654</v>
      </c>
      <c r="V293">
        <f t="shared" si="89"/>
        <v>559.00694064923755</v>
      </c>
      <c r="W293">
        <f t="shared" si="90"/>
        <v>131.48316175580254</v>
      </c>
      <c r="AE293">
        <f t="shared" si="91"/>
        <v>0.49851190673332757</v>
      </c>
      <c r="AF293">
        <f t="shared" si="92"/>
        <v>0.48314881626988743</v>
      </c>
      <c r="AG293">
        <f t="shared" si="93"/>
        <v>0.48439068415760739</v>
      </c>
      <c r="AI293">
        <f t="shared" si="94"/>
        <v>0.176358208257795</v>
      </c>
      <c r="AJ293">
        <f t="shared" si="95"/>
        <v>19.430545957111654</v>
      </c>
      <c r="AL293">
        <f t="shared" si="96"/>
        <v>0.18196601896993228</v>
      </c>
      <c r="AM293">
        <f t="shared" si="97"/>
        <v>20.685891157825516</v>
      </c>
      <c r="AO293">
        <f t="shared" si="98"/>
        <v>0.18149949935465937</v>
      </c>
      <c r="AP293">
        <f t="shared" si="99"/>
        <v>20.579959255224612</v>
      </c>
    </row>
    <row r="294" spans="1:42" x14ac:dyDescent="0.2">
      <c r="A294" s="3">
        <v>290</v>
      </c>
      <c r="B294" s="3">
        <v>2.1199999999999999E-7</v>
      </c>
      <c r="C294" s="2">
        <v>1.5219999999999999E-2</v>
      </c>
      <c r="D294" s="3">
        <v>138000</v>
      </c>
      <c r="E294" s="3">
        <v>118000000000</v>
      </c>
      <c r="F294" s="3">
        <v>106000000000</v>
      </c>
      <c r="G294" s="2">
        <v>0</v>
      </c>
      <c r="H294" s="3">
        <v>13200000000</v>
      </c>
      <c r="I294" s="2"/>
      <c r="J294" s="7">
        <f t="shared" si="83"/>
        <v>0.21199999999999999</v>
      </c>
      <c r="K294" s="7">
        <f t="shared" si="84"/>
        <v>15.219999999999999</v>
      </c>
      <c r="L294" s="7">
        <f t="shared" si="85"/>
        <v>118.00000000000001</v>
      </c>
      <c r="M294" s="7">
        <f t="shared" si="86"/>
        <v>138</v>
      </c>
      <c r="O294">
        <f t="shared" si="87"/>
        <v>0.12928260869565217</v>
      </c>
      <c r="P294">
        <f t="shared" si="88"/>
        <v>129.28260869565216</v>
      </c>
      <c r="V294">
        <f t="shared" si="89"/>
        <v>550.9269051436562</v>
      </c>
      <c r="W294">
        <f t="shared" si="90"/>
        <v>125.24347487078708</v>
      </c>
      <c r="AE294">
        <f t="shared" si="91"/>
        <v>0.46799076958638913</v>
      </c>
      <c r="AF294">
        <f t="shared" si="92"/>
        <v>0.45356827649826165</v>
      </c>
      <c r="AG294">
        <f t="shared" si="93"/>
        <v>0.45473411165816208</v>
      </c>
      <c r="AI294">
        <f t="shared" si="94"/>
        <v>0.18875016148588239</v>
      </c>
      <c r="AJ294">
        <f t="shared" si="95"/>
        <v>22.120277548553126</v>
      </c>
      <c r="AL294">
        <f t="shared" si="96"/>
        <v>0.19475200958784841</v>
      </c>
      <c r="AM294">
        <f t="shared" si="97"/>
        <v>23.549397673140845</v>
      </c>
      <c r="AO294">
        <f t="shared" si="98"/>
        <v>0.19425270959161356</v>
      </c>
      <c r="AP294">
        <f t="shared" si="99"/>
        <v>23.428801829259228</v>
      </c>
    </row>
    <row r="295" spans="1:42" x14ac:dyDescent="0.2">
      <c r="A295" s="3">
        <v>290</v>
      </c>
      <c r="B295" s="3">
        <v>2.1299999999999999E-7</v>
      </c>
      <c r="C295" s="2">
        <v>1.5270000000000001E-2</v>
      </c>
      <c r="D295" s="3">
        <v>143000</v>
      </c>
      <c r="E295" s="3">
        <v>121000000000</v>
      </c>
      <c r="F295" s="3">
        <v>109000000000</v>
      </c>
      <c r="G295" s="2">
        <v>0</v>
      </c>
      <c r="H295" s="3">
        <v>12900000000</v>
      </c>
      <c r="I295" s="2"/>
      <c r="J295" s="7">
        <f t="shared" si="83"/>
        <v>0.21299999999999999</v>
      </c>
      <c r="K295" s="7">
        <f t="shared" si="84"/>
        <v>15.270000000000001</v>
      </c>
      <c r="L295" s="7">
        <f t="shared" si="85"/>
        <v>121.00000000000001</v>
      </c>
      <c r="M295" s="7">
        <f t="shared" si="86"/>
        <v>143</v>
      </c>
      <c r="O295">
        <f t="shared" si="87"/>
        <v>0.13291258741258738</v>
      </c>
      <c r="P295">
        <f t="shared" si="88"/>
        <v>132.91258741258738</v>
      </c>
      <c r="V295">
        <f t="shared" si="89"/>
        <v>557.72709459828036</v>
      </c>
      <c r="W295">
        <f t="shared" si="90"/>
        <v>128.19889995034222</v>
      </c>
      <c r="AE295">
        <f t="shared" si="91"/>
        <v>0.48494695689024386</v>
      </c>
      <c r="AF295">
        <f t="shared" si="92"/>
        <v>0.47000190970472039</v>
      </c>
      <c r="AG295">
        <f t="shared" si="93"/>
        <v>0.47120998526896501</v>
      </c>
      <c r="AI295">
        <f t="shared" si="94"/>
        <v>0.18300970598746624</v>
      </c>
      <c r="AJ295">
        <f t="shared" si="95"/>
        <v>20.66812380468804</v>
      </c>
      <c r="AL295">
        <f t="shared" si="96"/>
        <v>0.18882901998367915</v>
      </c>
      <c r="AM295">
        <f t="shared" si="97"/>
        <v>22.00342493741195</v>
      </c>
      <c r="AO295">
        <f t="shared" si="98"/>
        <v>0.1883449051898631</v>
      </c>
      <c r="AP295">
        <f t="shared" si="99"/>
        <v>21.890745979102988</v>
      </c>
    </row>
    <row r="296" spans="1:42" x14ac:dyDescent="0.2">
      <c r="A296" s="3">
        <v>290</v>
      </c>
      <c r="B296" s="3">
        <v>2.1400000000000001E-7</v>
      </c>
      <c r="C296" s="2">
        <v>1.532E-2</v>
      </c>
      <c r="D296" s="3">
        <v>152000</v>
      </c>
      <c r="E296" s="3">
        <v>127000000000</v>
      </c>
      <c r="F296" s="3">
        <v>113000000000</v>
      </c>
      <c r="G296" s="3">
        <v>3060000000</v>
      </c>
      <c r="H296" s="3">
        <v>12400000000</v>
      </c>
      <c r="I296" s="2"/>
      <c r="J296" s="7">
        <f t="shared" si="83"/>
        <v>0.21400000000000002</v>
      </c>
      <c r="K296" s="7">
        <f t="shared" si="84"/>
        <v>15.32</v>
      </c>
      <c r="L296" s="7">
        <f t="shared" si="85"/>
        <v>127.00000000000001</v>
      </c>
      <c r="M296" s="7">
        <f t="shared" si="86"/>
        <v>152</v>
      </c>
      <c r="O296">
        <f t="shared" si="87"/>
        <v>0.13840789473684212</v>
      </c>
      <c r="P296">
        <f t="shared" si="88"/>
        <v>138.40789473684211</v>
      </c>
      <c r="V296">
        <f t="shared" si="89"/>
        <v>567.82769326712707</v>
      </c>
      <c r="W296">
        <f t="shared" si="90"/>
        <v>133.84341922937315</v>
      </c>
      <c r="AE296">
        <f t="shared" si="91"/>
        <v>0.5154680940371823</v>
      </c>
      <c r="AF296">
        <f t="shared" si="92"/>
        <v>0.49958244947634617</v>
      </c>
      <c r="AG296">
        <f t="shared" si="93"/>
        <v>0.50086655776841038</v>
      </c>
      <c r="AI296">
        <f t="shared" si="94"/>
        <v>0.17298193175897095</v>
      </c>
      <c r="AJ296">
        <f t="shared" si="95"/>
        <v>18.352941556851007</v>
      </c>
      <c r="AL296">
        <f t="shared" si="96"/>
        <v>0.17848238415927073</v>
      </c>
      <c r="AM296">
        <f t="shared" si="97"/>
        <v>19.538666196458603</v>
      </c>
      <c r="AO296">
        <f t="shared" si="98"/>
        <v>0.17802479579380379</v>
      </c>
      <c r="AP296">
        <f t="shared" si="99"/>
        <v>19.438609202603061</v>
      </c>
    </row>
    <row r="297" spans="1:42" x14ac:dyDescent="0.2">
      <c r="A297" s="3">
        <v>300</v>
      </c>
      <c r="B297" s="3">
        <v>2.1500000000000001E-7</v>
      </c>
      <c r="C297" s="2">
        <v>1.538E-2</v>
      </c>
      <c r="D297" s="3">
        <v>147000</v>
      </c>
      <c r="E297" s="3">
        <v>124000000000</v>
      </c>
      <c r="F297" s="3">
        <v>111000000000</v>
      </c>
      <c r="G297" s="2">
        <v>0</v>
      </c>
      <c r="H297" s="3">
        <v>12600000000</v>
      </c>
      <c r="I297" s="2"/>
      <c r="J297" s="7">
        <f t="shared" si="83"/>
        <v>0.215</v>
      </c>
      <c r="K297" s="7">
        <f t="shared" si="84"/>
        <v>15.379999999999999</v>
      </c>
      <c r="L297" s="7">
        <f t="shared" si="85"/>
        <v>124.00000000000001</v>
      </c>
      <c r="M297" s="7">
        <f t="shared" si="86"/>
        <v>147</v>
      </c>
      <c r="O297">
        <f t="shared" si="87"/>
        <v>0.13653061224489796</v>
      </c>
      <c r="P297">
        <f t="shared" si="88"/>
        <v>136.53061224489795</v>
      </c>
      <c r="V297">
        <f t="shared" si="89"/>
        <v>564.40271648028443</v>
      </c>
      <c r="W297">
        <f t="shared" si="90"/>
        <v>130.22616272713756</v>
      </c>
      <c r="AE297">
        <f t="shared" si="91"/>
        <v>0.49851190673332757</v>
      </c>
      <c r="AF297">
        <f t="shared" si="92"/>
        <v>0.48314881626988743</v>
      </c>
      <c r="AG297">
        <f t="shared" si="93"/>
        <v>0.48439068415760739</v>
      </c>
      <c r="AI297">
        <f t="shared" si="94"/>
        <v>0.17970149182666315</v>
      </c>
      <c r="AJ297">
        <f t="shared" si="95"/>
        <v>19.699525169438182</v>
      </c>
      <c r="AL297">
        <f t="shared" si="96"/>
        <v>0.18541561174661347</v>
      </c>
      <c r="AM297">
        <f t="shared" si="97"/>
        <v>20.972248253616112</v>
      </c>
      <c r="AO297">
        <f t="shared" si="98"/>
        <v>0.1849402481575913</v>
      </c>
      <c r="AP297">
        <f t="shared" si="99"/>
        <v>20.864849923886254</v>
      </c>
    </row>
    <row r="298" spans="1:42" x14ac:dyDescent="0.2">
      <c r="A298" s="3">
        <v>300</v>
      </c>
      <c r="B298" s="3">
        <v>2.1500000000000001E-7</v>
      </c>
      <c r="C298" s="2">
        <v>1.5429999999999999E-2</v>
      </c>
      <c r="D298" s="3">
        <v>152000</v>
      </c>
      <c r="E298" s="3">
        <v>126000000000</v>
      </c>
      <c r="F298" s="3">
        <v>113000000000</v>
      </c>
      <c r="G298" s="3">
        <v>11100000000</v>
      </c>
      <c r="H298" s="3">
        <v>12400000000</v>
      </c>
      <c r="I298" s="2"/>
      <c r="J298" s="7">
        <f t="shared" si="83"/>
        <v>0.215</v>
      </c>
      <c r="K298" s="7">
        <f t="shared" si="84"/>
        <v>15.43</v>
      </c>
      <c r="L298" s="7">
        <f t="shared" si="85"/>
        <v>126.00000000000001</v>
      </c>
      <c r="M298" s="7">
        <f t="shared" si="86"/>
        <v>152</v>
      </c>
      <c r="O298">
        <f t="shared" si="87"/>
        <v>0.13886513157894737</v>
      </c>
      <c r="P298">
        <f t="shared" si="88"/>
        <v>138.86513157894737</v>
      </c>
      <c r="V298">
        <f t="shared" si="89"/>
        <v>568.65796681837605</v>
      </c>
      <c r="W298">
        <f t="shared" si="90"/>
        <v>133.64800008908284</v>
      </c>
      <c r="AE298">
        <f t="shared" si="91"/>
        <v>0.5154680940371823</v>
      </c>
      <c r="AF298">
        <f t="shared" si="92"/>
        <v>0.49958244947634617</v>
      </c>
      <c r="AG298">
        <f t="shared" si="93"/>
        <v>0.50086655776841038</v>
      </c>
      <c r="AI298">
        <f t="shared" si="94"/>
        <v>0.17379025854289135</v>
      </c>
      <c r="AJ298">
        <f t="shared" si="95"/>
        <v>18.484718552363642</v>
      </c>
      <c r="AL298">
        <f t="shared" si="96"/>
        <v>0.17931641399179069</v>
      </c>
      <c r="AM298">
        <f t="shared" si="97"/>
        <v>19.678956880636829</v>
      </c>
      <c r="AO298">
        <f t="shared" si="98"/>
        <v>0.17885668736293367</v>
      </c>
      <c r="AP298">
        <f t="shared" si="99"/>
        <v>19.578181461890679</v>
      </c>
    </row>
    <row r="299" spans="1:42" x14ac:dyDescent="0.2">
      <c r="A299" s="3">
        <v>300</v>
      </c>
      <c r="B299" s="3">
        <v>2.16E-7</v>
      </c>
      <c r="C299" s="2">
        <v>1.5480000000000001E-2</v>
      </c>
      <c r="D299" s="3">
        <v>147000</v>
      </c>
      <c r="E299" s="3">
        <v>123000000000</v>
      </c>
      <c r="F299" s="3">
        <v>110000000000</v>
      </c>
      <c r="G299" s="3">
        <v>9580000000</v>
      </c>
      <c r="H299" s="3">
        <v>12600000000</v>
      </c>
      <c r="I299" s="2"/>
      <c r="J299" s="7">
        <f t="shared" si="83"/>
        <v>0.216</v>
      </c>
      <c r="K299" s="7">
        <f t="shared" si="84"/>
        <v>15.48</v>
      </c>
      <c r="L299" s="7">
        <f t="shared" si="85"/>
        <v>123.00000000000001</v>
      </c>
      <c r="M299" s="7">
        <f t="shared" si="86"/>
        <v>147</v>
      </c>
      <c r="O299">
        <f t="shared" si="87"/>
        <v>0.1370204081632653</v>
      </c>
      <c r="P299">
        <f t="shared" si="88"/>
        <v>137.0204081632653</v>
      </c>
      <c r="V299">
        <f t="shared" si="89"/>
        <v>565.29883252344416</v>
      </c>
      <c r="W299">
        <f t="shared" si="90"/>
        <v>130.01972721560821</v>
      </c>
      <c r="AE299">
        <f t="shared" si="91"/>
        <v>0.49851190673332757</v>
      </c>
      <c r="AF299">
        <f t="shared" si="92"/>
        <v>0.48314881626988743</v>
      </c>
      <c r="AG299">
        <f t="shared" si="93"/>
        <v>0.48439068415760739</v>
      </c>
      <c r="AI299">
        <f t="shared" si="94"/>
        <v>0.18053731271888018</v>
      </c>
      <c r="AJ299">
        <f t="shared" si="95"/>
        <v>19.827610508641293</v>
      </c>
      <c r="AL299">
        <f t="shared" si="96"/>
        <v>0.18627800994078378</v>
      </c>
      <c r="AM299">
        <f t="shared" si="97"/>
        <v>21.10860877542116</v>
      </c>
      <c r="AO299">
        <f t="shared" si="98"/>
        <v>0.1858004353583243</v>
      </c>
      <c r="AP299">
        <f t="shared" si="99"/>
        <v>21.000512147058469</v>
      </c>
    </row>
    <row r="300" spans="1:42" x14ac:dyDescent="0.2">
      <c r="A300" s="3">
        <v>300</v>
      </c>
      <c r="B300" s="3">
        <v>2.16E-7</v>
      </c>
      <c r="C300" s="2">
        <v>1.553E-2</v>
      </c>
      <c r="D300" s="3">
        <v>151000</v>
      </c>
      <c r="E300" s="3">
        <v>125000000000</v>
      </c>
      <c r="F300" s="3">
        <v>112000000000</v>
      </c>
      <c r="G300" s="3">
        <v>23400000000</v>
      </c>
      <c r="H300" s="3">
        <v>12500000000</v>
      </c>
      <c r="I300" s="2"/>
      <c r="J300" s="7">
        <f t="shared" si="83"/>
        <v>0.216</v>
      </c>
      <c r="K300" s="7">
        <f t="shared" si="84"/>
        <v>15.530000000000001</v>
      </c>
      <c r="L300" s="7">
        <f t="shared" si="85"/>
        <v>125.00000000000001</v>
      </c>
      <c r="M300" s="7">
        <f t="shared" si="86"/>
        <v>151</v>
      </c>
      <c r="O300">
        <f t="shared" si="87"/>
        <v>0.13886423841059603</v>
      </c>
      <c r="P300">
        <f t="shared" si="88"/>
        <v>138.86423841059604</v>
      </c>
      <c r="V300">
        <f t="shared" si="89"/>
        <v>568.65634644404645</v>
      </c>
      <c r="W300">
        <f t="shared" si="90"/>
        <v>132.76911525233263</v>
      </c>
      <c r="AE300">
        <f t="shared" si="91"/>
        <v>0.51207685657641133</v>
      </c>
      <c r="AF300">
        <f t="shared" si="92"/>
        <v>0.49629572283505441</v>
      </c>
      <c r="AG300">
        <f t="shared" si="93"/>
        <v>0.49757138304624982</v>
      </c>
      <c r="AI300">
        <f t="shared" si="94"/>
        <v>0.17575486734884366</v>
      </c>
      <c r="AJ300">
        <f t="shared" si="95"/>
        <v>18.851749200853018</v>
      </c>
      <c r="AL300">
        <f t="shared" si="96"/>
        <v>0.18134349312116035</v>
      </c>
      <c r="AM300">
        <f t="shared" si="97"/>
        <v>20.069700201127958</v>
      </c>
      <c r="AO300">
        <f t="shared" si="98"/>
        <v>0.18087856952101766</v>
      </c>
      <c r="AP300">
        <f t="shared" si="99"/>
        <v>19.966923796151512</v>
      </c>
    </row>
    <row r="301" spans="1:42" x14ac:dyDescent="0.2">
      <c r="A301" s="3">
        <v>300</v>
      </c>
      <c r="B301" s="3">
        <v>2.17E-7</v>
      </c>
      <c r="C301" s="2">
        <v>1.559E-2</v>
      </c>
      <c r="D301" s="3">
        <v>141000</v>
      </c>
      <c r="E301" s="3">
        <v>119000000000</v>
      </c>
      <c r="F301" s="3">
        <v>107000000000</v>
      </c>
      <c r="G301" s="3">
        <v>16600000000</v>
      </c>
      <c r="H301" s="3">
        <v>13000000000</v>
      </c>
      <c r="I301" s="2"/>
      <c r="J301" s="7">
        <f t="shared" si="83"/>
        <v>0.217</v>
      </c>
      <c r="K301" s="7">
        <f t="shared" si="84"/>
        <v>15.59</v>
      </c>
      <c r="L301" s="7">
        <f t="shared" si="85"/>
        <v>119.00000000000001</v>
      </c>
      <c r="M301" s="7">
        <f t="shared" si="86"/>
        <v>141</v>
      </c>
      <c r="O301">
        <f t="shared" si="87"/>
        <v>0.13407446808510637</v>
      </c>
      <c r="P301">
        <f t="shared" si="88"/>
        <v>134.07446808510636</v>
      </c>
      <c r="V301">
        <f t="shared" si="89"/>
        <v>559.8817940701523</v>
      </c>
      <c r="W301">
        <f t="shared" si="90"/>
        <v>125.91943647156076</v>
      </c>
      <c r="AE301">
        <f t="shared" si="91"/>
        <v>0.47816448196870198</v>
      </c>
      <c r="AF301">
        <f t="shared" si="92"/>
        <v>0.46342845642213693</v>
      </c>
      <c r="AG301">
        <f t="shared" si="93"/>
        <v>0.46461963582464383</v>
      </c>
      <c r="AI301">
        <f t="shared" si="94"/>
        <v>0.18909113929667584</v>
      </c>
      <c r="AJ301">
        <f t="shared" si="95"/>
        <v>21.704110013860149</v>
      </c>
      <c r="AL301">
        <f t="shared" si="96"/>
        <v>0.19510382975771806</v>
      </c>
      <c r="AM301">
        <f t="shared" si="97"/>
        <v>23.106342889961756</v>
      </c>
      <c r="AO301">
        <f t="shared" si="98"/>
        <v>0.19460362777433629</v>
      </c>
      <c r="AP301">
        <f t="shared" si="99"/>
        <v>22.988015917930067</v>
      </c>
    </row>
    <row r="302" spans="1:42" x14ac:dyDescent="0.2">
      <c r="A302" s="3">
        <v>300</v>
      </c>
      <c r="B302" s="3">
        <v>2.17E-7</v>
      </c>
      <c r="C302" s="2">
        <v>1.5640000000000001E-2</v>
      </c>
      <c r="D302" s="3">
        <v>137000</v>
      </c>
      <c r="E302" s="3">
        <v>116000000000</v>
      </c>
      <c r="F302" s="3">
        <v>105000000000</v>
      </c>
      <c r="G302" s="3">
        <v>17600000000</v>
      </c>
      <c r="H302" s="3">
        <v>13300000000</v>
      </c>
      <c r="I302" s="2"/>
      <c r="J302" s="7">
        <f t="shared" si="83"/>
        <v>0.217</v>
      </c>
      <c r="K302" s="7">
        <f t="shared" si="84"/>
        <v>15.64</v>
      </c>
      <c r="L302" s="7">
        <f t="shared" si="85"/>
        <v>116.00000000000001</v>
      </c>
      <c r="M302" s="7">
        <f t="shared" si="86"/>
        <v>137</v>
      </c>
      <c r="O302">
        <f t="shared" si="87"/>
        <v>0.13137956204379561</v>
      </c>
      <c r="P302">
        <f t="shared" si="88"/>
        <v>131.3795620437956</v>
      </c>
      <c r="V302">
        <f t="shared" si="89"/>
        <v>554.86799381408355</v>
      </c>
      <c r="W302">
        <f t="shared" si="90"/>
        <v>123.45278654322942</v>
      </c>
      <c r="AE302">
        <f t="shared" si="91"/>
        <v>0.46459953212561822</v>
      </c>
      <c r="AF302">
        <f t="shared" si="92"/>
        <v>0.45028154985696989</v>
      </c>
      <c r="AG302">
        <f t="shared" si="93"/>
        <v>0.45143893693600146</v>
      </c>
      <c r="AI302">
        <f t="shared" si="94"/>
        <v>0.19461204847322114</v>
      </c>
      <c r="AJ302">
        <f t="shared" si="95"/>
        <v>23.063738570673646</v>
      </c>
      <c r="AL302">
        <f t="shared" si="96"/>
        <v>0.2008002919404252</v>
      </c>
      <c r="AM302">
        <f t="shared" si="97"/>
        <v>24.553812683316764</v>
      </c>
      <c r="AO302">
        <f t="shared" si="98"/>
        <v>0.2002854855195724</v>
      </c>
      <c r="AP302">
        <f t="shared" si="99"/>
        <v>24.428073256680264</v>
      </c>
    </row>
    <row r="303" spans="1:42" x14ac:dyDescent="0.2">
      <c r="A303" s="3">
        <v>300</v>
      </c>
      <c r="B303" s="3">
        <v>2.1799999999999999E-7</v>
      </c>
      <c r="C303" s="2">
        <v>1.5689999999999999E-2</v>
      </c>
      <c r="D303" s="3">
        <v>143000</v>
      </c>
      <c r="E303" s="3">
        <v>120000000000</v>
      </c>
      <c r="F303" s="3">
        <v>108000000000</v>
      </c>
      <c r="G303" s="3">
        <v>6410000000</v>
      </c>
      <c r="H303" s="3">
        <v>12900000000</v>
      </c>
      <c r="I303" s="2"/>
      <c r="J303" s="7">
        <f t="shared" si="83"/>
        <v>0.218</v>
      </c>
      <c r="K303" s="7">
        <f t="shared" si="84"/>
        <v>15.69</v>
      </c>
      <c r="L303" s="7">
        <f t="shared" si="85"/>
        <v>120.00000000000001</v>
      </c>
      <c r="M303" s="7">
        <f t="shared" si="86"/>
        <v>143</v>
      </c>
      <c r="O303">
        <f t="shared" si="87"/>
        <v>0.13570979020979021</v>
      </c>
      <c r="P303">
        <f t="shared" si="88"/>
        <v>135.70979020979021</v>
      </c>
      <c r="V303">
        <f t="shared" si="89"/>
        <v>562.89694109302036</v>
      </c>
      <c r="W303">
        <f t="shared" si="90"/>
        <v>127.02147547855375</v>
      </c>
      <c r="AE303">
        <f t="shared" si="91"/>
        <v>0.48494695689024386</v>
      </c>
      <c r="AF303">
        <f t="shared" si="92"/>
        <v>0.47000190970472039</v>
      </c>
      <c r="AG303">
        <f t="shared" si="93"/>
        <v>0.47120998526896501</v>
      </c>
      <c r="AI303">
        <f t="shared" si="94"/>
        <v>0.18730570847543493</v>
      </c>
      <c r="AJ303">
        <f t="shared" si="95"/>
        <v>21.236598722695174</v>
      </c>
      <c r="AL303">
        <f t="shared" si="96"/>
        <v>0.19326162608658243</v>
      </c>
      <c r="AM303">
        <f t="shared" si="97"/>
        <v>22.608627195022493</v>
      </c>
      <c r="AO303">
        <f t="shared" si="98"/>
        <v>0.19276614709572845</v>
      </c>
      <c r="AP303">
        <f t="shared" si="99"/>
        <v>22.492849011927035</v>
      </c>
    </row>
    <row r="304" spans="1:42" x14ac:dyDescent="0.2">
      <c r="A304" s="3">
        <v>300</v>
      </c>
      <c r="B304" s="3">
        <v>2.1799999999999999E-7</v>
      </c>
      <c r="C304" s="2">
        <v>1.5740000000000001E-2</v>
      </c>
      <c r="D304" s="3">
        <v>163000</v>
      </c>
      <c r="E304" s="3">
        <v>133000000000</v>
      </c>
      <c r="F304" s="3">
        <v>118000000000</v>
      </c>
      <c r="G304" s="3">
        <v>2520000000</v>
      </c>
      <c r="H304" s="3">
        <v>12000000000</v>
      </c>
      <c r="I304" s="2"/>
      <c r="J304" s="7">
        <f t="shared" si="83"/>
        <v>0.218</v>
      </c>
      <c r="K304" s="7">
        <f t="shared" si="84"/>
        <v>15.74</v>
      </c>
      <c r="L304" s="7">
        <f t="shared" si="85"/>
        <v>133</v>
      </c>
      <c r="M304" s="7">
        <f t="shared" si="86"/>
        <v>163</v>
      </c>
      <c r="O304">
        <f t="shared" si="87"/>
        <v>0.14557668711656441</v>
      </c>
      <c r="P304">
        <f t="shared" si="88"/>
        <v>145.57668711656441</v>
      </c>
      <c r="V304">
        <f t="shared" si="89"/>
        <v>580.67406247398458</v>
      </c>
      <c r="W304">
        <f t="shared" si="90"/>
        <v>140.35412508829145</v>
      </c>
      <c r="AE304">
        <f t="shared" si="91"/>
        <v>0.55277170610566251</v>
      </c>
      <c r="AF304">
        <f t="shared" si="92"/>
        <v>0.53573644253055541</v>
      </c>
      <c r="AG304">
        <f t="shared" si="93"/>
        <v>0.53711347971217693</v>
      </c>
      <c r="AI304">
        <f t="shared" si="94"/>
        <v>0.16432341295697669</v>
      </c>
      <c r="AJ304">
        <f t="shared" si="95"/>
        <v>16.396970353713492</v>
      </c>
      <c r="AL304">
        <f t="shared" si="96"/>
        <v>0.16954854313117351</v>
      </c>
      <c r="AM304">
        <f t="shared" si="97"/>
        <v>17.456325972707198</v>
      </c>
      <c r="AO304">
        <f t="shared" si="98"/>
        <v>0.16911385910852247</v>
      </c>
      <c r="AP304">
        <f t="shared" si="99"/>
        <v>17.366932588172691</v>
      </c>
    </row>
    <row r="305" spans="1:42" x14ac:dyDescent="0.2">
      <c r="A305" s="3">
        <v>300</v>
      </c>
      <c r="B305" s="3">
        <v>2.1899999999999999E-7</v>
      </c>
      <c r="C305" s="2">
        <v>1.5789999999999998E-2</v>
      </c>
      <c r="D305" s="3">
        <v>149000</v>
      </c>
      <c r="E305" s="3">
        <v>124000000000</v>
      </c>
      <c r="F305" s="3">
        <v>111000000000</v>
      </c>
      <c r="G305" s="3">
        <v>7680000000</v>
      </c>
      <c r="H305" s="3">
        <v>12600000000</v>
      </c>
      <c r="I305" s="2"/>
      <c r="J305" s="7">
        <f t="shared" si="83"/>
        <v>0.219</v>
      </c>
      <c r="K305" s="7">
        <f t="shared" si="84"/>
        <v>15.79</v>
      </c>
      <c r="L305" s="7">
        <f t="shared" si="85"/>
        <v>124.00000000000001</v>
      </c>
      <c r="M305" s="7">
        <f t="shared" si="86"/>
        <v>149</v>
      </c>
      <c r="O305">
        <f t="shared" si="87"/>
        <v>0.13952013422818793</v>
      </c>
      <c r="P305">
        <f t="shared" si="88"/>
        <v>139.52013422818794</v>
      </c>
      <c r="V305">
        <f t="shared" si="89"/>
        <v>569.84470479945537</v>
      </c>
      <c r="W305">
        <f t="shared" si="90"/>
        <v>130.73737348532296</v>
      </c>
      <c r="AE305">
        <f t="shared" si="91"/>
        <v>0.50529438165486951</v>
      </c>
      <c r="AF305">
        <f t="shared" si="92"/>
        <v>0.48972226955247089</v>
      </c>
      <c r="AG305">
        <f t="shared" si="93"/>
        <v>0.49098103360192863</v>
      </c>
      <c r="AI305">
        <f t="shared" si="94"/>
        <v>0.18058779854458457</v>
      </c>
      <c r="AJ305">
        <f t="shared" si="95"/>
        <v>19.685374684709405</v>
      </c>
      <c r="AL305">
        <f t="shared" si="96"/>
        <v>0.18633010110687462</v>
      </c>
      <c r="AM305">
        <f t="shared" si="97"/>
        <v>20.957183551493184</v>
      </c>
      <c r="AO305">
        <f t="shared" si="98"/>
        <v>0.18585239297447592</v>
      </c>
      <c r="AP305">
        <f t="shared" si="99"/>
        <v>20.849862367705246</v>
      </c>
    </row>
    <row r="306" spans="1:42" x14ac:dyDescent="0.2">
      <c r="A306" s="3">
        <v>300</v>
      </c>
      <c r="B306" s="3">
        <v>2.1899999999999999E-7</v>
      </c>
      <c r="C306" s="2">
        <v>1.585E-2</v>
      </c>
      <c r="D306" s="3">
        <v>142000</v>
      </c>
      <c r="E306" s="3">
        <v>119000000000</v>
      </c>
      <c r="F306" s="3">
        <v>107000000000</v>
      </c>
      <c r="G306" s="3">
        <v>6000000000</v>
      </c>
      <c r="H306" s="3">
        <v>13000000000</v>
      </c>
      <c r="I306" s="2"/>
      <c r="J306" s="7">
        <f t="shared" si="83"/>
        <v>0.219</v>
      </c>
      <c r="K306" s="7">
        <f t="shared" si="84"/>
        <v>15.85</v>
      </c>
      <c r="L306" s="7">
        <f t="shared" si="85"/>
        <v>119.00000000000001</v>
      </c>
      <c r="M306" s="7">
        <f t="shared" si="86"/>
        <v>142</v>
      </c>
      <c r="O306">
        <f t="shared" si="87"/>
        <v>0.13528521126760562</v>
      </c>
      <c r="P306">
        <f t="shared" si="88"/>
        <v>135.28521126760563</v>
      </c>
      <c r="V306">
        <f t="shared" si="89"/>
        <v>562.11607181854549</v>
      </c>
      <c r="W306">
        <f t="shared" si="90"/>
        <v>126.30843265217869</v>
      </c>
      <c r="AE306">
        <f t="shared" si="91"/>
        <v>0.48155571942947289</v>
      </c>
      <c r="AF306">
        <f t="shared" si="92"/>
        <v>0.46671518306342863</v>
      </c>
      <c r="AG306">
        <f t="shared" si="93"/>
        <v>0.46791481054680445</v>
      </c>
      <c r="AI306">
        <f t="shared" si="94"/>
        <v>0.18949001396579651</v>
      </c>
      <c r="AJ306">
        <f t="shared" si="95"/>
        <v>21.756381721490659</v>
      </c>
      <c r="AL306">
        <f t="shared" si="96"/>
        <v>0.19551538778115715</v>
      </c>
      <c r="AM306">
        <f t="shared" si="97"/>
        <v>23.161991704825994</v>
      </c>
      <c r="AO306">
        <f t="shared" si="98"/>
        <v>0.19501413065631629</v>
      </c>
      <c r="AP306">
        <f t="shared" si="99"/>
        <v>23.04337975668227</v>
      </c>
    </row>
    <row r="307" spans="1:42" x14ac:dyDescent="0.2">
      <c r="A307" s="3">
        <v>310</v>
      </c>
      <c r="B307" s="3">
        <v>2.2000000000000001E-7</v>
      </c>
      <c r="C307" s="2">
        <v>1.5900000000000001E-2</v>
      </c>
      <c r="D307" s="3">
        <v>169000</v>
      </c>
      <c r="E307" s="3">
        <v>136000000000</v>
      </c>
      <c r="F307" s="3">
        <v>121000000000</v>
      </c>
      <c r="G307" s="3">
        <v>11300000000</v>
      </c>
      <c r="H307" s="3">
        <v>11800000000</v>
      </c>
      <c r="I307" s="2"/>
      <c r="J307" s="7">
        <f t="shared" si="83"/>
        <v>0.22</v>
      </c>
      <c r="K307" s="7">
        <f t="shared" si="84"/>
        <v>15.9</v>
      </c>
      <c r="L307" s="7">
        <f t="shared" si="85"/>
        <v>136</v>
      </c>
      <c r="M307" s="7">
        <f t="shared" si="86"/>
        <v>169</v>
      </c>
      <c r="O307">
        <f t="shared" si="87"/>
        <v>0.14943786982248519</v>
      </c>
      <c r="P307">
        <f t="shared" si="88"/>
        <v>149.4378698224852</v>
      </c>
      <c r="V307">
        <f t="shared" si="89"/>
        <v>587.44748560909738</v>
      </c>
      <c r="W307">
        <f t="shared" si="90"/>
        <v>143.84264478106638</v>
      </c>
      <c r="AE307">
        <f t="shared" si="91"/>
        <v>0.57311913087028821</v>
      </c>
      <c r="AF307">
        <f t="shared" si="92"/>
        <v>0.55545680237830597</v>
      </c>
      <c r="AG307">
        <f t="shared" si="93"/>
        <v>0.55688452804514055</v>
      </c>
      <c r="AI307">
        <f t="shared" si="94"/>
        <v>0.15994347724437283</v>
      </c>
      <c r="AJ307">
        <f t="shared" si="95"/>
        <v>15.408409337192593</v>
      </c>
      <c r="AL307">
        <f t="shared" si="96"/>
        <v>0.16502933490809082</v>
      </c>
      <c r="AM307">
        <f t="shared" si="97"/>
        <v>16.403897202267213</v>
      </c>
      <c r="AO307">
        <f t="shared" si="98"/>
        <v>0.16460623711067845</v>
      </c>
      <c r="AP307">
        <f t="shared" si="99"/>
        <v>16.319893277686546</v>
      </c>
    </row>
    <row r="308" spans="1:42" x14ac:dyDescent="0.2">
      <c r="A308" s="3">
        <v>310</v>
      </c>
      <c r="B308" s="3">
        <v>2.2100000000000001E-7</v>
      </c>
      <c r="C308" s="2">
        <v>1.5949999999999999E-2</v>
      </c>
      <c r="D308" s="3">
        <v>148000</v>
      </c>
      <c r="E308" s="3">
        <v>122000000000</v>
      </c>
      <c r="F308" s="3">
        <v>110000000000</v>
      </c>
      <c r="G308" s="3">
        <v>2750000000</v>
      </c>
      <c r="H308" s="3">
        <v>12700000000</v>
      </c>
      <c r="I308" s="2"/>
      <c r="J308" s="7">
        <f t="shared" si="83"/>
        <v>0.221</v>
      </c>
      <c r="K308" s="7">
        <f t="shared" si="84"/>
        <v>15.95</v>
      </c>
      <c r="L308" s="7">
        <f t="shared" si="85"/>
        <v>122.00000000000001</v>
      </c>
      <c r="M308" s="7">
        <f t="shared" si="86"/>
        <v>148</v>
      </c>
      <c r="O308">
        <f t="shared" si="87"/>
        <v>0.1401722972972973</v>
      </c>
      <c r="P308">
        <f t="shared" si="88"/>
        <v>140.17229729729729</v>
      </c>
      <c r="V308">
        <f t="shared" si="89"/>
        <v>571.02321900690185</v>
      </c>
      <c r="W308">
        <f t="shared" si="90"/>
        <v>129.5919282033706</v>
      </c>
      <c r="AE308">
        <f t="shared" si="91"/>
        <v>0.50190314419409854</v>
      </c>
      <c r="AF308">
        <f t="shared" si="92"/>
        <v>0.48643554291117919</v>
      </c>
      <c r="AG308">
        <f t="shared" si="93"/>
        <v>0.48768585887976801</v>
      </c>
      <c r="AI308">
        <f t="shared" si="94"/>
        <v>0.18346833328010076</v>
      </c>
      <c r="AJ308">
        <f t="shared" si="95"/>
        <v>20.154468459047546</v>
      </c>
      <c r="AL308">
        <f t="shared" si="96"/>
        <v>0.18930223063520529</v>
      </c>
      <c r="AM308">
        <f t="shared" si="97"/>
        <v>21.456583968763539</v>
      </c>
      <c r="AO308">
        <f t="shared" si="98"/>
        <v>0.18881690263657033</v>
      </c>
      <c r="AP308">
        <f t="shared" si="99"/>
        <v>21.346705368620782</v>
      </c>
    </row>
    <row r="309" spans="1:42" x14ac:dyDescent="0.2">
      <c r="A309" s="3">
        <v>310</v>
      </c>
      <c r="B309" s="3">
        <v>2.2100000000000001E-7</v>
      </c>
      <c r="C309" s="2">
        <v>1.6E-2</v>
      </c>
      <c r="D309" s="3">
        <v>194000</v>
      </c>
      <c r="E309" s="3">
        <v>153000000000</v>
      </c>
      <c r="F309" s="3">
        <v>134000000000</v>
      </c>
      <c r="G309" s="2">
        <v>0</v>
      </c>
      <c r="H309" s="3">
        <v>11100000000</v>
      </c>
      <c r="I309" s="2"/>
      <c r="J309" s="7">
        <f t="shared" si="83"/>
        <v>0.221</v>
      </c>
      <c r="K309" s="7">
        <f t="shared" si="84"/>
        <v>16</v>
      </c>
      <c r="L309" s="7">
        <f t="shared" si="85"/>
        <v>153</v>
      </c>
      <c r="M309" s="7">
        <f t="shared" si="86"/>
        <v>194</v>
      </c>
      <c r="O309">
        <f t="shared" si="87"/>
        <v>0.15914432989690722</v>
      </c>
      <c r="P309">
        <f t="shared" si="88"/>
        <v>159.14432989690721</v>
      </c>
      <c r="V309">
        <f t="shared" si="89"/>
        <v>604.05572968377805</v>
      </c>
      <c r="W309">
        <f t="shared" si="90"/>
        <v>160.58121003302014</v>
      </c>
      <c r="AE309">
        <f t="shared" si="91"/>
        <v>0.65790006738956153</v>
      </c>
      <c r="AF309">
        <f t="shared" si="92"/>
        <v>0.63762496841059968</v>
      </c>
      <c r="AG309">
        <f t="shared" si="93"/>
        <v>0.63926389609915535</v>
      </c>
      <c r="AI309">
        <f t="shared" si="94"/>
        <v>0.1399655326054377</v>
      </c>
      <c r="AJ309">
        <f t="shared" si="95"/>
        <v>11.766589838835095</v>
      </c>
      <c r="AL309">
        <f t="shared" si="96"/>
        <v>0.14441613471139372</v>
      </c>
      <c r="AM309">
        <f t="shared" si="97"/>
        <v>12.526791436646809</v>
      </c>
      <c r="AO309">
        <f t="shared" si="98"/>
        <v>0.14404588448563097</v>
      </c>
      <c r="AP309">
        <f t="shared" si="99"/>
        <v>12.462642068353009</v>
      </c>
    </row>
    <row r="310" spans="1:42" x14ac:dyDescent="0.2">
      <c r="A310" s="3">
        <v>310</v>
      </c>
      <c r="B310" s="3">
        <v>2.2100000000000001E-7</v>
      </c>
      <c r="C310" s="2">
        <v>1.6049999999999998E-2</v>
      </c>
      <c r="D310" s="3">
        <v>145000</v>
      </c>
      <c r="E310" s="3">
        <v>120000000000</v>
      </c>
      <c r="F310" s="3">
        <v>108000000000</v>
      </c>
      <c r="G310" s="3">
        <v>5470000000</v>
      </c>
      <c r="H310" s="3">
        <v>13000000000</v>
      </c>
      <c r="I310" s="2"/>
      <c r="J310" s="7">
        <f t="shared" si="83"/>
        <v>0.221</v>
      </c>
      <c r="K310" s="7">
        <f t="shared" si="84"/>
        <v>16.049999999999997</v>
      </c>
      <c r="L310" s="7">
        <f t="shared" si="85"/>
        <v>120.00000000000001</v>
      </c>
      <c r="M310" s="7">
        <f t="shared" si="86"/>
        <v>145</v>
      </c>
      <c r="O310">
        <f t="shared" si="87"/>
        <v>0.13798275862068968</v>
      </c>
      <c r="P310">
        <f t="shared" si="88"/>
        <v>137.98275862068968</v>
      </c>
      <c r="V310">
        <f t="shared" si="89"/>
        <v>567.05433812755132</v>
      </c>
      <c r="W310">
        <f t="shared" si="90"/>
        <v>127.85370841073097</v>
      </c>
      <c r="AE310">
        <f t="shared" si="91"/>
        <v>0.49172943181178569</v>
      </c>
      <c r="AF310">
        <f t="shared" si="92"/>
        <v>0.47657536298730391</v>
      </c>
      <c r="AG310">
        <f t="shared" si="93"/>
        <v>0.4778003347132862</v>
      </c>
      <c r="AI310">
        <f t="shared" si="94"/>
        <v>0.18726422983072355</v>
      </c>
      <c r="AJ310">
        <f t="shared" si="95"/>
        <v>21.128716918992509</v>
      </c>
      <c r="AL310">
        <f t="shared" si="96"/>
        <v>0.19321882851041641</v>
      </c>
      <c r="AM310">
        <f t="shared" si="97"/>
        <v>22.493775494291636</v>
      </c>
      <c r="AO310">
        <f t="shared" si="98"/>
        <v>0.19272345924284423</v>
      </c>
      <c r="AP310">
        <f t="shared" si="99"/>
        <v>22.37858546372404</v>
      </c>
    </row>
    <row r="311" spans="1:42" x14ac:dyDescent="0.2">
      <c r="A311" s="3">
        <v>310</v>
      </c>
      <c r="B311" s="3">
        <v>2.23E-7</v>
      </c>
      <c r="C311" s="2">
        <v>1.6109999999999999E-2</v>
      </c>
      <c r="D311" s="3">
        <v>140000</v>
      </c>
      <c r="E311" s="3">
        <v>117000000000</v>
      </c>
      <c r="F311" s="3">
        <v>105000000000</v>
      </c>
      <c r="G311" s="3">
        <v>11000000000</v>
      </c>
      <c r="H311" s="3">
        <v>13200000000</v>
      </c>
      <c r="I311" s="2"/>
      <c r="J311" s="7">
        <f t="shared" si="83"/>
        <v>0.223</v>
      </c>
      <c r="K311" s="7">
        <f t="shared" si="84"/>
        <v>16.11</v>
      </c>
      <c r="L311" s="7">
        <f t="shared" si="85"/>
        <v>117.00000000000001</v>
      </c>
      <c r="M311" s="7">
        <f t="shared" si="86"/>
        <v>140</v>
      </c>
      <c r="O311">
        <f t="shared" si="87"/>
        <v>0.13669642857142858</v>
      </c>
      <c r="P311">
        <f t="shared" si="88"/>
        <v>136.69642857142858</v>
      </c>
      <c r="V311">
        <f t="shared" si="89"/>
        <v>564.70628928146903</v>
      </c>
      <c r="W311">
        <f t="shared" si="90"/>
        <v>123.95824400870023</v>
      </c>
      <c r="AE311">
        <f t="shared" si="91"/>
        <v>0.47477324450793101</v>
      </c>
      <c r="AF311">
        <f t="shared" si="92"/>
        <v>0.46014172978084517</v>
      </c>
      <c r="AG311">
        <f t="shared" si="93"/>
        <v>0.46132446110248326</v>
      </c>
      <c r="AI311">
        <f t="shared" si="94"/>
        <v>0.19570746191261945</v>
      </c>
      <c r="AJ311">
        <f t="shared" si="95"/>
        <v>22.749589330547021</v>
      </c>
      <c r="AL311">
        <f t="shared" si="96"/>
        <v>0.20193053716497464</v>
      </c>
      <c r="AM311">
        <f t="shared" si="97"/>
        <v>24.219367269229231</v>
      </c>
      <c r="AO311">
        <f t="shared" si="98"/>
        <v>0.20141283305162791</v>
      </c>
      <c r="AP311">
        <f t="shared" si="99"/>
        <v>24.09534052873035</v>
      </c>
    </row>
    <row r="312" spans="1:42" x14ac:dyDescent="0.2">
      <c r="A312" s="3">
        <v>310</v>
      </c>
      <c r="B312" s="3">
        <v>2.23E-7</v>
      </c>
      <c r="C312" s="2">
        <v>1.6160000000000001E-2</v>
      </c>
      <c r="D312" s="3">
        <v>146000</v>
      </c>
      <c r="E312" s="3">
        <v>120000000000</v>
      </c>
      <c r="F312" s="3">
        <v>108000000000</v>
      </c>
      <c r="G312" s="2">
        <v>0</v>
      </c>
      <c r="H312" s="3">
        <v>12900000000</v>
      </c>
      <c r="I312" s="2"/>
      <c r="J312" s="7">
        <f t="shared" si="83"/>
        <v>0.223</v>
      </c>
      <c r="K312" s="7">
        <f t="shared" si="84"/>
        <v>16.16</v>
      </c>
      <c r="L312" s="7">
        <f t="shared" si="85"/>
        <v>120.00000000000001</v>
      </c>
      <c r="M312" s="7">
        <f t="shared" si="86"/>
        <v>146</v>
      </c>
      <c r="O312">
        <f t="shared" si="87"/>
        <v>0.13998630136986301</v>
      </c>
      <c r="P312">
        <f t="shared" si="88"/>
        <v>139.98630136986301</v>
      </c>
      <c r="V312">
        <f t="shared" si="89"/>
        <v>570.68742038398534</v>
      </c>
      <c r="W312">
        <f t="shared" si="90"/>
        <v>127.91590876645252</v>
      </c>
      <c r="AE312">
        <f t="shared" si="91"/>
        <v>0.49512066927255666</v>
      </c>
      <c r="AF312">
        <f t="shared" si="92"/>
        <v>0.47986208962859567</v>
      </c>
      <c r="AG312">
        <f t="shared" si="93"/>
        <v>0.48109550943544682</v>
      </c>
      <c r="AI312">
        <f t="shared" si="94"/>
        <v>0.18766468950525153</v>
      </c>
      <c r="AJ312">
        <f t="shared" si="95"/>
        <v>20.983104190567722</v>
      </c>
      <c r="AL312">
        <f t="shared" si="96"/>
        <v>0.1936320219390168</v>
      </c>
      <c r="AM312">
        <f t="shared" si="97"/>
        <v>22.338755194911592</v>
      </c>
      <c r="AO312">
        <f t="shared" si="98"/>
        <v>0.19313559333717745</v>
      </c>
      <c r="AP312">
        <f t="shared" si="99"/>
        <v>22.224359019205252</v>
      </c>
    </row>
    <row r="313" spans="1:42" x14ac:dyDescent="0.2">
      <c r="A313" s="3">
        <v>310</v>
      </c>
      <c r="B313" s="3">
        <v>2.2399999999999999E-7</v>
      </c>
      <c r="C313" s="2">
        <v>1.6209999999999999E-2</v>
      </c>
      <c r="D313" s="3">
        <v>146000</v>
      </c>
      <c r="E313" s="3">
        <v>120000000000</v>
      </c>
      <c r="F313" s="3">
        <v>108000000000</v>
      </c>
      <c r="G313" s="2">
        <v>0</v>
      </c>
      <c r="H313" s="3">
        <v>12900000000</v>
      </c>
      <c r="I313" s="2"/>
      <c r="J313" s="7">
        <f t="shared" si="83"/>
        <v>0.224</v>
      </c>
      <c r="K313" s="7">
        <f t="shared" si="84"/>
        <v>16.209999999999997</v>
      </c>
      <c r="L313" s="7">
        <f t="shared" si="85"/>
        <v>120.00000000000001</v>
      </c>
      <c r="M313" s="7">
        <f t="shared" si="86"/>
        <v>146</v>
      </c>
      <c r="O313">
        <f t="shared" si="87"/>
        <v>0.14072945205479453</v>
      </c>
      <c r="P313">
        <f t="shared" si="88"/>
        <v>140.72945205479454</v>
      </c>
      <c r="V313">
        <f t="shared" si="89"/>
        <v>572.02762834066425</v>
      </c>
      <c r="W313">
        <f t="shared" si="90"/>
        <v>127.61621359401494</v>
      </c>
      <c r="AE313">
        <f t="shared" si="91"/>
        <v>0.49512066927255666</v>
      </c>
      <c r="AF313">
        <f t="shared" si="92"/>
        <v>0.47986208962859567</v>
      </c>
      <c r="AG313">
        <f t="shared" si="93"/>
        <v>0.48109550943544682</v>
      </c>
      <c r="AI313">
        <f t="shared" si="94"/>
        <v>0.18850623519810017</v>
      </c>
      <c r="AJ313">
        <f t="shared" si="95"/>
        <v>21.048027161454378</v>
      </c>
      <c r="AL313">
        <f t="shared" si="96"/>
        <v>0.19450032697013345</v>
      </c>
      <c r="AM313">
        <f t="shared" si="97"/>
        <v>22.407872630539408</v>
      </c>
      <c r="AO313">
        <f t="shared" si="98"/>
        <v>0.19400167223106615</v>
      </c>
      <c r="AP313">
        <f t="shared" si="99"/>
        <v>22.293122506269619</v>
      </c>
    </row>
    <row r="314" spans="1:42" x14ac:dyDescent="0.2">
      <c r="A314" s="3">
        <v>310</v>
      </c>
      <c r="B314" s="3">
        <v>2.2399999999999999E-7</v>
      </c>
      <c r="C314" s="2">
        <v>1.626E-2</v>
      </c>
      <c r="D314" s="3">
        <v>150000</v>
      </c>
      <c r="E314" s="3">
        <v>122000000000</v>
      </c>
      <c r="F314" s="3">
        <v>110000000000</v>
      </c>
      <c r="G314" s="3">
        <v>198000000</v>
      </c>
      <c r="H314" s="3">
        <v>12600000000</v>
      </c>
      <c r="I314" s="2"/>
      <c r="J314" s="7">
        <f t="shared" si="83"/>
        <v>0.224</v>
      </c>
      <c r="K314" s="7">
        <f t="shared" si="84"/>
        <v>16.260000000000002</v>
      </c>
      <c r="L314" s="7">
        <f t="shared" si="85"/>
        <v>122.00000000000001</v>
      </c>
      <c r="M314" s="7">
        <f t="shared" si="86"/>
        <v>150</v>
      </c>
      <c r="O314">
        <f t="shared" si="87"/>
        <v>0.14269999999999999</v>
      </c>
      <c r="P314">
        <f t="shared" si="88"/>
        <v>142.69999999999999</v>
      </c>
      <c r="V314">
        <f t="shared" si="89"/>
        <v>575.5623705073715</v>
      </c>
      <c r="W314">
        <f t="shared" si="90"/>
        <v>130.30733738532243</v>
      </c>
      <c r="AE314">
        <f t="shared" si="91"/>
        <v>0.50868561911564036</v>
      </c>
      <c r="AF314">
        <f t="shared" si="92"/>
        <v>0.49300899619376265</v>
      </c>
      <c r="AG314">
        <f t="shared" si="93"/>
        <v>0.49427620832408919</v>
      </c>
      <c r="AI314">
        <f t="shared" si="94"/>
        <v>0.1834794022594842</v>
      </c>
      <c r="AJ314">
        <f t="shared" si="95"/>
        <v>20.001939778710295</v>
      </c>
      <c r="AL314">
        <f t="shared" si="96"/>
        <v>0.18931365158426322</v>
      </c>
      <c r="AM314">
        <f t="shared" si="97"/>
        <v>21.294200900018705</v>
      </c>
      <c r="AO314">
        <f t="shared" si="98"/>
        <v>0.18882829430490439</v>
      </c>
      <c r="AP314">
        <f t="shared" si="99"/>
        <v>21.185153859284782</v>
      </c>
    </row>
    <row r="315" spans="1:42" x14ac:dyDescent="0.2">
      <c r="A315" s="3">
        <v>310</v>
      </c>
      <c r="B315" s="3">
        <v>2.2499999999999999E-7</v>
      </c>
      <c r="C315" s="2">
        <v>1.6320000000000001E-2</v>
      </c>
      <c r="D315" s="3">
        <v>145000</v>
      </c>
      <c r="E315" s="3">
        <v>119000000000</v>
      </c>
      <c r="F315" s="3">
        <v>107000000000</v>
      </c>
      <c r="G315" s="3">
        <v>8670000000</v>
      </c>
      <c r="H315" s="3">
        <v>12900000000</v>
      </c>
      <c r="I315" s="2"/>
      <c r="J315" s="7">
        <f t="shared" si="83"/>
        <v>0.22499999999999998</v>
      </c>
      <c r="K315" s="7">
        <f t="shared" si="84"/>
        <v>16.32</v>
      </c>
      <c r="L315" s="7">
        <f t="shared" si="85"/>
        <v>119.00000000000001</v>
      </c>
      <c r="M315" s="7">
        <f t="shared" si="86"/>
        <v>145</v>
      </c>
      <c r="O315">
        <f t="shared" si="87"/>
        <v>0.14058620689655171</v>
      </c>
      <c r="P315">
        <f t="shared" si="88"/>
        <v>140.58620689655172</v>
      </c>
      <c r="V315">
        <f t="shared" si="89"/>
        <v>571.76960532356281</v>
      </c>
      <c r="W315">
        <f t="shared" si="90"/>
        <v>126.79932498155871</v>
      </c>
      <c r="AE315">
        <f t="shared" si="91"/>
        <v>0.49172943181178569</v>
      </c>
      <c r="AF315">
        <f t="shared" si="92"/>
        <v>0.47657536298730391</v>
      </c>
      <c r="AG315">
        <f t="shared" si="93"/>
        <v>0.4778003347132862</v>
      </c>
      <c r="AI315">
        <f t="shared" si="94"/>
        <v>0.190653627655714</v>
      </c>
      <c r="AJ315">
        <f t="shared" si="95"/>
        <v>21.484153278377434</v>
      </c>
      <c r="AL315">
        <f t="shared" si="96"/>
        <v>0.19671600187712077</v>
      </c>
      <c r="AM315">
        <f t="shared" si="97"/>
        <v>22.872175455877858</v>
      </c>
      <c r="AO315">
        <f t="shared" si="98"/>
        <v>0.19621166664995451</v>
      </c>
      <c r="AP315">
        <f t="shared" si="99"/>
        <v>22.755047649095104</v>
      </c>
    </row>
    <row r="316" spans="1:42" x14ac:dyDescent="0.2">
      <c r="A316" s="3">
        <v>310</v>
      </c>
      <c r="B316" s="3">
        <v>2.2700000000000001E-7</v>
      </c>
      <c r="C316" s="2">
        <v>1.6369999999999999E-2</v>
      </c>
      <c r="D316" s="3">
        <v>147000</v>
      </c>
      <c r="E316" s="3">
        <v>120000000000</v>
      </c>
      <c r="F316" s="3">
        <v>108000000000</v>
      </c>
      <c r="G316" s="2">
        <v>0</v>
      </c>
      <c r="H316" s="3">
        <v>12700000000</v>
      </c>
      <c r="I316" s="2"/>
      <c r="J316" s="7">
        <f t="shared" si="83"/>
        <v>0.22700000000000001</v>
      </c>
      <c r="K316" s="7">
        <f t="shared" si="84"/>
        <v>16.369999999999997</v>
      </c>
      <c r="L316" s="7">
        <f t="shared" si="85"/>
        <v>120.00000000000001</v>
      </c>
      <c r="M316" s="7">
        <f t="shared" si="86"/>
        <v>147</v>
      </c>
      <c r="O316">
        <f t="shared" si="87"/>
        <v>0.1434795918367347</v>
      </c>
      <c r="P316">
        <f t="shared" si="88"/>
        <v>143.4795918367347</v>
      </c>
      <c r="V316">
        <f t="shared" si="89"/>
        <v>576.95328249993645</v>
      </c>
      <c r="W316">
        <f t="shared" si="90"/>
        <v>127.39333015235613</v>
      </c>
      <c r="AE316">
        <f t="shared" si="91"/>
        <v>0.49851190673332757</v>
      </c>
      <c r="AF316">
        <f t="shared" si="92"/>
        <v>0.48314881626988743</v>
      </c>
      <c r="AG316">
        <f t="shared" si="93"/>
        <v>0.48439068415760739</v>
      </c>
      <c r="AI316">
        <f t="shared" si="94"/>
        <v>0.18973134253326762</v>
      </c>
      <c r="AJ316">
        <f t="shared" si="95"/>
        <v>20.967570027548962</v>
      </c>
      <c r="AL316">
        <f t="shared" si="96"/>
        <v>0.19576439007665702</v>
      </c>
      <c r="AM316">
        <f t="shared" si="97"/>
        <v>22.322217419486066</v>
      </c>
      <c r="AO316">
        <f t="shared" si="98"/>
        <v>0.19526249456638711</v>
      </c>
      <c r="AP316">
        <f t="shared" si="99"/>
        <v>22.207905933291155</v>
      </c>
    </row>
    <row r="317" spans="1:42" x14ac:dyDescent="0.2">
      <c r="A317" s="3">
        <v>320</v>
      </c>
      <c r="B317" s="3">
        <v>2.29E-7</v>
      </c>
      <c r="C317" s="2">
        <v>1.6420000000000001E-2</v>
      </c>
      <c r="D317" s="3">
        <v>144000</v>
      </c>
      <c r="E317" s="3">
        <v>117000000000</v>
      </c>
      <c r="F317" s="3">
        <v>105000000000</v>
      </c>
      <c r="G317" s="3">
        <v>1580000000</v>
      </c>
      <c r="H317" s="3">
        <v>12700000000</v>
      </c>
      <c r="I317" s="2"/>
      <c r="J317" s="7">
        <f t="shared" si="83"/>
        <v>0.22900000000000001</v>
      </c>
      <c r="K317" s="7">
        <f t="shared" si="84"/>
        <v>16.420000000000002</v>
      </c>
      <c r="L317" s="7">
        <f t="shared" si="85"/>
        <v>117.00000000000001</v>
      </c>
      <c r="M317" s="7">
        <f t="shared" si="86"/>
        <v>144</v>
      </c>
      <c r="O317">
        <f t="shared" si="87"/>
        <v>0.14347916666666666</v>
      </c>
      <c r="P317">
        <f t="shared" si="88"/>
        <v>143.47916666666666</v>
      </c>
      <c r="V317">
        <f t="shared" si="89"/>
        <v>576.95252507972543</v>
      </c>
      <c r="W317">
        <f t="shared" si="90"/>
        <v>124.79363009989562</v>
      </c>
      <c r="AE317">
        <f t="shared" si="91"/>
        <v>0.48833819435101478</v>
      </c>
      <c r="AF317">
        <f t="shared" si="92"/>
        <v>0.47328863634601215</v>
      </c>
      <c r="AG317">
        <f t="shared" si="93"/>
        <v>0.47450515999112564</v>
      </c>
      <c r="AI317">
        <f t="shared" si="94"/>
        <v>0.19539054649098717</v>
      </c>
      <c r="AJ317">
        <f t="shared" si="95"/>
        <v>21.917058196987153</v>
      </c>
      <c r="AL317">
        <f t="shared" si="96"/>
        <v>0.20160354451635173</v>
      </c>
      <c r="AM317">
        <f t="shared" si="97"/>
        <v>23.333048971620237</v>
      </c>
      <c r="AO317">
        <f t="shared" si="98"/>
        <v>0.20108667873801667</v>
      </c>
      <c r="AP317">
        <f t="shared" si="99"/>
        <v>23.213561043728436</v>
      </c>
    </row>
    <row r="318" spans="1:42" x14ac:dyDescent="0.2">
      <c r="A318" s="3">
        <v>320</v>
      </c>
      <c r="B318" s="3">
        <v>2.2999999999999999E-7</v>
      </c>
      <c r="C318" s="2">
        <v>1.6469999999999999E-2</v>
      </c>
      <c r="D318" s="3">
        <v>154000</v>
      </c>
      <c r="E318" s="3">
        <v>123000000000</v>
      </c>
      <c r="F318" s="3">
        <v>110000000000</v>
      </c>
      <c r="G318" s="3">
        <v>3240000000</v>
      </c>
      <c r="H318" s="3">
        <v>12200000000</v>
      </c>
      <c r="I318" s="2"/>
      <c r="J318" s="7">
        <f t="shared" si="83"/>
        <v>0.22999999999999998</v>
      </c>
      <c r="K318" s="7">
        <f t="shared" si="84"/>
        <v>16.47</v>
      </c>
      <c r="L318" s="7">
        <f t="shared" si="85"/>
        <v>123.00000000000001</v>
      </c>
      <c r="M318" s="7">
        <f t="shared" si="86"/>
        <v>154</v>
      </c>
      <c r="O318">
        <f t="shared" si="87"/>
        <v>0.14978896103896103</v>
      </c>
      <c r="P318">
        <f t="shared" si="88"/>
        <v>149.78896103896102</v>
      </c>
      <c r="V318">
        <f t="shared" si="89"/>
        <v>588.05852298768195</v>
      </c>
      <c r="W318">
        <f t="shared" si="90"/>
        <v>130.93934870426651</v>
      </c>
      <c r="AE318">
        <f t="shared" si="91"/>
        <v>0.52225056895872413</v>
      </c>
      <c r="AF318">
        <f t="shared" si="92"/>
        <v>0.50615590275892963</v>
      </c>
      <c r="AG318">
        <f t="shared" si="93"/>
        <v>0.50745690721273162</v>
      </c>
      <c r="AI318">
        <f t="shared" si="94"/>
        <v>0.18350067770037695</v>
      </c>
      <c r="AJ318">
        <f t="shared" si="95"/>
        <v>19.221454580036493</v>
      </c>
      <c r="AL318">
        <f t="shared" si="96"/>
        <v>0.18933560353829665</v>
      </c>
      <c r="AM318">
        <f t="shared" si="97"/>
        <v>20.463291058077242</v>
      </c>
      <c r="AO318">
        <f t="shared" si="98"/>
        <v>0.1888501899791048</v>
      </c>
      <c r="AP318">
        <f t="shared" si="99"/>
        <v>20.358499084711454</v>
      </c>
    </row>
    <row r="319" spans="1:42" x14ac:dyDescent="0.2">
      <c r="A319" s="3">
        <v>320</v>
      </c>
      <c r="B319" s="3">
        <v>2.3099999999999999E-7</v>
      </c>
      <c r="C319" s="2">
        <v>1.652E-2</v>
      </c>
      <c r="D319" s="3">
        <v>150000</v>
      </c>
      <c r="E319" s="3">
        <v>120000000000</v>
      </c>
      <c r="F319" s="3">
        <v>108000000000</v>
      </c>
      <c r="G319" s="3">
        <v>6530000000</v>
      </c>
      <c r="H319" s="3">
        <v>12300000000</v>
      </c>
      <c r="I319" s="2"/>
      <c r="J319" s="7">
        <f t="shared" si="83"/>
        <v>0.23099999999999998</v>
      </c>
      <c r="K319" s="7">
        <f t="shared" si="84"/>
        <v>16.52</v>
      </c>
      <c r="L319" s="7">
        <f t="shared" si="85"/>
        <v>120.00000000000001</v>
      </c>
      <c r="M319" s="7">
        <f t="shared" si="86"/>
        <v>150</v>
      </c>
      <c r="O319">
        <f t="shared" si="87"/>
        <v>0.14839999999999998</v>
      </c>
      <c r="P319">
        <f t="shared" si="88"/>
        <v>148.39999999999998</v>
      </c>
      <c r="V319">
        <f t="shared" si="89"/>
        <v>585.63649242331974</v>
      </c>
      <c r="W319">
        <f t="shared" si="90"/>
        <v>128.06578990604845</v>
      </c>
      <c r="AE319">
        <f t="shared" si="91"/>
        <v>0.50868561911564036</v>
      </c>
      <c r="AF319">
        <f t="shared" si="92"/>
        <v>0.49300899619376265</v>
      </c>
      <c r="AG319">
        <f t="shared" si="93"/>
        <v>0.49427620832408919</v>
      </c>
      <c r="AI319">
        <f t="shared" si="94"/>
        <v>0.18921313358009306</v>
      </c>
      <c r="AJ319">
        <f t="shared" si="95"/>
        <v>20.321773994114022</v>
      </c>
      <c r="AL319">
        <f t="shared" si="96"/>
        <v>0.19522970319627145</v>
      </c>
      <c r="AM319">
        <f t="shared" si="97"/>
        <v>21.634698577386775</v>
      </c>
      <c r="AO319">
        <f t="shared" si="98"/>
        <v>0.19472917850193261</v>
      </c>
      <c r="AP319">
        <f t="shared" si="99"/>
        <v>21.523907857034718</v>
      </c>
    </row>
    <row r="320" spans="1:42" x14ac:dyDescent="0.2">
      <c r="A320" s="3">
        <v>320</v>
      </c>
      <c r="B320" s="3">
        <v>2.3200000000000001E-7</v>
      </c>
      <c r="C320" s="2">
        <v>1.6580000000000001E-2</v>
      </c>
      <c r="D320" s="3">
        <v>146000</v>
      </c>
      <c r="E320" s="3">
        <v>117000000000</v>
      </c>
      <c r="F320" s="3">
        <v>105000000000</v>
      </c>
      <c r="G320" s="3">
        <v>10500000000</v>
      </c>
      <c r="H320" s="3">
        <v>12500000000</v>
      </c>
      <c r="I320" s="2"/>
      <c r="J320" s="7">
        <f t="shared" si="83"/>
        <v>0.23200000000000001</v>
      </c>
      <c r="K320" s="7">
        <f t="shared" si="84"/>
        <v>16.580000000000002</v>
      </c>
      <c r="L320" s="7">
        <f t="shared" si="85"/>
        <v>117.00000000000001</v>
      </c>
      <c r="M320" s="7">
        <f t="shared" si="86"/>
        <v>146</v>
      </c>
      <c r="O320">
        <f t="shared" si="87"/>
        <v>0.14682876712328768</v>
      </c>
      <c r="P320">
        <f t="shared" si="88"/>
        <v>146.82876712328769</v>
      </c>
      <c r="V320">
        <f t="shared" si="89"/>
        <v>582.88135121894368</v>
      </c>
      <c r="W320">
        <f t="shared" si="90"/>
        <v>125.23989633111373</v>
      </c>
      <c r="AE320">
        <f t="shared" si="91"/>
        <v>0.49512066927255666</v>
      </c>
      <c r="AF320">
        <f t="shared" si="92"/>
        <v>0.47986208962859567</v>
      </c>
      <c r="AG320">
        <f t="shared" si="93"/>
        <v>0.48109550943544682</v>
      </c>
      <c r="AI320">
        <f t="shared" si="94"/>
        <v>0.19523860074088947</v>
      </c>
      <c r="AJ320">
        <f t="shared" si="95"/>
        <v>21.528457146015651</v>
      </c>
      <c r="AL320">
        <f t="shared" si="96"/>
        <v>0.20144676721906679</v>
      </c>
      <c r="AM320">
        <f t="shared" si="97"/>
        <v>22.919341654185288</v>
      </c>
      <c r="AO320">
        <f t="shared" si="98"/>
        <v>0.20093030338217566</v>
      </c>
      <c r="AP320">
        <f t="shared" si="99"/>
        <v>22.801972310545985</v>
      </c>
    </row>
    <row r="321" spans="1:42" x14ac:dyDescent="0.2">
      <c r="A321" s="3">
        <v>320</v>
      </c>
      <c r="B321" s="3">
        <v>2.3300000000000001E-7</v>
      </c>
      <c r="C321" s="2">
        <v>1.6629999999999999E-2</v>
      </c>
      <c r="D321" s="3">
        <v>156000</v>
      </c>
      <c r="E321" s="3">
        <v>123000000000</v>
      </c>
      <c r="F321" s="3">
        <v>110000000000</v>
      </c>
      <c r="G321" s="3">
        <v>4090000000</v>
      </c>
      <c r="H321" s="3">
        <v>12100000000</v>
      </c>
      <c r="I321" s="2"/>
      <c r="J321" s="7">
        <f t="shared" si="83"/>
        <v>0.23300000000000001</v>
      </c>
      <c r="K321" s="7">
        <f t="shared" si="84"/>
        <v>16.63</v>
      </c>
      <c r="L321" s="7">
        <f t="shared" si="85"/>
        <v>123.00000000000001</v>
      </c>
      <c r="M321" s="7">
        <f t="shared" si="86"/>
        <v>156</v>
      </c>
      <c r="O321">
        <f t="shared" si="87"/>
        <v>0.15304807692307693</v>
      </c>
      <c r="P321">
        <f t="shared" si="88"/>
        <v>153.04807692307693</v>
      </c>
      <c r="V321">
        <f t="shared" si="89"/>
        <v>593.69300236881384</v>
      </c>
      <c r="W321">
        <f t="shared" si="90"/>
        <v>131.38103310765462</v>
      </c>
      <c r="AE321">
        <f t="shared" si="91"/>
        <v>0.52903304388026595</v>
      </c>
      <c r="AF321">
        <f t="shared" si="92"/>
        <v>0.51272935604151315</v>
      </c>
      <c r="AG321">
        <f t="shared" si="93"/>
        <v>0.51404725665705275</v>
      </c>
      <c r="AI321">
        <f t="shared" si="94"/>
        <v>0.18351090627772931</v>
      </c>
      <c r="AJ321">
        <f t="shared" si="95"/>
        <v>18.913728245064497</v>
      </c>
      <c r="AL321">
        <f t="shared" si="96"/>
        <v>0.18934615736235119</v>
      </c>
      <c r="AM321">
        <f t="shared" si="97"/>
        <v>20.135683512428344</v>
      </c>
      <c r="AO321">
        <f t="shared" si="98"/>
        <v>0.18886071674554741</v>
      </c>
      <c r="AP321">
        <f t="shared" si="99"/>
        <v>20.032569208656408</v>
      </c>
    </row>
    <row r="322" spans="1:42" x14ac:dyDescent="0.2">
      <c r="A322" s="3">
        <v>320</v>
      </c>
      <c r="B322" s="3">
        <v>2.3300000000000001E-7</v>
      </c>
      <c r="C322" s="2">
        <v>1.668E-2</v>
      </c>
      <c r="D322" s="3">
        <v>148000</v>
      </c>
      <c r="E322" s="3">
        <v>118000000000</v>
      </c>
      <c r="F322" s="3">
        <v>106000000000</v>
      </c>
      <c r="G322" s="3">
        <v>5700000000</v>
      </c>
      <c r="H322" s="3">
        <v>12500000000</v>
      </c>
      <c r="I322" s="2"/>
      <c r="J322" s="7">
        <f t="shared" si="83"/>
        <v>0.23300000000000001</v>
      </c>
      <c r="K322" s="7">
        <f t="shared" si="84"/>
        <v>16.68</v>
      </c>
      <c r="L322" s="7">
        <f t="shared" si="85"/>
        <v>118.00000000000001</v>
      </c>
      <c r="M322" s="7">
        <f t="shared" si="86"/>
        <v>148</v>
      </c>
      <c r="O322">
        <f t="shared" si="87"/>
        <v>0.14847297297297299</v>
      </c>
      <c r="P322">
        <f t="shared" si="88"/>
        <v>148.472972972973</v>
      </c>
      <c r="V322">
        <f t="shared" si="89"/>
        <v>585.76405407695074</v>
      </c>
      <c r="W322">
        <f t="shared" si="90"/>
        <v>126.33072904517756</v>
      </c>
      <c r="AE322">
        <f t="shared" si="91"/>
        <v>0.50190314419409854</v>
      </c>
      <c r="AF322">
        <f t="shared" si="92"/>
        <v>0.48643554291117919</v>
      </c>
      <c r="AG322">
        <f t="shared" si="93"/>
        <v>0.48768585887976801</v>
      </c>
      <c r="AI322">
        <f t="shared" si="94"/>
        <v>0.19343041472517411</v>
      </c>
      <c r="AJ322">
        <f t="shared" si="95"/>
        <v>21.07689867692245</v>
      </c>
      <c r="AL322">
        <f t="shared" si="96"/>
        <v>0.19958108478734315</v>
      </c>
      <c r="AM322">
        <f t="shared" si="97"/>
        <v>22.438609441942059</v>
      </c>
      <c r="AO322">
        <f t="shared" si="98"/>
        <v>0.19906940413719862</v>
      </c>
      <c r="AP322">
        <f t="shared" si="99"/>
        <v>22.323701915272395</v>
      </c>
    </row>
    <row r="323" spans="1:42" x14ac:dyDescent="0.2">
      <c r="A323" s="3">
        <v>320</v>
      </c>
      <c r="B323" s="3">
        <v>2.34E-7</v>
      </c>
      <c r="C323" s="2">
        <v>1.6729999999999998E-2</v>
      </c>
      <c r="D323" s="3">
        <v>140000</v>
      </c>
      <c r="E323" s="3">
        <v>113000000000</v>
      </c>
      <c r="F323" s="3">
        <v>102000000000</v>
      </c>
      <c r="G323" s="3">
        <v>4650000000</v>
      </c>
      <c r="H323" s="3">
        <v>12900000000</v>
      </c>
      <c r="I323" s="2"/>
      <c r="J323" s="7">
        <f t="shared" si="83"/>
        <v>0.23400000000000001</v>
      </c>
      <c r="K323" s="7">
        <f t="shared" si="84"/>
        <v>16.729999999999997</v>
      </c>
      <c r="L323" s="7">
        <f t="shared" si="85"/>
        <v>113</v>
      </c>
      <c r="M323" s="7">
        <f t="shared" si="86"/>
        <v>140</v>
      </c>
      <c r="O323">
        <f t="shared" si="87"/>
        <v>0.14437500000000003</v>
      </c>
      <c r="P323">
        <f t="shared" si="88"/>
        <v>144.37500000000003</v>
      </c>
      <c r="V323">
        <f t="shared" si="89"/>
        <v>578.54564482233388</v>
      </c>
      <c r="W323">
        <f t="shared" si="90"/>
        <v>120.99304631615777</v>
      </c>
      <c r="AE323">
        <f t="shared" si="91"/>
        <v>0.47477324450793101</v>
      </c>
      <c r="AF323">
        <f t="shared" si="92"/>
        <v>0.46014172978084517</v>
      </c>
      <c r="AG323">
        <f t="shared" si="93"/>
        <v>0.46132446110248326</v>
      </c>
      <c r="AI323">
        <f t="shared" si="94"/>
        <v>0.20536119321772622</v>
      </c>
      <c r="AJ323">
        <f t="shared" si="95"/>
        <v>23.625116666669872</v>
      </c>
      <c r="AL323">
        <f t="shared" si="96"/>
        <v>0.21189123630764156</v>
      </c>
      <c r="AM323">
        <f t="shared" si="97"/>
        <v>25.151459616027619</v>
      </c>
      <c r="AO323">
        <f t="shared" si="98"/>
        <v>0.21134799522009387</v>
      </c>
      <c r="AP323">
        <f t="shared" si="99"/>
        <v>25.022659655224004</v>
      </c>
    </row>
    <row r="324" spans="1:42" x14ac:dyDescent="0.2">
      <c r="A324" s="3">
        <v>320</v>
      </c>
      <c r="B324" s="3">
        <v>2.35E-7</v>
      </c>
      <c r="C324" s="2">
        <v>1.6789999999999999E-2</v>
      </c>
      <c r="D324" s="3">
        <v>144000</v>
      </c>
      <c r="E324" s="3">
        <v>115000000000</v>
      </c>
      <c r="F324" s="3">
        <v>104000000000</v>
      </c>
      <c r="G324" s="2">
        <v>0</v>
      </c>
      <c r="H324" s="3">
        <v>12700000000</v>
      </c>
      <c r="I324" s="2"/>
      <c r="J324" s="7">
        <f t="shared" si="83"/>
        <v>0.23499999999999999</v>
      </c>
      <c r="K324" s="7">
        <f t="shared" si="84"/>
        <v>16.79</v>
      </c>
      <c r="L324" s="7">
        <f t="shared" si="85"/>
        <v>115.00000000000001</v>
      </c>
      <c r="M324" s="7">
        <f t="shared" si="86"/>
        <v>144</v>
      </c>
      <c r="O324">
        <f t="shared" si="87"/>
        <v>0.14755208333333333</v>
      </c>
      <c r="P324">
        <f t="shared" si="88"/>
        <v>147.55208333333334</v>
      </c>
      <c r="V324">
        <f t="shared" si="89"/>
        <v>584.15170836958896</v>
      </c>
      <c r="W324">
        <f t="shared" si="90"/>
        <v>123.25565254436621</v>
      </c>
      <c r="AE324">
        <f t="shared" si="91"/>
        <v>0.48833819435101478</v>
      </c>
      <c r="AF324">
        <f t="shared" si="92"/>
        <v>0.47328863634601215</v>
      </c>
      <c r="AG324">
        <f t="shared" si="93"/>
        <v>0.47450515999112564</v>
      </c>
      <c r="AI324">
        <f t="shared" si="94"/>
        <v>0.20050994945581649</v>
      </c>
      <c r="AJ324">
        <f t="shared" si="95"/>
        <v>22.410926134434483</v>
      </c>
      <c r="AL324">
        <f t="shared" si="96"/>
        <v>0.20688573345564479</v>
      </c>
      <c r="AM324">
        <f t="shared" si="97"/>
        <v>23.858824131151263</v>
      </c>
      <c r="AO324">
        <f t="shared" si="98"/>
        <v>0.20635532534250617</v>
      </c>
      <c r="AP324">
        <f t="shared" si="99"/>
        <v>23.736643722545701</v>
      </c>
    </row>
    <row r="325" spans="1:42" x14ac:dyDescent="0.2">
      <c r="A325" s="3">
        <v>320</v>
      </c>
      <c r="B325" s="3">
        <v>2.35E-7</v>
      </c>
      <c r="C325" s="2">
        <v>1.6840000000000001E-2</v>
      </c>
      <c r="D325" s="3">
        <v>151000</v>
      </c>
      <c r="E325" s="3">
        <v>119000000000</v>
      </c>
      <c r="F325" s="3">
        <v>107000000000</v>
      </c>
      <c r="G325" s="2">
        <v>0</v>
      </c>
      <c r="H325" s="3">
        <v>12400000000</v>
      </c>
      <c r="I325" s="2"/>
      <c r="J325" s="7">
        <f t="shared" ref="J325:J388" si="100">B325*(10^6)</f>
        <v>0.23499999999999999</v>
      </c>
      <c r="K325" s="7">
        <f t="shared" ref="K325:K388" si="101">C325*1000</f>
        <v>16.84</v>
      </c>
      <c r="L325" s="7">
        <f t="shared" ref="L325:L388" si="102">E325*(10^-9)</f>
        <v>119.00000000000001</v>
      </c>
      <c r="M325" s="7">
        <f t="shared" ref="M325:M388" si="103">D325*(10^-3)</f>
        <v>151</v>
      </c>
      <c r="O325">
        <f t="shared" ref="O325:O388" si="104">J325-(0.75*(K325/M325))</f>
        <v>0.15135761589403973</v>
      </c>
      <c r="P325">
        <f t="shared" ref="P325:P388" si="105">O325*1000</f>
        <v>151.35761589403972</v>
      </c>
      <c r="V325">
        <f t="shared" ref="V325:V388" si="106">$S$3*(P325^$S$4)</f>
        <v>590.77890486465878</v>
      </c>
      <c r="W325">
        <f t="shared" ref="W325:W388" si="107">M325/(2*(V325/1000))</f>
        <v>127.79738643053996</v>
      </c>
      <c r="AE325">
        <f t="shared" si="91"/>
        <v>0.51207685657641133</v>
      </c>
      <c r="AF325">
        <f t="shared" si="92"/>
        <v>0.49629572283505441</v>
      </c>
      <c r="AG325">
        <f t="shared" si="93"/>
        <v>0.49757138304624982</v>
      </c>
      <c r="AI325">
        <f t="shared" si="94"/>
        <v>0.19121478623601043</v>
      </c>
      <c r="AJ325">
        <f t="shared" si="95"/>
        <v>20.441948264157425</v>
      </c>
      <c r="AL325">
        <f t="shared" si="96"/>
        <v>0.1972950040901513</v>
      </c>
      <c r="AM325">
        <f t="shared" si="97"/>
        <v>21.762636921248859</v>
      </c>
      <c r="AO325">
        <f t="shared" si="98"/>
        <v>0.19678918443258864</v>
      </c>
      <c r="AP325">
        <f t="shared" si="99"/>
        <v>21.6511910320149</v>
      </c>
    </row>
    <row r="326" spans="1:42" x14ac:dyDescent="0.2">
      <c r="A326" s="3">
        <v>320</v>
      </c>
      <c r="B326" s="3">
        <v>2.36E-7</v>
      </c>
      <c r="C326" s="2">
        <v>1.6889999999999999E-2</v>
      </c>
      <c r="D326" s="3">
        <v>161000</v>
      </c>
      <c r="E326" s="3">
        <v>125000000000</v>
      </c>
      <c r="F326" s="3">
        <v>112000000000</v>
      </c>
      <c r="G326" s="3">
        <v>16800000</v>
      </c>
      <c r="H326" s="3">
        <v>11900000000</v>
      </c>
      <c r="I326" s="2"/>
      <c r="J326" s="7">
        <f t="shared" si="100"/>
        <v>0.23599999999999999</v>
      </c>
      <c r="K326" s="7">
        <f t="shared" si="101"/>
        <v>16.889999999999997</v>
      </c>
      <c r="L326" s="7">
        <f t="shared" si="102"/>
        <v>125.00000000000001</v>
      </c>
      <c r="M326" s="7">
        <f t="shared" si="103"/>
        <v>161</v>
      </c>
      <c r="O326">
        <f t="shared" si="104"/>
        <v>0.1573198757763975</v>
      </c>
      <c r="P326">
        <f t="shared" si="105"/>
        <v>157.31987577639751</v>
      </c>
      <c r="V326">
        <f t="shared" si="106"/>
        <v>600.9779697366389</v>
      </c>
      <c r="W326">
        <f t="shared" si="107"/>
        <v>133.94833763253715</v>
      </c>
      <c r="AE326">
        <f t="shared" si="91"/>
        <v>0.54598923118412068</v>
      </c>
      <c r="AF326">
        <f t="shared" si="92"/>
        <v>0.52916298924797189</v>
      </c>
      <c r="AG326">
        <f t="shared" si="93"/>
        <v>0.53052313026785569</v>
      </c>
      <c r="AI326">
        <f t="shared" si="94"/>
        <v>0.18010123225337565</v>
      </c>
      <c r="AJ326">
        <f t="shared" si="95"/>
        <v>18.03482737619974</v>
      </c>
      <c r="AL326">
        <f t="shared" si="96"/>
        <v>0.18582806305686886</v>
      </c>
      <c r="AM326">
        <f t="shared" si="97"/>
        <v>19.199999679766901</v>
      </c>
      <c r="AO326">
        <f t="shared" si="98"/>
        <v>0.18535164203620272</v>
      </c>
      <c r="AP326">
        <f t="shared" si="99"/>
        <v>19.101676988204005</v>
      </c>
    </row>
    <row r="327" spans="1:42" x14ac:dyDescent="0.2">
      <c r="A327" s="3">
        <v>330</v>
      </c>
      <c r="B327" s="3">
        <v>2.36E-7</v>
      </c>
      <c r="C327" s="2">
        <v>1.694E-2</v>
      </c>
      <c r="D327" s="3">
        <v>151000</v>
      </c>
      <c r="E327" s="3">
        <v>119000000000</v>
      </c>
      <c r="F327" s="3">
        <v>107000000000</v>
      </c>
      <c r="G327" s="2">
        <v>0</v>
      </c>
      <c r="H327" s="3">
        <v>12400000000</v>
      </c>
      <c r="I327" s="2"/>
      <c r="J327" s="7">
        <f t="shared" si="100"/>
        <v>0.23599999999999999</v>
      </c>
      <c r="K327" s="7">
        <f t="shared" si="101"/>
        <v>16.940000000000001</v>
      </c>
      <c r="L327" s="7">
        <f t="shared" si="102"/>
        <v>119.00000000000001</v>
      </c>
      <c r="M327" s="7">
        <f t="shared" si="103"/>
        <v>151</v>
      </c>
      <c r="O327">
        <f t="shared" si="104"/>
        <v>0.15186092715231786</v>
      </c>
      <c r="P327">
        <f t="shared" si="105"/>
        <v>151.86092715231786</v>
      </c>
      <c r="V327">
        <f t="shared" si="106"/>
        <v>591.64842371268458</v>
      </c>
      <c r="W327">
        <f t="shared" si="107"/>
        <v>127.60956840926902</v>
      </c>
      <c r="AE327">
        <f t="shared" si="91"/>
        <v>0.51207685657641133</v>
      </c>
      <c r="AF327">
        <f t="shared" si="92"/>
        <v>0.49629572283505441</v>
      </c>
      <c r="AG327">
        <f t="shared" si="93"/>
        <v>0.49757138304624982</v>
      </c>
      <c r="AI327">
        <f t="shared" si="94"/>
        <v>0.19202846617744027</v>
      </c>
      <c r="AJ327">
        <f t="shared" si="95"/>
        <v>20.563337505631043</v>
      </c>
      <c r="AL327">
        <f t="shared" si="96"/>
        <v>0.19813455729904556</v>
      </c>
      <c r="AM327">
        <f t="shared" si="97"/>
        <v>21.891868731945113</v>
      </c>
      <c r="AO327">
        <f t="shared" si="98"/>
        <v>0.19762658521740817</v>
      </c>
      <c r="AP327">
        <f t="shared" si="99"/>
        <v>21.779761050019744</v>
      </c>
    </row>
    <row r="328" spans="1:42" x14ac:dyDescent="0.2">
      <c r="A328" s="3">
        <v>330</v>
      </c>
      <c r="B328" s="3">
        <v>2.3699999999999999E-7</v>
      </c>
      <c r="C328" s="2">
        <v>1.6990000000000002E-2</v>
      </c>
      <c r="D328" s="3">
        <v>148000</v>
      </c>
      <c r="E328" s="3">
        <v>117000000000</v>
      </c>
      <c r="F328" s="3">
        <v>106000000000</v>
      </c>
      <c r="G328" s="3">
        <v>2190000000</v>
      </c>
      <c r="H328" s="3">
        <v>12500000000</v>
      </c>
      <c r="I328" s="2"/>
      <c r="J328" s="7">
        <f t="shared" si="100"/>
        <v>0.23699999999999999</v>
      </c>
      <c r="K328" s="7">
        <f t="shared" si="101"/>
        <v>16.990000000000002</v>
      </c>
      <c r="L328" s="7">
        <f t="shared" si="102"/>
        <v>117.00000000000001</v>
      </c>
      <c r="M328" s="7">
        <f t="shared" si="103"/>
        <v>148</v>
      </c>
      <c r="O328">
        <f t="shared" si="104"/>
        <v>0.15090202702702701</v>
      </c>
      <c r="P328">
        <f t="shared" si="105"/>
        <v>150.902027027027</v>
      </c>
      <c r="V328">
        <f t="shared" si="106"/>
        <v>589.9904413437938</v>
      </c>
      <c r="W328">
        <f t="shared" si="107"/>
        <v>125.42576085038536</v>
      </c>
      <c r="AE328">
        <f t="shared" si="91"/>
        <v>0.50190314419409854</v>
      </c>
      <c r="AF328">
        <f t="shared" si="92"/>
        <v>0.48643554291117919</v>
      </c>
      <c r="AG328">
        <f t="shared" si="93"/>
        <v>0.48768585887976801</v>
      </c>
      <c r="AI328">
        <f t="shared" si="94"/>
        <v>0.19675110854019853</v>
      </c>
      <c r="AJ328">
        <f t="shared" si="95"/>
        <v>21.468615618759742</v>
      </c>
      <c r="AL328">
        <f t="shared" si="96"/>
        <v>0.2030073695047224</v>
      </c>
      <c r="AM328">
        <f t="shared" si="97"/>
        <v>22.855633957949376</v>
      </c>
      <c r="AO328">
        <f t="shared" si="98"/>
        <v>0.20248690463740801</v>
      </c>
      <c r="AP328">
        <f t="shared" si="99"/>
        <v>22.738590859740889</v>
      </c>
    </row>
    <row r="329" spans="1:42" x14ac:dyDescent="0.2">
      <c r="A329" s="3">
        <v>330</v>
      </c>
      <c r="B329" s="3">
        <v>2.3699999999999999E-7</v>
      </c>
      <c r="C329" s="2">
        <v>1.7049999999999999E-2</v>
      </c>
      <c r="D329" s="3">
        <v>162000</v>
      </c>
      <c r="E329" s="3">
        <v>126000000000</v>
      </c>
      <c r="F329" s="3">
        <v>112000000000</v>
      </c>
      <c r="G329" s="2">
        <v>0</v>
      </c>
      <c r="H329" s="3">
        <v>11900000000</v>
      </c>
      <c r="I329" s="2"/>
      <c r="J329" s="7">
        <f t="shared" si="100"/>
        <v>0.23699999999999999</v>
      </c>
      <c r="K329" s="7">
        <f t="shared" si="101"/>
        <v>17.05</v>
      </c>
      <c r="L329" s="7">
        <f t="shared" si="102"/>
        <v>126.00000000000001</v>
      </c>
      <c r="M329" s="7">
        <f t="shared" si="103"/>
        <v>162</v>
      </c>
      <c r="O329">
        <f t="shared" si="104"/>
        <v>0.1580648148148148</v>
      </c>
      <c r="P329">
        <f t="shared" si="105"/>
        <v>158.06481481481481</v>
      </c>
      <c r="V329">
        <f t="shared" si="106"/>
        <v>602.23703240213183</v>
      </c>
      <c r="W329">
        <f t="shared" si="107"/>
        <v>134.49853735649035</v>
      </c>
      <c r="AE329">
        <f t="shared" si="91"/>
        <v>0.54938046864489165</v>
      </c>
      <c r="AF329">
        <f t="shared" si="92"/>
        <v>0.53244971588926371</v>
      </c>
      <c r="AG329">
        <f t="shared" si="93"/>
        <v>0.53381830499001637</v>
      </c>
      <c r="AI329">
        <f t="shared" si="94"/>
        <v>0.17974792632067521</v>
      </c>
      <c r="AJ329">
        <f t="shared" si="95"/>
        <v>17.981604716133873</v>
      </c>
      <c r="AL329">
        <f t="shared" si="96"/>
        <v>0.18546352275740069</v>
      </c>
      <c r="AM329">
        <f t="shared" si="97"/>
        <v>19.143338474483091</v>
      </c>
      <c r="AO329">
        <f t="shared" si="98"/>
        <v>0.18498803633540975</v>
      </c>
      <c r="AP329">
        <f t="shared" si="99"/>
        <v>19.045305943456839</v>
      </c>
    </row>
    <row r="330" spans="1:42" x14ac:dyDescent="0.2">
      <c r="A330" s="3">
        <v>330</v>
      </c>
      <c r="B330" s="3">
        <v>2.3799999999999999E-7</v>
      </c>
      <c r="C330" s="2">
        <v>1.7100000000000001E-2</v>
      </c>
      <c r="D330" s="3">
        <v>144000</v>
      </c>
      <c r="E330" s="3">
        <v>114000000000</v>
      </c>
      <c r="F330" s="3">
        <v>103000000000</v>
      </c>
      <c r="G330" s="3">
        <v>15500000000</v>
      </c>
      <c r="H330" s="3">
        <v>12700000000</v>
      </c>
      <c r="I330" s="2"/>
      <c r="J330" s="7">
        <f t="shared" si="100"/>
        <v>0.23799999999999999</v>
      </c>
      <c r="K330" s="7">
        <f t="shared" si="101"/>
        <v>17.100000000000001</v>
      </c>
      <c r="L330" s="7">
        <f t="shared" si="102"/>
        <v>114</v>
      </c>
      <c r="M330" s="7">
        <f t="shared" si="103"/>
        <v>144</v>
      </c>
      <c r="O330">
        <f t="shared" si="104"/>
        <v>0.1489375</v>
      </c>
      <c r="P330">
        <f t="shared" si="105"/>
        <v>148.9375</v>
      </c>
      <c r="V330">
        <f t="shared" si="106"/>
        <v>586.5752610508913</v>
      </c>
      <c r="W330">
        <f t="shared" si="107"/>
        <v>122.74639723299424</v>
      </c>
      <c r="AE330">
        <f t="shared" si="91"/>
        <v>0.48833819435101478</v>
      </c>
      <c r="AF330">
        <f t="shared" si="92"/>
        <v>0.47328863634601215</v>
      </c>
      <c r="AG330">
        <f t="shared" si="93"/>
        <v>0.47450515999112564</v>
      </c>
      <c r="AI330">
        <f t="shared" si="94"/>
        <v>0.20306965093823118</v>
      </c>
      <c r="AJ330">
        <f t="shared" si="95"/>
        <v>22.824707379322795</v>
      </c>
      <c r="AL330">
        <f t="shared" si="96"/>
        <v>0.20952682792529131</v>
      </c>
      <c r="AM330">
        <f t="shared" si="97"/>
        <v>24.299338454001585</v>
      </c>
      <c r="AO330">
        <f t="shared" si="98"/>
        <v>0.20898964864475092</v>
      </c>
      <c r="AP330">
        <f t="shared" si="99"/>
        <v>24.174902183176386</v>
      </c>
    </row>
    <row r="331" spans="1:42" x14ac:dyDescent="0.2">
      <c r="A331" s="3">
        <v>330</v>
      </c>
      <c r="B331" s="3">
        <v>2.3799999999999999E-7</v>
      </c>
      <c r="C331" s="2">
        <v>1.7149999999999999E-2</v>
      </c>
      <c r="D331" s="3">
        <v>135000</v>
      </c>
      <c r="E331" s="3">
        <v>109000000000</v>
      </c>
      <c r="F331" s="3">
        <v>99000000000</v>
      </c>
      <c r="G331" s="2">
        <v>0</v>
      </c>
      <c r="H331" s="3">
        <v>13300000000</v>
      </c>
      <c r="I331" s="2"/>
      <c r="J331" s="7">
        <f t="shared" si="100"/>
        <v>0.23799999999999999</v>
      </c>
      <c r="K331" s="7">
        <f t="shared" si="101"/>
        <v>17.149999999999999</v>
      </c>
      <c r="L331" s="7">
        <f t="shared" si="102"/>
        <v>109</v>
      </c>
      <c r="M331" s="7">
        <f t="shared" si="103"/>
        <v>135</v>
      </c>
      <c r="O331">
        <f t="shared" si="104"/>
        <v>0.14272222222222222</v>
      </c>
      <c r="P331">
        <f t="shared" si="105"/>
        <v>142.72222222222223</v>
      </c>
      <c r="V331">
        <f t="shared" si="106"/>
        <v>575.60207689746164</v>
      </c>
      <c r="W331">
        <f t="shared" si="107"/>
        <v>117.26851362981533</v>
      </c>
      <c r="AE331">
        <f t="shared" si="91"/>
        <v>0.45781705720407634</v>
      </c>
      <c r="AF331">
        <f t="shared" si="92"/>
        <v>0.44370809657438642</v>
      </c>
      <c r="AG331">
        <f t="shared" si="93"/>
        <v>0.44484858749168027</v>
      </c>
      <c r="AI331">
        <f t="shared" si="94"/>
        <v>0.21660762766744662</v>
      </c>
      <c r="AJ331">
        <f t="shared" si="95"/>
        <v>26.045378889715085</v>
      </c>
      <c r="AL331">
        <f t="shared" si="96"/>
        <v>0.22349528312031072</v>
      </c>
      <c r="AM331">
        <f t="shared" si="97"/>
        <v>27.728087212072396</v>
      </c>
      <c r="AO331">
        <f t="shared" si="98"/>
        <v>0.22292229188773433</v>
      </c>
      <c r="AP331">
        <f t="shared" si="99"/>
        <v>27.586092409361292</v>
      </c>
    </row>
    <row r="332" spans="1:42" x14ac:dyDescent="0.2">
      <c r="A332" s="3">
        <v>330</v>
      </c>
      <c r="B332" s="3">
        <v>2.3900000000000001E-7</v>
      </c>
      <c r="C332" s="2">
        <v>1.72E-2</v>
      </c>
      <c r="D332" s="3">
        <v>154000</v>
      </c>
      <c r="E332" s="3">
        <v>120000000000</v>
      </c>
      <c r="F332" s="3">
        <v>108000000000</v>
      </c>
      <c r="G332" s="2">
        <v>0</v>
      </c>
      <c r="H332" s="3">
        <v>12300000000</v>
      </c>
      <c r="I332" s="2"/>
      <c r="J332" s="7">
        <f t="shared" si="100"/>
        <v>0.23900000000000002</v>
      </c>
      <c r="K332" s="7">
        <f t="shared" si="101"/>
        <v>17.2</v>
      </c>
      <c r="L332" s="7">
        <f t="shared" si="102"/>
        <v>120.00000000000001</v>
      </c>
      <c r="M332" s="7">
        <f t="shared" si="103"/>
        <v>154</v>
      </c>
      <c r="O332">
        <f t="shared" si="104"/>
        <v>0.15523376623376625</v>
      </c>
      <c r="P332">
        <f t="shared" si="105"/>
        <v>155.23376623376626</v>
      </c>
      <c r="V332">
        <f t="shared" si="106"/>
        <v>597.43434825097825</v>
      </c>
      <c r="W332">
        <f t="shared" si="107"/>
        <v>128.88445437632052</v>
      </c>
      <c r="AE332">
        <f t="shared" si="91"/>
        <v>0.52225056895872413</v>
      </c>
      <c r="AF332">
        <f t="shared" si="92"/>
        <v>0.50615590275892963</v>
      </c>
      <c r="AG332">
        <f t="shared" si="93"/>
        <v>0.50745690721273162</v>
      </c>
      <c r="AI332">
        <f t="shared" si="94"/>
        <v>0.19068113900169609</v>
      </c>
      <c r="AJ332">
        <f t="shared" si="95"/>
        <v>20.073407333128579</v>
      </c>
      <c r="AL332">
        <f t="shared" si="96"/>
        <v>0.19674438802457783</v>
      </c>
      <c r="AM332">
        <f t="shared" si="97"/>
        <v>21.370285743711509</v>
      </c>
      <c r="AO332">
        <f t="shared" si="98"/>
        <v>0.19623998002176546</v>
      </c>
      <c r="AP332">
        <f t="shared" si="99"/>
        <v>21.260849074501337</v>
      </c>
    </row>
    <row r="333" spans="1:42" x14ac:dyDescent="0.2">
      <c r="A333" s="3">
        <v>330</v>
      </c>
      <c r="B333" s="3">
        <v>2.3900000000000001E-7</v>
      </c>
      <c r="C333" s="2">
        <v>1.7260000000000001E-2</v>
      </c>
      <c r="D333" s="3">
        <v>140000</v>
      </c>
      <c r="E333" s="3">
        <v>112000000000</v>
      </c>
      <c r="F333" s="3">
        <v>101000000000</v>
      </c>
      <c r="G333" s="2">
        <v>0</v>
      </c>
      <c r="H333" s="3">
        <v>13100000000</v>
      </c>
      <c r="I333" s="2"/>
      <c r="J333" s="7">
        <f t="shared" si="100"/>
        <v>0.23900000000000002</v>
      </c>
      <c r="K333" s="7">
        <f t="shared" si="101"/>
        <v>17.260000000000002</v>
      </c>
      <c r="L333" s="7">
        <f t="shared" si="102"/>
        <v>112</v>
      </c>
      <c r="M333" s="7">
        <f t="shared" si="103"/>
        <v>140</v>
      </c>
      <c r="O333">
        <f t="shared" si="104"/>
        <v>0.1465357142857143</v>
      </c>
      <c r="P333">
        <f t="shared" si="105"/>
        <v>146.53571428571431</v>
      </c>
      <c r="V333">
        <f t="shared" si="106"/>
        <v>582.36567173852825</v>
      </c>
      <c r="W333">
        <f t="shared" si="107"/>
        <v>120.19939257585351</v>
      </c>
      <c r="AE333">
        <f t="shared" si="91"/>
        <v>0.47477324450793101</v>
      </c>
      <c r="AF333">
        <f t="shared" si="92"/>
        <v>0.46014172978084517</v>
      </c>
      <c r="AG333">
        <f t="shared" si="93"/>
        <v>0.46132446110248326</v>
      </c>
      <c r="AI333">
        <f t="shared" si="94"/>
        <v>0.20974925290186569</v>
      </c>
      <c r="AJ333">
        <f t="shared" si="95"/>
        <v>24.373551324968446</v>
      </c>
      <c r="AL333">
        <f t="shared" si="96"/>
        <v>0.21641882682703562</v>
      </c>
      <c r="AM333">
        <f t="shared" si="97"/>
        <v>25.948248235064963</v>
      </c>
      <c r="AO333">
        <f t="shared" si="98"/>
        <v>0.21586397802394203</v>
      </c>
      <c r="AP333">
        <f t="shared" si="99"/>
        <v>25.81536794077504</v>
      </c>
    </row>
    <row r="334" spans="1:42" x14ac:dyDescent="0.2">
      <c r="A334" s="3">
        <v>330</v>
      </c>
      <c r="B334" s="3">
        <v>2.3999999999999998E-7</v>
      </c>
      <c r="C334" s="2">
        <v>1.7309999999999999E-2</v>
      </c>
      <c r="D334" s="3">
        <v>156000</v>
      </c>
      <c r="E334" s="3">
        <v>121000000000</v>
      </c>
      <c r="F334" s="3">
        <v>109000000000</v>
      </c>
      <c r="G334" s="3">
        <v>12400000000</v>
      </c>
      <c r="H334" s="3">
        <v>12200000000</v>
      </c>
      <c r="I334" s="2"/>
      <c r="J334" s="7">
        <f t="shared" si="100"/>
        <v>0.24</v>
      </c>
      <c r="K334" s="7">
        <f t="shared" si="101"/>
        <v>17.309999999999999</v>
      </c>
      <c r="L334" s="7">
        <f t="shared" si="102"/>
        <v>121.00000000000001</v>
      </c>
      <c r="M334" s="7">
        <f t="shared" si="103"/>
        <v>156</v>
      </c>
      <c r="O334">
        <f t="shared" si="104"/>
        <v>0.15677884615384613</v>
      </c>
      <c r="P334">
        <f t="shared" si="105"/>
        <v>156.77884615384613</v>
      </c>
      <c r="V334">
        <f t="shared" si="106"/>
        <v>600.06146266685391</v>
      </c>
      <c r="W334">
        <f t="shared" si="107"/>
        <v>129.98668445286339</v>
      </c>
      <c r="AE334">
        <f t="shared" si="91"/>
        <v>0.52903304388026595</v>
      </c>
      <c r="AF334">
        <f t="shared" si="92"/>
        <v>0.51272935604151315</v>
      </c>
      <c r="AG334">
        <f t="shared" si="93"/>
        <v>0.51404725665705275</v>
      </c>
      <c r="AI334">
        <f t="shared" si="94"/>
        <v>0.18902410947062245</v>
      </c>
      <c r="AJ334">
        <f t="shared" si="95"/>
        <v>19.687109796877117</v>
      </c>
      <c r="AL334">
        <f t="shared" si="96"/>
        <v>0.1950346685277437</v>
      </c>
      <c r="AM334">
        <f t="shared" si="97"/>
        <v>20.959030763688194</v>
      </c>
      <c r="AO334">
        <f t="shared" si="98"/>
        <v>0.19453464385807456</v>
      </c>
      <c r="AP334">
        <f t="shared" si="99"/>
        <v>20.851700120375369</v>
      </c>
    </row>
    <row r="335" spans="1:42" x14ac:dyDescent="0.2">
      <c r="A335" s="3">
        <v>330</v>
      </c>
      <c r="B335" s="3">
        <v>2.41E-7</v>
      </c>
      <c r="C335" s="2">
        <v>1.736E-2</v>
      </c>
      <c r="D335" s="3">
        <v>159000</v>
      </c>
      <c r="E335" s="3">
        <v>123000000000</v>
      </c>
      <c r="F335" s="3">
        <v>110000000000</v>
      </c>
      <c r="G335" s="3">
        <v>8620000000</v>
      </c>
      <c r="H335" s="3">
        <v>12100000000</v>
      </c>
      <c r="I335" s="2"/>
      <c r="J335" s="7">
        <f t="shared" si="100"/>
        <v>0.24099999999999999</v>
      </c>
      <c r="K335" s="7">
        <f t="shared" si="101"/>
        <v>17.36</v>
      </c>
      <c r="L335" s="7">
        <f t="shared" si="102"/>
        <v>123.00000000000001</v>
      </c>
      <c r="M335" s="7">
        <f t="shared" si="103"/>
        <v>159</v>
      </c>
      <c r="O335">
        <f t="shared" si="104"/>
        <v>0.15911320754716982</v>
      </c>
      <c r="P335">
        <f t="shared" si="105"/>
        <v>159.11320754716982</v>
      </c>
      <c r="V335">
        <f t="shared" si="106"/>
        <v>604.00339312014125</v>
      </c>
      <c r="W335">
        <f t="shared" si="107"/>
        <v>131.62177713823999</v>
      </c>
      <c r="AE335">
        <f t="shared" si="91"/>
        <v>0.53920675626257886</v>
      </c>
      <c r="AF335">
        <f t="shared" si="92"/>
        <v>0.52258953596538837</v>
      </c>
      <c r="AG335">
        <f t="shared" si="93"/>
        <v>0.52393278082353456</v>
      </c>
      <c r="AI335">
        <f t="shared" si="94"/>
        <v>0.18623035690926418</v>
      </c>
      <c r="AJ335">
        <f t="shared" si="95"/>
        <v>19.005949213410123</v>
      </c>
      <c r="AL335">
        <f t="shared" si="96"/>
        <v>0.19215208065956638</v>
      </c>
      <c r="AM335">
        <f t="shared" si="97"/>
        <v>20.233862581502258</v>
      </c>
      <c r="AO335">
        <f t="shared" si="98"/>
        <v>0.19165944629161871</v>
      </c>
      <c r="AP335">
        <f t="shared" si="99"/>
        <v>20.130245505309091</v>
      </c>
    </row>
    <row r="336" spans="1:42" x14ac:dyDescent="0.2">
      <c r="A336" s="3">
        <v>330</v>
      </c>
      <c r="B336" s="3">
        <v>2.41E-7</v>
      </c>
      <c r="C336" s="2">
        <v>1.7409999999999998E-2</v>
      </c>
      <c r="D336" s="3">
        <v>142000</v>
      </c>
      <c r="E336" s="3">
        <v>112000000000</v>
      </c>
      <c r="F336" s="3">
        <v>102000000000</v>
      </c>
      <c r="G336" s="2">
        <v>0</v>
      </c>
      <c r="H336" s="3">
        <v>13000000000</v>
      </c>
      <c r="I336" s="2"/>
      <c r="J336" s="7">
        <f t="shared" si="100"/>
        <v>0.24099999999999999</v>
      </c>
      <c r="K336" s="7">
        <f t="shared" si="101"/>
        <v>17.41</v>
      </c>
      <c r="L336" s="7">
        <f t="shared" si="102"/>
        <v>112</v>
      </c>
      <c r="M336" s="7">
        <f t="shared" si="103"/>
        <v>142</v>
      </c>
      <c r="O336">
        <f t="shared" si="104"/>
        <v>0.14904577464788732</v>
      </c>
      <c r="P336">
        <f t="shared" si="105"/>
        <v>149.04577464788733</v>
      </c>
      <c r="V336">
        <f t="shared" si="106"/>
        <v>586.76413927646581</v>
      </c>
      <c r="W336">
        <f t="shared" si="107"/>
        <v>121.00262311113549</v>
      </c>
      <c r="AE336">
        <f t="shared" ref="AE336:AE399" si="108">M336/(2*$Y$5)</f>
        <v>0.48155571942947289</v>
      </c>
      <c r="AF336">
        <f t="shared" ref="AF336:AF399" si="109">M336/(2*$Y$8)</f>
        <v>0.46671518306342863</v>
      </c>
      <c r="AG336">
        <f t="shared" ref="AG336:AG399" si="110">M336/(2*$Y$11)</f>
        <v>0.46791481054680445</v>
      </c>
      <c r="AI336">
        <f t="shared" ref="AI336:AI399" si="111">J336/(2.4*AE336)</f>
        <v>0.2085255404829085</v>
      </c>
      <c r="AJ336">
        <f t="shared" ref="AJ336:AJ399" si="112">K336/(3.14159*(AE336^2))</f>
        <v>23.897703834142103</v>
      </c>
      <c r="AL336">
        <f t="shared" ref="AL336:AL399" si="113">J336/(2.4*AF336)</f>
        <v>0.21515620299204966</v>
      </c>
      <c r="AM336">
        <f t="shared" ref="AM336:AM399" si="114">K336/(3.14159*(AF336^2))</f>
        <v>25.44165776536407</v>
      </c>
      <c r="AO336">
        <f t="shared" ref="AO336:AO399" si="115">J336/(2.4*AG336)</f>
        <v>0.2146045912701928</v>
      </c>
      <c r="AP336">
        <f t="shared" ref="AP336:AP399" si="116">K336/(3.14159*(AG336^2))</f>
        <v>25.311371707497685</v>
      </c>
    </row>
    <row r="337" spans="1:42" x14ac:dyDescent="0.2">
      <c r="A337" s="3">
        <v>340</v>
      </c>
      <c r="B337" s="3">
        <v>2.4200000000000002E-7</v>
      </c>
      <c r="C337" s="2">
        <v>1.746E-2</v>
      </c>
      <c r="D337" s="3">
        <v>151000</v>
      </c>
      <c r="E337" s="3">
        <v>118000000000</v>
      </c>
      <c r="F337" s="3">
        <v>106000000000</v>
      </c>
      <c r="G337" s="2">
        <v>0</v>
      </c>
      <c r="H337" s="3">
        <v>12500000000</v>
      </c>
      <c r="I337" s="2"/>
      <c r="J337" s="7">
        <f t="shared" si="100"/>
        <v>0.24200000000000002</v>
      </c>
      <c r="K337" s="7">
        <f t="shared" si="101"/>
        <v>17.46</v>
      </c>
      <c r="L337" s="7">
        <f t="shared" si="102"/>
        <v>118.00000000000001</v>
      </c>
      <c r="M337" s="7">
        <f t="shared" si="103"/>
        <v>151</v>
      </c>
      <c r="O337">
        <f t="shared" si="104"/>
        <v>0.15527814569536424</v>
      </c>
      <c r="P337">
        <f t="shared" si="105"/>
        <v>155.27814569536423</v>
      </c>
      <c r="V337">
        <f t="shared" si="106"/>
        <v>597.51000972223233</v>
      </c>
      <c r="W337">
        <f t="shared" si="107"/>
        <v>126.35771580646505</v>
      </c>
      <c r="AE337">
        <f t="shared" si="108"/>
        <v>0.51207685657641133</v>
      </c>
      <c r="AF337">
        <f t="shared" si="109"/>
        <v>0.49629572283505441</v>
      </c>
      <c r="AG337">
        <f t="shared" si="110"/>
        <v>0.49757138304624982</v>
      </c>
      <c r="AI337">
        <f t="shared" si="111"/>
        <v>0.19691054582601927</v>
      </c>
      <c r="AJ337">
        <f t="shared" si="112"/>
        <v>21.194561561293863</v>
      </c>
      <c r="AL337">
        <f t="shared" si="113"/>
        <v>0.20317187655241115</v>
      </c>
      <c r="AM337">
        <f t="shared" si="114"/>
        <v>22.563874147565624</v>
      </c>
      <c r="AO337">
        <f t="shared" si="115"/>
        <v>0.20265098992632535</v>
      </c>
      <c r="AP337">
        <f t="shared" si="116"/>
        <v>22.448325143644905</v>
      </c>
    </row>
    <row r="338" spans="1:42" x14ac:dyDescent="0.2">
      <c r="A338" s="3">
        <v>340</v>
      </c>
      <c r="B338" s="3">
        <v>2.4299999999999999E-7</v>
      </c>
      <c r="C338" s="2">
        <v>1.7520000000000001E-2</v>
      </c>
      <c r="D338" s="3">
        <v>150000</v>
      </c>
      <c r="E338" s="3">
        <v>117000000000</v>
      </c>
      <c r="F338" s="3">
        <v>105000000000</v>
      </c>
      <c r="G338" s="2">
        <v>0</v>
      </c>
      <c r="H338" s="3">
        <v>12500000000</v>
      </c>
      <c r="I338" s="2"/>
      <c r="J338" s="7">
        <f t="shared" si="100"/>
        <v>0.24299999999999999</v>
      </c>
      <c r="K338" s="7">
        <f t="shared" si="101"/>
        <v>17.52</v>
      </c>
      <c r="L338" s="7">
        <f t="shared" si="102"/>
        <v>117.00000000000001</v>
      </c>
      <c r="M338" s="7">
        <f t="shared" si="103"/>
        <v>150</v>
      </c>
      <c r="O338">
        <f t="shared" si="104"/>
        <v>0.15539999999999998</v>
      </c>
      <c r="P338">
        <f t="shared" si="105"/>
        <v>155.39999999999998</v>
      </c>
      <c r="V338">
        <f t="shared" si="106"/>
        <v>597.71769426418882</v>
      </c>
      <c r="W338">
        <f t="shared" si="107"/>
        <v>125.47729592032171</v>
      </c>
      <c r="AE338">
        <f t="shared" si="108"/>
        <v>0.50868561911564036</v>
      </c>
      <c r="AF338">
        <f t="shared" si="109"/>
        <v>0.49300899619376265</v>
      </c>
      <c r="AG338">
        <f t="shared" si="110"/>
        <v>0.49427620832408919</v>
      </c>
      <c r="AI338">
        <f t="shared" si="111"/>
        <v>0.19904238727256543</v>
      </c>
      <c r="AJ338">
        <f t="shared" si="112"/>
        <v>21.551905591820685</v>
      </c>
      <c r="AL338">
        <f t="shared" si="113"/>
        <v>0.20537150595971412</v>
      </c>
      <c r="AM338">
        <f t="shared" si="114"/>
        <v>22.944305028802439</v>
      </c>
      <c r="AO338">
        <f t="shared" si="115"/>
        <v>0.20484497998255252</v>
      </c>
      <c r="AP338">
        <f t="shared" si="116"/>
        <v>22.826807848380646</v>
      </c>
    </row>
    <row r="339" spans="1:42" x14ac:dyDescent="0.2">
      <c r="A339" s="3">
        <v>340</v>
      </c>
      <c r="B339" s="3">
        <v>2.4400000000000001E-7</v>
      </c>
      <c r="C339" s="2">
        <v>1.7569999999999999E-2</v>
      </c>
      <c r="D339" s="3">
        <v>157000</v>
      </c>
      <c r="E339" s="3">
        <v>121000000000</v>
      </c>
      <c r="F339" s="3">
        <v>109000000000</v>
      </c>
      <c r="G339" s="3">
        <v>168000000</v>
      </c>
      <c r="H339" s="3">
        <v>12200000000</v>
      </c>
      <c r="I339" s="2"/>
      <c r="J339" s="7">
        <f t="shared" si="100"/>
        <v>0.24400000000000002</v>
      </c>
      <c r="K339" s="7">
        <f t="shared" si="101"/>
        <v>17.57</v>
      </c>
      <c r="L339" s="7">
        <f t="shared" si="102"/>
        <v>121.00000000000001</v>
      </c>
      <c r="M339" s="7">
        <f t="shared" si="103"/>
        <v>157</v>
      </c>
      <c r="O339">
        <f t="shared" si="104"/>
        <v>0.16006687898089172</v>
      </c>
      <c r="P339">
        <f t="shared" si="105"/>
        <v>160.06687898089172</v>
      </c>
      <c r="V339">
        <f t="shared" si="106"/>
        <v>605.60454299171226</v>
      </c>
      <c r="W339">
        <f t="shared" si="107"/>
        <v>129.62254148921448</v>
      </c>
      <c r="AE339">
        <f t="shared" si="108"/>
        <v>0.53242428134103692</v>
      </c>
      <c r="AF339">
        <f t="shared" si="109"/>
        <v>0.51601608268280497</v>
      </c>
      <c r="AG339">
        <f t="shared" si="110"/>
        <v>0.51734243137921332</v>
      </c>
      <c r="AI339">
        <f t="shared" si="111"/>
        <v>0.19095046982191544</v>
      </c>
      <c r="AJ339">
        <f t="shared" si="112"/>
        <v>19.729067056001679</v>
      </c>
      <c r="AL339">
        <f t="shared" si="113"/>
        <v>0.1970222829840774</v>
      </c>
      <c r="AM339">
        <f t="shared" si="114"/>
        <v>21.003698746638705</v>
      </c>
      <c r="AO339">
        <f t="shared" si="115"/>
        <v>0.19651716252159637</v>
      </c>
      <c r="AP339">
        <f t="shared" si="116"/>
        <v>20.896139359764245</v>
      </c>
    </row>
    <row r="340" spans="1:42" x14ac:dyDescent="0.2">
      <c r="A340" s="3">
        <v>340</v>
      </c>
      <c r="B340" s="3">
        <v>2.4400000000000001E-7</v>
      </c>
      <c r="C340" s="2">
        <v>1.762E-2</v>
      </c>
      <c r="D340" s="3">
        <v>164000</v>
      </c>
      <c r="E340" s="3">
        <v>125000000000</v>
      </c>
      <c r="F340" s="3">
        <v>112000000000</v>
      </c>
      <c r="G340" s="3">
        <v>11700000000</v>
      </c>
      <c r="H340" s="3">
        <v>11900000000</v>
      </c>
      <c r="I340" s="2"/>
      <c r="J340" s="7">
        <f t="shared" si="100"/>
        <v>0.24400000000000002</v>
      </c>
      <c r="K340" s="7">
        <f t="shared" si="101"/>
        <v>17.62</v>
      </c>
      <c r="L340" s="7">
        <f t="shared" si="102"/>
        <v>125.00000000000001</v>
      </c>
      <c r="M340" s="7">
        <f t="shared" si="103"/>
        <v>164</v>
      </c>
      <c r="O340">
        <f t="shared" si="104"/>
        <v>0.16342073170731708</v>
      </c>
      <c r="P340">
        <f t="shared" si="105"/>
        <v>163.42073170731709</v>
      </c>
      <c r="V340">
        <f t="shared" si="106"/>
        <v>611.19362811718111</v>
      </c>
      <c r="W340">
        <f t="shared" si="107"/>
        <v>134.16370234847827</v>
      </c>
      <c r="AE340">
        <f t="shared" si="108"/>
        <v>0.55616294356643348</v>
      </c>
      <c r="AF340">
        <f t="shared" si="109"/>
        <v>0.53902316917184723</v>
      </c>
      <c r="AG340">
        <f t="shared" si="110"/>
        <v>0.5404086544343375</v>
      </c>
      <c r="AI340">
        <f t="shared" si="111"/>
        <v>0.18280014489049221</v>
      </c>
      <c r="AJ340">
        <f t="shared" si="112"/>
        <v>18.132275130532623</v>
      </c>
      <c r="AL340">
        <f t="shared" si="113"/>
        <v>0.18861279529573263</v>
      </c>
      <c r="AM340">
        <f t="shared" si="114"/>
        <v>19.303743220692301</v>
      </c>
      <c r="AO340">
        <f t="shared" si="115"/>
        <v>0.18812923485299166</v>
      </c>
      <c r="AP340">
        <f t="shared" si="116"/>
        <v>19.204889261194712</v>
      </c>
    </row>
    <row r="341" spans="1:42" x14ac:dyDescent="0.2">
      <c r="A341" s="3">
        <v>340</v>
      </c>
      <c r="B341" s="3">
        <v>2.4499999999999998E-7</v>
      </c>
      <c r="C341" s="2">
        <v>1.7670000000000002E-2</v>
      </c>
      <c r="D341" s="3">
        <v>150000</v>
      </c>
      <c r="E341" s="3">
        <v>116000000000</v>
      </c>
      <c r="F341" s="3">
        <v>105000000000</v>
      </c>
      <c r="G341" s="2">
        <v>0</v>
      </c>
      <c r="H341" s="3">
        <v>12600000000</v>
      </c>
      <c r="I341" s="2"/>
      <c r="J341" s="7">
        <f t="shared" si="100"/>
        <v>0.245</v>
      </c>
      <c r="K341" s="7">
        <f t="shared" si="101"/>
        <v>17.670000000000002</v>
      </c>
      <c r="L341" s="7">
        <f t="shared" si="102"/>
        <v>116.00000000000001</v>
      </c>
      <c r="M341" s="7">
        <f t="shared" si="103"/>
        <v>150</v>
      </c>
      <c r="O341">
        <f t="shared" si="104"/>
        <v>0.15664999999999998</v>
      </c>
      <c r="P341">
        <f t="shared" si="105"/>
        <v>156.64999999999998</v>
      </c>
      <c r="V341">
        <f t="shared" si="106"/>
        <v>599.84293698030808</v>
      </c>
      <c r="W341">
        <f t="shared" si="107"/>
        <v>125.03273003023145</v>
      </c>
      <c r="AE341">
        <f t="shared" si="108"/>
        <v>0.50868561911564036</v>
      </c>
      <c r="AF341">
        <f t="shared" si="109"/>
        <v>0.49300899619376265</v>
      </c>
      <c r="AG341">
        <f t="shared" si="110"/>
        <v>0.49427620832408919</v>
      </c>
      <c r="AI341">
        <f t="shared" si="111"/>
        <v>0.20068059622131082</v>
      </c>
      <c r="AJ341">
        <f t="shared" si="112"/>
        <v>21.736425331476685</v>
      </c>
      <c r="AL341">
        <f t="shared" si="113"/>
        <v>0.2070618064202879</v>
      </c>
      <c r="AM341">
        <f t="shared" si="114"/>
        <v>23.140745996514791</v>
      </c>
      <c r="AO341">
        <f t="shared" si="115"/>
        <v>0.20653094689598916</v>
      </c>
      <c r="AP341">
        <f t="shared" si="116"/>
        <v>23.022242847082538</v>
      </c>
    </row>
    <row r="342" spans="1:42" x14ac:dyDescent="0.2">
      <c r="A342" s="3">
        <v>340</v>
      </c>
      <c r="B342" s="3">
        <v>2.4499999999999998E-7</v>
      </c>
      <c r="C342" s="2">
        <v>1.772E-2</v>
      </c>
      <c r="D342" s="3">
        <v>176000</v>
      </c>
      <c r="E342" s="3">
        <v>132000000000</v>
      </c>
      <c r="F342" s="3">
        <v>118000000000</v>
      </c>
      <c r="G342" s="2">
        <v>0</v>
      </c>
      <c r="H342" s="3">
        <v>11500000000</v>
      </c>
      <c r="I342" s="2"/>
      <c r="J342" s="7">
        <f t="shared" si="100"/>
        <v>0.245</v>
      </c>
      <c r="K342" s="7">
        <f t="shared" si="101"/>
        <v>17.72</v>
      </c>
      <c r="L342" s="7">
        <f t="shared" si="102"/>
        <v>132</v>
      </c>
      <c r="M342" s="7">
        <f t="shared" si="103"/>
        <v>176</v>
      </c>
      <c r="O342">
        <f t="shared" si="104"/>
        <v>0.16948863636363637</v>
      </c>
      <c r="P342">
        <f t="shared" si="105"/>
        <v>169.48863636363637</v>
      </c>
      <c r="V342">
        <f t="shared" si="106"/>
        <v>621.14550428982909</v>
      </c>
      <c r="W342">
        <f t="shared" si="107"/>
        <v>141.67372925062472</v>
      </c>
      <c r="AE342">
        <f t="shared" si="108"/>
        <v>0.59685779309568476</v>
      </c>
      <c r="AF342">
        <f t="shared" si="109"/>
        <v>0.57846388886734823</v>
      </c>
      <c r="AG342">
        <f t="shared" si="110"/>
        <v>0.57995075110026462</v>
      </c>
      <c r="AI342">
        <f t="shared" si="111"/>
        <v>0.17103459905225352</v>
      </c>
      <c r="AJ342">
        <f t="shared" si="112"/>
        <v>15.833337680967368</v>
      </c>
      <c r="AL342">
        <f t="shared" si="113"/>
        <v>0.17647313047183624</v>
      </c>
      <c r="AM342">
        <f t="shared" si="114"/>
        <v>16.856278802280002</v>
      </c>
      <c r="AO342">
        <f t="shared" si="115"/>
        <v>0.1760206933772635</v>
      </c>
      <c r="AP342">
        <f t="shared" si="116"/>
        <v>16.769958243466597</v>
      </c>
    </row>
    <row r="343" spans="1:42" x14ac:dyDescent="0.2">
      <c r="A343" s="3">
        <v>340</v>
      </c>
      <c r="B343" s="3">
        <v>2.4600000000000001E-7</v>
      </c>
      <c r="C343" s="2">
        <v>1.7780000000000001E-2</v>
      </c>
      <c r="D343" s="3">
        <v>143000</v>
      </c>
      <c r="E343" s="3">
        <v>112000000000</v>
      </c>
      <c r="F343" s="3">
        <v>101000000000</v>
      </c>
      <c r="G343" s="3">
        <v>3810000000</v>
      </c>
      <c r="H343" s="3">
        <v>12900000000</v>
      </c>
      <c r="I343" s="2"/>
      <c r="J343" s="7">
        <f t="shared" si="100"/>
        <v>0.246</v>
      </c>
      <c r="K343" s="7">
        <f t="shared" si="101"/>
        <v>17.78</v>
      </c>
      <c r="L343" s="7">
        <f t="shared" si="102"/>
        <v>112</v>
      </c>
      <c r="M343" s="7">
        <f t="shared" si="103"/>
        <v>143</v>
      </c>
      <c r="O343">
        <f t="shared" si="104"/>
        <v>0.15274825174825174</v>
      </c>
      <c r="P343">
        <f t="shared" si="105"/>
        <v>152.74825174825173</v>
      </c>
      <c r="V343">
        <f t="shared" si="106"/>
        <v>593.17746209769348</v>
      </c>
      <c r="W343">
        <f t="shared" si="107"/>
        <v>120.53728364383522</v>
      </c>
      <c r="AE343">
        <f t="shared" si="108"/>
        <v>0.48494695689024386</v>
      </c>
      <c r="AF343">
        <f t="shared" si="109"/>
        <v>0.47000190970472039</v>
      </c>
      <c r="AG343">
        <f t="shared" si="110"/>
        <v>0.47120998526896501</v>
      </c>
      <c r="AI343">
        <f t="shared" si="111"/>
        <v>0.21136332240805961</v>
      </c>
      <c r="AJ343">
        <f t="shared" si="112"/>
        <v>24.065438195635451</v>
      </c>
      <c r="AL343">
        <f t="shared" si="113"/>
        <v>0.21808422026284072</v>
      </c>
      <c r="AM343">
        <f t="shared" si="114"/>
        <v>25.620228905513063</v>
      </c>
      <c r="AO343">
        <f t="shared" si="115"/>
        <v>0.21752510176857429</v>
      </c>
      <c r="AP343">
        <f t="shared" si="116"/>
        <v>25.489028389551482</v>
      </c>
    </row>
    <row r="344" spans="1:42" x14ac:dyDescent="0.2">
      <c r="A344" s="3">
        <v>340</v>
      </c>
      <c r="B344" s="3">
        <v>2.4600000000000001E-7</v>
      </c>
      <c r="C344" s="2">
        <v>1.7829999999999999E-2</v>
      </c>
      <c r="D344" s="3">
        <v>152000</v>
      </c>
      <c r="E344" s="3">
        <v>117000000000</v>
      </c>
      <c r="F344" s="3">
        <v>106000000000</v>
      </c>
      <c r="G344" s="3">
        <v>4790000000</v>
      </c>
      <c r="H344" s="3">
        <v>12500000000</v>
      </c>
      <c r="I344" s="2"/>
      <c r="J344" s="7">
        <f t="shared" si="100"/>
        <v>0.246</v>
      </c>
      <c r="K344" s="7">
        <f t="shared" si="101"/>
        <v>17.829999999999998</v>
      </c>
      <c r="L344" s="7">
        <f t="shared" si="102"/>
        <v>117.00000000000001</v>
      </c>
      <c r="M344" s="7">
        <f t="shared" si="103"/>
        <v>152</v>
      </c>
      <c r="O344">
        <f t="shared" si="104"/>
        <v>0.15802302631578949</v>
      </c>
      <c r="P344">
        <f t="shared" si="105"/>
        <v>158.02302631578948</v>
      </c>
      <c r="V344">
        <f t="shared" si="106"/>
        <v>602.16649095998525</v>
      </c>
      <c r="W344">
        <f t="shared" si="107"/>
        <v>126.2109418922321</v>
      </c>
      <c r="AE344">
        <f t="shared" si="108"/>
        <v>0.5154680940371823</v>
      </c>
      <c r="AF344">
        <f t="shared" si="109"/>
        <v>0.49958244947634617</v>
      </c>
      <c r="AG344">
        <f t="shared" si="110"/>
        <v>0.50086655776841038</v>
      </c>
      <c r="AI344">
        <f t="shared" si="111"/>
        <v>0.19884838884442452</v>
      </c>
      <c r="AJ344">
        <f t="shared" si="112"/>
        <v>21.3598529999121</v>
      </c>
      <c r="AL344">
        <f t="shared" si="113"/>
        <v>0.20517133879990934</v>
      </c>
      <c r="AM344">
        <f t="shared" si="114"/>
        <v>22.739844535434521</v>
      </c>
      <c r="AO344">
        <f t="shared" si="115"/>
        <v>0.20464532600596133</v>
      </c>
      <c r="AP344">
        <f t="shared" si="116"/>
        <v>22.623394391802385</v>
      </c>
    </row>
    <row r="345" spans="1:42" x14ac:dyDescent="0.2">
      <c r="A345" s="3">
        <v>340</v>
      </c>
      <c r="B345" s="3">
        <v>2.4699999999999998E-7</v>
      </c>
      <c r="C345" s="2">
        <v>1.788E-2</v>
      </c>
      <c r="D345" s="3">
        <v>166000</v>
      </c>
      <c r="E345" s="3">
        <v>126000000000</v>
      </c>
      <c r="F345" s="3">
        <v>112000000000</v>
      </c>
      <c r="G345" s="2">
        <v>0</v>
      </c>
      <c r="H345" s="3">
        <v>11900000000</v>
      </c>
      <c r="I345" s="2"/>
      <c r="J345" s="7">
        <f t="shared" si="100"/>
        <v>0.24699999999999997</v>
      </c>
      <c r="K345" s="7">
        <f t="shared" si="101"/>
        <v>17.88</v>
      </c>
      <c r="L345" s="7">
        <f t="shared" si="102"/>
        <v>126.00000000000001</v>
      </c>
      <c r="M345" s="7">
        <f t="shared" si="103"/>
        <v>166</v>
      </c>
      <c r="O345">
        <f t="shared" si="104"/>
        <v>0.16621686746987949</v>
      </c>
      <c r="P345">
        <f t="shared" si="105"/>
        <v>166.21686746987947</v>
      </c>
      <c r="V345">
        <f t="shared" si="106"/>
        <v>615.80464985615981</v>
      </c>
      <c r="W345">
        <f t="shared" si="107"/>
        <v>134.78300305037843</v>
      </c>
      <c r="AE345">
        <f t="shared" si="108"/>
        <v>0.56294541848797541</v>
      </c>
      <c r="AF345">
        <f t="shared" si="109"/>
        <v>0.54559662245443064</v>
      </c>
      <c r="AG345">
        <f t="shared" si="110"/>
        <v>0.54699900387865874</v>
      </c>
      <c r="AI345">
        <f t="shared" si="111"/>
        <v>0.18281819744282185</v>
      </c>
      <c r="AJ345">
        <f t="shared" si="112"/>
        <v>17.959135642233605</v>
      </c>
      <c r="AL345">
        <f t="shared" si="113"/>
        <v>0.18863142188029669</v>
      </c>
      <c r="AM345">
        <f t="shared" si="114"/>
        <v>19.119417745845617</v>
      </c>
      <c r="AO345">
        <f t="shared" si="115"/>
        <v>0.18814781368321604</v>
      </c>
      <c r="AP345">
        <f t="shared" si="116"/>
        <v>19.021507712239309</v>
      </c>
    </row>
    <row r="346" spans="1:42" x14ac:dyDescent="0.2">
      <c r="A346" s="3">
        <v>340</v>
      </c>
      <c r="B346" s="3">
        <v>2.4699999999999998E-7</v>
      </c>
      <c r="C346" s="2">
        <v>1.7930000000000001E-2</v>
      </c>
      <c r="D346" s="3">
        <v>150000</v>
      </c>
      <c r="E346" s="3">
        <v>116000000000</v>
      </c>
      <c r="F346" s="3">
        <v>105000000000</v>
      </c>
      <c r="G346" s="2">
        <v>0</v>
      </c>
      <c r="H346" s="3">
        <v>12600000000</v>
      </c>
      <c r="I346" s="2"/>
      <c r="J346" s="7">
        <f t="shared" si="100"/>
        <v>0.24699999999999997</v>
      </c>
      <c r="K346" s="7">
        <f t="shared" si="101"/>
        <v>17.93</v>
      </c>
      <c r="L346" s="7">
        <f t="shared" si="102"/>
        <v>116.00000000000001</v>
      </c>
      <c r="M346" s="7">
        <f t="shared" si="103"/>
        <v>150</v>
      </c>
      <c r="O346">
        <f t="shared" si="104"/>
        <v>0.15734999999999999</v>
      </c>
      <c r="P346">
        <f t="shared" si="105"/>
        <v>157.35</v>
      </c>
      <c r="V346">
        <f t="shared" si="106"/>
        <v>601.02894869942099</v>
      </c>
      <c r="W346">
        <f t="shared" si="107"/>
        <v>124.78600267473647</v>
      </c>
      <c r="AE346">
        <f t="shared" si="108"/>
        <v>0.50868561911564036</v>
      </c>
      <c r="AF346">
        <f t="shared" si="109"/>
        <v>0.49300899619376265</v>
      </c>
      <c r="AG346">
        <f t="shared" si="110"/>
        <v>0.49427620832408919</v>
      </c>
      <c r="AI346">
        <f t="shared" si="111"/>
        <v>0.20231880517005621</v>
      </c>
      <c r="AJ346">
        <f t="shared" si="112"/>
        <v>22.056259546880415</v>
      </c>
      <c r="AL346">
        <f t="shared" si="113"/>
        <v>0.20875210688086165</v>
      </c>
      <c r="AM346">
        <f t="shared" si="114"/>
        <v>23.481243673882862</v>
      </c>
      <c r="AO346">
        <f t="shared" si="115"/>
        <v>0.20821691380942578</v>
      </c>
      <c r="AP346">
        <f t="shared" si="116"/>
        <v>23.360996844832478</v>
      </c>
    </row>
    <row r="347" spans="1:42" x14ac:dyDescent="0.2">
      <c r="A347" s="3">
        <v>350</v>
      </c>
      <c r="B347" s="3">
        <v>2.48E-7</v>
      </c>
      <c r="C347" s="2">
        <v>1.7979999999999999E-2</v>
      </c>
      <c r="D347" s="3">
        <v>151000</v>
      </c>
      <c r="E347" s="3">
        <v>116000000000</v>
      </c>
      <c r="F347" s="3">
        <v>105000000000</v>
      </c>
      <c r="G347" s="3">
        <v>4310000000</v>
      </c>
      <c r="H347" s="3">
        <v>12600000000</v>
      </c>
      <c r="I347" s="2"/>
      <c r="J347" s="7">
        <f t="shared" si="100"/>
        <v>0.248</v>
      </c>
      <c r="K347" s="7">
        <f t="shared" si="101"/>
        <v>17.98</v>
      </c>
      <c r="L347" s="7">
        <f t="shared" si="102"/>
        <v>116.00000000000001</v>
      </c>
      <c r="M347" s="7">
        <f t="shared" si="103"/>
        <v>151</v>
      </c>
      <c r="O347">
        <f t="shared" si="104"/>
        <v>0.1586953642384106</v>
      </c>
      <c r="P347">
        <f t="shared" si="105"/>
        <v>158.6953642384106</v>
      </c>
      <c r="V347">
        <f t="shared" si="106"/>
        <v>603.30017854332061</v>
      </c>
      <c r="W347">
        <f t="shared" si="107"/>
        <v>125.14499860135321</v>
      </c>
      <c r="AE347">
        <f t="shared" si="108"/>
        <v>0.51207685657641133</v>
      </c>
      <c r="AF347">
        <f t="shared" si="109"/>
        <v>0.49629572283505441</v>
      </c>
      <c r="AG347">
        <f t="shared" si="110"/>
        <v>0.49757138304624982</v>
      </c>
      <c r="AI347">
        <f t="shared" si="111"/>
        <v>0.20179262547459825</v>
      </c>
      <c r="AJ347">
        <f t="shared" si="112"/>
        <v>21.825785616956679</v>
      </c>
      <c r="AL347">
        <f t="shared" si="113"/>
        <v>0.20820919580577671</v>
      </c>
      <c r="AM347">
        <f t="shared" si="114"/>
        <v>23.235879563186135</v>
      </c>
      <c r="AO347">
        <f t="shared" si="115"/>
        <v>0.20767539463524248</v>
      </c>
      <c r="AP347">
        <f t="shared" si="116"/>
        <v>23.116889237270069</v>
      </c>
    </row>
    <row r="348" spans="1:42" x14ac:dyDescent="0.2">
      <c r="A348" s="3">
        <v>350</v>
      </c>
      <c r="B348" s="3">
        <v>2.4900000000000002E-7</v>
      </c>
      <c r="C348" s="2">
        <v>1.804E-2</v>
      </c>
      <c r="D348" s="3">
        <v>168000</v>
      </c>
      <c r="E348" s="3">
        <v>126000000000</v>
      </c>
      <c r="F348" s="3">
        <v>113000000000</v>
      </c>
      <c r="G348" s="3">
        <v>6530000000</v>
      </c>
      <c r="H348" s="3">
        <v>11800000000</v>
      </c>
      <c r="I348" s="2"/>
      <c r="J348" s="7">
        <f t="shared" si="100"/>
        <v>0.24900000000000003</v>
      </c>
      <c r="K348" s="7">
        <f t="shared" si="101"/>
        <v>18.04</v>
      </c>
      <c r="L348" s="7">
        <f t="shared" si="102"/>
        <v>126.00000000000001</v>
      </c>
      <c r="M348" s="7">
        <f t="shared" si="103"/>
        <v>168</v>
      </c>
      <c r="O348">
        <f t="shared" si="104"/>
        <v>0.16846428571428573</v>
      </c>
      <c r="P348">
        <f t="shared" si="105"/>
        <v>168.46428571428572</v>
      </c>
      <c r="V348">
        <f t="shared" si="106"/>
        <v>619.47957180040601</v>
      </c>
      <c r="W348">
        <f t="shared" si="107"/>
        <v>135.5976917138189</v>
      </c>
      <c r="AE348">
        <f t="shared" si="108"/>
        <v>0.56972789340951724</v>
      </c>
      <c r="AF348">
        <f t="shared" si="109"/>
        <v>0.55217007573701415</v>
      </c>
      <c r="AG348">
        <f t="shared" si="110"/>
        <v>0.55358935332297987</v>
      </c>
      <c r="AI348">
        <f t="shared" si="111"/>
        <v>0.18210447689178716</v>
      </c>
      <c r="AJ348">
        <f t="shared" si="112"/>
        <v>17.690986944059425</v>
      </c>
      <c r="AL348">
        <f t="shared" si="113"/>
        <v>0.18789500655485311</v>
      </c>
      <c r="AM348">
        <f t="shared" si="114"/>
        <v>18.833944821060737</v>
      </c>
      <c r="AO348">
        <f t="shared" si="115"/>
        <v>0.18741328635969864</v>
      </c>
      <c r="AP348">
        <f t="shared" si="116"/>
        <v>18.737496686767006</v>
      </c>
    </row>
    <row r="349" spans="1:42" x14ac:dyDescent="0.2">
      <c r="A349" s="3">
        <v>350</v>
      </c>
      <c r="B349" s="3">
        <v>2.4999999999999999E-7</v>
      </c>
      <c r="C349" s="2">
        <v>1.8089999999999998E-2</v>
      </c>
      <c r="D349" s="3">
        <v>165000</v>
      </c>
      <c r="E349" s="3">
        <v>124000000000</v>
      </c>
      <c r="F349" s="3">
        <v>111000000000</v>
      </c>
      <c r="G349" s="3">
        <v>9210000000</v>
      </c>
      <c r="H349" s="3">
        <v>11900000000</v>
      </c>
      <c r="I349" s="2"/>
      <c r="J349" s="7">
        <f t="shared" si="100"/>
        <v>0.25</v>
      </c>
      <c r="K349" s="7">
        <f t="shared" si="101"/>
        <v>18.09</v>
      </c>
      <c r="L349" s="7">
        <f t="shared" si="102"/>
        <v>124.00000000000001</v>
      </c>
      <c r="M349" s="7">
        <f t="shared" si="103"/>
        <v>165</v>
      </c>
      <c r="O349">
        <f t="shared" si="104"/>
        <v>0.1677727272727273</v>
      </c>
      <c r="P349">
        <f t="shared" si="105"/>
        <v>167.77272727272731</v>
      </c>
      <c r="V349">
        <f t="shared" si="106"/>
        <v>618.35167689463208</v>
      </c>
      <c r="W349">
        <f t="shared" si="107"/>
        <v>133.41922256007419</v>
      </c>
      <c r="AE349">
        <f t="shared" si="108"/>
        <v>0.55955418102720444</v>
      </c>
      <c r="AF349">
        <f t="shared" si="109"/>
        <v>0.54230989581313893</v>
      </c>
      <c r="AG349">
        <f t="shared" si="110"/>
        <v>0.54370382915649806</v>
      </c>
      <c r="AI349">
        <f t="shared" si="111"/>
        <v>0.18616010781197664</v>
      </c>
      <c r="AJ349">
        <f t="shared" si="112"/>
        <v>18.390975704556595</v>
      </c>
      <c r="AL349">
        <f t="shared" si="113"/>
        <v>0.19207959779247485</v>
      </c>
      <c r="AM349">
        <f t="shared" si="114"/>
        <v>19.579157608354848</v>
      </c>
      <c r="AO349">
        <f t="shared" si="115"/>
        <v>0.19158714925416437</v>
      </c>
      <c r="AP349">
        <f t="shared" si="116"/>
        <v>19.478893259047791</v>
      </c>
    </row>
    <row r="350" spans="1:42" x14ac:dyDescent="0.2">
      <c r="A350" s="3">
        <v>350</v>
      </c>
      <c r="B350" s="3">
        <v>2.4999999999999999E-7</v>
      </c>
      <c r="C350" s="2">
        <v>1.814E-2</v>
      </c>
      <c r="D350" s="3">
        <v>163000</v>
      </c>
      <c r="E350" s="3">
        <v>123000000000</v>
      </c>
      <c r="F350" s="3">
        <v>110000000000</v>
      </c>
      <c r="G350" s="3">
        <v>4160000000</v>
      </c>
      <c r="H350" s="3">
        <v>12000000000</v>
      </c>
      <c r="I350" s="2"/>
      <c r="J350" s="7">
        <f t="shared" si="100"/>
        <v>0.25</v>
      </c>
      <c r="K350" s="7">
        <f t="shared" si="101"/>
        <v>18.14</v>
      </c>
      <c r="L350" s="7">
        <f t="shared" si="102"/>
        <v>123.00000000000001</v>
      </c>
      <c r="M350" s="7">
        <f t="shared" si="103"/>
        <v>163</v>
      </c>
      <c r="O350">
        <f t="shared" si="104"/>
        <v>0.16653374233128834</v>
      </c>
      <c r="P350">
        <f t="shared" si="105"/>
        <v>166.53374233128835</v>
      </c>
      <c r="V350">
        <f t="shared" si="106"/>
        <v>616.32446458952859</v>
      </c>
      <c r="W350">
        <f t="shared" si="107"/>
        <v>132.23554261192425</v>
      </c>
      <c r="AE350">
        <f t="shared" si="108"/>
        <v>0.55277170610566251</v>
      </c>
      <c r="AF350">
        <f t="shared" si="109"/>
        <v>0.53573644253055541</v>
      </c>
      <c r="AG350">
        <f t="shared" si="110"/>
        <v>0.53711347971217693</v>
      </c>
      <c r="AI350">
        <f t="shared" si="111"/>
        <v>0.18844428091396409</v>
      </c>
      <c r="AJ350">
        <f t="shared" si="112"/>
        <v>18.897143724038294</v>
      </c>
      <c r="AL350">
        <f t="shared" si="113"/>
        <v>0.19443640267336412</v>
      </c>
      <c r="AM350">
        <f t="shared" si="114"/>
        <v>20.118027518736252</v>
      </c>
      <c r="AO350">
        <f t="shared" si="115"/>
        <v>0.19393791182170009</v>
      </c>
      <c r="AP350">
        <f t="shared" si="116"/>
        <v>20.015003630841971</v>
      </c>
    </row>
    <row r="351" spans="1:42" x14ac:dyDescent="0.2">
      <c r="A351" s="3">
        <v>350</v>
      </c>
      <c r="B351" s="3">
        <v>2.5100000000000001E-7</v>
      </c>
      <c r="C351" s="2">
        <v>1.8190000000000001E-2</v>
      </c>
      <c r="D351" s="3">
        <v>161000</v>
      </c>
      <c r="E351" s="3">
        <v>122000000000</v>
      </c>
      <c r="F351" s="3">
        <v>109000000000</v>
      </c>
      <c r="G351" s="2">
        <v>0</v>
      </c>
      <c r="H351" s="3">
        <v>12100000000</v>
      </c>
      <c r="I351" s="2"/>
      <c r="J351" s="7">
        <f t="shared" si="100"/>
        <v>0.251</v>
      </c>
      <c r="K351" s="7">
        <f t="shared" si="101"/>
        <v>18.190000000000001</v>
      </c>
      <c r="L351" s="7">
        <f t="shared" si="102"/>
        <v>122.00000000000001</v>
      </c>
      <c r="M351" s="7">
        <f t="shared" si="103"/>
        <v>161</v>
      </c>
      <c r="O351">
        <f t="shared" si="104"/>
        <v>0.16626397515527949</v>
      </c>
      <c r="P351">
        <f t="shared" si="105"/>
        <v>166.2639751552795</v>
      </c>
      <c r="V351">
        <f t="shared" si="106"/>
        <v>615.88196217430504</v>
      </c>
      <c r="W351">
        <f t="shared" si="107"/>
        <v>130.70686421112808</v>
      </c>
      <c r="AE351">
        <f t="shared" si="108"/>
        <v>0.54598923118412068</v>
      </c>
      <c r="AF351">
        <f t="shared" si="109"/>
        <v>0.52916298924797189</v>
      </c>
      <c r="AG351">
        <f t="shared" si="110"/>
        <v>0.53052313026785569</v>
      </c>
      <c r="AI351">
        <f t="shared" si="111"/>
        <v>0.19154834447286986</v>
      </c>
      <c r="AJ351">
        <f t="shared" si="112"/>
        <v>19.422943160039864</v>
      </c>
      <c r="AL351">
        <f t="shared" si="113"/>
        <v>0.19763916875963597</v>
      </c>
      <c r="AM351">
        <f t="shared" si="114"/>
        <v>20.677797168440499</v>
      </c>
      <c r="AO351">
        <f t="shared" si="115"/>
        <v>0.19713246674189358</v>
      </c>
      <c r="AP351">
        <f t="shared" si="116"/>
        <v>20.571906714945584</v>
      </c>
    </row>
    <row r="352" spans="1:42" x14ac:dyDescent="0.2">
      <c r="A352" s="3">
        <v>350</v>
      </c>
      <c r="B352" s="3">
        <v>2.5100000000000001E-7</v>
      </c>
      <c r="C352" s="2">
        <v>1.8249999999999999E-2</v>
      </c>
      <c r="D352" s="3">
        <v>146000</v>
      </c>
      <c r="E352" s="3">
        <v>113000000000</v>
      </c>
      <c r="F352" s="3">
        <v>102000000000</v>
      </c>
      <c r="G352" s="3">
        <v>2470000000</v>
      </c>
      <c r="H352" s="3">
        <v>12800000000</v>
      </c>
      <c r="I352" s="2"/>
      <c r="J352" s="7">
        <f t="shared" si="100"/>
        <v>0.251</v>
      </c>
      <c r="K352" s="7">
        <f t="shared" si="101"/>
        <v>18.25</v>
      </c>
      <c r="L352" s="7">
        <f t="shared" si="102"/>
        <v>113</v>
      </c>
      <c r="M352" s="7">
        <f t="shared" si="103"/>
        <v>146</v>
      </c>
      <c r="O352">
        <f t="shared" si="104"/>
        <v>0.15725</v>
      </c>
      <c r="P352">
        <f t="shared" si="105"/>
        <v>157.25</v>
      </c>
      <c r="V352">
        <f t="shared" si="106"/>
        <v>600.85969862855245</v>
      </c>
      <c r="W352">
        <f t="shared" si="107"/>
        <v>121.49258831407849</v>
      </c>
      <c r="AE352">
        <f t="shared" si="108"/>
        <v>0.49512066927255666</v>
      </c>
      <c r="AF352">
        <f t="shared" si="109"/>
        <v>0.47986208962859567</v>
      </c>
      <c r="AG352">
        <f t="shared" si="110"/>
        <v>0.48109550943544682</v>
      </c>
      <c r="AI352">
        <f t="shared" si="111"/>
        <v>0.21122796890501405</v>
      </c>
      <c r="AJ352">
        <f t="shared" si="112"/>
        <v>23.696884373630009</v>
      </c>
      <c r="AL352">
        <f t="shared" si="113"/>
        <v>0.21794456281028346</v>
      </c>
      <c r="AM352">
        <f t="shared" si="114"/>
        <v>25.22786400415449</v>
      </c>
      <c r="AO352">
        <f t="shared" si="115"/>
        <v>0.21738580236606073</v>
      </c>
      <c r="AP352">
        <f t="shared" si="116"/>
        <v>25.098672778496027</v>
      </c>
    </row>
    <row r="353" spans="1:42" x14ac:dyDescent="0.2">
      <c r="A353" s="3">
        <v>350</v>
      </c>
      <c r="B353" s="3">
        <v>2.5199999999999998E-7</v>
      </c>
      <c r="C353" s="2">
        <v>1.83E-2</v>
      </c>
      <c r="D353" s="3">
        <v>164000</v>
      </c>
      <c r="E353" s="3">
        <v>123000000000</v>
      </c>
      <c r="F353" s="3">
        <v>110000000000</v>
      </c>
      <c r="G353" s="3">
        <v>4360000000</v>
      </c>
      <c r="H353" s="3">
        <v>12000000000</v>
      </c>
      <c r="I353" s="2"/>
      <c r="J353" s="7">
        <f t="shared" si="100"/>
        <v>0.252</v>
      </c>
      <c r="K353" s="7">
        <f t="shared" si="101"/>
        <v>18.3</v>
      </c>
      <c r="L353" s="7">
        <f t="shared" si="102"/>
        <v>123.00000000000001</v>
      </c>
      <c r="M353" s="7">
        <f t="shared" si="103"/>
        <v>164</v>
      </c>
      <c r="O353">
        <f t="shared" si="104"/>
        <v>0.16831097560975611</v>
      </c>
      <c r="P353">
        <f t="shared" si="105"/>
        <v>168.3109756097561</v>
      </c>
      <c r="V353">
        <f t="shared" si="106"/>
        <v>619.2297540104064</v>
      </c>
      <c r="W353">
        <f t="shared" si="107"/>
        <v>132.42257735344862</v>
      </c>
      <c r="AE353">
        <f t="shared" si="108"/>
        <v>0.55616294356643348</v>
      </c>
      <c r="AF353">
        <f t="shared" si="109"/>
        <v>0.53902316917184723</v>
      </c>
      <c r="AG353">
        <f t="shared" si="110"/>
        <v>0.5404086544343375</v>
      </c>
      <c r="AI353">
        <f t="shared" si="111"/>
        <v>0.18879359226395095</v>
      </c>
      <c r="AJ353">
        <f t="shared" si="112"/>
        <v>18.832045112868727</v>
      </c>
      <c r="AL353">
        <f t="shared" si="113"/>
        <v>0.19479682137100252</v>
      </c>
      <c r="AM353">
        <f t="shared" si="114"/>
        <v>20.048723095270663</v>
      </c>
      <c r="AO353">
        <f t="shared" si="115"/>
        <v>0.19429740648751595</v>
      </c>
      <c r="AP353">
        <f t="shared" si="116"/>
        <v>19.946054113499613</v>
      </c>
    </row>
    <row r="354" spans="1:42" x14ac:dyDescent="0.2">
      <c r="A354" s="3">
        <v>350</v>
      </c>
      <c r="B354" s="3">
        <v>2.53E-7</v>
      </c>
      <c r="C354" s="2">
        <v>1.8350000000000002E-2</v>
      </c>
      <c r="D354" s="3">
        <v>151000</v>
      </c>
      <c r="E354" s="3">
        <v>115000000000</v>
      </c>
      <c r="F354" s="3">
        <v>104000000000</v>
      </c>
      <c r="G354" s="3">
        <v>4960000000</v>
      </c>
      <c r="H354" s="3">
        <v>12600000000</v>
      </c>
      <c r="I354" s="2"/>
      <c r="J354" s="7">
        <f t="shared" si="100"/>
        <v>0.253</v>
      </c>
      <c r="K354" s="7">
        <f t="shared" si="101"/>
        <v>18.350000000000001</v>
      </c>
      <c r="L354" s="7">
        <f t="shared" si="102"/>
        <v>115.00000000000001</v>
      </c>
      <c r="M354" s="7">
        <f t="shared" si="103"/>
        <v>151</v>
      </c>
      <c r="O354">
        <f t="shared" si="104"/>
        <v>0.16185761589403974</v>
      </c>
      <c r="P354">
        <f t="shared" si="105"/>
        <v>161.85761589403975</v>
      </c>
      <c r="V354">
        <f t="shared" si="106"/>
        <v>608.59677590973035</v>
      </c>
      <c r="W354">
        <f t="shared" si="107"/>
        <v>124.05586586807432</v>
      </c>
      <c r="AE354">
        <f t="shared" si="108"/>
        <v>0.51207685657641133</v>
      </c>
      <c r="AF354">
        <f t="shared" si="109"/>
        <v>0.49629572283505441</v>
      </c>
      <c r="AG354">
        <f t="shared" si="110"/>
        <v>0.49757138304624982</v>
      </c>
      <c r="AI354">
        <f t="shared" si="111"/>
        <v>0.20586102518174743</v>
      </c>
      <c r="AJ354">
        <f t="shared" si="112"/>
        <v>22.274925810409073</v>
      </c>
      <c r="AL354">
        <f t="shared" si="113"/>
        <v>0.21240696185024802</v>
      </c>
      <c r="AM354">
        <f t="shared" si="114"/>
        <v>23.714037262762268</v>
      </c>
      <c r="AO354">
        <f t="shared" si="115"/>
        <v>0.21186239855934014</v>
      </c>
      <c r="AP354">
        <f t="shared" si="116"/>
        <v>23.592598303887975</v>
      </c>
    </row>
    <row r="355" spans="1:42" x14ac:dyDescent="0.2">
      <c r="A355" s="3">
        <v>350</v>
      </c>
      <c r="B355" s="3">
        <v>2.53E-7</v>
      </c>
      <c r="C355" s="2">
        <v>1.84E-2</v>
      </c>
      <c r="D355" s="3">
        <v>172000</v>
      </c>
      <c r="E355" s="3">
        <v>128000000000</v>
      </c>
      <c r="F355" s="3">
        <v>114000000000</v>
      </c>
      <c r="G355" s="3">
        <v>3530000000</v>
      </c>
      <c r="H355" s="3">
        <v>11700000000</v>
      </c>
      <c r="I355" s="2"/>
      <c r="J355" s="7">
        <f t="shared" si="100"/>
        <v>0.253</v>
      </c>
      <c r="K355" s="7">
        <f t="shared" si="101"/>
        <v>18.399999999999999</v>
      </c>
      <c r="L355" s="7">
        <f t="shared" si="102"/>
        <v>128</v>
      </c>
      <c r="M355" s="7">
        <f t="shared" si="103"/>
        <v>172</v>
      </c>
      <c r="O355">
        <f t="shared" si="104"/>
        <v>0.17276744186046511</v>
      </c>
      <c r="P355">
        <f t="shared" si="105"/>
        <v>172.76744186046511</v>
      </c>
      <c r="V355">
        <f t="shared" si="106"/>
        <v>626.44054135900433</v>
      </c>
      <c r="W355">
        <f t="shared" si="107"/>
        <v>137.28357972080005</v>
      </c>
      <c r="AE355">
        <f t="shared" si="108"/>
        <v>0.583292843252601</v>
      </c>
      <c r="AF355">
        <f t="shared" si="109"/>
        <v>0.56531698230218119</v>
      </c>
      <c r="AG355">
        <f t="shared" si="110"/>
        <v>0.56677005221162224</v>
      </c>
      <c r="AI355">
        <f t="shared" si="111"/>
        <v>0.18072683024676661</v>
      </c>
      <c r="AJ355">
        <f t="shared" si="112"/>
        <v>17.214524116095092</v>
      </c>
      <c r="AL355">
        <f t="shared" si="113"/>
        <v>0.18647355371736893</v>
      </c>
      <c r="AM355">
        <f t="shared" si="114"/>
        <v>18.326699259264636</v>
      </c>
      <c r="AO355">
        <f t="shared" si="115"/>
        <v>0.18599547780500211</v>
      </c>
      <c r="AP355">
        <f t="shared" si="116"/>
        <v>18.232848716103767</v>
      </c>
    </row>
    <row r="356" spans="1:42" x14ac:dyDescent="0.2">
      <c r="A356" s="3">
        <v>350</v>
      </c>
      <c r="B356" s="3">
        <v>2.5400000000000002E-7</v>
      </c>
      <c r="C356" s="2">
        <v>1.8450000000000001E-2</v>
      </c>
      <c r="D356" s="3">
        <v>147000</v>
      </c>
      <c r="E356" s="3">
        <v>112000000000</v>
      </c>
      <c r="F356" s="3">
        <v>102000000000</v>
      </c>
      <c r="G356" s="3">
        <v>5460000000</v>
      </c>
      <c r="H356" s="3">
        <v>12800000000</v>
      </c>
      <c r="I356" s="2"/>
      <c r="J356" s="7">
        <f t="shared" si="100"/>
        <v>0.254</v>
      </c>
      <c r="K356" s="7">
        <f t="shared" si="101"/>
        <v>18.450000000000003</v>
      </c>
      <c r="L356" s="7">
        <f t="shared" si="102"/>
        <v>112</v>
      </c>
      <c r="M356" s="7">
        <f t="shared" si="103"/>
        <v>147</v>
      </c>
      <c r="O356">
        <f t="shared" si="104"/>
        <v>0.15986734693877552</v>
      </c>
      <c r="P356">
        <f t="shared" si="105"/>
        <v>159.86734693877551</v>
      </c>
      <c r="V356">
        <f t="shared" si="106"/>
        <v>605.26998264505085</v>
      </c>
      <c r="W356">
        <f t="shared" si="107"/>
        <v>121.4334133650614</v>
      </c>
      <c r="AE356">
        <f t="shared" si="108"/>
        <v>0.49851190673332757</v>
      </c>
      <c r="AF356">
        <f t="shared" si="109"/>
        <v>0.48314881626988743</v>
      </c>
      <c r="AG356">
        <f t="shared" si="110"/>
        <v>0.48439068415760739</v>
      </c>
      <c r="AI356">
        <f t="shared" si="111"/>
        <v>0.21229850662312763</v>
      </c>
      <c r="AJ356">
        <f t="shared" si="112"/>
        <v>23.631745082973637</v>
      </c>
      <c r="AL356">
        <f t="shared" si="113"/>
        <v>0.21904914131925499</v>
      </c>
      <c r="AM356">
        <f t="shared" si="114"/>
        <v>25.158516273031037</v>
      </c>
      <c r="AO356">
        <f t="shared" si="115"/>
        <v>0.21848754898617764</v>
      </c>
      <c r="AP356">
        <f t="shared" si="116"/>
        <v>25.029680175273178</v>
      </c>
    </row>
    <row r="357" spans="1:42" x14ac:dyDescent="0.2">
      <c r="A357" s="3">
        <v>360</v>
      </c>
      <c r="B357" s="3">
        <v>2.5499999999999999E-7</v>
      </c>
      <c r="C357" s="2">
        <v>1.8499999999999999E-2</v>
      </c>
      <c r="D357" s="3">
        <v>170000</v>
      </c>
      <c r="E357" s="3">
        <v>126000000000</v>
      </c>
      <c r="F357" s="3">
        <v>113000000000</v>
      </c>
      <c r="G357" s="3">
        <v>3480000000</v>
      </c>
      <c r="H357" s="3">
        <v>11800000000</v>
      </c>
      <c r="I357" s="2"/>
      <c r="J357" s="7">
        <f t="shared" si="100"/>
        <v>0.255</v>
      </c>
      <c r="K357" s="7">
        <f t="shared" si="101"/>
        <v>18.5</v>
      </c>
      <c r="L357" s="7">
        <f t="shared" si="102"/>
        <v>126.00000000000001</v>
      </c>
      <c r="M357" s="7">
        <f t="shared" si="103"/>
        <v>170</v>
      </c>
      <c r="O357">
        <f t="shared" si="104"/>
        <v>0.17338235294117649</v>
      </c>
      <c r="P357">
        <f t="shared" si="105"/>
        <v>173.38235294117649</v>
      </c>
      <c r="V357">
        <f t="shared" si="106"/>
        <v>627.42732902952093</v>
      </c>
      <c r="W357">
        <f t="shared" si="107"/>
        <v>135.47385660021303</v>
      </c>
      <c r="AE357">
        <f t="shared" si="108"/>
        <v>0.57651036833105906</v>
      </c>
      <c r="AF357">
        <f t="shared" si="109"/>
        <v>0.55874352901959767</v>
      </c>
      <c r="AG357">
        <f t="shared" si="110"/>
        <v>0.56017970276730111</v>
      </c>
      <c r="AI357">
        <f t="shared" si="111"/>
        <v>0.18429850673385689</v>
      </c>
      <c r="AJ357">
        <f t="shared" si="112"/>
        <v>17.717725866622743</v>
      </c>
      <c r="AL357">
        <f t="shared" si="113"/>
        <v>0.19015880181455011</v>
      </c>
      <c r="AM357">
        <f t="shared" si="114"/>
        <v>18.862411259576827</v>
      </c>
      <c r="AO357">
        <f t="shared" si="115"/>
        <v>0.18967127776162268</v>
      </c>
      <c r="AP357">
        <f t="shared" si="116"/>
        <v>18.765817349402845</v>
      </c>
    </row>
    <row r="358" spans="1:42" x14ac:dyDescent="0.2">
      <c r="A358" s="3">
        <v>360</v>
      </c>
      <c r="B358" s="3">
        <v>2.5499999999999999E-7</v>
      </c>
      <c r="C358" s="2">
        <v>1.856E-2</v>
      </c>
      <c r="D358" s="3">
        <v>147000</v>
      </c>
      <c r="E358" s="3">
        <v>112000000000</v>
      </c>
      <c r="F358" s="3">
        <v>101000000000</v>
      </c>
      <c r="G358" s="3">
        <v>1530000000</v>
      </c>
      <c r="H358" s="3">
        <v>12800000000</v>
      </c>
      <c r="I358" s="2"/>
      <c r="J358" s="7">
        <f t="shared" si="100"/>
        <v>0.255</v>
      </c>
      <c r="K358" s="7">
        <f t="shared" si="101"/>
        <v>18.559999999999999</v>
      </c>
      <c r="L358" s="7">
        <f t="shared" si="102"/>
        <v>112</v>
      </c>
      <c r="M358" s="7">
        <f t="shared" si="103"/>
        <v>147</v>
      </c>
      <c r="O358">
        <f t="shared" si="104"/>
        <v>0.16030612244897963</v>
      </c>
      <c r="P358">
        <f t="shared" si="105"/>
        <v>160.30612244897964</v>
      </c>
      <c r="V358">
        <f t="shared" si="106"/>
        <v>606.00538238803233</v>
      </c>
      <c r="W358">
        <f t="shared" si="107"/>
        <v>121.28605147097041</v>
      </c>
      <c r="AE358">
        <f t="shared" si="108"/>
        <v>0.49851190673332757</v>
      </c>
      <c r="AF358">
        <f t="shared" si="109"/>
        <v>0.48314881626988743</v>
      </c>
      <c r="AG358">
        <f t="shared" si="110"/>
        <v>0.48439068415760739</v>
      </c>
      <c r="AI358">
        <f t="shared" si="111"/>
        <v>0.21313432751534467</v>
      </c>
      <c r="AJ358">
        <f t="shared" si="112"/>
        <v>23.772638956097055</v>
      </c>
      <c r="AL358">
        <f t="shared" si="113"/>
        <v>0.21991153951342529</v>
      </c>
      <c r="AM358">
        <f t="shared" si="114"/>
        <v>25.30851284701658</v>
      </c>
      <c r="AO358">
        <f t="shared" si="115"/>
        <v>0.21934773618691061</v>
      </c>
      <c r="AP358">
        <f t="shared" si="116"/>
        <v>25.178908620762606</v>
      </c>
    </row>
    <row r="359" spans="1:42" x14ac:dyDescent="0.2">
      <c r="A359" s="3">
        <v>360</v>
      </c>
      <c r="B359" s="3">
        <v>2.5600000000000002E-7</v>
      </c>
      <c r="C359" s="2">
        <v>1.8610000000000002E-2</v>
      </c>
      <c r="D359" s="3">
        <v>154000</v>
      </c>
      <c r="E359" s="3">
        <v>116000000000</v>
      </c>
      <c r="F359" s="3">
        <v>105000000000</v>
      </c>
      <c r="G359" s="3">
        <v>9190000000</v>
      </c>
      <c r="H359" s="3">
        <v>12400000000</v>
      </c>
      <c r="I359" s="2"/>
      <c r="J359" s="7">
        <f t="shared" si="100"/>
        <v>0.25600000000000001</v>
      </c>
      <c r="K359" s="7">
        <f t="shared" si="101"/>
        <v>18.610000000000003</v>
      </c>
      <c r="L359" s="7">
        <f t="shared" si="102"/>
        <v>116.00000000000001</v>
      </c>
      <c r="M359" s="7">
        <f t="shared" si="103"/>
        <v>154</v>
      </c>
      <c r="O359">
        <f t="shared" si="104"/>
        <v>0.16536688311688311</v>
      </c>
      <c r="P359">
        <f t="shared" si="105"/>
        <v>165.36688311688312</v>
      </c>
      <c r="V359">
        <f t="shared" si="106"/>
        <v>614.40756808952574</v>
      </c>
      <c r="W359">
        <f t="shared" si="107"/>
        <v>125.32397711087484</v>
      </c>
      <c r="AE359">
        <f t="shared" si="108"/>
        <v>0.52225056895872413</v>
      </c>
      <c r="AF359">
        <f t="shared" si="109"/>
        <v>0.50615590275892963</v>
      </c>
      <c r="AG359">
        <f t="shared" si="110"/>
        <v>0.50745690721273162</v>
      </c>
      <c r="AI359">
        <f t="shared" si="111"/>
        <v>0.20424423257085436</v>
      </c>
      <c r="AJ359">
        <f t="shared" si="112"/>
        <v>21.718959911018775</v>
      </c>
      <c r="AL359">
        <f t="shared" si="113"/>
        <v>0.21073875872088671</v>
      </c>
      <c r="AM359">
        <f t="shared" si="114"/>
        <v>23.122152191306469</v>
      </c>
      <c r="AO359">
        <f t="shared" si="115"/>
        <v>0.21019847232456884</v>
      </c>
      <c r="AP359">
        <f t="shared" si="116"/>
        <v>23.003744260259882</v>
      </c>
    </row>
    <row r="360" spans="1:42" x14ac:dyDescent="0.2">
      <c r="A360" s="3">
        <v>360</v>
      </c>
      <c r="B360" s="3">
        <v>2.5600000000000002E-7</v>
      </c>
      <c r="C360" s="2">
        <v>1.866E-2</v>
      </c>
      <c r="D360" s="3">
        <v>166000</v>
      </c>
      <c r="E360" s="3">
        <v>123000000000</v>
      </c>
      <c r="F360" s="3">
        <v>111000000000</v>
      </c>
      <c r="G360" s="3">
        <v>16400000000</v>
      </c>
      <c r="H360" s="3">
        <v>12000000000</v>
      </c>
      <c r="I360" s="2"/>
      <c r="J360" s="7">
        <f t="shared" si="100"/>
        <v>0.25600000000000001</v>
      </c>
      <c r="K360" s="7">
        <f t="shared" si="101"/>
        <v>18.66</v>
      </c>
      <c r="L360" s="7">
        <f t="shared" si="102"/>
        <v>123.00000000000001</v>
      </c>
      <c r="M360" s="7">
        <f t="shared" si="103"/>
        <v>166</v>
      </c>
      <c r="O360">
        <f t="shared" si="104"/>
        <v>0.17169277108433734</v>
      </c>
      <c r="P360">
        <f t="shared" si="105"/>
        <v>171.69277108433732</v>
      </c>
      <c r="V360">
        <f t="shared" si="106"/>
        <v>624.71123938568201</v>
      </c>
      <c r="W360">
        <f t="shared" si="107"/>
        <v>132.86138421588052</v>
      </c>
      <c r="AE360">
        <f t="shared" si="108"/>
        <v>0.56294541848797541</v>
      </c>
      <c r="AF360">
        <f t="shared" si="109"/>
        <v>0.54559662245443064</v>
      </c>
      <c r="AG360">
        <f t="shared" si="110"/>
        <v>0.54699900387865874</v>
      </c>
      <c r="AI360">
        <f t="shared" si="111"/>
        <v>0.18947958925247935</v>
      </c>
      <c r="AJ360">
        <f t="shared" si="112"/>
        <v>18.742587868237084</v>
      </c>
      <c r="AL360">
        <f t="shared" si="113"/>
        <v>0.19550463158443707</v>
      </c>
      <c r="AM360">
        <f t="shared" si="114"/>
        <v>19.953486305228143</v>
      </c>
      <c r="AO360">
        <f t="shared" si="115"/>
        <v>0.1950034020360458</v>
      </c>
      <c r="AP360">
        <f t="shared" si="116"/>
        <v>19.851305028545053</v>
      </c>
    </row>
    <row r="361" spans="1:42" x14ac:dyDescent="0.2">
      <c r="A361" s="3">
        <v>360</v>
      </c>
      <c r="B361" s="3">
        <v>2.5699999999999999E-7</v>
      </c>
      <c r="C361" s="2">
        <v>1.8710000000000001E-2</v>
      </c>
      <c r="D361" s="3">
        <v>154000</v>
      </c>
      <c r="E361" s="3">
        <v>116000000000</v>
      </c>
      <c r="F361" s="3">
        <v>105000000000</v>
      </c>
      <c r="G361" s="2">
        <v>0</v>
      </c>
      <c r="H361" s="3">
        <v>12500000000</v>
      </c>
      <c r="I361" s="2"/>
      <c r="J361" s="7">
        <f t="shared" si="100"/>
        <v>0.25700000000000001</v>
      </c>
      <c r="K361" s="7">
        <f t="shared" si="101"/>
        <v>18.71</v>
      </c>
      <c r="L361" s="7">
        <f t="shared" si="102"/>
        <v>116.00000000000001</v>
      </c>
      <c r="M361" s="7">
        <f t="shared" si="103"/>
        <v>154</v>
      </c>
      <c r="O361">
        <f t="shared" si="104"/>
        <v>0.16587987012987013</v>
      </c>
      <c r="P361">
        <f t="shared" si="105"/>
        <v>165.87987012987011</v>
      </c>
      <c r="V361">
        <f t="shared" si="106"/>
        <v>615.25121936958101</v>
      </c>
      <c r="W361">
        <f t="shared" si="107"/>
        <v>125.15212904234188</v>
      </c>
      <c r="AE361">
        <f t="shared" si="108"/>
        <v>0.52225056895872413</v>
      </c>
      <c r="AF361">
        <f t="shared" si="109"/>
        <v>0.50615590275892963</v>
      </c>
      <c r="AG361">
        <f t="shared" si="110"/>
        <v>0.50745690721273162</v>
      </c>
      <c r="AI361">
        <f t="shared" si="111"/>
        <v>0.20504206160433427</v>
      </c>
      <c r="AJ361">
        <f t="shared" si="112"/>
        <v>21.835665767606731</v>
      </c>
      <c r="AL361">
        <f t="shared" si="113"/>
        <v>0.21156195699714017</v>
      </c>
      <c r="AM361">
        <f t="shared" si="114"/>
        <v>23.246398038653627</v>
      </c>
      <c r="AO361">
        <f t="shared" si="115"/>
        <v>0.2110195601070867</v>
      </c>
      <c r="AP361">
        <f t="shared" si="116"/>
        <v>23.127353847902327</v>
      </c>
    </row>
    <row r="362" spans="1:42" x14ac:dyDescent="0.2">
      <c r="A362" s="3">
        <v>360</v>
      </c>
      <c r="B362" s="3">
        <v>2.5699999999999999E-7</v>
      </c>
      <c r="C362" s="2">
        <v>1.8769999999999998E-2</v>
      </c>
      <c r="D362" s="3">
        <v>171000</v>
      </c>
      <c r="E362" s="3">
        <v>126000000000</v>
      </c>
      <c r="F362" s="3">
        <v>113000000000</v>
      </c>
      <c r="G362" s="3">
        <v>14300000000</v>
      </c>
      <c r="H362" s="3">
        <v>11800000000</v>
      </c>
      <c r="I362" s="2"/>
      <c r="J362" s="7">
        <f t="shared" si="100"/>
        <v>0.25700000000000001</v>
      </c>
      <c r="K362" s="7">
        <f t="shared" si="101"/>
        <v>18.77</v>
      </c>
      <c r="L362" s="7">
        <f t="shared" si="102"/>
        <v>126.00000000000001</v>
      </c>
      <c r="M362" s="7">
        <f t="shared" si="103"/>
        <v>171</v>
      </c>
      <c r="O362">
        <f t="shared" si="104"/>
        <v>0.17467543859649123</v>
      </c>
      <c r="P362">
        <f t="shared" si="105"/>
        <v>174.67543859649123</v>
      </c>
      <c r="V362">
        <f t="shared" si="106"/>
        <v>629.49608702439525</v>
      </c>
      <c r="W362">
        <f t="shared" si="107"/>
        <v>135.82292529276128</v>
      </c>
      <c r="AE362">
        <f t="shared" si="108"/>
        <v>0.57990160579183003</v>
      </c>
      <c r="AF362">
        <f t="shared" si="109"/>
        <v>0.56203025566088949</v>
      </c>
      <c r="AG362">
        <f t="shared" si="110"/>
        <v>0.56347487748946168</v>
      </c>
      <c r="AI362">
        <f t="shared" si="111"/>
        <v>0.18465776308226595</v>
      </c>
      <c r="AJ362">
        <f t="shared" si="112"/>
        <v>17.76667442978917</v>
      </c>
      <c r="AL362">
        <f t="shared" si="113"/>
        <v>0.19052948174011453</v>
      </c>
      <c r="AM362">
        <f t="shared" si="114"/>
        <v>18.914522232280714</v>
      </c>
      <c r="AO362">
        <f t="shared" si="115"/>
        <v>0.19004100734790266</v>
      </c>
      <c r="AP362">
        <f t="shared" si="116"/>
        <v>18.817661463191023</v>
      </c>
    </row>
    <row r="363" spans="1:42" x14ac:dyDescent="0.2">
      <c r="A363" s="3">
        <v>360</v>
      </c>
      <c r="B363" s="3">
        <v>2.5800000000000001E-7</v>
      </c>
      <c r="C363" s="2">
        <v>1.882E-2</v>
      </c>
      <c r="D363" s="3">
        <v>168000</v>
      </c>
      <c r="E363" s="3">
        <v>124000000000</v>
      </c>
      <c r="F363" s="3">
        <v>111000000000</v>
      </c>
      <c r="G363" s="2">
        <v>0</v>
      </c>
      <c r="H363" s="3">
        <v>11900000000</v>
      </c>
      <c r="I363" s="2"/>
      <c r="J363" s="7">
        <f t="shared" si="100"/>
        <v>0.25800000000000001</v>
      </c>
      <c r="K363" s="7">
        <f t="shared" si="101"/>
        <v>18.82</v>
      </c>
      <c r="L363" s="7">
        <f t="shared" si="102"/>
        <v>124.00000000000001</v>
      </c>
      <c r="M363" s="7">
        <f t="shared" si="103"/>
        <v>168</v>
      </c>
      <c r="O363">
        <f t="shared" si="104"/>
        <v>0.17398214285714286</v>
      </c>
      <c r="P363">
        <f t="shared" si="105"/>
        <v>173.98214285714286</v>
      </c>
      <c r="V363">
        <f t="shared" si="106"/>
        <v>628.38797459791567</v>
      </c>
      <c r="W363">
        <f t="shared" si="107"/>
        <v>133.67537794425297</v>
      </c>
      <c r="AE363">
        <f t="shared" si="108"/>
        <v>0.56972789340951724</v>
      </c>
      <c r="AF363">
        <f t="shared" si="109"/>
        <v>0.55217007573701415</v>
      </c>
      <c r="AG363">
        <f t="shared" si="110"/>
        <v>0.55358935332297987</v>
      </c>
      <c r="AI363">
        <f t="shared" si="111"/>
        <v>0.1886865664179963</v>
      </c>
      <c r="AJ363">
        <f t="shared" si="112"/>
        <v>18.455896579112995</v>
      </c>
      <c r="AL363">
        <f t="shared" si="113"/>
        <v>0.19468639233394416</v>
      </c>
      <c r="AM363">
        <f t="shared" si="114"/>
        <v>19.648272812215247</v>
      </c>
      <c r="AO363">
        <f t="shared" si="115"/>
        <v>0.19418726056547087</v>
      </c>
      <c r="AP363">
        <f t="shared" si="116"/>
        <v>19.547654525773563</v>
      </c>
    </row>
    <row r="364" spans="1:42" x14ac:dyDescent="0.2">
      <c r="A364" s="3">
        <v>360</v>
      </c>
      <c r="B364" s="3">
        <v>2.5800000000000001E-7</v>
      </c>
      <c r="C364" s="2">
        <v>1.8870000000000001E-2</v>
      </c>
      <c r="D364" s="3">
        <v>166000</v>
      </c>
      <c r="E364" s="3">
        <v>123000000000</v>
      </c>
      <c r="F364" s="3">
        <v>110000000000</v>
      </c>
      <c r="G364" s="2">
        <v>0</v>
      </c>
      <c r="H364" s="3">
        <v>12000000000</v>
      </c>
      <c r="I364" s="2"/>
      <c r="J364" s="7">
        <f t="shared" si="100"/>
        <v>0.25800000000000001</v>
      </c>
      <c r="K364" s="7">
        <f t="shared" si="101"/>
        <v>18.87</v>
      </c>
      <c r="L364" s="7">
        <f t="shared" si="102"/>
        <v>123.00000000000001</v>
      </c>
      <c r="M364" s="7">
        <f t="shared" si="103"/>
        <v>166</v>
      </c>
      <c r="O364">
        <f t="shared" si="104"/>
        <v>0.17274397590361446</v>
      </c>
      <c r="P364">
        <f t="shared" si="105"/>
        <v>172.74397590361446</v>
      </c>
      <c r="V364">
        <f t="shared" si="106"/>
        <v>626.40284529707628</v>
      </c>
      <c r="W364">
        <f t="shared" si="107"/>
        <v>132.50259098142607</v>
      </c>
      <c r="AE364">
        <f t="shared" si="108"/>
        <v>0.56294541848797541</v>
      </c>
      <c r="AF364">
        <f t="shared" si="109"/>
        <v>0.54559662245443064</v>
      </c>
      <c r="AG364">
        <f t="shared" si="110"/>
        <v>0.54699900387865874</v>
      </c>
      <c r="AI364">
        <f t="shared" si="111"/>
        <v>0.19095989854351436</v>
      </c>
      <c r="AJ364">
        <f t="shared" si="112"/>
        <v>18.95351731369956</v>
      </c>
      <c r="AL364">
        <f t="shared" si="113"/>
        <v>0.19703201151869049</v>
      </c>
      <c r="AM364">
        <f t="shared" si="114"/>
        <v>20.178043225061902</v>
      </c>
      <c r="AO364">
        <f t="shared" si="115"/>
        <v>0.19652686611445241</v>
      </c>
      <c r="AP364">
        <f t="shared" si="116"/>
        <v>20.074711998319678</v>
      </c>
    </row>
    <row r="365" spans="1:42" x14ac:dyDescent="0.2">
      <c r="A365" s="3">
        <v>360</v>
      </c>
      <c r="B365" s="3">
        <v>2.5899999999999998E-7</v>
      </c>
      <c r="C365" s="2">
        <v>1.8919999999999999E-2</v>
      </c>
      <c r="D365" s="3">
        <v>151000</v>
      </c>
      <c r="E365" s="3">
        <v>113000000000</v>
      </c>
      <c r="F365" s="3">
        <v>103000000000</v>
      </c>
      <c r="G365" s="2">
        <v>0</v>
      </c>
      <c r="H365" s="3">
        <v>12700000000</v>
      </c>
      <c r="I365" s="2"/>
      <c r="J365" s="7">
        <f t="shared" si="100"/>
        <v>0.25899999999999995</v>
      </c>
      <c r="K365" s="7">
        <f t="shared" si="101"/>
        <v>18.919999999999998</v>
      </c>
      <c r="L365" s="7">
        <f t="shared" si="102"/>
        <v>113</v>
      </c>
      <c r="M365" s="7">
        <f t="shared" si="103"/>
        <v>151</v>
      </c>
      <c r="O365">
        <f t="shared" si="104"/>
        <v>0.16502649006622513</v>
      </c>
      <c r="P365">
        <f t="shared" si="105"/>
        <v>165.02649006622514</v>
      </c>
      <c r="V365">
        <f t="shared" si="106"/>
        <v>613.84695764268713</v>
      </c>
      <c r="W365">
        <f t="shared" si="107"/>
        <v>122.99482641396038</v>
      </c>
      <c r="AE365">
        <f t="shared" si="108"/>
        <v>0.51207685657641133</v>
      </c>
      <c r="AF365">
        <f t="shared" si="109"/>
        <v>0.49629572283505441</v>
      </c>
      <c r="AG365">
        <f t="shared" si="110"/>
        <v>0.49757138304624982</v>
      </c>
      <c r="AI365">
        <f t="shared" si="111"/>
        <v>0.21074310483032638</v>
      </c>
      <c r="AJ365">
        <f t="shared" si="112"/>
        <v>22.966844486808697</v>
      </c>
      <c r="AL365">
        <f t="shared" si="113"/>
        <v>0.21744428110361352</v>
      </c>
      <c r="AM365">
        <f t="shared" si="114"/>
        <v>24.450658583730903</v>
      </c>
      <c r="AO365">
        <f t="shared" si="115"/>
        <v>0.21688680326825724</v>
      </c>
      <c r="AP365">
        <f t="shared" si="116"/>
        <v>24.325447406515551</v>
      </c>
    </row>
    <row r="366" spans="1:42" x14ac:dyDescent="0.2">
      <c r="A366" s="3">
        <v>360</v>
      </c>
      <c r="B366" s="3">
        <v>2.5899999999999998E-7</v>
      </c>
      <c r="C366" s="2">
        <v>1.8970000000000001E-2</v>
      </c>
      <c r="D366" s="3">
        <v>161000</v>
      </c>
      <c r="E366" s="3">
        <v>119000000000</v>
      </c>
      <c r="F366" s="3">
        <v>107000000000</v>
      </c>
      <c r="G366" s="2">
        <v>0</v>
      </c>
      <c r="H366" s="3">
        <v>12300000000</v>
      </c>
      <c r="I366" s="2"/>
      <c r="J366" s="7">
        <f t="shared" si="100"/>
        <v>0.25899999999999995</v>
      </c>
      <c r="K366" s="7">
        <f t="shared" si="101"/>
        <v>18.970000000000002</v>
      </c>
      <c r="L366" s="7">
        <f t="shared" si="102"/>
        <v>119.00000000000001</v>
      </c>
      <c r="M366" s="7">
        <f t="shared" si="103"/>
        <v>161</v>
      </c>
      <c r="O366">
        <f t="shared" si="104"/>
        <v>0.17063043478260864</v>
      </c>
      <c r="P366">
        <f t="shared" si="105"/>
        <v>170.63043478260863</v>
      </c>
      <c r="V366">
        <f t="shared" si="106"/>
        <v>622.99584976670326</v>
      </c>
      <c r="W366">
        <f t="shared" si="107"/>
        <v>129.21434393205874</v>
      </c>
      <c r="AE366">
        <f t="shared" si="108"/>
        <v>0.54598923118412068</v>
      </c>
      <c r="AF366">
        <f t="shared" si="109"/>
        <v>0.52916298924797189</v>
      </c>
      <c r="AG366">
        <f t="shared" si="110"/>
        <v>0.53052313026785569</v>
      </c>
      <c r="AI366">
        <f t="shared" si="111"/>
        <v>0.19765347098993341</v>
      </c>
      <c r="AJ366">
        <f t="shared" si="112"/>
        <v>20.255812630343939</v>
      </c>
      <c r="AL366">
        <f t="shared" si="113"/>
        <v>0.20393842513444504</v>
      </c>
      <c r="AM366">
        <f t="shared" si="114"/>
        <v>21.564475661644654</v>
      </c>
      <c r="AO366">
        <f t="shared" si="115"/>
        <v>0.20341557325159534</v>
      </c>
      <c r="AP366">
        <f t="shared" si="116"/>
        <v>21.454044550990531</v>
      </c>
    </row>
    <row r="367" spans="1:42" x14ac:dyDescent="0.2">
      <c r="A367" s="3">
        <v>370</v>
      </c>
      <c r="B367" s="3">
        <v>2.6E-7</v>
      </c>
      <c r="C367" s="2">
        <v>1.9029999999999998E-2</v>
      </c>
      <c r="D367" s="3">
        <v>156000</v>
      </c>
      <c r="E367" s="3">
        <v>116000000000</v>
      </c>
      <c r="F367" s="3">
        <v>105000000000</v>
      </c>
      <c r="G367" s="3">
        <v>1770000000</v>
      </c>
      <c r="H367" s="3">
        <v>12400000000</v>
      </c>
      <c r="I367" s="2"/>
      <c r="J367" s="7">
        <f t="shared" si="100"/>
        <v>0.26</v>
      </c>
      <c r="K367" s="7">
        <f t="shared" si="101"/>
        <v>19.029999999999998</v>
      </c>
      <c r="L367" s="7">
        <f t="shared" si="102"/>
        <v>116.00000000000001</v>
      </c>
      <c r="M367" s="7">
        <f t="shared" si="103"/>
        <v>156</v>
      </c>
      <c r="O367">
        <f t="shared" si="104"/>
        <v>0.1685096153846154</v>
      </c>
      <c r="P367">
        <f t="shared" si="105"/>
        <v>168.50961538461539</v>
      </c>
      <c r="V367">
        <f t="shared" si="106"/>
        <v>619.55341193801917</v>
      </c>
      <c r="W367">
        <f t="shared" si="107"/>
        <v>125.89713573848127</v>
      </c>
      <c r="AE367">
        <f t="shared" si="108"/>
        <v>0.52903304388026595</v>
      </c>
      <c r="AF367">
        <f t="shared" si="109"/>
        <v>0.51272935604151315</v>
      </c>
      <c r="AG367">
        <f t="shared" si="110"/>
        <v>0.51404725665705275</v>
      </c>
      <c r="AI367">
        <f t="shared" si="111"/>
        <v>0.20477611859317432</v>
      </c>
      <c r="AJ367">
        <f t="shared" si="112"/>
        <v>21.643310192638445</v>
      </c>
      <c r="AL367">
        <f t="shared" si="113"/>
        <v>0.21128755757172235</v>
      </c>
      <c r="AM367">
        <f t="shared" si="114"/>
        <v>23.041614987463102</v>
      </c>
      <c r="AO367">
        <f t="shared" si="115"/>
        <v>0.2107458641795808</v>
      </c>
      <c r="AP367">
        <f t="shared" si="116"/>
        <v>22.923619485311569</v>
      </c>
    </row>
    <row r="368" spans="1:42" x14ac:dyDescent="0.2">
      <c r="A368" s="3">
        <v>370</v>
      </c>
      <c r="B368" s="3">
        <v>2.6100000000000002E-7</v>
      </c>
      <c r="C368" s="2">
        <v>1.908E-2</v>
      </c>
      <c r="D368" s="3">
        <v>150000</v>
      </c>
      <c r="E368" s="3">
        <v>112000000000</v>
      </c>
      <c r="F368" s="3">
        <v>102000000000</v>
      </c>
      <c r="G368" s="2">
        <v>0</v>
      </c>
      <c r="H368" s="3">
        <v>12700000000</v>
      </c>
      <c r="I368" s="2"/>
      <c r="J368" s="7">
        <f t="shared" si="100"/>
        <v>0.26100000000000001</v>
      </c>
      <c r="K368" s="7">
        <f t="shared" si="101"/>
        <v>19.079999999999998</v>
      </c>
      <c r="L368" s="7">
        <f t="shared" si="102"/>
        <v>112</v>
      </c>
      <c r="M368" s="7">
        <f t="shared" si="103"/>
        <v>150</v>
      </c>
      <c r="O368">
        <f t="shared" si="104"/>
        <v>0.16560000000000002</v>
      </c>
      <c r="P368">
        <f t="shared" si="105"/>
        <v>165.60000000000002</v>
      </c>
      <c r="V368">
        <f t="shared" si="106"/>
        <v>614.79112929030907</v>
      </c>
      <c r="W368">
        <f t="shared" si="107"/>
        <v>121.99265153122342</v>
      </c>
      <c r="AE368">
        <f t="shared" si="108"/>
        <v>0.50868561911564036</v>
      </c>
      <c r="AF368">
        <f t="shared" si="109"/>
        <v>0.49300899619376265</v>
      </c>
      <c r="AG368">
        <f t="shared" si="110"/>
        <v>0.49427620832408919</v>
      </c>
      <c r="AI368">
        <f t="shared" si="111"/>
        <v>0.21378626781127399</v>
      </c>
      <c r="AJ368">
        <f t="shared" si="112"/>
        <v>23.470910884243072</v>
      </c>
      <c r="AL368">
        <f t="shared" si="113"/>
        <v>0.22058421010487814</v>
      </c>
      <c r="AM368">
        <f t="shared" si="114"/>
        <v>24.987291093010874</v>
      </c>
      <c r="AO368">
        <f t="shared" si="115"/>
        <v>0.22001868220348234</v>
      </c>
      <c r="AP368">
        <f t="shared" si="116"/>
        <v>24.85933183488029</v>
      </c>
    </row>
    <row r="369" spans="1:42" x14ac:dyDescent="0.2">
      <c r="A369" s="3">
        <v>370</v>
      </c>
      <c r="B369" s="3">
        <v>2.6199999999999999E-7</v>
      </c>
      <c r="C369" s="2">
        <v>1.9130000000000001E-2</v>
      </c>
      <c r="D369" s="3">
        <v>173000</v>
      </c>
      <c r="E369" s="3">
        <v>126000000000</v>
      </c>
      <c r="F369" s="3">
        <v>112000000000</v>
      </c>
      <c r="G369" s="2">
        <v>0</v>
      </c>
      <c r="H369" s="3">
        <v>11700000000</v>
      </c>
      <c r="I369" s="2"/>
      <c r="J369" s="7">
        <f t="shared" si="100"/>
        <v>0.26200000000000001</v>
      </c>
      <c r="K369" s="7">
        <f t="shared" si="101"/>
        <v>19.130000000000003</v>
      </c>
      <c r="L369" s="7">
        <f t="shared" si="102"/>
        <v>126.00000000000001</v>
      </c>
      <c r="M369" s="7">
        <f t="shared" si="103"/>
        <v>173</v>
      </c>
      <c r="O369">
        <f t="shared" si="104"/>
        <v>0.17906647398843931</v>
      </c>
      <c r="P369">
        <f t="shared" si="105"/>
        <v>179.0664739884393</v>
      </c>
      <c r="V369">
        <f t="shared" si="106"/>
        <v>636.4581780349796</v>
      </c>
      <c r="W369">
        <f t="shared" si="107"/>
        <v>135.9083801343597</v>
      </c>
      <c r="AE369">
        <f t="shared" si="108"/>
        <v>0.58668408071337186</v>
      </c>
      <c r="AF369">
        <f t="shared" si="109"/>
        <v>0.5686037089434729</v>
      </c>
      <c r="AG369">
        <f t="shared" si="110"/>
        <v>0.57006522693378292</v>
      </c>
      <c r="AI369">
        <f t="shared" si="111"/>
        <v>0.18607402221298847</v>
      </c>
      <c r="AJ369">
        <f t="shared" si="112"/>
        <v>17.69118222937249</v>
      </c>
      <c r="AL369">
        <f t="shared" si="113"/>
        <v>0.19199077485707952</v>
      </c>
      <c r="AM369">
        <f t="shared" si="114"/>
        <v>18.834152723130995</v>
      </c>
      <c r="AO369">
        <f t="shared" si="115"/>
        <v>0.19149855404063637</v>
      </c>
      <c r="AP369">
        <f t="shared" si="116"/>
        <v>18.73770352417624</v>
      </c>
    </row>
    <row r="370" spans="1:42" x14ac:dyDescent="0.2">
      <c r="A370" s="3">
        <v>370</v>
      </c>
      <c r="B370" s="3">
        <v>2.6300000000000001E-7</v>
      </c>
      <c r="C370" s="2">
        <v>1.9179999999999999E-2</v>
      </c>
      <c r="D370" s="3">
        <v>165000</v>
      </c>
      <c r="E370" s="3">
        <v>121000000000</v>
      </c>
      <c r="F370" s="3">
        <v>108000000000</v>
      </c>
      <c r="G370" s="3">
        <v>10400000000</v>
      </c>
      <c r="H370" s="3">
        <v>12000000000</v>
      </c>
      <c r="I370" s="2"/>
      <c r="J370" s="7">
        <f t="shared" si="100"/>
        <v>0.26300000000000001</v>
      </c>
      <c r="K370" s="7">
        <f t="shared" si="101"/>
        <v>19.18</v>
      </c>
      <c r="L370" s="7">
        <f t="shared" si="102"/>
        <v>121.00000000000001</v>
      </c>
      <c r="M370" s="7">
        <f t="shared" si="103"/>
        <v>165</v>
      </c>
      <c r="O370">
        <f t="shared" si="104"/>
        <v>0.17581818181818182</v>
      </c>
      <c r="P370">
        <f t="shared" si="105"/>
        <v>175.81818181818181</v>
      </c>
      <c r="V370">
        <f t="shared" si="106"/>
        <v>631.31722937129655</v>
      </c>
      <c r="W370">
        <f t="shared" si="107"/>
        <v>130.67915171926867</v>
      </c>
      <c r="AE370">
        <f t="shared" si="108"/>
        <v>0.55955418102720444</v>
      </c>
      <c r="AF370">
        <f t="shared" si="109"/>
        <v>0.54230989581313893</v>
      </c>
      <c r="AG370">
        <f t="shared" si="110"/>
        <v>0.54370382915649806</v>
      </c>
      <c r="AI370">
        <f t="shared" si="111"/>
        <v>0.19584043341819943</v>
      </c>
      <c r="AJ370">
        <f t="shared" si="112"/>
        <v>19.499110780176643</v>
      </c>
      <c r="AL370">
        <f t="shared" si="113"/>
        <v>0.20206773687768356</v>
      </c>
      <c r="AM370">
        <f t="shared" si="114"/>
        <v>20.758885734010281</v>
      </c>
      <c r="AO370">
        <f t="shared" si="115"/>
        <v>0.20154968101538093</v>
      </c>
      <c r="AP370">
        <f t="shared" si="116"/>
        <v>20.652580028111476</v>
      </c>
    </row>
    <row r="371" spans="1:42" x14ac:dyDescent="0.2">
      <c r="A371" s="3">
        <v>370</v>
      </c>
      <c r="B371" s="3">
        <v>2.6399999999999998E-7</v>
      </c>
      <c r="C371" s="2">
        <v>1.924E-2</v>
      </c>
      <c r="D371" s="3">
        <v>155000</v>
      </c>
      <c r="E371" s="3">
        <v>114000000000</v>
      </c>
      <c r="F371" s="3">
        <v>103000000000</v>
      </c>
      <c r="G371" s="3">
        <v>191000000</v>
      </c>
      <c r="H371" s="3">
        <v>12400000000</v>
      </c>
      <c r="I371" s="2"/>
      <c r="J371" s="7">
        <f t="shared" si="100"/>
        <v>0.26399999999999996</v>
      </c>
      <c r="K371" s="7">
        <f t="shared" si="101"/>
        <v>19.239999999999998</v>
      </c>
      <c r="L371" s="7">
        <f t="shared" si="102"/>
        <v>114</v>
      </c>
      <c r="M371" s="7">
        <f t="shared" si="103"/>
        <v>155</v>
      </c>
      <c r="O371">
        <f t="shared" si="104"/>
        <v>0.17090322580645156</v>
      </c>
      <c r="P371">
        <f t="shared" si="105"/>
        <v>170.90322580645156</v>
      </c>
      <c r="V371">
        <f t="shared" si="106"/>
        <v>623.43690077735232</v>
      </c>
      <c r="W371">
        <f t="shared" si="107"/>
        <v>124.31089642490944</v>
      </c>
      <c r="AE371">
        <f t="shared" si="108"/>
        <v>0.52564180641949509</v>
      </c>
      <c r="AF371">
        <f t="shared" si="109"/>
        <v>0.50944262940022145</v>
      </c>
      <c r="AG371">
        <f t="shared" si="110"/>
        <v>0.51075208193489219</v>
      </c>
      <c r="AI371">
        <f t="shared" si="111"/>
        <v>0.20926798183973422</v>
      </c>
      <c r="AJ371">
        <f t="shared" si="112"/>
        <v>22.165409725170157</v>
      </c>
      <c r="AL371">
        <f t="shared" si="113"/>
        <v>0.21592225238297297</v>
      </c>
      <c r="AM371">
        <f t="shared" si="114"/>
        <v>23.597445694811277</v>
      </c>
      <c r="AO371">
        <f t="shared" si="115"/>
        <v>0.21536867668416507</v>
      </c>
      <c r="AP371">
        <f t="shared" si="116"/>
        <v>23.476603798278951</v>
      </c>
    </row>
    <row r="372" spans="1:42" x14ac:dyDescent="0.2">
      <c r="A372" s="3">
        <v>370</v>
      </c>
      <c r="B372" s="3">
        <v>2.65E-7</v>
      </c>
      <c r="C372" s="2">
        <v>1.9290000000000002E-2</v>
      </c>
      <c r="D372" s="3">
        <v>152000</v>
      </c>
      <c r="E372" s="3">
        <v>112000000000</v>
      </c>
      <c r="F372" s="3">
        <v>102000000000</v>
      </c>
      <c r="G372" s="3">
        <v>3430000000</v>
      </c>
      <c r="H372" s="3">
        <v>12600000000</v>
      </c>
      <c r="I372" s="2"/>
      <c r="J372" s="7">
        <f t="shared" si="100"/>
        <v>0.26500000000000001</v>
      </c>
      <c r="K372" s="7">
        <f t="shared" si="101"/>
        <v>19.290000000000003</v>
      </c>
      <c r="L372" s="7">
        <f t="shared" si="102"/>
        <v>112</v>
      </c>
      <c r="M372" s="7">
        <f t="shared" si="103"/>
        <v>152</v>
      </c>
      <c r="O372">
        <f t="shared" si="104"/>
        <v>0.16981907894736842</v>
      </c>
      <c r="P372">
        <f t="shared" si="105"/>
        <v>169.81907894736841</v>
      </c>
      <c r="V372">
        <f t="shared" si="106"/>
        <v>621.68171622212867</v>
      </c>
      <c r="W372">
        <f t="shared" si="107"/>
        <v>122.24905126990252</v>
      </c>
      <c r="AE372">
        <f t="shared" si="108"/>
        <v>0.5154680940371823</v>
      </c>
      <c r="AF372">
        <f t="shared" si="109"/>
        <v>0.49958244947634617</v>
      </c>
      <c r="AG372">
        <f t="shared" si="110"/>
        <v>0.50086655776841038</v>
      </c>
      <c r="AI372">
        <f t="shared" si="111"/>
        <v>0.2142065977389126</v>
      </c>
      <c r="AJ372">
        <f t="shared" si="112"/>
        <v>23.108893122170752</v>
      </c>
      <c r="AL372">
        <f t="shared" si="113"/>
        <v>0.22101790561778853</v>
      </c>
      <c r="AM372">
        <f t="shared" si="114"/>
        <v>24.601884525436454</v>
      </c>
      <c r="AO372">
        <f t="shared" si="115"/>
        <v>0.22045126581942989</v>
      </c>
      <c r="AP372">
        <f t="shared" si="116"/>
        <v>24.475898924165346</v>
      </c>
    </row>
    <row r="373" spans="1:42" x14ac:dyDescent="0.2">
      <c r="A373" s="3">
        <v>370</v>
      </c>
      <c r="B373" s="3">
        <v>2.65E-7</v>
      </c>
      <c r="C373" s="2">
        <v>1.934E-2</v>
      </c>
      <c r="D373" s="3">
        <v>174000</v>
      </c>
      <c r="E373" s="3">
        <v>125000000000</v>
      </c>
      <c r="F373" s="3">
        <v>112000000000</v>
      </c>
      <c r="G373" s="3">
        <v>11700000000</v>
      </c>
      <c r="H373" s="3">
        <v>11700000000</v>
      </c>
      <c r="I373" s="2"/>
      <c r="J373" s="7">
        <f t="shared" si="100"/>
        <v>0.26500000000000001</v>
      </c>
      <c r="K373" s="7">
        <f t="shared" si="101"/>
        <v>19.34</v>
      </c>
      <c r="L373" s="7">
        <f t="shared" si="102"/>
        <v>125.00000000000001</v>
      </c>
      <c r="M373" s="7">
        <f t="shared" si="103"/>
        <v>174</v>
      </c>
      <c r="O373">
        <f t="shared" si="104"/>
        <v>0.18163793103448278</v>
      </c>
      <c r="P373">
        <f t="shared" si="105"/>
        <v>181.63793103448279</v>
      </c>
      <c r="V373">
        <f t="shared" si="106"/>
        <v>640.4912015642866</v>
      </c>
      <c r="W373">
        <f t="shared" si="107"/>
        <v>135.83324765042497</v>
      </c>
      <c r="AE373">
        <f t="shared" si="108"/>
        <v>0.59007531817414283</v>
      </c>
      <c r="AF373">
        <f t="shared" si="109"/>
        <v>0.57189043558476471</v>
      </c>
      <c r="AG373">
        <f t="shared" si="110"/>
        <v>0.57336040165594349</v>
      </c>
      <c r="AI373">
        <f t="shared" si="111"/>
        <v>0.18712300492134895</v>
      </c>
      <c r="AJ373">
        <f t="shared" si="112"/>
        <v>17.680399152531809</v>
      </c>
      <c r="AL373">
        <f t="shared" si="113"/>
        <v>0.1930731129534704</v>
      </c>
      <c r="AM373">
        <f t="shared" si="114"/>
        <v>18.822672986310156</v>
      </c>
      <c r="AO373">
        <f t="shared" si="115"/>
        <v>0.19257811726754795</v>
      </c>
      <c r="AP373">
        <f t="shared" si="116"/>
        <v>18.726282574784658</v>
      </c>
    </row>
    <row r="374" spans="1:42" x14ac:dyDescent="0.2">
      <c r="A374" s="3">
        <v>370</v>
      </c>
      <c r="B374" s="3">
        <v>2.6600000000000003E-7</v>
      </c>
      <c r="C374" s="2">
        <v>1.9390000000000001E-2</v>
      </c>
      <c r="D374" s="3">
        <v>171000</v>
      </c>
      <c r="E374" s="3">
        <v>124000000000</v>
      </c>
      <c r="F374" s="3">
        <v>111000000000</v>
      </c>
      <c r="G374" s="3">
        <v>1970000000</v>
      </c>
      <c r="H374" s="3">
        <v>11800000000</v>
      </c>
      <c r="I374" s="2"/>
      <c r="J374" s="7">
        <f t="shared" si="100"/>
        <v>0.26600000000000001</v>
      </c>
      <c r="K374" s="7">
        <f t="shared" si="101"/>
        <v>19.39</v>
      </c>
      <c r="L374" s="7">
        <f t="shared" si="102"/>
        <v>124.00000000000001</v>
      </c>
      <c r="M374" s="7">
        <f t="shared" si="103"/>
        <v>171</v>
      </c>
      <c r="O374">
        <f t="shared" si="104"/>
        <v>0.1809561403508772</v>
      </c>
      <c r="P374">
        <f t="shared" si="105"/>
        <v>180.95614035087721</v>
      </c>
      <c r="V374">
        <f t="shared" si="106"/>
        <v>639.42500900507264</v>
      </c>
      <c r="W374">
        <f t="shared" si="107"/>
        <v>133.71388168416433</v>
      </c>
      <c r="AE374">
        <f t="shared" si="108"/>
        <v>0.57990160579183003</v>
      </c>
      <c r="AF374">
        <f t="shared" si="109"/>
        <v>0.56203025566088949</v>
      </c>
      <c r="AG374">
        <f t="shared" si="110"/>
        <v>0.56347487748946168</v>
      </c>
      <c r="AI374">
        <f t="shared" si="111"/>
        <v>0.19112437735362936</v>
      </c>
      <c r="AJ374">
        <f t="shared" si="112"/>
        <v>18.353533148301121</v>
      </c>
      <c r="AL374">
        <f t="shared" si="113"/>
        <v>0.1972017204002742</v>
      </c>
      <c r="AM374">
        <f t="shared" si="114"/>
        <v>19.539296008733245</v>
      </c>
      <c r="AO374">
        <f t="shared" si="115"/>
        <v>0.19669613990094206</v>
      </c>
      <c r="AP374">
        <f t="shared" si="116"/>
        <v>19.439235789625677</v>
      </c>
    </row>
    <row r="375" spans="1:42" x14ac:dyDescent="0.2">
      <c r="A375" s="3">
        <v>370</v>
      </c>
      <c r="B375" s="3">
        <v>2.6600000000000003E-7</v>
      </c>
      <c r="C375" s="2">
        <v>1.9439999999999999E-2</v>
      </c>
      <c r="D375" s="3">
        <v>169000</v>
      </c>
      <c r="E375" s="3">
        <v>122000000000</v>
      </c>
      <c r="F375" s="3">
        <v>110000000000</v>
      </c>
      <c r="G375" s="3">
        <v>16000000000</v>
      </c>
      <c r="H375" s="3">
        <v>11900000000</v>
      </c>
      <c r="I375" s="2"/>
      <c r="J375" s="7">
        <f t="shared" si="100"/>
        <v>0.26600000000000001</v>
      </c>
      <c r="K375" s="7">
        <f t="shared" si="101"/>
        <v>19.439999999999998</v>
      </c>
      <c r="L375" s="7">
        <f t="shared" si="102"/>
        <v>122.00000000000001</v>
      </c>
      <c r="M375" s="7">
        <f t="shared" si="103"/>
        <v>169</v>
      </c>
      <c r="O375">
        <f t="shared" si="104"/>
        <v>0.17972781065088761</v>
      </c>
      <c r="P375">
        <f t="shared" si="105"/>
        <v>179.72781065088762</v>
      </c>
      <c r="V375">
        <f t="shared" si="106"/>
        <v>637.49847051862241</v>
      </c>
      <c r="W375">
        <f t="shared" si="107"/>
        <v>132.54933761842116</v>
      </c>
      <c r="AE375">
        <f t="shared" si="108"/>
        <v>0.57311913087028821</v>
      </c>
      <c r="AF375">
        <f t="shared" si="109"/>
        <v>0.55545680237830597</v>
      </c>
      <c r="AG375">
        <f t="shared" si="110"/>
        <v>0.55688452804514055</v>
      </c>
      <c r="AI375">
        <f t="shared" si="111"/>
        <v>0.19338620430455986</v>
      </c>
      <c r="AJ375">
        <f t="shared" si="112"/>
        <v>18.838960850001506</v>
      </c>
      <c r="AL375">
        <f t="shared" si="113"/>
        <v>0.19953546857069163</v>
      </c>
      <c r="AM375">
        <f t="shared" si="114"/>
        <v>20.056085635979535</v>
      </c>
      <c r="AO375">
        <f t="shared" si="115"/>
        <v>0.19902390487018395</v>
      </c>
      <c r="AP375">
        <f t="shared" si="116"/>
        <v>19.953378950831848</v>
      </c>
    </row>
    <row r="376" spans="1:42" x14ac:dyDescent="0.2">
      <c r="A376" s="3">
        <v>370</v>
      </c>
      <c r="B376" s="3">
        <v>2.67E-7</v>
      </c>
      <c r="C376" s="2">
        <v>1.95E-2</v>
      </c>
      <c r="D376" s="3">
        <v>149000</v>
      </c>
      <c r="E376" s="3">
        <v>110000000000</v>
      </c>
      <c r="F376" s="3">
        <v>100000000000</v>
      </c>
      <c r="G376" s="3">
        <v>12400000000</v>
      </c>
      <c r="H376" s="3">
        <v>12700000000</v>
      </c>
      <c r="I376" s="2"/>
      <c r="J376" s="7">
        <f t="shared" si="100"/>
        <v>0.26700000000000002</v>
      </c>
      <c r="K376" s="7">
        <f t="shared" si="101"/>
        <v>19.5</v>
      </c>
      <c r="L376" s="7">
        <f t="shared" si="102"/>
        <v>110</v>
      </c>
      <c r="M376" s="7">
        <f t="shared" si="103"/>
        <v>149</v>
      </c>
      <c r="O376">
        <f t="shared" si="104"/>
        <v>0.16884563758389262</v>
      </c>
      <c r="P376">
        <f t="shared" si="105"/>
        <v>168.84563758389262</v>
      </c>
      <c r="V376">
        <f t="shared" si="106"/>
        <v>620.1004334090826</v>
      </c>
      <c r="W376">
        <f t="shared" si="107"/>
        <v>120.14182862351278</v>
      </c>
      <c r="AE376">
        <f t="shared" si="108"/>
        <v>0.50529438165486951</v>
      </c>
      <c r="AF376">
        <f t="shared" si="109"/>
        <v>0.48972226955247089</v>
      </c>
      <c r="AG376">
        <f t="shared" si="110"/>
        <v>0.49098103360192863</v>
      </c>
      <c r="AI376">
        <f t="shared" si="111"/>
        <v>0.22016868589682229</v>
      </c>
      <c r="AJ376">
        <f t="shared" si="112"/>
        <v>24.310627381370072</v>
      </c>
      <c r="AL376">
        <f t="shared" si="113"/>
        <v>0.22716957532208004</v>
      </c>
      <c r="AM376">
        <f t="shared" si="114"/>
        <v>25.881258977461503</v>
      </c>
      <c r="AO376">
        <f t="shared" si="115"/>
        <v>0.22658716403737475</v>
      </c>
      <c r="AP376">
        <f t="shared" si="116"/>
        <v>25.748721733391534</v>
      </c>
    </row>
    <row r="377" spans="1:42" x14ac:dyDescent="0.2">
      <c r="A377" s="3">
        <v>380</v>
      </c>
      <c r="B377" s="3">
        <v>2.6800000000000002E-7</v>
      </c>
      <c r="C377" s="2">
        <v>1.9550000000000001E-2</v>
      </c>
      <c r="D377" s="3">
        <v>154000</v>
      </c>
      <c r="E377" s="3">
        <v>113000000000</v>
      </c>
      <c r="F377" s="3">
        <v>102000000000</v>
      </c>
      <c r="G377" s="2">
        <v>0</v>
      </c>
      <c r="H377" s="3">
        <v>12400000000</v>
      </c>
      <c r="I377" s="2"/>
      <c r="J377" s="7">
        <f t="shared" si="100"/>
        <v>0.26800000000000002</v>
      </c>
      <c r="K377" s="7">
        <f t="shared" si="101"/>
        <v>19.55</v>
      </c>
      <c r="L377" s="7">
        <f t="shared" si="102"/>
        <v>113</v>
      </c>
      <c r="M377" s="7">
        <f t="shared" si="103"/>
        <v>154</v>
      </c>
      <c r="O377">
        <f t="shared" si="104"/>
        <v>0.17278896103896105</v>
      </c>
      <c r="P377">
        <f t="shared" si="105"/>
        <v>172.78896103896105</v>
      </c>
      <c r="V377">
        <f t="shared" si="106"/>
        <v>626.47510758063561</v>
      </c>
      <c r="W377">
        <f t="shared" si="107"/>
        <v>122.90991145260961</v>
      </c>
      <c r="AE377">
        <f t="shared" si="108"/>
        <v>0.52225056895872413</v>
      </c>
      <c r="AF377">
        <f t="shared" si="109"/>
        <v>0.50615590275892963</v>
      </c>
      <c r="AG377">
        <f t="shared" si="110"/>
        <v>0.50745690721273162</v>
      </c>
      <c r="AI377">
        <f t="shared" si="111"/>
        <v>0.21381818097261318</v>
      </c>
      <c r="AJ377">
        <f t="shared" si="112"/>
        <v>22.815994962945567</v>
      </c>
      <c r="AL377">
        <f t="shared" si="113"/>
        <v>0.22061713803592828</v>
      </c>
      <c r="AM377">
        <f t="shared" si="114"/>
        <v>24.290063156369772</v>
      </c>
      <c r="AO377">
        <f t="shared" si="115"/>
        <v>0.22005152571478301</v>
      </c>
      <c r="AP377">
        <f t="shared" si="116"/>
        <v>24.165674384098907</v>
      </c>
    </row>
    <row r="378" spans="1:42" x14ac:dyDescent="0.2">
      <c r="A378" s="3">
        <v>380</v>
      </c>
      <c r="B378" s="3">
        <v>2.6800000000000002E-7</v>
      </c>
      <c r="C378" s="2">
        <v>1.9599999999999999E-2</v>
      </c>
      <c r="D378" s="3">
        <v>155000</v>
      </c>
      <c r="E378" s="3">
        <v>113000000000</v>
      </c>
      <c r="F378" s="3">
        <v>102000000000</v>
      </c>
      <c r="G378" s="2">
        <v>0</v>
      </c>
      <c r="H378" s="3">
        <v>12500000000</v>
      </c>
      <c r="I378" s="2"/>
      <c r="J378" s="7">
        <f t="shared" si="100"/>
        <v>0.26800000000000002</v>
      </c>
      <c r="K378" s="7">
        <f t="shared" si="101"/>
        <v>19.599999999999998</v>
      </c>
      <c r="L378" s="7">
        <f t="shared" si="102"/>
        <v>113</v>
      </c>
      <c r="M378" s="7">
        <f t="shared" si="103"/>
        <v>155</v>
      </c>
      <c r="O378">
        <f t="shared" si="104"/>
        <v>0.17316129032258068</v>
      </c>
      <c r="P378">
        <f t="shared" si="105"/>
        <v>173.16129032258067</v>
      </c>
      <c r="V378">
        <f t="shared" si="106"/>
        <v>627.07280027597267</v>
      </c>
      <c r="W378">
        <f t="shared" si="107"/>
        <v>123.59011579818564</v>
      </c>
      <c r="AE378">
        <f t="shared" si="108"/>
        <v>0.52564180641949509</v>
      </c>
      <c r="AF378">
        <f t="shared" si="109"/>
        <v>0.50944262940022145</v>
      </c>
      <c r="AG378">
        <f t="shared" si="110"/>
        <v>0.51075208193489219</v>
      </c>
      <c r="AI378">
        <f t="shared" si="111"/>
        <v>0.21243870883730598</v>
      </c>
      <c r="AJ378">
        <f t="shared" si="112"/>
        <v>22.580147121275211</v>
      </c>
      <c r="AL378">
        <f t="shared" si="113"/>
        <v>0.21919380166150293</v>
      </c>
      <c r="AM378">
        <f t="shared" si="114"/>
        <v>24.038977942739141</v>
      </c>
      <c r="AO378">
        <f t="shared" si="115"/>
        <v>0.21863183845210701</v>
      </c>
      <c r="AP378">
        <f t="shared" si="116"/>
        <v>23.915874971219722</v>
      </c>
    </row>
    <row r="379" spans="1:42" x14ac:dyDescent="0.2">
      <c r="A379" s="3">
        <v>380</v>
      </c>
      <c r="B379" s="3">
        <v>2.6899999999999999E-7</v>
      </c>
      <c r="C379" s="2">
        <v>1.9650000000000001E-2</v>
      </c>
      <c r="D379" s="3">
        <v>170000</v>
      </c>
      <c r="E379" s="3">
        <v>122000000000</v>
      </c>
      <c r="F379" s="3">
        <v>110000000000</v>
      </c>
      <c r="G379" s="3">
        <v>12600000000</v>
      </c>
      <c r="H379" s="3">
        <v>11800000000</v>
      </c>
      <c r="I379" s="2"/>
      <c r="J379" s="7">
        <f t="shared" si="100"/>
        <v>0.26899999999999996</v>
      </c>
      <c r="K379" s="7">
        <f t="shared" si="101"/>
        <v>19.650000000000002</v>
      </c>
      <c r="L379" s="7">
        <f t="shared" si="102"/>
        <v>122.00000000000001</v>
      </c>
      <c r="M379" s="7">
        <f t="shared" si="103"/>
        <v>170</v>
      </c>
      <c r="O379">
        <f t="shared" si="104"/>
        <v>0.18230882352941172</v>
      </c>
      <c r="P379">
        <f t="shared" si="105"/>
        <v>182.30882352941171</v>
      </c>
      <c r="V379">
        <f t="shared" si="106"/>
        <v>641.53817771381171</v>
      </c>
      <c r="W379">
        <f t="shared" si="107"/>
        <v>132.49406341319605</v>
      </c>
      <c r="AE379">
        <f t="shared" si="108"/>
        <v>0.57651036833105906</v>
      </c>
      <c r="AF379">
        <f t="shared" si="109"/>
        <v>0.55874352901959767</v>
      </c>
      <c r="AG379">
        <f t="shared" si="110"/>
        <v>0.56017970276730111</v>
      </c>
      <c r="AI379">
        <f t="shared" si="111"/>
        <v>0.19441685612316664</v>
      </c>
      <c r="AJ379">
        <f t="shared" si="112"/>
        <v>18.819098015088485</v>
      </c>
      <c r="AL379">
        <f t="shared" si="113"/>
        <v>0.20059889289456462</v>
      </c>
      <c r="AM379">
        <f t="shared" si="114"/>
        <v>20.034939527064036</v>
      </c>
      <c r="AO379">
        <f t="shared" si="115"/>
        <v>0.20008460281520193</v>
      </c>
      <c r="AP379">
        <f t="shared" si="116"/>
        <v>19.932341130581939</v>
      </c>
    </row>
    <row r="380" spans="1:42" x14ac:dyDescent="0.2">
      <c r="A380" s="3">
        <v>380</v>
      </c>
      <c r="B380" s="3">
        <v>2.7000000000000001E-7</v>
      </c>
      <c r="C380" s="2">
        <v>1.9709999999999998E-2</v>
      </c>
      <c r="D380" s="3">
        <v>169000</v>
      </c>
      <c r="E380" s="3">
        <v>121000000000</v>
      </c>
      <c r="F380" s="3">
        <v>109000000000</v>
      </c>
      <c r="G380" s="3">
        <v>5620000000</v>
      </c>
      <c r="H380" s="3">
        <v>11900000000</v>
      </c>
      <c r="I380" s="2"/>
      <c r="J380" s="7">
        <f t="shared" si="100"/>
        <v>0.27</v>
      </c>
      <c r="K380" s="7">
        <f t="shared" si="101"/>
        <v>19.709999999999997</v>
      </c>
      <c r="L380" s="7">
        <f t="shared" si="102"/>
        <v>121.00000000000001</v>
      </c>
      <c r="M380" s="7">
        <f t="shared" si="103"/>
        <v>169</v>
      </c>
      <c r="O380">
        <f t="shared" si="104"/>
        <v>0.18252958579881662</v>
      </c>
      <c r="P380">
        <f t="shared" si="105"/>
        <v>182.52958579881661</v>
      </c>
      <c r="V380">
        <f t="shared" si="106"/>
        <v>641.88222379095964</v>
      </c>
      <c r="W380">
        <f t="shared" si="107"/>
        <v>131.64408807108347</v>
      </c>
      <c r="AE380">
        <f t="shared" si="108"/>
        <v>0.57311913087028821</v>
      </c>
      <c r="AF380">
        <f t="shared" si="109"/>
        <v>0.55545680237830597</v>
      </c>
      <c r="AG380">
        <f t="shared" si="110"/>
        <v>0.55688452804514055</v>
      </c>
      <c r="AI380">
        <f t="shared" si="111"/>
        <v>0.19629426752718482</v>
      </c>
      <c r="AJ380">
        <f t="shared" si="112"/>
        <v>19.100613084029305</v>
      </c>
      <c r="AL380">
        <f t="shared" si="113"/>
        <v>0.20253600193265692</v>
      </c>
      <c r="AM380">
        <f t="shared" si="114"/>
        <v>20.334642380923693</v>
      </c>
      <c r="AO380">
        <f t="shared" si="115"/>
        <v>0.20201674554492355</v>
      </c>
      <c r="AP380">
        <f t="shared" si="116"/>
        <v>20.230509214037845</v>
      </c>
    </row>
    <row r="381" spans="1:42" x14ac:dyDescent="0.2">
      <c r="A381" s="3">
        <v>380</v>
      </c>
      <c r="B381" s="3">
        <v>2.7099999999999998E-7</v>
      </c>
      <c r="C381" s="2">
        <v>1.976E-2</v>
      </c>
      <c r="D381" s="3">
        <v>161000</v>
      </c>
      <c r="E381" s="3">
        <v>116000000000</v>
      </c>
      <c r="F381" s="3">
        <v>105000000000</v>
      </c>
      <c r="G381" s="2">
        <v>0</v>
      </c>
      <c r="H381" s="3">
        <v>12200000000</v>
      </c>
      <c r="I381" s="2"/>
      <c r="J381" s="7">
        <f t="shared" si="100"/>
        <v>0.27099999999999996</v>
      </c>
      <c r="K381" s="7">
        <f t="shared" si="101"/>
        <v>19.759999999999998</v>
      </c>
      <c r="L381" s="7">
        <f t="shared" si="102"/>
        <v>116.00000000000001</v>
      </c>
      <c r="M381" s="7">
        <f t="shared" si="103"/>
        <v>161</v>
      </c>
      <c r="O381">
        <f t="shared" si="104"/>
        <v>0.17895031055900618</v>
      </c>
      <c r="P381">
        <f t="shared" si="105"/>
        <v>178.95031055900617</v>
      </c>
      <c r="V381">
        <f t="shared" si="106"/>
        <v>636.27523038867366</v>
      </c>
      <c r="W381">
        <f t="shared" si="107"/>
        <v>126.51757628664242</v>
      </c>
      <c r="AE381">
        <f t="shared" si="108"/>
        <v>0.54598923118412068</v>
      </c>
      <c r="AF381">
        <f t="shared" si="109"/>
        <v>0.52916298924797189</v>
      </c>
      <c r="AG381">
        <f t="shared" si="110"/>
        <v>0.53052313026785569</v>
      </c>
      <c r="AI381">
        <f t="shared" si="111"/>
        <v>0.2068111607655288</v>
      </c>
      <c r="AJ381">
        <f t="shared" si="112"/>
        <v>21.099359914369856</v>
      </c>
      <c r="AL381">
        <f t="shared" si="113"/>
        <v>0.2133873096966587</v>
      </c>
      <c r="AM381">
        <f t="shared" si="114"/>
        <v>22.462521827838604</v>
      </c>
      <c r="AO381">
        <f t="shared" si="115"/>
        <v>0.21284023301614804</v>
      </c>
      <c r="AP381">
        <f t="shared" si="116"/>
        <v>22.347491846471947</v>
      </c>
    </row>
    <row r="382" spans="1:42" x14ac:dyDescent="0.2">
      <c r="A382" s="3">
        <v>380</v>
      </c>
      <c r="B382" s="3">
        <v>2.7099999999999998E-7</v>
      </c>
      <c r="C382" s="2">
        <v>1.9810000000000001E-2</v>
      </c>
      <c r="D382" s="3">
        <v>157000</v>
      </c>
      <c r="E382" s="3">
        <v>114000000000</v>
      </c>
      <c r="F382" s="3">
        <v>103000000000</v>
      </c>
      <c r="G382" s="3">
        <v>2830000000</v>
      </c>
      <c r="H382" s="3">
        <v>12300000000</v>
      </c>
      <c r="I382" s="2"/>
      <c r="J382" s="7">
        <f t="shared" si="100"/>
        <v>0.27099999999999996</v>
      </c>
      <c r="K382" s="7">
        <f t="shared" si="101"/>
        <v>19.810000000000002</v>
      </c>
      <c r="L382" s="7">
        <f t="shared" si="102"/>
        <v>114</v>
      </c>
      <c r="M382" s="7">
        <f t="shared" si="103"/>
        <v>157</v>
      </c>
      <c r="O382">
        <f t="shared" si="104"/>
        <v>0.17636624203821652</v>
      </c>
      <c r="P382">
        <f t="shared" si="105"/>
        <v>176.36624203821651</v>
      </c>
      <c r="V382">
        <f t="shared" si="106"/>
        <v>632.18831109428959</v>
      </c>
      <c r="W382">
        <f t="shared" si="107"/>
        <v>124.17186243782334</v>
      </c>
      <c r="AE382">
        <f t="shared" si="108"/>
        <v>0.53242428134103692</v>
      </c>
      <c r="AF382">
        <f t="shared" si="109"/>
        <v>0.51601608268280497</v>
      </c>
      <c r="AG382">
        <f t="shared" si="110"/>
        <v>0.51734243137921332</v>
      </c>
      <c r="AI382">
        <f t="shared" si="111"/>
        <v>0.21208023492516012</v>
      </c>
      <c r="AJ382">
        <f t="shared" si="112"/>
        <v>22.244326600989943</v>
      </c>
      <c r="AL382">
        <f t="shared" si="113"/>
        <v>0.21882392905198755</v>
      </c>
      <c r="AM382">
        <f t="shared" si="114"/>
        <v>23.681461136648419</v>
      </c>
      <c r="AO382">
        <f t="shared" si="115"/>
        <v>0.21826291411210086</v>
      </c>
      <c r="AP382">
        <f t="shared" si="116"/>
        <v>23.560188999256102</v>
      </c>
    </row>
    <row r="383" spans="1:42" x14ac:dyDescent="0.2">
      <c r="A383" s="3">
        <v>380</v>
      </c>
      <c r="B383" s="3">
        <v>2.72E-7</v>
      </c>
      <c r="C383" s="2">
        <v>1.9859999999999999E-2</v>
      </c>
      <c r="D383" s="3">
        <v>163000</v>
      </c>
      <c r="E383" s="3">
        <v>117000000000</v>
      </c>
      <c r="F383" s="3">
        <v>105000000000</v>
      </c>
      <c r="G383" s="2">
        <v>0</v>
      </c>
      <c r="H383" s="3">
        <v>12100000000</v>
      </c>
      <c r="I383" s="2"/>
      <c r="J383" s="7">
        <f t="shared" si="100"/>
        <v>0.27200000000000002</v>
      </c>
      <c r="K383" s="7">
        <f t="shared" si="101"/>
        <v>19.86</v>
      </c>
      <c r="L383" s="7">
        <f t="shared" si="102"/>
        <v>117.00000000000001</v>
      </c>
      <c r="M383" s="7">
        <f t="shared" si="103"/>
        <v>163</v>
      </c>
      <c r="O383">
        <f t="shared" si="104"/>
        <v>0.18061963190184049</v>
      </c>
      <c r="P383">
        <f t="shared" si="105"/>
        <v>180.61963190184051</v>
      </c>
      <c r="V383">
        <f t="shared" si="106"/>
        <v>638.89794825897434</v>
      </c>
      <c r="W383">
        <f t="shared" si="107"/>
        <v>127.56340855701785</v>
      </c>
      <c r="AE383">
        <f t="shared" si="108"/>
        <v>0.55277170610566251</v>
      </c>
      <c r="AF383">
        <f t="shared" si="109"/>
        <v>0.53573644253055541</v>
      </c>
      <c r="AG383">
        <f t="shared" si="110"/>
        <v>0.53711347971217693</v>
      </c>
      <c r="AI383">
        <f t="shared" si="111"/>
        <v>0.20502737763439294</v>
      </c>
      <c r="AJ383">
        <f t="shared" si="112"/>
        <v>20.688934639437733</v>
      </c>
      <c r="AL383">
        <f t="shared" si="113"/>
        <v>0.21154680610862017</v>
      </c>
      <c r="AM383">
        <f t="shared" si="114"/>
        <v>22.025580293390405</v>
      </c>
      <c r="AO383">
        <f t="shared" si="115"/>
        <v>0.21100444806200971</v>
      </c>
      <c r="AP383">
        <f t="shared" si="116"/>
        <v>21.912787878088285</v>
      </c>
    </row>
    <row r="384" spans="1:42" x14ac:dyDescent="0.2">
      <c r="A384" s="3">
        <v>380</v>
      </c>
      <c r="B384" s="3">
        <v>2.7300000000000002E-7</v>
      </c>
      <c r="C384" s="2">
        <v>1.9910000000000001E-2</v>
      </c>
      <c r="D384" s="3">
        <v>170000</v>
      </c>
      <c r="E384" s="3">
        <v>121000000000</v>
      </c>
      <c r="F384" s="3">
        <v>109000000000</v>
      </c>
      <c r="G384" s="3">
        <v>24100000000</v>
      </c>
      <c r="H384" s="3">
        <v>11800000000</v>
      </c>
      <c r="I384" s="2"/>
      <c r="J384" s="7">
        <f t="shared" si="100"/>
        <v>0.27300000000000002</v>
      </c>
      <c r="K384" s="7">
        <f t="shared" si="101"/>
        <v>19.91</v>
      </c>
      <c r="L384" s="7">
        <f t="shared" si="102"/>
        <v>121.00000000000001</v>
      </c>
      <c r="M384" s="7">
        <f t="shared" si="103"/>
        <v>170</v>
      </c>
      <c r="O384">
        <f t="shared" si="104"/>
        <v>0.18516176470588236</v>
      </c>
      <c r="P384">
        <f t="shared" si="105"/>
        <v>185.16176470588235</v>
      </c>
      <c r="V384">
        <f t="shared" si="106"/>
        <v>645.96660409659285</v>
      </c>
      <c r="W384">
        <f t="shared" si="107"/>
        <v>131.58574988388989</v>
      </c>
      <c r="AE384">
        <f t="shared" si="108"/>
        <v>0.57651036833105906</v>
      </c>
      <c r="AF384">
        <f t="shared" si="109"/>
        <v>0.55874352901959767</v>
      </c>
      <c r="AG384">
        <f t="shared" si="110"/>
        <v>0.56017970276730111</v>
      </c>
      <c r="AI384">
        <f t="shared" si="111"/>
        <v>0.19730781309154091</v>
      </c>
      <c r="AJ384">
        <f t="shared" si="112"/>
        <v>19.06810389213291</v>
      </c>
      <c r="AL384">
        <f t="shared" si="113"/>
        <v>0.20358177606028308</v>
      </c>
      <c r="AM384">
        <f t="shared" si="114"/>
        <v>20.300032874495926</v>
      </c>
      <c r="AO384">
        <f t="shared" si="115"/>
        <v>0.20305983854479606</v>
      </c>
      <c r="AP384">
        <f t="shared" si="116"/>
        <v>20.196076941978951</v>
      </c>
    </row>
    <row r="385" spans="1:42" x14ac:dyDescent="0.2">
      <c r="A385" s="3">
        <v>380</v>
      </c>
      <c r="B385" s="3">
        <v>2.7300000000000002E-7</v>
      </c>
      <c r="C385" s="2">
        <v>1.9959999999999999E-2</v>
      </c>
      <c r="D385" s="3">
        <v>153000</v>
      </c>
      <c r="E385" s="3">
        <v>111000000000</v>
      </c>
      <c r="F385" s="3">
        <v>101000000000</v>
      </c>
      <c r="G385" s="3">
        <v>10800000000</v>
      </c>
      <c r="H385" s="3">
        <v>12600000000</v>
      </c>
      <c r="I385" s="2"/>
      <c r="J385" s="7">
        <f t="shared" si="100"/>
        <v>0.27300000000000002</v>
      </c>
      <c r="K385" s="7">
        <f t="shared" si="101"/>
        <v>19.959999999999997</v>
      </c>
      <c r="L385" s="7">
        <f t="shared" si="102"/>
        <v>111</v>
      </c>
      <c r="M385" s="7">
        <f t="shared" si="103"/>
        <v>153</v>
      </c>
      <c r="O385">
        <f t="shared" si="104"/>
        <v>0.17515686274509806</v>
      </c>
      <c r="P385">
        <f t="shared" si="105"/>
        <v>175.15686274509807</v>
      </c>
      <c r="V385">
        <f t="shared" si="106"/>
        <v>630.26411917895132</v>
      </c>
      <c r="W385">
        <f t="shared" si="107"/>
        <v>121.37768543711006</v>
      </c>
      <c r="AE385">
        <f t="shared" si="108"/>
        <v>0.51885933149795316</v>
      </c>
      <c r="AF385">
        <f t="shared" si="109"/>
        <v>0.50286917611763793</v>
      </c>
      <c r="AG385">
        <f t="shared" si="110"/>
        <v>0.50416173249057095</v>
      </c>
      <c r="AI385">
        <f t="shared" si="111"/>
        <v>0.21923090343504548</v>
      </c>
      <c r="AJ385">
        <f t="shared" si="112"/>
        <v>23.599987207059719</v>
      </c>
      <c r="AL385">
        <f t="shared" si="113"/>
        <v>0.2262019734003145</v>
      </c>
      <c r="AM385">
        <f t="shared" si="114"/>
        <v>25.124706622699591</v>
      </c>
      <c r="AO385">
        <f t="shared" si="115"/>
        <v>0.22562204282755122</v>
      </c>
      <c r="AP385">
        <f t="shared" si="116"/>
        <v>24.996043663268654</v>
      </c>
    </row>
    <row r="386" spans="1:42" x14ac:dyDescent="0.2">
      <c r="A386" s="3">
        <v>380</v>
      </c>
      <c r="B386" s="3">
        <v>2.7399999999999999E-7</v>
      </c>
      <c r="C386" s="2">
        <v>2.002E-2</v>
      </c>
      <c r="D386" s="3">
        <v>151000</v>
      </c>
      <c r="E386" s="3">
        <v>110000000000</v>
      </c>
      <c r="F386" s="3">
        <v>99600000000</v>
      </c>
      <c r="G386" s="2">
        <v>0</v>
      </c>
      <c r="H386" s="3">
        <v>12600000000</v>
      </c>
      <c r="I386" s="2"/>
      <c r="J386" s="7">
        <f t="shared" si="100"/>
        <v>0.27399999999999997</v>
      </c>
      <c r="K386" s="7">
        <f t="shared" si="101"/>
        <v>20.02</v>
      </c>
      <c r="L386" s="7">
        <f t="shared" si="102"/>
        <v>110</v>
      </c>
      <c r="M386" s="7">
        <f t="shared" si="103"/>
        <v>151</v>
      </c>
      <c r="O386">
        <f t="shared" si="104"/>
        <v>0.17456291390728473</v>
      </c>
      <c r="P386">
        <f t="shared" si="105"/>
        <v>174.56291390728472</v>
      </c>
      <c r="V386">
        <f t="shared" si="106"/>
        <v>629.31640266346233</v>
      </c>
      <c r="W386">
        <f t="shared" si="107"/>
        <v>119.97144787655394</v>
      </c>
      <c r="AE386">
        <f t="shared" si="108"/>
        <v>0.51207685657641133</v>
      </c>
      <c r="AF386">
        <f t="shared" si="109"/>
        <v>0.49629572283505441</v>
      </c>
      <c r="AG386">
        <f t="shared" si="110"/>
        <v>0.49757138304624982</v>
      </c>
      <c r="AI386">
        <f t="shared" si="111"/>
        <v>0.22294830395177387</v>
      </c>
      <c r="AJ386">
        <f t="shared" si="112"/>
        <v>24.302126143018505</v>
      </c>
      <c r="AL386">
        <f t="shared" si="113"/>
        <v>0.23003757923702747</v>
      </c>
      <c r="AM386">
        <f t="shared" si="114"/>
        <v>25.872208501389679</v>
      </c>
      <c r="AO386">
        <f t="shared" si="115"/>
        <v>0.22944781504055015</v>
      </c>
      <c r="AP386">
        <f t="shared" si="116"/>
        <v>25.739717604568785</v>
      </c>
    </row>
    <row r="387" spans="1:42" x14ac:dyDescent="0.2">
      <c r="A387" s="3">
        <v>390</v>
      </c>
      <c r="B387" s="3">
        <v>2.7500000000000001E-7</v>
      </c>
      <c r="C387" s="2">
        <v>2.0070000000000001E-2</v>
      </c>
      <c r="D387" s="3">
        <v>155000</v>
      </c>
      <c r="E387" s="3">
        <v>112000000000</v>
      </c>
      <c r="F387" s="3">
        <v>102000000000</v>
      </c>
      <c r="G387" s="3">
        <v>10900000000</v>
      </c>
      <c r="H387" s="3">
        <v>12400000000</v>
      </c>
      <c r="I387" s="2"/>
      <c r="J387" s="7">
        <f t="shared" si="100"/>
        <v>0.27500000000000002</v>
      </c>
      <c r="K387" s="7">
        <f t="shared" si="101"/>
        <v>20.07</v>
      </c>
      <c r="L387" s="7">
        <f t="shared" si="102"/>
        <v>112</v>
      </c>
      <c r="M387" s="7">
        <f t="shared" si="103"/>
        <v>155</v>
      </c>
      <c r="O387">
        <f t="shared" si="104"/>
        <v>0.17788709677419356</v>
      </c>
      <c r="P387">
        <f t="shared" si="105"/>
        <v>177.88709677419357</v>
      </c>
      <c r="V387">
        <f t="shared" si="106"/>
        <v>634.59767561136334</v>
      </c>
      <c r="W387">
        <f t="shared" si="107"/>
        <v>122.12462002060988</v>
      </c>
      <c r="AE387">
        <f t="shared" si="108"/>
        <v>0.52564180641949509</v>
      </c>
      <c r="AF387">
        <f t="shared" si="109"/>
        <v>0.50944262940022145</v>
      </c>
      <c r="AG387">
        <f t="shared" si="110"/>
        <v>0.51075208193489219</v>
      </c>
      <c r="AI387">
        <f t="shared" si="111"/>
        <v>0.21798748108305652</v>
      </c>
      <c r="AJ387">
        <f t="shared" si="112"/>
        <v>23.121609832856816</v>
      </c>
      <c r="AL387">
        <f t="shared" si="113"/>
        <v>0.22491901289893024</v>
      </c>
      <c r="AM387">
        <f t="shared" si="114"/>
        <v>24.615422821978296</v>
      </c>
      <c r="AO387">
        <f t="shared" si="115"/>
        <v>0.22434237154600534</v>
      </c>
      <c r="AP387">
        <f t="shared" si="116"/>
        <v>24.489367891447955</v>
      </c>
    </row>
    <row r="388" spans="1:42" x14ac:dyDescent="0.2">
      <c r="A388" s="3">
        <v>390</v>
      </c>
      <c r="B388" s="3">
        <v>2.7500000000000001E-7</v>
      </c>
      <c r="C388" s="2">
        <v>2.0119999999999999E-2</v>
      </c>
      <c r="D388" s="3">
        <v>180000</v>
      </c>
      <c r="E388" s="3">
        <v>126000000000</v>
      </c>
      <c r="F388" s="3">
        <v>113000000000</v>
      </c>
      <c r="G388" s="3">
        <v>11300000000</v>
      </c>
      <c r="H388" s="3">
        <v>11500000000</v>
      </c>
      <c r="I388" s="2"/>
      <c r="J388" s="7">
        <f t="shared" si="100"/>
        <v>0.27500000000000002</v>
      </c>
      <c r="K388" s="7">
        <f t="shared" si="101"/>
        <v>20.119999999999997</v>
      </c>
      <c r="L388" s="7">
        <f t="shared" si="102"/>
        <v>126.00000000000001</v>
      </c>
      <c r="M388" s="7">
        <f t="shared" si="103"/>
        <v>180</v>
      </c>
      <c r="O388">
        <f t="shared" si="104"/>
        <v>0.19116666666666671</v>
      </c>
      <c r="P388">
        <f t="shared" si="105"/>
        <v>191.16666666666671</v>
      </c>
      <c r="V388">
        <f t="shared" si="106"/>
        <v>655.16502089016706</v>
      </c>
      <c r="W388">
        <f t="shared" si="107"/>
        <v>137.36997112226439</v>
      </c>
      <c r="AE388">
        <f t="shared" si="108"/>
        <v>0.61042274293876841</v>
      </c>
      <c r="AF388">
        <f t="shared" si="109"/>
        <v>0.59161079543251516</v>
      </c>
      <c r="AG388">
        <f t="shared" si="110"/>
        <v>0.59313144998890699</v>
      </c>
      <c r="AI388">
        <f t="shared" si="111"/>
        <v>0.18771144204374315</v>
      </c>
      <c r="AJ388">
        <f t="shared" si="112"/>
        <v>17.187672045734725</v>
      </c>
      <c r="AL388">
        <f t="shared" si="113"/>
        <v>0.19368026110741218</v>
      </c>
      <c r="AM388">
        <f t="shared" si="114"/>
        <v>18.298112362835536</v>
      </c>
      <c r="AO388">
        <f t="shared" si="115"/>
        <v>0.19318370883128241</v>
      </c>
      <c r="AP388">
        <f t="shared" si="116"/>
        <v>18.204408212416705</v>
      </c>
    </row>
    <row r="389" spans="1:42" x14ac:dyDescent="0.2">
      <c r="A389" s="3">
        <v>390</v>
      </c>
      <c r="B389" s="3">
        <v>2.7599999999999998E-7</v>
      </c>
      <c r="C389" s="2">
        <v>2.017E-2</v>
      </c>
      <c r="D389" s="3">
        <v>132000</v>
      </c>
      <c r="E389" s="3">
        <v>99300000000</v>
      </c>
      <c r="F389" s="3">
        <v>90900000000</v>
      </c>
      <c r="G389" s="3">
        <v>6500000000</v>
      </c>
      <c r="H389" s="3">
        <v>13800000000</v>
      </c>
      <c r="I389" s="2"/>
      <c r="J389" s="7">
        <f t="shared" ref="J389:J452" si="117">B389*(10^6)</f>
        <v>0.27599999999999997</v>
      </c>
      <c r="K389" s="7">
        <f t="shared" ref="K389:K452" si="118">C389*1000</f>
        <v>20.170000000000002</v>
      </c>
      <c r="L389" s="7">
        <f t="shared" ref="L389:L452" si="119">E389*(10^-9)</f>
        <v>99.300000000000011</v>
      </c>
      <c r="M389" s="7">
        <f t="shared" ref="M389:M452" si="120">D389*(10^-3)</f>
        <v>132</v>
      </c>
      <c r="O389">
        <f t="shared" ref="O389:O452" si="121">J389-(0.75*(K389/M389))</f>
        <v>0.16139772727272722</v>
      </c>
      <c r="P389">
        <f t="shared" ref="P389:P452" si="122">O389*1000</f>
        <v>161.39772727272722</v>
      </c>
      <c r="V389">
        <f t="shared" ref="V389:V452" si="123">$S$3*(P389^$S$4)</f>
        <v>607.83009169026877</v>
      </c>
      <c r="W389">
        <f t="shared" ref="W389:W452" si="124">M389/(2*(V389/1000))</f>
        <v>108.58297557540395</v>
      </c>
      <c r="AE389">
        <f t="shared" si="108"/>
        <v>0.44764334482176354</v>
      </c>
      <c r="AF389">
        <f t="shared" si="109"/>
        <v>0.43384791665051115</v>
      </c>
      <c r="AG389">
        <f t="shared" si="110"/>
        <v>0.43496306332519852</v>
      </c>
      <c r="AI389">
        <f t="shared" si="111"/>
        <v>0.25690094878052772</v>
      </c>
      <c r="AJ389">
        <f t="shared" si="112"/>
        <v>32.039972011548734</v>
      </c>
      <c r="AL389">
        <f t="shared" si="113"/>
        <v>0.2650698449536153</v>
      </c>
      <c r="AM389">
        <f t="shared" si="114"/>
        <v>34.109971752394053</v>
      </c>
      <c r="AO389">
        <f t="shared" si="115"/>
        <v>0.26439026597074677</v>
      </c>
      <c r="AP389">
        <f t="shared" si="116"/>
        <v>33.935295487406187</v>
      </c>
    </row>
    <row r="390" spans="1:42" x14ac:dyDescent="0.2">
      <c r="A390" s="3">
        <v>390</v>
      </c>
      <c r="B390" s="3">
        <v>2.7599999999999998E-7</v>
      </c>
      <c r="C390" s="2">
        <v>2.0230000000000001E-2</v>
      </c>
      <c r="D390" s="3">
        <v>187000</v>
      </c>
      <c r="E390" s="3">
        <v>130000000000</v>
      </c>
      <c r="F390" s="3">
        <v>116000000000</v>
      </c>
      <c r="G390" s="3">
        <v>6620000000</v>
      </c>
      <c r="H390" s="3">
        <v>11400000000</v>
      </c>
      <c r="I390" s="2"/>
      <c r="J390" s="7">
        <f t="shared" si="117"/>
        <v>0.27599999999999997</v>
      </c>
      <c r="K390" s="7">
        <f t="shared" si="118"/>
        <v>20.23</v>
      </c>
      <c r="L390" s="7">
        <f t="shared" si="119"/>
        <v>130</v>
      </c>
      <c r="M390" s="7">
        <f t="shared" si="120"/>
        <v>187</v>
      </c>
      <c r="O390">
        <f t="shared" si="121"/>
        <v>0.19486363636363632</v>
      </c>
      <c r="P390">
        <f t="shared" si="122"/>
        <v>194.86363636363632</v>
      </c>
      <c r="V390">
        <f t="shared" si="123"/>
        <v>660.74825406409514</v>
      </c>
      <c r="W390">
        <f t="shared" si="124"/>
        <v>141.50623845754444</v>
      </c>
      <c r="AE390">
        <f t="shared" si="108"/>
        <v>0.63416140516416497</v>
      </c>
      <c r="AF390">
        <f t="shared" si="109"/>
        <v>0.61461788192155742</v>
      </c>
      <c r="AG390">
        <f t="shared" si="110"/>
        <v>0.61619767304403117</v>
      </c>
      <c r="AI390">
        <f t="shared" si="111"/>
        <v>0.1813418461980196</v>
      </c>
      <c r="AJ390">
        <f t="shared" si="112"/>
        <v>16.012043523867685</v>
      </c>
      <c r="AL390">
        <f t="shared" si="113"/>
        <v>0.18710812584961078</v>
      </c>
      <c r="AM390">
        <f t="shared" si="114"/>
        <v>17.046530256030348</v>
      </c>
      <c r="AO390">
        <f t="shared" si="115"/>
        <v>0.18662842303817417</v>
      </c>
      <c r="AP390">
        <f t="shared" si="116"/>
        <v>16.959235424544097</v>
      </c>
    </row>
    <row r="391" spans="1:42" x14ac:dyDescent="0.2">
      <c r="A391" s="3">
        <v>390</v>
      </c>
      <c r="B391" s="3">
        <v>2.7700000000000001E-7</v>
      </c>
      <c r="C391" s="2">
        <v>2.0279999999999999E-2</v>
      </c>
      <c r="D391" s="3">
        <v>155000</v>
      </c>
      <c r="E391" s="3">
        <v>112000000000</v>
      </c>
      <c r="F391" s="3">
        <v>101000000000</v>
      </c>
      <c r="G391" s="3">
        <v>11900000000</v>
      </c>
      <c r="H391" s="3">
        <v>12500000000</v>
      </c>
      <c r="I391" s="2"/>
      <c r="J391" s="7">
        <f t="shared" si="117"/>
        <v>0.27700000000000002</v>
      </c>
      <c r="K391" s="7">
        <f t="shared" si="118"/>
        <v>20.28</v>
      </c>
      <c r="L391" s="7">
        <f t="shared" si="119"/>
        <v>112</v>
      </c>
      <c r="M391" s="7">
        <f t="shared" si="120"/>
        <v>155</v>
      </c>
      <c r="O391">
        <f t="shared" si="121"/>
        <v>0.1788709677419355</v>
      </c>
      <c r="P391">
        <f t="shared" si="122"/>
        <v>178.87096774193552</v>
      </c>
      <c r="V391">
        <f t="shared" si="123"/>
        <v>636.15023409275477</v>
      </c>
      <c r="W391">
        <f t="shared" si="124"/>
        <v>121.82656838997565</v>
      </c>
      <c r="AE391">
        <f t="shared" si="108"/>
        <v>0.52564180641949509</v>
      </c>
      <c r="AF391">
        <f t="shared" si="109"/>
        <v>0.50944262940022145</v>
      </c>
      <c r="AG391">
        <f t="shared" si="110"/>
        <v>0.51075208193489219</v>
      </c>
      <c r="AI391">
        <f t="shared" si="111"/>
        <v>0.2195728445818424</v>
      </c>
      <c r="AJ391">
        <f t="shared" si="112"/>
        <v>23.363539980584765</v>
      </c>
      <c r="AL391">
        <f t="shared" si="113"/>
        <v>0.22655478753819519</v>
      </c>
      <c r="AM391">
        <f t="shared" si="114"/>
        <v>24.872983299936216</v>
      </c>
      <c r="AO391">
        <f t="shared" si="115"/>
        <v>0.22597395242997628</v>
      </c>
      <c r="AP391">
        <f t="shared" si="116"/>
        <v>24.745609408996739</v>
      </c>
    </row>
    <row r="392" spans="1:42" x14ac:dyDescent="0.2">
      <c r="A392" s="3">
        <v>390</v>
      </c>
      <c r="B392" s="3">
        <v>2.7799999999999997E-7</v>
      </c>
      <c r="C392" s="2">
        <v>2.0330000000000001E-2</v>
      </c>
      <c r="D392" s="3">
        <v>157000</v>
      </c>
      <c r="E392" s="3">
        <v>112000000000</v>
      </c>
      <c r="F392" s="3">
        <v>102000000000</v>
      </c>
      <c r="G392" s="2">
        <v>0</v>
      </c>
      <c r="H392" s="3">
        <v>12400000000</v>
      </c>
      <c r="I392" s="2"/>
      <c r="J392" s="7">
        <f t="shared" si="117"/>
        <v>0.27799999999999997</v>
      </c>
      <c r="K392" s="7">
        <f t="shared" si="118"/>
        <v>20.330000000000002</v>
      </c>
      <c r="L392" s="7">
        <f t="shared" si="119"/>
        <v>112</v>
      </c>
      <c r="M392" s="7">
        <f t="shared" si="120"/>
        <v>157</v>
      </c>
      <c r="O392">
        <f t="shared" si="121"/>
        <v>0.18088216560509551</v>
      </c>
      <c r="P392">
        <f t="shared" si="122"/>
        <v>180.88216560509551</v>
      </c>
      <c r="V392">
        <f t="shared" si="123"/>
        <v>639.30919193914883</v>
      </c>
      <c r="W392">
        <f t="shared" si="124"/>
        <v>122.78878669317153</v>
      </c>
      <c r="AE392">
        <f t="shared" si="108"/>
        <v>0.53242428134103692</v>
      </c>
      <c r="AF392">
        <f t="shared" si="109"/>
        <v>0.51601608268280497</v>
      </c>
      <c r="AG392">
        <f t="shared" si="110"/>
        <v>0.51734243137921332</v>
      </c>
      <c r="AI392">
        <f t="shared" si="111"/>
        <v>0.2175583221741495</v>
      </c>
      <c r="AJ392">
        <f t="shared" si="112"/>
        <v>22.82822613821936</v>
      </c>
      <c r="AL392">
        <f t="shared" si="113"/>
        <v>0.22447620766218651</v>
      </c>
      <c r="AM392">
        <f t="shared" si="114"/>
        <v>24.303084548614962</v>
      </c>
      <c r="AO392">
        <f t="shared" si="115"/>
        <v>0.22390070156149092</v>
      </c>
      <c r="AP392">
        <f t="shared" si="116"/>
        <v>24.178629094138138</v>
      </c>
    </row>
    <row r="393" spans="1:42" x14ac:dyDescent="0.2">
      <c r="A393" s="3">
        <v>390</v>
      </c>
      <c r="B393" s="3">
        <v>2.7799999999999997E-7</v>
      </c>
      <c r="C393" s="2">
        <v>2.0379999999999999E-2</v>
      </c>
      <c r="D393" s="3">
        <v>173000</v>
      </c>
      <c r="E393" s="3">
        <v>122000000000</v>
      </c>
      <c r="F393" s="3">
        <v>109000000000</v>
      </c>
      <c r="G393" s="2">
        <v>0</v>
      </c>
      <c r="H393" s="3">
        <v>11800000000</v>
      </c>
      <c r="I393" s="2"/>
      <c r="J393" s="7">
        <f t="shared" si="117"/>
        <v>0.27799999999999997</v>
      </c>
      <c r="K393" s="7">
        <f t="shared" si="118"/>
        <v>20.38</v>
      </c>
      <c r="L393" s="7">
        <f t="shared" si="119"/>
        <v>122.00000000000001</v>
      </c>
      <c r="M393" s="7">
        <f t="shared" si="120"/>
        <v>173</v>
      </c>
      <c r="O393">
        <f t="shared" si="121"/>
        <v>0.18964739884393061</v>
      </c>
      <c r="P393">
        <f t="shared" si="122"/>
        <v>189.6473988439306</v>
      </c>
      <c r="V393">
        <f t="shared" si="123"/>
        <v>652.85316730062198</v>
      </c>
      <c r="W393">
        <f t="shared" si="124"/>
        <v>132.49533636737186</v>
      </c>
      <c r="AE393">
        <f t="shared" si="108"/>
        <v>0.58668408071337186</v>
      </c>
      <c r="AF393">
        <f t="shared" si="109"/>
        <v>0.5686037089434729</v>
      </c>
      <c r="AG393">
        <f t="shared" si="110"/>
        <v>0.57006522693378292</v>
      </c>
      <c r="AI393">
        <f t="shared" si="111"/>
        <v>0.19743732127943048</v>
      </c>
      <c r="AJ393">
        <f t="shared" si="112"/>
        <v>18.847166431500852</v>
      </c>
      <c r="AL393">
        <f t="shared" si="113"/>
        <v>0.20371540232926755</v>
      </c>
      <c r="AM393">
        <f t="shared" si="114"/>
        <v>20.064821353758994</v>
      </c>
      <c r="AO393">
        <f t="shared" si="115"/>
        <v>0.20319312222632407</v>
      </c>
      <c r="AP393">
        <f t="shared" si="116"/>
        <v>19.962069933231142</v>
      </c>
    </row>
    <row r="394" spans="1:42" x14ac:dyDescent="0.2">
      <c r="A394" s="3">
        <v>390</v>
      </c>
      <c r="B394" s="3">
        <v>2.79E-7</v>
      </c>
      <c r="C394" s="2">
        <v>2.043E-2</v>
      </c>
      <c r="D394" s="3">
        <v>186000</v>
      </c>
      <c r="E394" s="3">
        <v>129000000000</v>
      </c>
      <c r="F394" s="3">
        <v>115000000000</v>
      </c>
      <c r="G394" s="3">
        <v>4500000000</v>
      </c>
      <c r="H394" s="3">
        <v>11400000000</v>
      </c>
      <c r="I394" s="2"/>
      <c r="J394" s="7">
        <f t="shared" si="117"/>
        <v>0.27899999999999997</v>
      </c>
      <c r="K394" s="7">
        <f t="shared" si="118"/>
        <v>20.43</v>
      </c>
      <c r="L394" s="7">
        <f t="shared" si="119"/>
        <v>129</v>
      </c>
      <c r="M394" s="7">
        <f t="shared" si="120"/>
        <v>186</v>
      </c>
      <c r="O394">
        <f t="shared" si="121"/>
        <v>0.19662096774193547</v>
      </c>
      <c r="P394">
        <f t="shared" si="122"/>
        <v>196.62096774193546</v>
      </c>
      <c r="V394">
        <f t="shared" si="123"/>
        <v>663.38152293897008</v>
      </c>
      <c r="W394">
        <f t="shared" si="124"/>
        <v>140.19082049192954</v>
      </c>
      <c r="AE394">
        <f t="shared" si="108"/>
        <v>0.63077016770339411</v>
      </c>
      <c r="AF394">
        <f t="shared" si="109"/>
        <v>0.61133115528026571</v>
      </c>
      <c r="AG394">
        <f t="shared" si="110"/>
        <v>0.6129024983218706</v>
      </c>
      <c r="AI394">
        <f t="shared" si="111"/>
        <v>0.18429850673385684</v>
      </c>
      <c r="AJ394">
        <f t="shared" si="112"/>
        <v>16.344685575667963</v>
      </c>
      <c r="AL394">
        <f t="shared" si="113"/>
        <v>0.19015880181455008</v>
      </c>
      <c r="AM394">
        <f t="shared" si="114"/>
        <v>17.40066324299039</v>
      </c>
      <c r="AO394">
        <f t="shared" si="115"/>
        <v>0.18967127776162265</v>
      </c>
      <c r="AP394">
        <f t="shared" si="116"/>
        <v>17.311554905825503</v>
      </c>
    </row>
    <row r="395" spans="1:42" x14ac:dyDescent="0.2">
      <c r="A395" s="3">
        <v>390</v>
      </c>
      <c r="B395" s="3">
        <v>2.8000000000000002E-7</v>
      </c>
      <c r="C395" s="2">
        <v>2.0490000000000001E-2</v>
      </c>
      <c r="D395" s="3">
        <v>183000</v>
      </c>
      <c r="E395" s="3">
        <v>127000000000</v>
      </c>
      <c r="F395" s="3">
        <v>114000000000</v>
      </c>
      <c r="G395" s="2">
        <v>0</v>
      </c>
      <c r="H395" s="3">
        <v>11500000000</v>
      </c>
      <c r="I395" s="2"/>
      <c r="J395" s="7">
        <f t="shared" si="117"/>
        <v>0.28000000000000003</v>
      </c>
      <c r="K395" s="7">
        <f t="shared" si="118"/>
        <v>20.490000000000002</v>
      </c>
      <c r="L395" s="7">
        <f t="shared" si="119"/>
        <v>127.00000000000001</v>
      </c>
      <c r="M395" s="7">
        <f t="shared" si="120"/>
        <v>183</v>
      </c>
      <c r="O395">
        <f t="shared" si="121"/>
        <v>0.19602459016393445</v>
      </c>
      <c r="P395">
        <f t="shared" si="122"/>
        <v>196.02459016393445</v>
      </c>
      <c r="V395">
        <f t="shared" si="123"/>
        <v>662.48935738365765</v>
      </c>
      <c r="W395">
        <f t="shared" si="124"/>
        <v>138.11542627847976</v>
      </c>
      <c r="AE395">
        <f t="shared" si="108"/>
        <v>0.62059645532108132</v>
      </c>
      <c r="AF395">
        <f t="shared" si="109"/>
        <v>0.60147097535639049</v>
      </c>
      <c r="AG395">
        <f t="shared" si="110"/>
        <v>0.6030169741553888</v>
      </c>
      <c r="AI395">
        <f t="shared" si="111"/>
        <v>0.18799119083963542</v>
      </c>
      <c r="AJ395">
        <f t="shared" si="112"/>
        <v>16.93455820814933</v>
      </c>
      <c r="AL395">
        <f t="shared" si="113"/>
        <v>0.19396890531174513</v>
      </c>
      <c r="AM395">
        <f t="shared" si="114"/>
        <v>18.028645652719</v>
      </c>
      <c r="AO395">
        <f t="shared" si="115"/>
        <v>0.19347161301732008</v>
      </c>
      <c r="AP395">
        <f t="shared" si="116"/>
        <v>17.936321434209926</v>
      </c>
    </row>
    <row r="396" spans="1:42" x14ac:dyDescent="0.2">
      <c r="A396" s="3">
        <v>390</v>
      </c>
      <c r="B396" s="3">
        <v>2.8000000000000002E-7</v>
      </c>
      <c r="C396" s="2">
        <v>2.0539999999999999E-2</v>
      </c>
      <c r="D396" s="3">
        <v>167000</v>
      </c>
      <c r="E396" s="3">
        <v>118000000000</v>
      </c>
      <c r="F396" s="3">
        <v>106000000000</v>
      </c>
      <c r="G396" s="2">
        <v>0</v>
      </c>
      <c r="H396" s="3">
        <v>12100000000</v>
      </c>
      <c r="I396" s="2"/>
      <c r="J396" s="7">
        <f t="shared" si="117"/>
        <v>0.28000000000000003</v>
      </c>
      <c r="K396" s="7">
        <f t="shared" si="118"/>
        <v>20.54</v>
      </c>
      <c r="L396" s="7">
        <f t="shared" si="119"/>
        <v>118.00000000000001</v>
      </c>
      <c r="M396" s="7">
        <f t="shared" si="120"/>
        <v>167</v>
      </c>
      <c r="O396">
        <f t="shared" si="121"/>
        <v>0.1877544910179641</v>
      </c>
      <c r="P396">
        <f t="shared" si="122"/>
        <v>187.75449101796409</v>
      </c>
      <c r="V396">
        <f t="shared" si="123"/>
        <v>649.95826961938155</v>
      </c>
      <c r="W396">
        <f t="shared" si="124"/>
        <v>128.4697862970464</v>
      </c>
      <c r="AE396">
        <f t="shared" si="108"/>
        <v>0.56633665594874627</v>
      </c>
      <c r="AF396">
        <f t="shared" si="109"/>
        <v>0.54888334909572245</v>
      </c>
      <c r="AG396">
        <f t="shared" si="110"/>
        <v>0.55029417860081931</v>
      </c>
      <c r="AI396">
        <f t="shared" si="111"/>
        <v>0.20600232289612749</v>
      </c>
      <c r="AJ396">
        <f t="shared" si="112"/>
        <v>20.384571618922617</v>
      </c>
      <c r="AL396">
        <f t="shared" si="113"/>
        <v>0.21255275252724165</v>
      </c>
      <c r="AM396">
        <f t="shared" si="114"/>
        <v>21.701553355148956</v>
      </c>
      <c r="AO396">
        <f t="shared" si="115"/>
        <v>0.21200781546209324</v>
      </c>
      <c r="AP396">
        <f t="shared" si="116"/>
        <v>21.590420273244657</v>
      </c>
    </row>
    <row r="397" spans="1:42" x14ac:dyDescent="0.2">
      <c r="A397" s="3">
        <v>400</v>
      </c>
      <c r="B397" s="3">
        <v>2.8099999999999999E-7</v>
      </c>
      <c r="C397" s="2">
        <v>2.0590000000000001E-2</v>
      </c>
      <c r="D397" s="3">
        <v>163000</v>
      </c>
      <c r="E397" s="3">
        <v>115000000000</v>
      </c>
      <c r="F397" s="3">
        <v>104000000000</v>
      </c>
      <c r="G397" s="3">
        <v>18200000000</v>
      </c>
      <c r="H397" s="3">
        <v>12200000000</v>
      </c>
      <c r="I397" s="2"/>
      <c r="J397" s="7">
        <f t="shared" si="117"/>
        <v>0.28099999999999997</v>
      </c>
      <c r="K397" s="7">
        <f t="shared" si="118"/>
        <v>20.59</v>
      </c>
      <c r="L397" s="7">
        <f t="shared" si="119"/>
        <v>115.00000000000001</v>
      </c>
      <c r="M397" s="7">
        <f t="shared" si="120"/>
        <v>163</v>
      </c>
      <c r="O397">
        <f t="shared" si="121"/>
        <v>0.186260736196319</v>
      </c>
      <c r="P397">
        <f t="shared" si="122"/>
        <v>186.26073619631899</v>
      </c>
      <c r="V397">
        <f t="shared" si="123"/>
        <v>647.66231683961564</v>
      </c>
      <c r="W397">
        <f t="shared" si="124"/>
        <v>125.837180705053</v>
      </c>
      <c r="AE397">
        <f t="shared" si="108"/>
        <v>0.55277170610566251</v>
      </c>
      <c r="AF397">
        <f t="shared" si="109"/>
        <v>0.53573644253055541</v>
      </c>
      <c r="AG397">
        <f t="shared" si="110"/>
        <v>0.53711347971217693</v>
      </c>
      <c r="AI397">
        <f t="shared" si="111"/>
        <v>0.21181137174729561</v>
      </c>
      <c r="AJ397">
        <f t="shared" si="112"/>
        <v>21.449404039578194</v>
      </c>
      <c r="AL397">
        <f t="shared" si="113"/>
        <v>0.21854651660486124</v>
      </c>
      <c r="AM397">
        <f t="shared" si="114"/>
        <v>22.835181180307575</v>
      </c>
      <c r="AO397">
        <f t="shared" si="115"/>
        <v>0.21798621288759087</v>
      </c>
      <c r="AP397">
        <f t="shared" si="116"/>
        <v>22.718242820233524</v>
      </c>
    </row>
    <row r="398" spans="1:42" x14ac:dyDescent="0.2">
      <c r="A398" s="3">
        <v>400</v>
      </c>
      <c r="B398" s="3">
        <v>2.8200000000000001E-7</v>
      </c>
      <c r="C398" s="2">
        <v>2.0639999999999999E-2</v>
      </c>
      <c r="D398" s="3">
        <v>178000</v>
      </c>
      <c r="E398" s="3">
        <v>124000000000</v>
      </c>
      <c r="F398" s="3">
        <v>111000000000</v>
      </c>
      <c r="G398" s="2">
        <v>0</v>
      </c>
      <c r="H398" s="3">
        <v>11600000000</v>
      </c>
      <c r="I398" s="2"/>
      <c r="J398" s="7">
        <f t="shared" si="117"/>
        <v>0.28200000000000003</v>
      </c>
      <c r="K398" s="7">
        <f t="shared" si="118"/>
        <v>20.639999999999997</v>
      </c>
      <c r="L398" s="7">
        <f t="shared" si="119"/>
        <v>124.00000000000001</v>
      </c>
      <c r="M398" s="7">
        <f t="shared" si="120"/>
        <v>178</v>
      </c>
      <c r="O398">
        <f t="shared" si="121"/>
        <v>0.19503370786516858</v>
      </c>
      <c r="P398">
        <f t="shared" si="122"/>
        <v>195.03370786516857</v>
      </c>
      <c r="V398">
        <f t="shared" si="123"/>
        <v>661.00367387348547</v>
      </c>
      <c r="W398">
        <f t="shared" si="124"/>
        <v>134.6437297064621</v>
      </c>
      <c r="AE398">
        <f t="shared" si="108"/>
        <v>0.60364026801722659</v>
      </c>
      <c r="AF398">
        <f t="shared" si="109"/>
        <v>0.58503734214993164</v>
      </c>
      <c r="AG398">
        <f t="shared" si="110"/>
        <v>0.58654110054458586</v>
      </c>
      <c r="AI398">
        <f t="shared" si="111"/>
        <v>0.1946523554267702</v>
      </c>
      <c r="AJ398">
        <f t="shared" si="112"/>
        <v>18.030334363558037</v>
      </c>
      <c r="AL398">
        <f t="shared" si="113"/>
        <v>0.20084188056817656</v>
      </c>
      <c r="AM398">
        <f t="shared" si="114"/>
        <v>19.195216388001345</v>
      </c>
      <c r="AO398">
        <f t="shared" si="115"/>
        <v>0.20032696752351162</v>
      </c>
      <c r="AP398">
        <f t="shared" si="116"/>
        <v>19.096918191549317</v>
      </c>
    </row>
    <row r="399" spans="1:42" x14ac:dyDescent="0.2">
      <c r="A399" s="3">
        <v>400</v>
      </c>
      <c r="B399" s="3">
        <v>2.8200000000000001E-7</v>
      </c>
      <c r="C399" s="2">
        <v>2.069E-2</v>
      </c>
      <c r="D399" s="3">
        <v>185000</v>
      </c>
      <c r="E399" s="3">
        <v>128000000000</v>
      </c>
      <c r="F399" s="3">
        <v>114000000000</v>
      </c>
      <c r="G399" s="3">
        <v>751000000</v>
      </c>
      <c r="H399" s="3">
        <v>11400000000</v>
      </c>
      <c r="I399" s="2"/>
      <c r="J399" s="7">
        <f t="shared" si="117"/>
        <v>0.28200000000000003</v>
      </c>
      <c r="K399" s="7">
        <f t="shared" si="118"/>
        <v>20.69</v>
      </c>
      <c r="L399" s="7">
        <f t="shared" si="119"/>
        <v>128</v>
      </c>
      <c r="M399" s="7">
        <f t="shared" si="120"/>
        <v>185</v>
      </c>
      <c r="O399">
        <f t="shared" si="121"/>
        <v>0.19812162162162164</v>
      </c>
      <c r="P399">
        <f t="shared" si="122"/>
        <v>198.12162162162164</v>
      </c>
      <c r="V399">
        <f t="shared" si="123"/>
        <v>665.61981617660751</v>
      </c>
      <c r="W399">
        <f t="shared" si="124"/>
        <v>138.96821842133554</v>
      </c>
      <c r="AE399">
        <f t="shared" si="108"/>
        <v>0.62737893024262315</v>
      </c>
      <c r="AF399">
        <f t="shared" si="109"/>
        <v>0.6080444286389739</v>
      </c>
      <c r="AG399">
        <f t="shared" si="110"/>
        <v>0.60960732359971004</v>
      </c>
      <c r="AI399">
        <f t="shared" si="111"/>
        <v>0.18728713116737888</v>
      </c>
      <c r="AJ399">
        <f t="shared" si="112"/>
        <v>16.732125990427843</v>
      </c>
      <c r="AL399">
        <f t="shared" si="113"/>
        <v>0.1932424580601915</v>
      </c>
      <c r="AM399">
        <f t="shared" si="114"/>
        <v>17.813134939233816</v>
      </c>
      <c r="AO399">
        <f t="shared" si="115"/>
        <v>0.19274702821181117</v>
      </c>
      <c r="AP399">
        <f t="shared" si="116"/>
        <v>17.721914345399934</v>
      </c>
    </row>
    <row r="400" spans="1:42" x14ac:dyDescent="0.2">
      <c r="A400" s="3">
        <v>400</v>
      </c>
      <c r="B400" s="3">
        <v>2.8299999999999998E-7</v>
      </c>
      <c r="C400" s="2">
        <v>2.0750000000000001E-2</v>
      </c>
      <c r="D400" s="3">
        <v>157000</v>
      </c>
      <c r="E400" s="3">
        <v>111000000000</v>
      </c>
      <c r="F400" s="3">
        <v>101000000000</v>
      </c>
      <c r="G400" s="2">
        <v>0</v>
      </c>
      <c r="H400" s="3">
        <v>12400000000</v>
      </c>
      <c r="I400" s="2"/>
      <c r="J400" s="7">
        <f t="shared" si="117"/>
        <v>0.28299999999999997</v>
      </c>
      <c r="K400" s="7">
        <f t="shared" si="118"/>
        <v>20.75</v>
      </c>
      <c r="L400" s="7">
        <f t="shared" si="119"/>
        <v>111</v>
      </c>
      <c r="M400" s="7">
        <f t="shared" si="120"/>
        <v>157</v>
      </c>
      <c r="O400">
        <f t="shared" si="121"/>
        <v>0.18387579617834393</v>
      </c>
      <c r="P400">
        <f t="shared" si="122"/>
        <v>183.87579617834393</v>
      </c>
      <c r="V400">
        <f t="shared" si="123"/>
        <v>643.9752218126979</v>
      </c>
      <c r="W400">
        <f t="shared" si="124"/>
        <v>121.89910006014479</v>
      </c>
      <c r="AE400">
        <f t="shared" ref="AE400:AE463" si="125">M400/(2*$Y$5)</f>
        <v>0.53242428134103692</v>
      </c>
      <c r="AF400">
        <f t="shared" ref="AF400:AF463" si="126">M400/(2*$Y$8)</f>
        <v>0.51601608268280497</v>
      </c>
      <c r="AG400">
        <f t="shared" ref="AG400:AG463" si="127">M400/(2*$Y$11)</f>
        <v>0.51734243137921332</v>
      </c>
      <c r="AI400">
        <f t="shared" ref="AI400:AI463" si="128">J400/(2.4*AE400)</f>
        <v>0.22147124163771334</v>
      </c>
      <c r="AJ400">
        <f t="shared" ref="AJ400:AJ463" si="129">K400/(3.14159*(AE400^2))</f>
        <v>23.299837302904656</v>
      </c>
      <c r="AL400">
        <f t="shared" ref="AL400:AL463" si="130">J400/(2.4*AF400)</f>
        <v>0.22851354952661432</v>
      </c>
      <c r="AM400">
        <f t="shared" ref="AM400:AM463" si="131">K400/(3.14159*(AF400^2))</f>
        <v>24.80516499674178</v>
      </c>
      <c r="AO400">
        <f t="shared" ref="AO400:AO463" si="132">J400/(2.4*AG400)</f>
        <v>0.22792769259676954</v>
      </c>
      <c r="AP400">
        <f t="shared" ref="AP400:AP463" si="133">K400/(3.14159*(AG400^2))</f>
        <v>24.67813840154286</v>
      </c>
    </row>
    <row r="401" spans="1:42" x14ac:dyDescent="0.2">
      <c r="A401" s="3">
        <v>400</v>
      </c>
      <c r="B401" s="3">
        <v>2.8299999999999998E-7</v>
      </c>
      <c r="C401" s="2">
        <v>2.0799999999999999E-2</v>
      </c>
      <c r="D401" s="3">
        <v>157000</v>
      </c>
      <c r="E401" s="3">
        <v>111000000000</v>
      </c>
      <c r="F401" s="3">
        <v>101000000000</v>
      </c>
      <c r="G401" s="2">
        <v>0</v>
      </c>
      <c r="H401" s="3">
        <v>12500000000</v>
      </c>
      <c r="I401" s="2"/>
      <c r="J401" s="7">
        <f t="shared" si="117"/>
        <v>0.28299999999999997</v>
      </c>
      <c r="K401" s="7">
        <f t="shared" si="118"/>
        <v>20.8</v>
      </c>
      <c r="L401" s="7">
        <f t="shared" si="119"/>
        <v>111</v>
      </c>
      <c r="M401" s="7">
        <f t="shared" si="120"/>
        <v>157</v>
      </c>
      <c r="O401">
        <f t="shared" si="121"/>
        <v>0.1836369426751592</v>
      </c>
      <c r="P401">
        <f t="shared" si="122"/>
        <v>183.63694267515919</v>
      </c>
      <c r="V401">
        <f t="shared" si="123"/>
        <v>643.60449267098409</v>
      </c>
      <c r="W401">
        <f t="shared" si="124"/>
        <v>121.96931639526302</v>
      </c>
      <c r="AE401">
        <f t="shared" si="125"/>
        <v>0.53242428134103692</v>
      </c>
      <c r="AF401">
        <f t="shared" si="126"/>
        <v>0.51601608268280497</v>
      </c>
      <c r="AG401">
        <f t="shared" si="127"/>
        <v>0.51734243137921332</v>
      </c>
      <c r="AI401">
        <f t="shared" si="128"/>
        <v>0.22147124163771334</v>
      </c>
      <c r="AJ401">
        <f t="shared" si="129"/>
        <v>23.355981489176717</v>
      </c>
      <c r="AL401">
        <f t="shared" si="130"/>
        <v>0.22851354952661432</v>
      </c>
      <c r="AM401">
        <f t="shared" si="131"/>
        <v>24.86493647866164</v>
      </c>
      <c r="AO401">
        <f t="shared" si="132"/>
        <v>0.22792769259676954</v>
      </c>
      <c r="AP401">
        <f t="shared" si="133"/>
        <v>24.737603795281519</v>
      </c>
    </row>
    <row r="402" spans="1:42" x14ac:dyDescent="0.2">
      <c r="A402" s="3">
        <v>400</v>
      </c>
      <c r="B402" s="3">
        <v>2.84E-7</v>
      </c>
      <c r="C402" s="2">
        <v>2.085E-2</v>
      </c>
      <c r="D402" s="3">
        <v>178000</v>
      </c>
      <c r="E402" s="3">
        <v>123000000000</v>
      </c>
      <c r="F402" s="3">
        <v>110000000000</v>
      </c>
      <c r="G402" s="3">
        <v>7060000000</v>
      </c>
      <c r="H402" s="3">
        <v>11700000000</v>
      </c>
      <c r="I402" s="2"/>
      <c r="J402" s="7">
        <f t="shared" si="117"/>
        <v>0.28399999999999997</v>
      </c>
      <c r="K402" s="7">
        <f t="shared" si="118"/>
        <v>20.85</v>
      </c>
      <c r="L402" s="7">
        <f t="shared" si="119"/>
        <v>123.00000000000001</v>
      </c>
      <c r="M402" s="7">
        <f t="shared" si="120"/>
        <v>178</v>
      </c>
      <c r="O402">
        <f t="shared" si="121"/>
        <v>0.19614887640449435</v>
      </c>
      <c r="P402">
        <f t="shared" si="122"/>
        <v>196.14887640449436</v>
      </c>
      <c r="V402">
        <f t="shared" si="123"/>
        <v>662.67541098029324</v>
      </c>
      <c r="W402">
        <f t="shared" si="124"/>
        <v>134.30406278141908</v>
      </c>
      <c r="AE402">
        <f t="shared" si="125"/>
        <v>0.60364026801722659</v>
      </c>
      <c r="AF402">
        <f t="shared" si="126"/>
        <v>0.58503734214993164</v>
      </c>
      <c r="AG402">
        <f t="shared" si="127"/>
        <v>0.58654110054458586</v>
      </c>
      <c r="AI402">
        <f t="shared" si="128"/>
        <v>0.19603286858582528</v>
      </c>
      <c r="AJ402">
        <f t="shared" si="129"/>
        <v>18.213782532954706</v>
      </c>
      <c r="AL402">
        <f t="shared" si="130"/>
        <v>0.20226629106866004</v>
      </c>
      <c r="AM402">
        <f t="shared" si="131"/>
        <v>19.390516554739733</v>
      </c>
      <c r="AO402">
        <f t="shared" si="132"/>
        <v>0.20174772615843009</v>
      </c>
      <c r="AP402">
        <f t="shared" si="133"/>
        <v>19.291218231288919</v>
      </c>
    </row>
    <row r="403" spans="1:42" x14ac:dyDescent="0.2">
      <c r="A403" s="3">
        <v>400</v>
      </c>
      <c r="B403" s="3">
        <v>2.84E-7</v>
      </c>
      <c r="C403" s="2">
        <v>2.0899999999999998E-2</v>
      </c>
      <c r="D403" s="3">
        <v>165000</v>
      </c>
      <c r="E403" s="3">
        <v>116000000000</v>
      </c>
      <c r="F403" s="3">
        <v>105000000000</v>
      </c>
      <c r="G403" s="3">
        <v>11900000000</v>
      </c>
      <c r="H403" s="3">
        <v>12100000000</v>
      </c>
      <c r="I403" s="2"/>
      <c r="J403" s="7">
        <f t="shared" si="117"/>
        <v>0.28399999999999997</v>
      </c>
      <c r="K403" s="7">
        <f t="shared" si="118"/>
        <v>20.9</v>
      </c>
      <c r="L403" s="7">
        <f t="shared" si="119"/>
        <v>116.00000000000001</v>
      </c>
      <c r="M403" s="7">
        <f t="shared" si="120"/>
        <v>165</v>
      </c>
      <c r="O403">
        <f t="shared" si="121"/>
        <v>0.189</v>
      </c>
      <c r="P403">
        <f t="shared" si="122"/>
        <v>189</v>
      </c>
      <c r="V403">
        <f t="shared" si="123"/>
        <v>651.86489348487726</v>
      </c>
      <c r="W403">
        <f t="shared" si="124"/>
        <v>126.55996790831001</v>
      </c>
      <c r="AE403">
        <f t="shared" si="125"/>
        <v>0.55955418102720444</v>
      </c>
      <c r="AF403">
        <f t="shared" si="126"/>
        <v>0.54230989581313893</v>
      </c>
      <c r="AG403">
        <f t="shared" si="127"/>
        <v>0.54370382915649806</v>
      </c>
      <c r="AI403">
        <f t="shared" si="128"/>
        <v>0.21147788247440544</v>
      </c>
      <c r="AJ403">
        <f t="shared" si="129"/>
        <v>21.2477275967514</v>
      </c>
      <c r="AL403">
        <f t="shared" si="130"/>
        <v>0.21820242309225141</v>
      </c>
      <c r="AM403">
        <f t="shared" si="131"/>
        <v>22.620475069906927</v>
      </c>
      <c r="AO403">
        <f t="shared" si="132"/>
        <v>0.2176430015527307</v>
      </c>
      <c r="AP403">
        <f t="shared" si="133"/>
        <v>22.504636214156925</v>
      </c>
    </row>
    <row r="404" spans="1:42" x14ac:dyDescent="0.2">
      <c r="A404" s="3">
        <v>400</v>
      </c>
      <c r="B404" s="3">
        <v>2.8500000000000002E-7</v>
      </c>
      <c r="C404" s="2">
        <v>2.095E-2</v>
      </c>
      <c r="D404" s="3">
        <v>154000</v>
      </c>
      <c r="E404" s="3">
        <v>110000000000</v>
      </c>
      <c r="F404" s="3">
        <v>99400000000</v>
      </c>
      <c r="G404" s="2">
        <v>0</v>
      </c>
      <c r="H404" s="3">
        <v>12600000000</v>
      </c>
      <c r="I404" s="2"/>
      <c r="J404" s="7">
        <f t="shared" si="117"/>
        <v>0.28500000000000003</v>
      </c>
      <c r="K404" s="7">
        <f t="shared" si="118"/>
        <v>20.95</v>
      </c>
      <c r="L404" s="7">
        <f t="shared" si="119"/>
        <v>110</v>
      </c>
      <c r="M404" s="7">
        <f t="shared" si="120"/>
        <v>154</v>
      </c>
      <c r="O404">
        <f t="shared" si="121"/>
        <v>0.18297077922077926</v>
      </c>
      <c r="P404">
        <f t="shared" si="122"/>
        <v>182.97077922077926</v>
      </c>
      <c r="V404">
        <f t="shared" si="123"/>
        <v>642.5691061594606</v>
      </c>
      <c r="W404">
        <f t="shared" si="124"/>
        <v>119.83146911655538</v>
      </c>
      <c r="AE404">
        <f t="shared" si="125"/>
        <v>0.52225056895872413</v>
      </c>
      <c r="AF404">
        <f t="shared" si="126"/>
        <v>0.50615590275892963</v>
      </c>
      <c r="AG404">
        <f t="shared" si="127"/>
        <v>0.50745690721273162</v>
      </c>
      <c r="AI404">
        <f t="shared" si="128"/>
        <v>0.22738127454177148</v>
      </c>
      <c r="AJ404">
        <f t="shared" si="129"/>
        <v>24.449876955176961</v>
      </c>
      <c r="AL404">
        <f t="shared" si="130"/>
        <v>0.23461150873223718</v>
      </c>
      <c r="AM404">
        <f t="shared" si="131"/>
        <v>26.029505019230008</v>
      </c>
      <c r="AO404">
        <f t="shared" si="132"/>
        <v>0.23401001801758642</v>
      </c>
      <c r="AP404">
        <f t="shared" si="133"/>
        <v>25.896208611093197</v>
      </c>
    </row>
    <row r="405" spans="1:42" x14ac:dyDescent="0.2">
      <c r="A405" s="3">
        <v>400</v>
      </c>
      <c r="B405" s="3">
        <v>2.8500000000000002E-7</v>
      </c>
      <c r="C405" s="2">
        <v>2.1010000000000001E-2</v>
      </c>
      <c r="D405" s="3">
        <v>162000</v>
      </c>
      <c r="E405" s="3">
        <v>114000000000</v>
      </c>
      <c r="F405" s="3">
        <v>103000000000</v>
      </c>
      <c r="G405" s="2">
        <v>0</v>
      </c>
      <c r="H405" s="3">
        <v>12200000000</v>
      </c>
      <c r="I405" s="2"/>
      <c r="J405" s="7">
        <f t="shared" si="117"/>
        <v>0.28500000000000003</v>
      </c>
      <c r="K405" s="7">
        <f t="shared" si="118"/>
        <v>21.01</v>
      </c>
      <c r="L405" s="7">
        <f t="shared" si="119"/>
        <v>114</v>
      </c>
      <c r="M405" s="7">
        <f t="shared" si="120"/>
        <v>162</v>
      </c>
      <c r="O405">
        <f t="shared" si="121"/>
        <v>0.1877314814814815</v>
      </c>
      <c r="P405">
        <f t="shared" si="122"/>
        <v>187.7314814814815</v>
      </c>
      <c r="V405">
        <f t="shared" si="123"/>
        <v>649.92298047200234</v>
      </c>
      <c r="W405">
        <f t="shared" si="124"/>
        <v>124.63015223923037</v>
      </c>
      <c r="AE405">
        <f t="shared" si="125"/>
        <v>0.54938046864489165</v>
      </c>
      <c r="AF405">
        <f t="shared" si="126"/>
        <v>0.53244971588926371</v>
      </c>
      <c r="AG405">
        <f t="shared" si="127"/>
        <v>0.53381830499001637</v>
      </c>
      <c r="AI405">
        <f t="shared" si="128"/>
        <v>0.21615256962612844</v>
      </c>
      <c r="AJ405">
        <f t="shared" si="129"/>
        <v>22.157977424397227</v>
      </c>
      <c r="AL405">
        <f t="shared" si="130"/>
        <v>0.22302575521459581</v>
      </c>
      <c r="AM405">
        <f t="shared" si="131"/>
        <v>23.589533216943678</v>
      </c>
      <c r="AO405">
        <f t="shared" si="132"/>
        <v>0.22245396774511303</v>
      </c>
      <c r="AP405">
        <f t="shared" si="133"/>
        <v>23.468731840001656</v>
      </c>
    </row>
    <row r="406" spans="1:42" x14ac:dyDescent="0.2">
      <c r="A406" s="3">
        <v>400</v>
      </c>
      <c r="B406" s="3">
        <v>2.8599999999999999E-7</v>
      </c>
      <c r="C406" s="2">
        <v>2.1059999999999999E-2</v>
      </c>
      <c r="D406" s="3">
        <v>160000</v>
      </c>
      <c r="E406" s="3">
        <v>112000000000</v>
      </c>
      <c r="F406" s="3">
        <v>102000000000</v>
      </c>
      <c r="G406" s="3">
        <v>5790000000</v>
      </c>
      <c r="H406" s="3">
        <v>12300000000</v>
      </c>
      <c r="I406" s="2"/>
      <c r="J406" s="7">
        <f t="shared" si="117"/>
        <v>0.28599999999999998</v>
      </c>
      <c r="K406" s="7">
        <f t="shared" si="118"/>
        <v>21.06</v>
      </c>
      <c r="L406" s="7">
        <f t="shared" si="119"/>
        <v>112</v>
      </c>
      <c r="M406" s="7">
        <f t="shared" si="120"/>
        <v>160</v>
      </c>
      <c r="O406">
        <f t="shared" si="121"/>
        <v>0.18728124999999998</v>
      </c>
      <c r="P406">
        <f t="shared" si="122"/>
        <v>187.28124999999997</v>
      </c>
      <c r="V406">
        <f t="shared" si="123"/>
        <v>649.23198642592308</v>
      </c>
      <c r="W406">
        <f t="shared" si="124"/>
        <v>123.22251779430457</v>
      </c>
      <c r="AE406">
        <f t="shared" si="125"/>
        <v>0.54259799372334971</v>
      </c>
      <c r="AF406">
        <f t="shared" si="126"/>
        <v>0.52587626260668019</v>
      </c>
      <c r="AG406">
        <f t="shared" si="127"/>
        <v>0.52722795554569513</v>
      </c>
      <c r="AI406">
        <f t="shared" si="128"/>
        <v>0.21962238719117946</v>
      </c>
      <c r="AJ406">
        <f t="shared" si="129"/>
        <v>22.769447561457067</v>
      </c>
      <c r="AL406">
        <f t="shared" si="130"/>
        <v>0.22660590549567219</v>
      </c>
      <c r="AM406">
        <f t="shared" si="131"/>
        <v>24.240508476691893</v>
      </c>
      <c r="AO406">
        <f t="shared" si="132"/>
        <v>0.22602493933260037</v>
      </c>
      <c r="AP406">
        <f t="shared" si="133"/>
        <v>24.11637347262764</v>
      </c>
    </row>
    <row r="407" spans="1:42" x14ac:dyDescent="0.2">
      <c r="A407" s="3">
        <v>410</v>
      </c>
      <c r="B407" s="3">
        <v>2.8700000000000002E-7</v>
      </c>
      <c r="C407" s="2">
        <v>2.111E-2</v>
      </c>
      <c r="D407" s="3">
        <v>162000</v>
      </c>
      <c r="E407" s="3">
        <v>113000000000</v>
      </c>
      <c r="F407" s="3">
        <v>103000000000</v>
      </c>
      <c r="G407" s="3">
        <v>2510000000</v>
      </c>
      <c r="H407" s="3">
        <v>12300000000</v>
      </c>
      <c r="I407" s="2"/>
      <c r="J407" s="7">
        <f t="shared" si="117"/>
        <v>0.28700000000000003</v>
      </c>
      <c r="K407" s="7">
        <f t="shared" si="118"/>
        <v>21.11</v>
      </c>
      <c r="L407" s="7">
        <f t="shared" si="119"/>
        <v>113</v>
      </c>
      <c r="M407" s="7">
        <f t="shared" si="120"/>
        <v>162</v>
      </c>
      <c r="O407">
        <f t="shared" si="121"/>
        <v>0.18926851851851856</v>
      </c>
      <c r="P407">
        <f t="shared" si="122"/>
        <v>189.26851851851856</v>
      </c>
      <c r="V407">
        <f t="shared" si="123"/>
        <v>652.27502356534774</v>
      </c>
      <c r="W407">
        <f t="shared" si="124"/>
        <v>124.1807474970488</v>
      </c>
      <c r="AE407">
        <f t="shared" si="125"/>
        <v>0.54938046864489165</v>
      </c>
      <c r="AF407">
        <f t="shared" si="126"/>
        <v>0.53244971588926371</v>
      </c>
      <c r="AG407">
        <f t="shared" si="127"/>
        <v>0.53381830499001637</v>
      </c>
      <c r="AI407">
        <f t="shared" si="128"/>
        <v>0.21766942976385564</v>
      </c>
      <c r="AJ407">
        <f t="shared" si="129"/>
        <v>22.263441381676603</v>
      </c>
      <c r="AL407">
        <f t="shared" si="130"/>
        <v>0.22459084823364558</v>
      </c>
      <c r="AM407">
        <f t="shared" si="131"/>
        <v>23.701810861955309</v>
      </c>
      <c r="AO407">
        <f t="shared" si="132"/>
        <v>0.22401504822051735</v>
      </c>
      <c r="AP407">
        <f t="shared" si="133"/>
        <v>23.580434514156824</v>
      </c>
    </row>
    <row r="408" spans="1:42" x14ac:dyDescent="0.2">
      <c r="A408" s="3">
        <v>410</v>
      </c>
      <c r="B408" s="3">
        <v>2.8700000000000002E-7</v>
      </c>
      <c r="C408" s="2">
        <v>2.1160000000000002E-2</v>
      </c>
      <c r="D408" s="3">
        <v>156000</v>
      </c>
      <c r="E408" s="3">
        <v>110000000000</v>
      </c>
      <c r="F408" s="3">
        <v>99800000000</v>
      </c>
      <c r="G408" s="3">
        <v>1260000000</v>
      </c>
      <c r="H408" s="3">
        <v>12500000000</v>
      </c>
      <c r="I408" s="2"/>
      <c r="J408" s="7">
        <f t="shared" si="117"/>
        <v>0.28700000000000003</v>
      </c>
      <c r="K408" s="7">
        <f t="shared" si="118"/>
        <v>21.16</v>
      </c>
      <c r="L408" s="7">
        <f t="shared" si="119"/>
        <v>110</v>
      </c>
      <c r="M408" s="7">
        <f t="shared" si="120"/>
        <v>156</v>
      </c>
      <c r="O408">
        <f t="shared" si="121"/>
        <v>0.1852692307692308</v>
      </c>
      <c r="P408">
        <f t="shared" si="122"/>
        <v>185.2692307692308</v>
      </c>
      <c r="V408">
        <f t="shared" si="123"/>
        <v>646.13267106093292</v>
      </c>
      <c r="W408">
        <f t="shared" si="124"/>
        <v>120.71824176902561</v>
      </c>
      <c r="AE408">
        <f t="shared" si="125"/>
        <v>0.52903304388026595</v>
      </c>
      <c r="AF408">
        <f t="shared" si="126"/>
        <v>0.51272935604151315</v>
      </c>
      <c r="AG408">
        <f t="shared" si="127"/>
        <v>0.51404725665705275</v>
      </c>
      <c r="AI408">
        <f t="shared" si="128"/>
        <v>0.22604133090861936</v>
      </c>
      <c r="AJ408">
        <f t="shared" si="129"/>
        <v>24.065814171110329</v>
      </c>
      <c r="AL408">
        <f t="shared" si="130"/>
        <v>0.23322895778109354</v>
      </c>
      <c r="AM408">
        <f t="shared" si="131"/>
        <v>25.620629171556452</v>
      </c>
      <c r="AO408">
        <f t="shared" si="132"/>
        <v>0.23263101161361419</v>
      </c>
      <c r="AP408">
        <f t="shared" si="133"/>
        <v>25.489426605843033</v>
      </c>
    </row>
    <row r="409" spans="1:42" x14ac:dyDescent="0.2">
      <c r="A409" s="3">
        <v>410</v>
      </c>
      <c r="B409" s="3">
        <v>2.8799999999999998E-7</v>
      </c>
      <c r="C409" s="2">
        <v>2.1219999999999999E-2</v>
      </c>
      <c r="D409" s="3">
        <v>205000</v>
      </c>
      <c r="E409" s="3">
        <v>138000000000</v>
      </c>
      <c r="F409" s="3">
        <v>123000000000</v>
      </c>
      <c r="G409" s="3">
        <v>9620000000</v>
      </c>
      <c r="H409" s="3">
        <v>11000000000</v>
      </c>
      <c r="I409" s="2"/>
      <c r="J409" s="7">
        <f t="shared" si="117"/>
        <v>0.28799999999999998</v>
      </c>
      <c r="K409" s="7">
        <f t="shared" si="118"/>
        <v>21.22</v>
      </c>
      <c r="L409" s="7">
        <f t="shared" si="119"/>
        <v>138</v>
      </c>
      <c r="M409" s="7">
        <f t="shared" si="120"/>
        <v>205</v>
      </c>
      <c r="O409">
        <f t="shared" si="121"/>
        <v>0.21036585365853655</v>
      </c>
      <c r="P409">
        <f t="shared" si="122"/>
        <v>210.36585365853654</v>
      </c>
      <c r="V409">
        <f t="shared" si="123"/>
        <v>683.5400690870631</v>
      </c>
      <c r="W409">
        <f t="shared" si="124"/>
        <v>149.95463270631541</v>
      </c>
      <c r="AE409">
        <f t="shared" si="125"/>
        <v>0.69520367945804185</v>
      </c>
      <c r="AF409">
        <f t="shared" si="126"/>
        <v>0.67377896146480898</v>
      </c>
      <c r="AG409">
        <f t="shared" si="127"/>
        <v>0.6755108180429219</v>
      </c>
      <c r="AI409">
        <f t="shared" si="128"/>
        <v>0.17261128435561227</v>
      </c>
      <c r="AJ409">
        <f t="shared" si="129"/>
        <v>13.975641435456152</v>
      </c>
      <c r="AL409">
        <f t="shared" si="130"/>
        <v>0.17809995096777376</v>
      </c>
      <c r="AM409">
        <f t="shared" si="131"/>
        <v>14.87856276569682</v>
      </c>
      <c r="AO409">
        <f t="shared" si="132"/>
        <v>0.17764334307430024</v>
      </c>
      <c r="AP409">
        <f t="shared" si="133"/>
        <v>14.802370038503577</v>
      </c>
    </row>
    <row r="410" spans="1:42" x14ac:dyDescent="0.2">
      <c r="A410" s="3">
        <v>410</v>
      </c>
      <c r="B410" s="3">
        <v>2.8799999999999998E-7</v>
      </c>
      <c r="C410" s="2">
        <v>2.1270000000000001E-2</v>
      </c>
      <c r="D410" s="3">
        <v>155000</v>
      </c>
      <c r="E410" s="3">
        <v>109000000000</v>
      </c>
      <c r="F410" s="3">
        <v>99300000000</v>
      </c>
      <c r="G410" s="2">
        <v>0</v>
      </c>
      <c r="H410" s="3">
        <v>12600000000</v>
      </c>
      <c r="I410" s="2"/>
      <c r="J410" s="7">
        <f t="shared" si="117"/>
        <v>0.28799999999999998</v>
      </c>
      <c r="K410" s="7">
        <f t="shared" si="118"/>
        <v>21.27</v>
      </c>
      <c r="L410" s="7">
        <f t="shared" si="119"/>
        <v>109</v>
      </c>
      <c r="M410" s="7">
        <f t="shared" si="120"/>
        <v>155</v>
      </c>
      <c r="O410">
        <f t="shared" si="121"/>
        <v>0.1850806451612903</v>
      </c>
      <c r="P410">
        <f t="shared" si="122"/>
        <v>185.08064516129031</v>
      </c>
      <c r="V410">
        <f t="shared" si="123"/>
        <v>645.84121476509472</v>
      </c>
      <c r="W410">
        <f t="shared" si="124"/>
        <v>119.99853559700165</v>
      </c>
      <c r="AE410">
        <f t="shared" si="125"/>
        <v>0.52564180641949509</v>
      </c>
      <c r="AF410">
        <f t="shared" si="126"/>
        <v>0.50944262940022145</v>
      </c>
      <c r="AG410">
        <f t="shared" si="127"/>
        <v>0.51075208193489219</v>
      </c>
      <c r="AI410">
        <f t="shared" si="128"/>
        <v>0.22829234382516461</v>
      </c>
      <c r="AJ410">
        <f t="shared" si="129"/>
        <v>24.504067819873665</v>
      </c>
      <c r="AL410">
        <f t="shared" si="130"/>
        <v>0.23555154805415235</v>
      </c>
      <c r="AM410">
        <f t="shared" si="131"/>
        <v>26.087196981737833</v>
      </c>
      <c r="AO410">
        <f t="shared" si="132"/>
        <v>0.23494764729181647</v>
      </c>
      <c r="AP410">
        <f t="shared" si="133"/>
        <v>25.953605134583853</v>
      </c>
    </row>
    <row r="411" spans="1:42" x14ac:dyDescent="0.2">
      <c r="A411" s="3">
        <v>410</v>
      </c>
      <c r="B411" s="3">
        <v>2.8900000000000001E-7</v>
      </c>
      <c r="C411" s="2">
        <v>2.1319999999999999E-2</v>
      </c>
      <c r="D411" s="3">
        <v>180000</v>
      </c>
      <c r="E411" s="3">
        <v>123000000000</v>
      </c>
      <c r="F411" s="3">
        <v>110000000000</v>
      </c>
      <c r="G411" s="3">
        <v>15800000000</v>
      </c>
      <c r="H411" s="3">
        <v>11700000000</v>
      </c>
      <c r="I411" s="2"/>
      <c r="J411" s="7">
        <f t="shared" si="117"/>
        <v>0.28900000000000003</v>
      </c>
      <c r="K411" s="7">
        <f t="shared" si="118"/>
        <v>21.32</v>
      </c>
      <c r="L411" s="7">
        <f t="shared" si="119"/>
        <v>123.00000000000001</v>
      </c>
      <c r="M411" s="7">
        <f t="shared" si="120"/>
        <v>180</v>
      </c>
      <c r="O411">
        <f t="shared" si="121"/>
        <v>0.20016666666666671</v>
      </c>
      <c r="P411">
        <f t="shared" si="122"/>
        <v>200.16666666666671</v>
      </c>
      <c r="V411">
        <f t="shared" si="123"/>
        <v>668.65494419181505</v>
      </c>
      <c r="W411">
        <f t="shared" si="124"/>
        <v>134.59857102945756</v>
      </c>
      <c r="AE411">
        <f t="shared" si="125"/>
        <v>0.61042274293876841</v>
      </c>
      <c r="AF411">
        <f t="shared" si="126"/>
        <v>0.59161079543251516</v>
      </c>
      <c r="AG411">
        <f t="shared" si="127"/>
        <v>0.59313144998890699</v>
      </c>
      <c r="AI411">
        <f t="shared" si="128"/>
        <v>0.19726766091142461</v>
      </c>
      <c r="AJ411">
        <f t="shared" si="129"/>
        <v>18.212781710490276</v>
      </c>
      <c r="AL411">
        <f t="shared" si="130"/>
        <v>0.20354034712742589</v>
      </c>
      <c r="AM411">
        <f t="shared" si="131"/>
        <v>19.389451072348592</v>
      </c>
      <c r="AO411">
        <f t="shared" si="132"/>
        <v>0.20301851582632952</v>
      </c>
      <c r="AP411">
        <f t="shared" si="133"/>
        <v>19.290158205204982</v>
      </c>
    </row>
    <row r="412" spans="1:42" x14ac:dyDescent="0.2">
      <c r="A412" s="3">
        <v>410</v>
      </c>
      <c r="B412" s="3">
        <v>2.8999999999999998E-7</v>
      </c>
      <c r="C412" s="2">
        <v>2.137E-2</v>
      </c>
      <c r="D412" s="3">
        <v>172000</v>
      </c>
      <c r="E412" s="3">
        <v>118000000000</v>
      </c>
      <c r="F412" s="3">
        <v>107000000000</v>
      </c>
      <c r="G412" s="2">
        <v>0</v>
      </c>
      <c r="H412" s="3">
        <v>11900000000</v>
      </c>
      <c r="I412" s="2"/>
      <c r="J412" s="7">
        <f t="shared" si="117"/>
        <v>0.28999999999999998</v>
      </c>
      <c r="K412" s="7">
        <f t="shared" si="118"/>
        <v>21.37</v>
      </c>
      <c r="L412" s="7">
        <f t="shared" si="119"/>
        <v>118.00000000000001</v>
      </c>
      <c r="M412" s="7">
        <f t="shared" si="120"/>
        <v>172</v>
      </c>
      <c r="O412">
        <f t="shared" si="121"/>
        <v>0.19681686046511626</v>
      </c>
      <c r="P412">
        <f t="shared" si="122"/>
        <v>196.81686046511626</v>
      </c>
      <c r="V412">
        <f t="shared" si="123"/>
        <v>663.67424450835392</v>
      </c>
      <c r="W412">
        <f t="shared" si="124"/>
        <v>129.58164447636253</v>
      </c>
      <c r="AE412">
        <f t="shared" si="125"/>
        <v>0.583292843252601</v>
      </c>
      <c r="AF412">
        <f t="shared" si="126"/>
        <v>0.56531698230218119</v>
      </c>
      <c r="AG412">
        <f t="shared" si="127"/>
        <v>0.56677005221162224</v>
      </c>
      <c r="AI412">
        <f t="shared" si="128"/>
        <v>0.20715723625123444</v>
      </c>
      <c r="AJ412">
        <f t="shared" si="129"/>
        <v>19.993172845703921</v>
      </c>
      <c r="AL412">
        <f t="shared" si="130"/>
        <v>0.2137443896365098</v>
      </c>
      <c r="AM412">
        <f t="shared" si="131"/>
        <v>21.284867563613332</v>
      </c>
      <c r="AO412">
        <f t="shared" si="132"/>
        <v>0.21319639748399449</v>
      </c>
      <c r="AP412">
        <f t="shared" si="133"/>
        <v>21.175868318648781</v>
      </c>
    </row>
    <row r="413" spans="1:42" x14ac:dyDescent="0.2">
      <c r="A413" s="3">
        <v>410</v>
      </c>
      <c r="B413" s="3">
        <v>2.8999999999999998E-7</v>
      </c>
      <c r="C413" s="2">
        <v>2.1420000000000002E-2</v>
      </c>
      <c r="D413" s="3">
        <v>159000</v>
      </c>
      <c r="E413" s="3">
        <v>111000000000</v>
      </c>
      <c r="F413" s="3">
        <v>101000000000</v>
      </c>
      <c r="G413" s="3">
        <v>9710000000</v>
      </c>
      <c r="H413" s="3">
        <v>12400000000</v>
      </c>
      <c r="I413" s="2"/>
      <c r="J413" s="7">
        <f t="shared" si="117"/>
        <v>0.28999999999999998</v>
      </c>
      <c r="K413" s="7">
        <f t="shared" si="118"/>
        <v>21.42</v>
      </c>
      <c r="L413" s="7">
        <f t="shared" si="119"/>
        <v>111</v>
      </c>
      <c r="M413" s="7">
        <f t="shared" si="120"/>
        <v>159</v>
      </c>
      <c r="O413">
        <f t="shared" si="121"/>
        <v>0.18896226415094336</v>
      </c>
      <c r="P413">
        <f t="shared" si="122"/>
        <v>188.96226415094335</v>
      </c>
      <c r="V413">
        <f t="shared" si="123"/>
        <v>651.80723046312278</v>
      </c>
      <c r="W413">
        <f t="shared" si="124"/>
        <v>121.96857642023021</v>
      </c>
      <c r="AE413">
        <f t="shared" si="125"/>
        <v>0.53920675626257886</v>
      </c>
      <c r="AF413">
        <f t="shared" si="126"/>
        <v>0.52258953596538837</v>
      </c>
      <c r="AG413">
        <f t="shared" si="127"/>
        <v>0.52393278082353456</v>
      </c>
      <c r="AI413">
        <f t="shared" si="128"/>
        <v>0.22409462034724734</v>
      </c>
      <c r="AJ413">
        <f t="shared" si="129"/>
        <v>23.450888948804426</v>
      </c>
      <c r="AL413">
        <f t="shared" si="130"/>
        <v>0.23122034602188485</v>
      </c>
      <c r="AM413">
        <f t="shared" si="131"/>
        <v>24.965975604595531</v>
      </c>
      <c r="AO413">
        <f t="shared" si="132"/>
        <v>0.2306275494795412</v>
      </c>
      <c r="AP413">
        <f t="shared" si="133"/>
        <v>24.838125502518476</v>
      </c>
    </row>
    <row r="414" spans="1:42" x14ac:dyDescent="0.2">
      <c r="A414" s="3">
        <v>410</v>
      </c>
      <c r="B414" s="3">
        <v>2.91E-7</v>
      </c>
      <c r="C414" s="2">
        <v>2.1479999999999999E-2</v>
      </c>
      <c r="D414" s="3">
        <v>172000</v>
      </c>
      <c r="E414" s="3">
        <v>118000000000</v>
      </c>
      <c r="F414" s="3">
        <v>107000000000</v>
      </c>
      <c r="G414" s="3">
        <v>4280000000</v>
      </c>
      <c r="H414" s="3">
        <v>11900000000</v>
      </c>
      <c r="I414" s="2"/>
      <c r="J414" s="7">
        <f t="shared" si="117"/>
        <v>0.29099999999999998</v>
      </c>
      <c r="K414" s="7">
        <f t="shared" si="118"/>
        <v>21.48</v>
      </c>
      <c r="L414" s="7">
        <f t="shared" si="119"/>
        <v>118.00000000000001</v>
      </c>
      <c r="M414" s="7">
        <f t="shared" si="120"/>
        <v>172</v>
      </c>
      <c r="O414">
        <f t="shared" si="121"/>
        <v>0.19733720930232557</v>
      </c>
      <c r="P414">
        <f t="shared" si="122"/>
        <v>197.33720930232556</v>
      </c>
      <c r="V414">
        <f t="shared" si="123"/>
        <v>664.45101218379602</v>
      </c>
      <c r="W414">
        <f t="shared" si="124"/>
        <v>129.43015876723695</v>
      </c>
      <c r="AE414">
        <f t="shared" si="125"/>
        <v>0.583292843252601</v>
      </c>
      <c r="AF414">
        <f t="shared" si="126"/>
        <v>0.56531698230218119</v>
      </c>
      <c r="AG414">
        <f t="shared" si="127"/>
        <v>0.56677005221162224</v>
      </c>
      <c r="AI414">
        <f t="shared" si="128"/>
        <v>0.20787157154865252</v>
      </c>
      <c r="AJ414">
        <f t="shared" si="129"/>
        <v>20.09608576161536</v>
      </c>
      <c r="AL414">
        <f t="shared" si="130"/>
        <v>0.21448143925594604</v>
      </c>
      <c r="AM414">
        <f t="shared" si="131"/>
        <v>21.394429352663284</v>
      </c>
      <c r="AO414">
        <f t="shared" si="132"/>
        <v>0.21393155747531861</v>
      </c>
      <c r="AP414">
        <f t="shared" si="133"/>
        <v>21.284869044668966</v>
      </c>
    </row>
    <row r="415" spans="1:42" x14ac:dyDescent="0.2">
      <c r="A415" s="3">
        <v>410</v>
      </c>
      <c r="B415" s="3">
        <v>2.91E-7</v>
      </c>
      <c r="C415" s="2">
        <v>2.1530000000000001E-2</v>
      </c>
      <c r="D415" s="3">
        <v>176000</v>
      </c>
      <c r="E415" s="3">
        <v>120000000000</v>
      </c>
      <c r="F415" s="3">
        <v>108000000000</v>
      </c>
      <c r="G415" s="3">
        <v>4360000000</v>
      </c>
      <c r="H415" s="3">
        <v>11800000000</v>
      </c>
      <c r="I415" s="2"/>
      <c r="J415" s="7">
        <f t="shared" si="117"/>
        <v>0.29099999999999998</v>
      </c>
      <c r="K415" s="7">
        <f t="shared" si="118"/>
        <v>21.53</v>
      </c>
      <c r="L415" s="7">
        <f t="shared" si="119"/>
        <v>120.00000000000001</v>
      </c>
      <c r="M415" s="7">
        <f t="shared" si="120"/>
        <v>176</v>
      </c>
      <c r="O415">
        <f t="shared" si="121"/>
        <v>0.1992528409090909</v>
      </c>
      <c r="P415">
        <f t="shared" si="122"/>
        <v>199.25284090909091</v>
      </c>
      <c r="V415">
        <f t="shared" si="123"/>
        <v>667.3008460203946</v>
      </c>
      <c r="W415">
        <f t="shared" si="124"/>
        <v>131.87455182292766</v>
      </c>
      <c r="AE415">
        <f t="shared" si="125"/>
        <v>0.59685779309568476</v>
      </c>
      <c r="AF415">
        <f t="shared" si="126"/>
        <v>0.57846388886734823</v>
      </c>
      <c r="AG415">
        <f t="shared" si="127"/>
        <v>0.57995075110026462</v>
      </c>
      <c r="AI415">
        <f t="shared" si="128"/>
        <v>0.20314721764981947</v>
      </c>
      <c r="AJ415">
        <f t="shared" si="129"/>
        <v>19.237683988218254</v>
      </c>
      <c r="AL415">
        <f t="shared" si="130"/>
        <v>0.20960686109103815</v>
      </c>
      <c r="AM415">
        <f t="shared" si="131"/>
        <v>20.480568996223955</v>
      </c>
      <c r="AO415">
        <f t="shared" si="132"/>
        <v>0.20906947662360684</v>
      </c>
      <c r="AP415">
        <f t="shared" si="133"/>
        <v>20.375688542992993</v>
      </c>
    </row>
    <row r="416" spans="1:42" x14ac:dyDescent="0.2">
      <c r="A416" s="3">
        <v>410</v>
      </c>
      <c r="B416" s="3">
        <v>2.9200000000000002E-7</v>
      </c>
      <c r="C416" s="2">
        <v>2.1579999999999998E-2</v>
      </c>
      <c r="D416" s="3">
        <v>166000</v>
      </c>
      <c r="E416" s="3">
        <v>115000000000</v>
      </c>
      <c r="F416" s="3">
        <v>104000000000</v>
      </c>
      <c r="G416" s="3">
        <v>9880000000</v>
      </c>
      <c r="H416" s="3">
        <v>12200000000</v>
      </c>
      <c r="I416" s="2"/>
      <c r="J416" s="7">
        <f t="shared" si="117"/>
        <v>0.29200000000000004</v>
      </c>
      <c r="K416" s="7">
        <f t="shared" si="118"/>
        <v>21.58</v>
      </c>
      <c r="L416" s="7">
        <f t="shared" si="119"/>
        <v>115.00000000000001</v>
      </c>
      <c r="M416" s="7">
        <f t="shared" si="120"/>
        <v>166</v>
      </c>
      <c r="O416">
        <f t="shared" si="121"/>
        <v>0.19450000000000006</v>
      </c>
      <c r="P416">
        <f t="shared" si="122"/>
        <v>194.50000000000006</v>
      </c>
      <c r="V416">
        <f t="shared" si="123"/>
        <v>660.20171435663894</v>
      </c>
      <c r="W416">
        <f t="shared" si="124"/>
        <v>125.71915248793742</v>
      </c>
      <c r="AE416">
        <f t="shared" si="125"/>
        <v>0.56294541848797541</v>
      </c>
      <c r="AF416">
        <f t="shared" si="126"/>
        <v>0.54559662245443064</v>
      </c>
      <c r="AG416">
        <f t="shared" si="127"/>
        <v>0.54699900387865874</v>
      </c>
      <c r="AI416">
        <f t="shared" si="128"/>
        <v>0.21612515649110928</v>
      </c>
      <c r="AJ416">
        <f t="shared" si="129"/>
        <v>21.675511586096263</v>
      </c>
      <c r="AL416">
        <f t="shared" si="130"/>
        <v>0.22299747040099857</v>
      </c>
      <c r="AM416">
        <f t="shared" si="131"/>
        <v>23.075896809583245</v>
      </c>
      <c r="AO416">
        <f t="shared" si="132"/>
        <v>0.22242575544736476</v>
      </c>
      <c r="AP416">
        <f t="shared" si="133"/>
        <v>22.957725751125519</v>
      </c>
    </row>
    <row r="417" spans="1:42" x14ac:dyDescent="0.2">
      <c r="A417" s="3">
        <v>420</v>
      </c>
      <c r="B417" s="3">
        <v>2.9299999999999999E-7</v>
      </c>
      <c r="C417" s="2">
        <v>2.163E-2</v>
      </c>
      <c r="D417" s="3">
        <v>173000</v>
      </c>
      <c r="E417" s="3">
        <v>118000000000</v>
      </c>
      <c r="F417" s="3">
        <v>107000000000</v>
      </c>
      <c r="G417" s="3">
        <v>8580000000</v>
      </c>
      <c r="H417" s="3">
        <v>11900000000</v>
      </c>
      <c r="I417" s="2"/>
      <c r="J417" s="7">
        <f t="shared" si="117"/>
        <v>0.29299999999999998</v>
      </c>
      <c r="K417" s="7">
        <f t="shared" si="118"/>
        <v>21.63</v>
      </c>
      <c r="L417" s="7">
        <f t="shared" si="119"/>
        <v>118.00000000000001</v>
      </c>
      <c r="M417" s="7">
        <f t="shared" si="120"/>
        <v>173</v>
      </c>
      <c r="O417">
        <f t="shared" si="121"/>
        <v>0.19922832369942195</v>
      </c>
      <c r="P417">
        <f t="shared" si="122"/>
        <v>199.22832369942196</v>
      </c>
      <c r="V417">
        <f t="shared" si="123"/>
        <v>667.26446905978548</v>
      </c>
      <c r="W417">
        <f t="shared" si="124"/>
        <v>129.63375694480411</v>
      </c>
      <c r="AE417">
        <f t="shared" si="125"/>
        <v>0.58668408071337186</v>
      </c>
      <c r="AF417">
        <f t="shared" si="126"/>
        <v>0.5686037089434729</v>
      </c>
      <c r="AG417">
        <f t="shared" si="127"/>
        <v>0.57006522693378292</v>
      </c>
      <c r="AI417">
        <f t="shared" si="128"/>
        <v>0.20809041415421992</v>
      </c>
      <c r="AJ417">
        <f t="shared" si="129"/>
        <v>20.003150633629218</v>
      </c>
      <c r="AL417">
        <f t="shared" si="130"/>
        <v>0.21470724058444388</v>
      </c>
      <c r="AM417">
        <f t="shared" si="131"/>
        <v>21.295489984387</v>
      </c>
      <c r="AO417">
        <f t="shared" si="132"/>
        <v>0.2141567799004063</v>
      </c>
      <c r="AP417">
        <f t="shared" si="133"/>
        <v>21.186436342286044</v>
      </c>
    </row>
    <row r="418" spans="1:42" x14ac:dyDescent="0.2">
      <c r="A418" s="3">
        <v>420</v>
      </c>
      <c r="B418" s="3">
        <v>2.9299999999999999E-7</v>
      </c>
      <c r="C418" s="2">
        <v>2.1680000000000001E-2</v>
      </c>
      <c r="D418" s="3">
        <v>165000</v>
      </c>
      <c r="E418" s="3">
        <v>114000000000</v>
      </c>
      <c r="F418" s="3">
        <v>103000000000</v>
      </c>
      <c r="G418" s="2">
        <v>0</v>
      </c>
      <c r="H418" s="3">
        <v>12200000000</v>
      </c>
      <c r="I418" s="2"/>
      <c r="J418" s="7">
        <f t="shared" si="117"/>
        <v>0.29299999999999998</v>
      </c>
      <c r="K418" s="7">
        <f t="shared" si="118"/>
        <v>21.68</v>
      </c>
      <c r="L418" s="7">
        <f t="shared" si="119"/>
        <v>114</v>
      </c>
      <c r="M418" s="7">
        <f t="shared" si="120"/>
        <v>165</v>
      </c>
      <c r="O418">
        <f t="shared" si="121"/>
        <v>0.19445454545454544</v>
      </c>
      <c r="P418">
        <f t="shared" si="122"/>
        <v>194.45454545454544</v>
      </c>
      <c r="V418">
        <f t="shared" si="123"/>
        <v>660.13335688960558</v>
      </c>
      <c r="W418">
        <f t="shared" si="124"/>
        <v>124.97474811562432</v>
      </c>
      <c r="AE418">
        <f t="shared" si="125"/>
        <v>0.55955418102720444</v>
      </c>
      <c r="AF418">
        <f t="shared" si="126"/>
        <v>0.54230989581313893</v>
      </c>
      <c r="AG418">
        <f t="shared" si="127"/>
        <v>0.54370382915649806</v>
      </c>
      <c r="AI418">
        <f t="shared" si="128"/>
        <v>0.21817964635563661</v>
      </c>
      <c r="AJ418">
        <f t="shared" si="129"/>
        <v>22.040704990314371</v>
      </c>
      <c r="AL418">
        <f t="shared" si="130"/>
        <v>0.22511728861278052</v>
      </c>
      <c r="AM418">
        <f t="shared" si="131"/>
        <v>23.464684187348428</v>
      </c>
      <c r="AO418">
        <f t="shared" si="132"/>
        <v>0.22454013892588062</v>
      </c>
      <c r="AP418">
        <f t="shared" si="133"/>
        <v>23.344522158991492</v>
      </c>
    </row>
    <row r="419" spans="1:42" x14ac:dyDescent="0.2">
      <c r="A419" s="3">
        <v>420</v>
      </c>
      <c r="B419" s="3">
        <v>2.9400000000000001E-7</v>
      </c>
      <c r="C419" s="2">
        <v>2.1729999999999999E-2</v>
      </c>
      <c r="D419" s="3">
        <v>164000</v>
      </c>
      <c r="E419" s="3">
        <v>113000000000</v>
      </c>
      <c r="F419" s="3">
        <v>102000000000</v>
      </c>
      <c r="G419" s="2">
        <v>0</v>
      </c>
      <c r="H419" s="3">
        <v>12200000000</v>
      </c>
      <c r="I419" s="2"/>
      <c r="J419" s="7">
        <f t="shared" si="117"/>
        <v>0.29400000000000004</v>
      </c>
      <c r="K419" s="7">
        <f t="shared" si="118"/>
        <v>21.73</v>
      </c>
      <c r="L419" s="7">
        <f t="shared" si="119"/>
        <v>113</v>
      </c>
      <c r="M419" s="7">
        <f t="shared" si="120"/>
        <v>164</v>
      </c>
      <c r="O419">
        <f t="shared" si="121"/>
        <v>0.19462500000000005</v>
      </c>
      <c r="P419">
        <f t="shared" si="122"/>
        <v>194.62500000000006</v>
      </c>
      <c r="V419">
        <f t="shared" si="123"/>
        <v>660.38965152435082</v>
      </c>
      <c r="W419">
        <f t="shared" si="124"/>
        <v>124.16911714276974</v>
      </c>
      <c r="AE419">
        <f t="shared" si="125"/>
        <v>0.55616294356643348</v>
      </c>
      <c r="AF419">
        <f t="shared" si="126"/>
        <v>0.53902316917184723</v>
      </c>
      <c r="AG419">
        <f t="shared" si="127"/>
        <v>0.5404086544343375</v>
      </c>
      <c r="AI419">
        <f t="shared" si="128"/>
        <v>0.22025919097460947</v>
      </c>
      <c r="AJ419">
        <f t="shared" si="129"/>
        <v>22.361767229652319</v>
      </c>
      <c r="AL419">
        <f t="shared" si="130"/>
        <v>0.22726295826616966</v>
      </c>
      <c r="AM419">
        <f t="shared" si="131"/>
        <v>23.806489227335053</v>
      </c>
      <c r="AO419">
        <f t="shared" si="132"/>
        <v>0.22668030756876864</v>
      </c>
      <c r="AP419">
        <f t="shared" si="133"/>
        <v>23.684576824390525</v>
      </c>
    </row>
    <row r="420" spans="1:42" x14ac:dyDescent="0.2">
      <c r="A420" s="3">
        <v>420</v>
      </c>
      <c r="B420" s="3">
        <v>2.9400000000000001E-7</v>
      </c>
      <c r="C420" s="2">
        <v>2.179E-2</v>
      </c>
      <c r="D420" s="3">
        <v>168000</v>
      </c>
      <c r="E420" s="3">
        <v>115000000000</v>
      </c>
      <c r="F420" s="3">
        <v>104000000000</v>
      </c>
      <c r="G420" s="3">
        <v>7300000000</v>
      </c>
      <c r="H420" s="3">
        <v>12100000000</v>
      </c>
      <c r="I420" s="2"/>
      <c r="J420" s="7">
        <f t="shared" si="117"/>
        <v>0.29400000000000004</v>
      </c>
      <c r="K420" s="7">
        <f t="shared" si="118"/>
        <v>21.79</v>
      </c>
      <c r="L420" s="7">
        <f t="shared" si="119"/>
        <v>115.00000000000001</v>
      </c>
      <c r="M420" s="7">
        <f t="shared" si="120"/>
        <v>168</v>
      </c>
      <c r="O420">
        <f t="shared" si="121"/>
        <v>0.19672321428571432</v>
      </c>
      <c r="P420">
        <f t="shared" si="122"/>
        <v>196.72321428571433</v>
      </c>
      <c r="V420">
        <f t="shared" si="123"/>
        <v>663.53432972062797</v>
      </c>
      <c r="W420">
        <f t="shared" si="124"/>
        <v>126.59480638381898</v>
      </c>
      <c r="AE420">
        <f t="shared" si="125"/>
        <v>0.56972789340951724</v>
      </c>
      <c r="AF420">
        <f t="shared" si="126"/>
        <v>0.55217007573701415</v>
      </c>
      <c r="AG420">
        <f t="shared" si="127"/>
        <v>0.55358935332297987</v>
      </c>
      <c r="AI420">
        <f t="shared" si="128"/>
        <v>0.21501492452283302</v>
      </c>
      <c r="AJ420">
        <f t="shared" si="129"/>
        <v>21.368437112586193</v>
      </c>
      <c r="AL420">
        <f t="shared" si="130"/>
        <v>0.22185193545030851</v>
      </c>
      <c r="AM420">
        <f t="shared" si="131"/>
        <v>22.748983240072807</v>
      </c>
      <c r="AO420">
        <f t="shared" si="132"/>
        <v>0.22128315738855986</v>
      </c>
      <c r="AP420">
        <f t="shared" si="133"/>
        <v>22.632486297375447</v>
      </c>
    </row>
    <row r="421" spans="1:42" x14ac:dyDescent="0.2">
      <c r="A421" s="3">
        <v>420</v>
      </c>
      <c r="B421" s="3">
        <v>2.9499999999999998E-7</v>
      </c>
      <c r="C421" s="2">
        <v>2.1839999999999998E-2</v>
      </c>
      <c r="D421" s="3">
        <v>168000</v>
      </c>
      <c r="E421" s="3">
        <v>115000000000</v>
      </c>
      <c r="F421" s="3">
        <v>104000000000</v>
      </c>
      <c r="G421" s="2">
        <v>0</v>
      </c>
      <c r="H421" s="3">
        <v>12100000000</v>
      </c>
      <c r="I421" s="2"/>
      <c r="J421" s="7">
        <f t="shared" si="117"/>
        <v>0.29499999999999998</v>
      </c>
      <c r="K421" s="7">
        <f t="shared" si="118"/>
        <v>21.84</v>
      </c>
      <c r="L421" s="7">
        <f t="shared" si="119"/>
        <v>115.00000000000001</v>
      </c>
      <c r="M421" s="7">
        <f t="shared" si="120"/>
        <v>168</v>
      </c>
      <c r="O421">
        <f t="shared" si="121"/>
        <v>0.19749999999999998</v>
      </c>
      <c r="P421">
        <f t="shared" si="122"/>
        <v>197.49999999999997</v>
      </c>
      <c r="V421">
        <f t="shared" si="123"/>
        <v>664.69378897118986</v>
      </c>
      <c r="W421">
        <f t="shared" si="124"/>
        <v>126.37398061145542</v>
      </c>
      <c r="AE421">
        <f t="shared" si="125"/>
        <v>0.56972789340951724</v>
      </c>
      <c r="AF421">
        <f t="shared" si="126"/>
        <v>0.55217007573701415</v>
      </c>
      <c r="AG421">
        <f t="shared" si="127"/>
        <v>0.55358935332297987</v>
      </c>
      <c r="AI421">
        <f t="shared" si="128"/>
        <v>0.21574626780352291</v>
      </c>
      <c r="AJ421">
        <f t="shared" si="129"/>
        <v>21.417469781499882</v>
      </c>
      <c r="AL421">
        <f t="shared" si="130"/>
        <v>0.22260653387020746</v>
      </c>
      <c r="AM421">
        <f t="shared" si="131"/>
        <v>22.801183752326303</v>
      </c>
      <c r="AO421">
        <f t="shared" si="132"/>
        <v>0.22203582118920118</v>
      </c>
      <c r="AP421">
        <f t="shared" si="133"/>
        <v>22.684419492183558</v>
      </c>
    </row>
    <row r="422" spans="1:42" x14ac:dyDescent="0.2">
      <c r="A422" s="3">
        <v>420</v>
      </c>
      <c r="B422" s="3">
        <v>2.96E-7</v>
      </c>
      <c r="C422" s="2">
        <v>2.189E-2</v>
      </c>
      <c r="D422" s="3">
        <v>163000</v>
      </c>
      <c r="E422" s="3">
        <v>112000000000</v>
      </c>
      <c r="F422" s="3">
        <v>101000000000</v>
      </c>
      <c r="G422" s="2">
        <v>0</v>
      </c>
      <c r="H422" s="3">
        <v>12300000000</v>
      </c>
      <c r="I422" s="2"/>
      <c r="J422" s="7">
        <f t="shared" si="117"/>
        <v>0.29599999999999999</v>
      </c>
      <c r="K422" s="7">
        <f t="shared" si="118"/>
        <v>21.89</v>
      </c>
      <c r="L422" s="7">
        <f t="shared" si="119"/>
        <v>112</v>
      </c>
      <c r="M422" s="7">
        <f t="shared" si="120"/>
        <v>163</v>
      </c>
      <c r="O422">
        <f t="shared" si="121"/>
        <v>0.19527914110429445</v>
      </c>
      <c r="P422">
        <f t="shared" si="122"/>
        <v>195.27914110429444</v>
      </c>
      <c r="V422">
        <f t="shared" si="123"/>
        <v>661.37205619409394</v>
      </c>
      <c r="W422">
        <f t="shared" si="124"/>
        <v>123.22867172374465</v>
      </c>
      <c r="AE422">
        <f t="shared" si="125"/>
        <v>0.55277170610566251</v>
      </c>
      <c r="AF422">
        <f t="shared" si="126"/>
        <v>0.53573644253055541</v>
      </c>
      <c r="AG422">
        <f t="shared" si="127"/>
        <v>0.53711347971217693</v>
      </c>
      <c r="AI422">
        <f t="shared" si="128"/>
        <v>0.22311802860213348</v>
      </c>
      <c r="AJ422">
        <f t="shared" si="129"/>
        <v>22.803664615170796</v>
      </c>
      <c r="AL422">
        <f t="shared" si="130"/>
        <v>0.2302127007652631</v>
      </c>
      <c r="AM422">
        <f t="shared" si="131"/>
        <v>24.276936184406644</v>
      </c>
      <c r="AO422">
        <f t="shared" si="132"/>
        <v>0.22962248759689288</v>
      </c>
      <c r="AP422">
        <f t="shared" si="133"/>
        <v>24.152614635012718</v>
      </c>
    </row>
    <row r="423" spans="1:42" x14ac:dyDescent="0.2">
      <c r="A423" s="3">
        <v>420</v>
      </c>
      <c r="B423" s="3">
        <v>2.9700000000000003E-7</v>
      </c>
      <c r="C423" s="2">
        <v>2.1940000000000001E-2</v>
      </c>
      <c r="D423" s="3">
        <v>172000</v>
      </c>
      <c r="E423" s="3">
        <v>117000000000</v>
      </c>
      <c r="F423" s="3">
        <v>106000000000</v>
      </c>
      <c r="G423" s="2">
        <v>0</v>
      </c>
      <c r="H423" s="3">
        <v>11900000000</v>
      </c>
      <c r="I423" s="2"/>
      <c r="J423" s="7">
        <f t="shared" si="117"/>
        <v>0.29700000000000004</v>
      </c>
      <c r="K423" s="7">
        <f t="shared" si="118"/>
        <v>21.94</v>
      </c>
      <c r="L423" s="7">
        <f t="shared" si="119"/>
        <v>117.00000000000001</v>
      </c>
      <c r="M423" s="7">
        <f t="shared" si="120"/>
        <v>172</v>
      </c>
      <c r="O423">
        <f t="shared" si="121"/>
        <v>0.20133139534883723</v>
      </c>
      <c r="P423">
        <f t="shared" si="122"/>
        <v>201.33139534883722</v>
      </c>
      <c r="V423">
        <f t="shared" si="123"/>
        <v>670.37584640281375</v>
      </c>
      <c r="W423">
        <f t="shared" si="124"/>
        <v>128.28624489004119</v>
      </c>
      <c r="AE423">
        <f t="shared" si="125"/>
        <v>0.583292843252601</v>
      </c>
      <c r="AF423">
        <f t="shared" si="126"/>
        <v>0.56531698230218119</v>
      </c>
      <c r="AG423">
        <f t="shared" si="127"/>
        <v>0.56677005221162224</v>
      </c>
      <c r="AI423">
        <f t="shared" si="128"/>
        <v>0.21215758333316084</v>
      </c>
      <c r="AJ423">
        <f t="shared" si="129"/>
        <v>20.526448864517736</v>
      </c>
      <c r="AL423">
        <f t="shared" si="130"/>
        <v>0.21890373697256355</v>
      </c>
      <c r="AM423">
        <f t="shared" si="131"/>
        <v>21.852596834144901</v>
      </c>
      <c r="AO423">
        <f t="shared" si="132"/>
        <v>0.21834251742326338</v>
      </c>
      <c r="AP423">
        <f t="shared" si="133"/>
        <v>21.740690262571562</v>
      </c>
    </row>
    <row r="424" spans="1:42" x14ac:dyDescent="0.2">
      <c r="A424" s="3">
        <v>420</v>
      </c>
      <c r="B424" s="3">
        <v>2.9799999999999999E-7</v>
      </c>
      <c r="C424" s="2">
        <v>2.1999999999999999E-2</v>
      </c>
      <c r="D424" s="3">
        <v>177000</v>
      </c>
      <c r="E424" s="3">
        <v>119000000000</v>
      </c>
      <c r="F424" s="3">
        <v>107000000000</v>
      </c>
      <c r="G424" s="2">
        <v>0</v>
      </c>
      <c r="H424" s="3">
        <v>11800000000</v>
      </c>
      <c r="I424" s="2"/>
      <c r="J424" s="7">
        <f t="shared" si="117"/>
        <v>0.29799999999999999</v>
      </c>
      <c r="K424" s="7">
        <f t="shared" si="118"/>
        <v>22</v>
      </c>
      <c r="L424" s="7">
        <f t="shared" si="119"/>
        <v>119.00000000000001</v>
      </c>
      <c r="M424" s="7">
        <f t="shared" si="120"/>
        <v>177</v>
      </c>
      <c r="O424">
        <f t="shared" si="121"/>
        <v>0.20477966101694914</v>
      </c>
      <c r="P424">
        <f t="shared" si="122"/>
        <v>204.77966101694915</v>
      </c>
      <c r="V424">
        <f t="shared" si="123"/>
        <v>675.43843643270577</v>
      </c>
      <c r="W424">
        <f t="shared" si="124"/>
        <v>131.02600507517505</v>
      </c>
      <c r="AE424">
        <f t="shared" si="125"/>
        <v>0.60024903055645562</v>
      </c>
      <c r="AF424">
        <f t="shared" si="126"/>
        <v>0.58175061550863993</v>
      </c>
      <c r="AG424">
        <f t="shared" si="127"/>
        <v>0.58324592582242529</v>
      </c>
      <c r="AI424">
        <f t="shared" si="128"/>
        <v>0.20685858759581674</v>
      </c>
      <c r="AJ424">
        <f t="shared" si="129"/>
        <v>19.436149920674033</v>
      </c>
      <c r="AL424">
        <f t="shared" si="130"/>
        <v>0.21343624459787544</v>
      </c>
      <c r="AM424">
        <f t="shared" si="131"/>
        <v>20.6918571754845</v>
      </c>
      <c r="AO424">
        <f t="shared" si="132"/>
        <v>0.21288904245937307</v>
      </c>
      <c r="AP424">
        <f t="shared" si="133"/>
        <v>20.585894721064633</v>
      </c>
    </row>
    <row r="425" spans="1:42" x14ac:dyDescent="0.2">
      <c r="A425" s="3">
        <v>420</v>
      </c>
      <c r="B425" s="3">
        <v>2.9799999999999999E-7</v>
      </c>
      <c r="C425" s="2">
        <v>2.205E-2</v>
      </c>
      <c r="D425" s="3">
        <v>166000</v>
      </c>
      <c r="E425" s="3">
        <v>113000000000</v>
      </c>
      <c r="F425" s="3">
        <v>102000000000</v>
      </c>
      <c r="G425" s="3">
        <v>962000000</v>
      </c>
      <c r="H425" s="3">
        <v>12200000000</v>
      </c>
      <c r="I425" s="2"/>
      <c r="J425" s="7">
        <f t="shared" si="117"/>
        <v>0.29799999999999999</v>
      </c>
      <c r="K425" s="7">
        <f t="shared" si="118"/>
        <v>22.05</v>
      </c>
      <c r="L425" s="7">
        <f t="shared" si="119"/>
        <v>113</v>
      </c>
      <c r="M425" s="7">
        <f t="shared" si="120"/>
        <v>166</v>
      </c>
      <c r="O425">
        <f t="shared" si="121"/>
        <v>0.19837650602409637</v>
      </c>
      <c r="P425">
        <f t="shared" si="122"/>
        <v>198.37650602409636</v>
      </c>
      <c r="V425">
        <f t="shared" si="123"/>
        <v>665.99904858047125</v>
      </c>
      <c r="W425">
        <f t="shared" si="124"/>
        <v>124.6248026583649</v>
      </c>
      <c r="AE425">
        <f t="shared" si="125"/>
        <v>0.56294541848797541</v>
      </c>
      <c r="AF425">
        <f t="shared" si="126"/>
        <v>0.54559662245443064</v>
      </c>
      <c r="AG425">
        <f t="shared" si="127"/>
        <v>0.54699900387865874</v>
      </c>
      <c r="AI425">
        <f t="shared" si="128"/>
        <v>0.22056608436421424</v>
      </c>
      <c r="AJ425">
        <f t="shared" si="129"/>
        <v>22.147591773559899</v>
      </c>
      <c r="AL425">
        <f t="shared" si="130"/>
        <v>0.22757961020375878</v>
      </c>
      <c r="AM425">
        <f t="shared" si="131"/>
        <v>23.578476582544514</v>
      </c>
      <c r="AO425">
        <f t="shared" si="132"/>
        <v>0.22699614768258455</v>
      </c>
      <c r="AP425">
        <f t="shared" si="133"/>
        <v>23.457731826335394</v>
      </c>
    </row>
    <row r="426" spans="1:42" x14ac:dyDescent="0.2">
      <c r="A426" s="3">
        <v>420</v>
      </c>
      <c r="B426" s="3">
        <v>2.9900000000000002E-7</v>
      </c>
      <c r="C426" s="2">
        <v>2.2100000000000002E-2</v>
      </c>
      <c r="D426" s="3">
        <v>170000</v>
      </c>
      <c r="E426" s="3">
        <v>115000000000</v>
      </c>
      <c r="F426" s="3">
        <v>104000000000</v>
      </c>
      <c r="G426" s="2">
        <v>0</v>
      </c>
      <c r="H426" s="3">
        <v>12000000000</v>
      </c>
      <c r="I426" s="2"/>
      <c r="J426" s="7">
        <f t="shared" si="117"/>
        <v>0.29900000000000004</v>
      </c>
      <c r="K426" s="7">
        <f t="shared" si="118"/>
        <v>22.1</v>
      </c>
      <c r="L426" s="7">
        <f t="shared" si="119"/>
        <v>115.00000000000001</v>
      </c>
      <c r="M426" s="7">
        <f t="shared" si="120"/>
        <v>170</v>
      </c>
      <c r="O426">
        <f t="shared" si="121"/>
        <v>0.20150000000000004</v>
      </c>
      <c r="P426">
        <f t="shared" si="122"/>
        <v>201.50000000000003</v>
      </c>
      <c r="V426">
        <f t="shared" si="123"/>
        <v>670.62450214005958</v>
      </c>
      <c r="W426">
        <f t="shared" si="124"/>
        <v>126.74753118735259</v>
      </c>
      <c r="AE426">
        <f t="shared" si="125"/>
        <v>0.57651036833105906</v>
      </c>
      <c r="AF426">
        <f t="shared" si="126"/>
        <v>0.55874352901959767</v>
      </c>
      <c r="AG426">
        <f t="shared" si="127"/>
        <v>0.56017970276730111</v>
      </c>
      <c r="AI426">
        <f t="shared" si="128"/>
        <v>0.21609903338597339</v>
      </c>
      <c r="AJ426">
        <f t="shared" si="129"/>
        <v>21.16549954877636</v>
      </c>
      <c r="AL426">
        <f t="shared" si="130"/>
        <v>0.2229705166374529</v>
      </c>
      <c r="AM426">
        <f t="shared" si="131"/>
        <v>22.532934531710698</v>
      </c>
      <c r="AO426">
        <f t="shared" si="132"/>
        <v>0.22239887078715759</v>
      </c>
      <c r="AP426">
        <f t="shared" si="133"/>
        <v>22.417543968746099</v>
      </c>
    </row>
    <row r="427" spans="1:42" x14ac:dyDescent="0.2">
      <c r="A427" s="3">
        <v>430</v>
      </c>
      <c r="B427" s="3">
        <v>2.9900000000000002E-7</v>
      </c>
      <c r="C427" s="2">
        <v>2.215E-2</v>
      </c>
      <c r="D427" s="3">
        <v>160000</v>
      </c>
      <c r="E427" s="3">
        <v>110000000000</v>
      </c>
      <c r="F427" s="3">
        <v>99600000000</v>
      </c>
      <c r="G427" s="3">
        <v>13400000000</v>
      </c>
      <c r="H427" s="3">
        <v>12400000000</v>
      </c>
      <c r="I427" s="2"/>
      <c r="J427" s="7">
        <f t="shared" si="117"/>
        <v>0.29900000000000004</v>
      </c>
      <c r="K427" s="7">
        <f t="shared" si="118"/>
        <v>22.15</v>
      </c>
      <c r="L427" s="7">
        <f t="shared" si="119"/>
        <v>110</v>
      </c>
      <c r="M427" s="7">
        <f t="shared" si="120"/>
        <v>160</v>
      </c>
      <c r="O427">
        <f t="shared" si="121"/>
        <v>0.19517187500000005</v>
      </c>
      <c r="P427">
        <f t="shared" si="122"/>
        <v>195.17187500000006</v>
      </c>
      <c r="V427">
        <f t="shared" si="123"/>
        <v>661.21108718317168</v>
      </c>
      <c r="W427">
        <f t="shared" si="124"/>
        <v>120.99010671585735</v>
      </c>
      <c r="AE427">
        <f t="shared" si="125"/>
        <v>0.54259799372334971</v>
      </c>
      <c r="AF427">
        <f t="shared" si="126"/>
        <v>0.52587626260668019</v>
      </c>
      <c r="AG427">
        <f t="shared" si="127"/>
        <v>0.52722795554569513</v>
      </c>
      <c r="AI427">
        <f t="shared" si="128"/>
        <v>0.22960522297259675</v>
      </c>
      <c r="AJ427">
        <f t="shared" si="129"/>
        <v>23.947923242463155</v>
      </c>
      <c r="AL427">
        <f t="shared" si="130"/>
        <v>0.23690617392729371</v>
      </c>
      <c r="AM427">
        <f t="shared" si="131"/>
        <v>25.495121688448499</v>
      </c>
      <c r="AO427">
        <f t="shared" si="132"/>
        <v>0.23629880021135499</v>
      </c>
      <c r="AP427">
        <f t="shared" si="133"/>
        <v>25.364561843243219</v>
      </c>
    </row>
    <row r="428" spans="1:42" x14ac:dyDescent="0.2">
      <c r="A428" s="3">
        <v>430</v>
      </c>
      <c r="B428" s="3">
        <v>2.9999999999999999E-7</v>
      </c>
      <c r="C428" s="2">
        <v>2.2200000000000001E-2</v>
      </c>
      <c r="D428" s="3">
        <v>172000</v>
      </c>
      <c r="E428" s="3">
        <v>116000000000</v>
      </c>
      <c r="F428" s="3">
        <v>105000000000</v>
      </c>
      <c r="G428" s="2">
        <v>0</v>
      </c>
      <c r="H428" s="3">
        <v>12000000000</v>
      </c>
      <c r="I428" s="2"/>
      <c r="J428" s="7">
        <f t="shared" si="117"/>
        <v>0.3</v>
      </c>
      <c r="K428" s="7">
        <f t="shared" si="118"/>
        <v>22.2</v>
      </c>
      <c r="L428" s="7">
        <f t="shared" si="119"/>
        <v>116.00000000000001</v>
      </c>
      <c r="M428" s="7">
        <f t="shared" si="120"/>
        <v>172</v>
      </c>
      <c r="O428">
        <f t="shared" si="121"/>
        <v>0.20319767441860465</v>
      </c>
      <c r="P428">
        <f t="shared" si="122"/>
        <v>203.19767441860463</v>
      </c>
      <c r="V428">
        <f t="shared" si="123"/>
        <v>673.12177703228656</v>
      </c>
      <c r="W428">
        <f t="shared" si="124"/>
        <v>127.76291443008085</v>
      </c>
      <c r="AE428">
        <f t="shared" si="125"/>
        <v>0.583292843252601</v>
      </c>
      <c r="AF428">
        <f t="shared" si="126"/>
        <v>0.56531698230218119</v>
      </c>
      <c r="AG428">
        <f t="shared" si="127"/>
        <v>0.56677005221162224</v>
      </c>
      <c r="AI428">
        <f t="shared" si="128"/>
        <v>0.21430058922541495</v>
      </c>
      <c r="AJ428">
        <f t="shared" si="129"/>
        <v>20.769697574853861</v>
      </c>
      <c r="AL428">
        <f t="shared" si="130"/>
        <v>0.22111488583087222</v>
      </c>
      <c r="AM428">
        <f t="shared" si="131"/>
        <v>22.11156106280842</v>
      </c>
      <c r="AO428">
        <f t="shared" si="132"/>
        <v>0.22054799739723571</v>
      </c>
      <c r="AP428">
        <f t="shared" si="133"/>
        <v>21.998328342255633</v>
      </c>
    </row>
    <row r="429" spans="1:42" x14ac:dyDescent="0.2">
      <c r="A429" s="3">
        <v>430</v>
      </c>
      <c r="B429" s="3">
        <v>3.0100000000000001E-7</v>
      </c>
      <c r="C429" s="2">
        <v>2.2259999999999999E-2</v>
      </c>
      <c r="D429" s="3">
        <v>165000</v>
      </c>
      <c r="E429" s="3">
        <v>112000000000</v>
      </c>
      <c r="F429" s="3">
        <v>102000000000</v>
      </c>
      <c r="G429" s="3">
        <v>6770000000</v>
      </c>
      <c r="H429" s="3">
        <v>12200000000</v>
      </c>
      <c r="I429" s="2"/>
      <c r="J429" s="7">
        <f t="shared" si="117"/>
        <v>0.30099999999999999</v>
      </c>
      <c r="K429" s="7">
        <f t="shared" si="118"/>
        <v>22.259999999999998</v>
      </c>
      <c r="L429" s="7">
        <f t="shared" si="119"/>
        <v>112</v>
      </c>
      <c r="M429" s="7">
        <f t="shared" si="120"/>
        <v>165</v>
      </c>
      <c r="O429">
        <f t="shared" si="121"/>
        <v>0.19981818181818181</v>
      </c>
      <c r="P429">
        <f t="shared" si="122"/>
        <v>199.81818181818181</v>
      </c>
      <c r="V429">
        <f t="shared" si="123"/>
        <v>668.13896968960694</v>
      </c>
      <c r="W429">
        <f t="shared" si="124"/>
        <v>123.4773059837035</v>
      </c>
      <c r="AE429">
        <f t="shared" si="125"/>
        <v>0.55955418102720444</v>
      </c>
      <c r="AF429">
        <f t="shared" si="126"/>
        <v>0.54230989581313893</v>
      </c>
      <c r="AG429">
        <f t="shared" si="127"/>
        <v>0.54370382915649806</v>
      </c>
      <c r="AI429">
        <f t="shared" si="128"/>
        <v>0.22413676980561986</v>
      </c>
      <c r="AJ429">
        <f t="shared" si="129"/>
        <v>22.630354847066322</v>
      </c>
      <c r="AL429">
        <f t="shared" si="130"/>
        <v>0.23126383574213971</v>
      </c>
      <c r="AM429">
        <f t="shared" si="131"/>
        <v>24.09242942852288</v>
      </c>
      <c r="AO429">
        <f t="shared" si="132"/>
        <v>0.23067092770201389</v>
      </c>
      <c r="AP429">
        <f t="shared" si="133"/>
        <v>23.969052733355653</v>
      </c>
    </row>
    <row r="430" spans="1:42" x14ac:dyDescent="0.2">
      <c r="A430" s="3">
        <v>430</v>
      </c>
      <c r="B430" s="3">
        <v>3.0100000000000001E-7</v>
      </c>
      <c r="C430" s="2">
        <v>2.231E-2</v>
      </c>
      <c r="D430" s="3">
        <v>164000</v>
      </c>
      <c r="E430" s="3">
        <v>112000000000</v>
      </c>
      <c r="F430" s="3">
        <v>101000000000</v>
      </c>
      <c r="G430" s="3">
        <v>873000000</v>
      </c>
      <c r="H430" s="3">
        <v>12300000000</v>
      </c>
      <c r="I430" s="2"/>
      <c r="J430" s="7">
        <f t="shared" si="117"/>
        <v>0.30099999999999999</v>
      </c>
      <c r="K430" s="7">
        <f t="shared" si="118"/>
        <v>22.31</v>
      </c>
      <c r="L430" s="7">
        <f t="shared" si="119"/>
        <v>112</v>
      </c>
      <c r="M430" s="7">
        <f t="shared" si="120"/>
        <v>164</v>
      </c>
      <c r="O430">
        <f t="shared" si="121"/>
        <v>0.19897256097560975</v>
      </c>
      <c r="P430">
        <f t="shared" si="122"/>
        <v>198.97256097560975</v>
      </c>
      <c r="V430">
        <f t="shared" si="123"/>
        <v>666.88483703323777</v>
      </c>
      <c r="W430">
        <f t="shared" si="124"/>
        <v>122.95976073589014</v>
      </c>
      <c r="AE430">
        <f t="shared" si="125"/>
        <v>0.55616294356643348</v>
      </c>
      <c r="AF430">
        <f t="shared" si="126"/>
        <v>0.53902316917184723</v>
      </c>
      <c r="AG430">
        <f t="shared" si="127"/>
        <v>0.5404086544343375</v>
      </c>
      <c r="AI430">
        <f t="shared" si="128"/>
        <v>0.22550345742638586</v>
      </c>
      <c r="AJ430">
        <f t="shared" si="129"/>
        <v>22.95862986164488</v>
      </c>
      <c r="AL430">
        <f t="shared" si="130"/>
        <v>0.2326739810820308</v>
      </c>
      <c r="AM430">
        <f t="shared" si="131"/>
        <v>24.441913238004833</v>
      </c>
      <c r="AO430">
        <f t="shared" si="132"/>
        <v>0.23207745774897737</v>
      </c>
      <c r="AP430">
        <f t="shared" si="133"/>
        <v>24.316746845474118</v>
      </c>
    </row>
    <row r="431" spans="1:42" x14ac:dyDescent="0.2">
      <c r="A431" s="3">
        <v>430</v>
      </c>
      <c r="B431" s="3">
        <v>3.0199999999999998E-7</v>
      </c>
      <c r="C431" s="2">
        <v>2.2370000000000001E-2</v>
      </c>
      <c r="D431" s="3">
        <v>171000</v>
      </c>
      <c r="E431" s="3">
        <v>115000000000</v>
      </c>
      <c r="F431" s="3">
        <v>104000000000</v>
      </c>
      <c r="G431" s="2">
        <v>0</v>
      </c>
      <c r="H431" s="3">
        <v>12000000000</v>
      </c>
      <c r="I431" s="2"/>
      <c r="J431" s="7">
        <f t="shared" si="117"/>
        <v>0.30199999999999999</v>
      </c>
      <c r="K431" s="7">
        <f t="shared" si="118"/>
        <v>22.37</v>
      </c>
      <c r="L431" s="7">
        <f t="shared" si="119"/>
        <v>115.00000000000001</v>
      </c>
      <c r="M431" s="7">
        <f t="shared" si="120"/>
        <v>171</v>
      </c>
      <c r="O431">
        <f t="shared" si="121"/>
        <v>0.2038859649122807</v>
      </c>
      <c r="P431">
        <f t="shared" si="122"/>
        <v>203.88596491228068</v>
      </c>
      <c r="V431">
        <f t="shared" si="123"/>
        <v>674.13093895617715</v>
      </c>
      <c r="W431">
        <f t="shared" si="124"/>
        <v>126.82995996651334</v>
      </c>
      <c r="AE431">
        <f t="shared" si="125"/>
        <v>0.57990160579183003</v>
      </c>
      <c r="AF431">
        <f t="shared" si="126"/>
        <v>0.56203025566088949</v>
      </c>
      <c r="AG431">
        <f t="shared" si="127"/>
        <v>0.56347487748946168</v>
      </c>
      <c r="AI431">
        <f t="shared" si="128"/>
        <v>0.21699083443908293</v>
      </c>
      <c r="AJ431">
        <f t="shared" si="129"/>
        <v>21.1742411824392</v>
      </c>
      <c r="AL431">
        <f t="shared" si="130"/>
        <v>0.22389067504091278</v>
      </c>
      <c r="AM431">
        <f t="shared" si="131"/>
        <v>22.542240934263162</v>
      </c>
      <c r="AO431">
        <f t="shared" si="132"/>
        <v>0.22331667011309961</v>
      </c>
      <c r="AP431">
        <f t="shared" si="133"/>
        <v>22.426802713456748</v>
      </c>
    </row>
    <row r="432" spans="1:42" x14ac:dyDescent="0.2">
      <c r="A432" s="3">
        <v>430</v>
      </c>
      <c r="B432" s="3">
        <v>3.03E-7</v>
      </c>
      <c r="C432" s="2">
        <v>2.2419999999999999E-2</v>
      </c>
      <c r="D432" s="3">
        <v>191000</v>
      </c>
      <c r="E432" s="3">
        <v>126000000000</v>
      </c>
      <c r="F432" s="3">
        <v>113000000000</v>
      </c>
      <c r="G432" s="3">
        <v>1660000000</v>
      </c>
      <c r="H432" s="3">
        <v>11400000000</v>
      </c>
      <c r="I432" s="2"/>
      <c r="J432" s="7">
        <f t="shared" si="117"/>
        <v>0.30299999999999999</v>
      </c>
      <c r="K432" s="7">
        <f t="shared" si="118"/>
        <v>22.419999999999998</v>
      </c>
      <c r="L432" s="7">
        <f t="shared" si="119"/>
        <v>126.00000000000001</v>
      </c>
      <c r="M432" s="7">
        <f t="shared" si="120"/>
        <v>191</v>
      </c>
      <c r="O432">
        <f t="shared" si="121"/>
        <v>0.21496335078534032</v>
      </c>
      <c r="P432">
        <f t="shared" si="122"/>
        <v>214.96335078534031</v>
      </c>
      <c r="V432">
        <f t="shared" si="123"/>
        <v>690.11834281229574</v>
      </c>
      <c r="W432">
        <f t="shared" si="124"/>
        <v>138.38206301085796</v>
      </c>
      <c r="AE432">
        <f t="shared" si="125"/>
        <v>0.64772635500724873</v>
      </c>
      <c r="AF432">
        <f t="shared" si="126"/>
        <v>0.62776478848672446</v>
      </c>
      <c r="AG432">
        <f t="shared" si="127"/>
        <v>0.62937837193267354</v>
      </c>
      <c r="AI432">
        <f t="shared" si="128"/>
        <v>0.19491255685989051</v>
      </c>
      <c r="AJ432">
        <f t="shared" si="129"/>
        <v>17.009947218089543</v>
      </c>
      <c r="AL432">
        <f t="shared" si="130"/>
        <v>0.20111035584575457</v>
      </c>
      <c r="AM432">
        <f t="shared" si="131"/>
        <v>18.10890530458682</v>
      </c>
      <c r="AO432">
        <f t="shared" si="132"/>
        <v>0.20059475449134967</v>
      </c>
      <c r="AP432">
        <f t="shared" si="133"/>
        <v>18.016170078519036</v>
      </c>
    </row>
    <row r="433" spans="1:42" x14ac:dyDescent="0.2">
      <c r="A433" s="3">
        <v>430</v>
      </c>
      <c r="B433" s="3">
        <v>3.03E-7</v>
      </c>
      <c r="C433" s="2">
        <v>2.247E-2</v>
      </c>
      <c r="D433" s="3">
        <v>159000</v>
      </c>
      <c r="E433" s="3">
        <v>109000000000</v>
      </c>
      <c r="F433" s="3">
        <v>98600000000</v>
      </c>
      <c r="G433" s="3">
        <v>8540000000</v>
      </c>
      <c r="H433" s="3">
        <v>12500000000</v>
      </c>
      <c r="I433" s="2"/>
      <c r="J433" s="7">
        <f t="shared" si="117"/>
        <v>0.30299999999999999</v>
      </c>
      <c r="K433" s="7">
        <f t="shared" si="118"/>
        <v>22.47</v>
      </c>
      <c r="L433" s="7">
        <f t="shared" si="119"/>
        <v>109</v>
      </c>
      <c r="M433" s="7">
        <f t="shared" si="120"/>
        <v>159</v>
      </c>
      <c r="O433">
        <f t="shared" si="121"/>
        <v>0.19700943396226414</v>
      </c>
      <c r="P433">
        <f t="shared" si="122"/>
        <v>197.00943396226415</v>
      </c>
      <c r="V433">
        <f t="shared" si="123"/>
        <v>663.96184804298082</v>
      </c>
      <c r="W433">
        <f t="shared" si="124"/>
        <v>119.73579541403657</v>
      </c>
      <c r="AE433">
        <f t="shared" si="125"/>
        <v>0.53920675626257886</v>
      </c>
      <c r="AF433">
        <f t="shared" si="126"/>
        <v>0.52258953596538837</v>
      </c>
      <c r="AG433">
        <f t="shared" si="127"/>
        <v>0.52393278082353456</v>
      </c>
      <c r="AI433">
        <f t="shared" si="128"/>
        <v>0.23414024125936533</v>
      </c>
      <c r="AJ433">
        <f t="shared" si="129"/>
        <v>24.600442328647777</v>
      </c>
      <c r="AL433">
        <f t="shared" si="130"/>
        <v>0.24158539601596934</v>
      </c>
      <c r="AM433">
        <f t="shared" si="131"/>
        <v>26.189797938154133</v>
      </c>
      <c r="AO433">
        <f t="shared" si="132"/>
        <v>0.24096602583552063</v>
      </c>
      <c r="AP433">
        <f t="shared" si="133"/>
        <v>26.055680674210556</v>
      </c>
    </row>
    <row r="434" spans="1:42" x14ac:dyDescent="0.2">
      <c r="A434" s="3">
        <v>430</v>
      </c>
      <c r="B434" s="3">
        <v>3.0400000000000002E-7</v>
      </c>
      <c r="C434" s="2">
        <v>2.2519999999999998E-2</v>
      </c>
      <c r="D434" s="3">
        <v>167000</v>
      </c>
      <c r="E434" s="3">
        <v>113000000000</v>
      </c>
      <c r="F434" s="3">
        <v>102000000000</v>
      </c>
      <c r="G434" s="3">
        <v>5740000000</v>
      </c>
      <c r="H434" s="3">
        <v>12100000000</v>
      </c>
      <c r="I434" s="2"/>
      <c r="J434" s="7">
        <f t="shared" si="117"/>
        <v>0.30400000000000005</v>
      </c>
      <c r="K434" s="7">
        <f t="shared" si="118"/>
        <v>22.52</v>
      </c>
      <c r="L434" s="7">
        <f t="shared" si="119"/>
        <v>113</v>
      </c>
      <c r="M434" s="7">
        <f t="shared" si="120"/>
        <v>167</v>
      </c>
      <c r="O434">
        <f t="shared" si="121"/>
        <v>0.20286227544910185</v>
      </c>
      <c r="P434">
        <f t="shared" si="122"/>
        <v>202.86227544910184</v>
      </c>
      <c r="V434">
        <f t="shared" si="123"/>
        <v>672.62932977262005</v>
      </c>
      <c r="W434">
        <f t="shared" si="124"/>
        <v>124.13969522891142</v>
      </c>
      <c r="AE434">
        <f t="shared" si="125"/>
        <v>0.56633665594874627</v>
      </c>
      <c r="AF434">
        <f t="shared" si="126"/>
        <v>0.54888334909572245</v>
      </c>
      <c r="AG434">
        <f t="shared" si="127"/>
        <v>0.55029417860081931</v>
      </c>
      <c r="AI434">
        <f t="shared" si="128"/>
        <v>0.22365966485865271</v>
      </c>
      <c r="AJ434">
        <f t="shared" si="129"/>
        <v>22.349588746744761</v>
      </c>
      <c r="AL434">
        <f t="shared" si="130"/>
        <v>0.23077155988671952</v>
      </c>
      <c r="AM434">
        <f t="shared" si="131"/>
        <v>23.793523931740726</v>
      </c>
      <c r="AO434">
        <f t="shared" si="132"/>
        <v>0.23017991393027268</v>
      </c>
      <c r="AP434">
        <f t="shared" si="133"/>
        <v>23.671677923732702</v>
      </c>
    </row>
    <row r="435" spans="1:42" x14ac:dyDescent="0.2">
      <c r="A435" s="3">
        <v>430</v>
      </c>
      <c r="B435" s="3">
        <v>3.0400000000000002E-7</v>
      </c>
      <c r="C435" s="2">
        <v>2.257E-2</v>
      </c>
      <c r="D435" s="3">
        <v>179000</v>
      </c>
      <c r="E435" s="3">
        <v>119000000000</v>
      </c>
      <c r="F435" s="3">
        <v>107000000000</v>
      </c>
      <c r="G435" s="2">
        <v>0</v>
      </c>
      <c r="H435" s="3">
        <v>11800000000</v>
      </c>
      <c r="I435" s="2"/>
      <c r="J435" s="7">
        <f t="shared" si="117"/>
        <v>0.30400000000000005</v>
      </c>
      <c r="K435" s="7">
        <f t="shared" si="118"/>
        <v>22.57</v>
      </c>
      <c r="L435" s="7">
        <f t="shared" si="119"/>
        <v>119.00000000000001</v>
      </c>
      <c r="M435" s="7">
        <f t="shared" si="120"/>
        <v>179</v>
      </c>
      <c r="O435">
        <f t="shared" si="121"/>
        <v>0.2094329608938548</v>
      </c>
      <c r="P435">
        <f t="shared" si="122"/>
        <v>209.43296089385478</v>
      </c>
      <c r="V435">
        <f t="shared" si="123"/>
        <v>682.19550642598733</v>
      </c>
      <c r="W435">
        <f t="shared" si="124"/>
        <v>131.19406263592856</v>
      </c>
      <c r="AE435">
        <f t="shared" si="125"/>
        <v>0.60703150547799756</v>
      </c>
      <c r="AF435">
        <f t="shared" si="126"/>
        <v>0.58832406879122345</v>
      </c>
      <c r="AG435">
        <f t="shared" si="127"/>
        <v>0.58983627526674642</v>
      </c>
      <c r="AI435">
        <f t="shared" si="128"/>
        <v>0.20866572084578211</v>
      </c>
      <c r="AJ435">
        <f t="shared" si="129"/>
        <v>19.496631771960445</v>
      </c>
      <c r="AL435">
        <f t="shared" si="130"/>
        <v>0.2153008407881685</v>
      </c>
      <c r="AM435">
        <f t="shared" si="131"/>
        <v>20.756246565031049</v>
      </c>
      <c r="AO435">
        <f t="shared" si="132"/>
        <v>0.2147488582477963</v>
      </c>
      <c r="AP435">
        <f t="shared" si="133"/>
        <v>20.649954374246917</v>
      </c>
    </row>
    <row r="436" spans="1:42" x14ac:dyDescent="0.2">
      <c r="A436" s="3">
        <v>430</v>
      </c>
      <c r="B436" s="3">
        <v>3.0499999999999999E-7</v>
      </c>
      <c r="C436" s="2">
        <v>2.2620000000000001E-2</v>
      </c>
      <c r="D436" s="3">
        <v>162000</v>
      </c>
      <c r="E436" s="3">
        <v>110000000000</v>
      </c>
      <c r="F436" s="3">
        <v>99600000000</v>
      </c>
      <c r="G436" s="3">
        <v>4750000000</v>
      </c>
      <c r="H436" s="3">
        <v>12400000000</v>
      </c>
      <c r="I436" s="2"/>
      <c r="J436" s="7">
        <f t="shared" si="117"/>
        <v>0.30499999999999999</v>
      </c>
      <c r="K436" s="7">
        <f t="shared" si="118"/>
        <v>22.62</v>
      </c>
      <c r="L436" s="7">
        <f t="shared" si="119"/>
        <v>110</v>
      </c>
      <c r="M436" s="7">
        <f t="shared" si="120"/>
        <v>162</v>
      </c>
      <c r="O436">
        <f t="shared" si="121"/>
        <v>0.20027777777777778</v>
      </c>
      <c r="P436">
        <f t="shared" si="122"/>
        <v>200.27777777777777</v>
      </c>
      <c r="V436">
        <f t="shared" si="123"/>
        <v>668.81935259225384</v>
      </c>
      <c r="W436">
        <f t="shared" si="124"/>
        <v>121.10893574782921</v>
      </c>
      <c r="AE436">
        <f t="shared" si="125"/>
        <v>0.54938046864489165</v>
      </c>
      <c r="AF436">
        <f t="shared" si="126"/>
        <v>0.53244971588926371</v>
      </c>
      <c r="AG436">
        <f t="shared" si="127"/>
        <v>0.53381830499001637</v>
      </c>
      <c r="AI436">
        <f t="shared" si="128"/>
        <v>0.23132117100340058</v>
      </c>
      <c r="AJ436">
        <f t="shared" si="129"/>
        <v>23.855947136595205</v>
      </c>
      <c r="AL436">
        <f t="shared" si="130"/>
        <v>0.23867668540509371</v>
      </c>
      <c r="AM436">
        <f t="shared" si="131"/>
        <v>25.397203301630938</v>
      </c>
      <c r="AO436">
        <f t="shared" si="132"/>
        <v>0.23806477249915603</v>
      </c>
      <c r="AP436">
        <f t="shared" si="133"/>
        <v>25.267144893899925</v>
      </c>
    </row>
    <row r="437" spans="1:42" x14ac:dyDescent="0.2">
      <c r="A437" s="3">
        <v>440</v>
      </c>
      <c r="B437" s="3">
        <v>3.0499999999999999E-7</v>
      </c>
      <c r="C437" s="2">
        <v>2.2669999999999999E-2</v>
      </c>
      <c r="D437" s="3">
        <v>169000</v>
      </c>
      <c r="E437" s="3">
        <v>114000000000</v>
      </c>
      <c r="F437" s="3">
        <v>103000000000</v>
      </c>
      <c r="G437" s="2">
        <v>0</v>
      </c>
      <c r="H437" s="3">
        <v>12100000000</v>
      </c>
      <c r="I437" s="2"/>
      <c r="J437" s="7">
        <f t="shared" si="117"/>
        <v>0.30499999999999999</v>
      </c>
      <c r="K437" s="7">
        <f t="shared" si="118"/>
        <v>22.669999999999998</v>
      </c>
      <c r="L437" s="7">
        <f t="shared" si="119"/>
        <v>114</v>
      </c>
      <c r="M437" s="7">
        <f t="shared" si="120"/>
        <v>169</v>
      </c>
      <c r="O437">
        <f t="shared" si="121"/>
        <v>0.20439349112426036</v>
      </c>
      <c r="P437">
        <f t="shared" si="122"/>
        <v>204.39349112426035</v>
      </c>
      <c r="V437">
        <f t="shared" si="123"/>
        <v>674.87385194950423</v>
      </c>
      <c r="W437">
        <f t="shared" si="124"/>
        <v>125.20858491687792</v>
      </c>
      <c r="AE437">
        <f t="shared" si="125"/>
        <v>0.57311913087028821</v>
      </c>
      <c r="AF437">
        <f t="shared" si="126"/>
        <v>0.55545680237830597</v>
      </c>
      <c r="AG437">
        <f t="shared" si="127"/>
        <v>0.55688452804514055</v>
      </c>
      <c r="AI437">
        <f t="shared" si="128"/>
        <v>0.22173982072515322</v>
      </c>
      <c r="AJ437">
        <f t="shared" si="129"/>
        <v>21.969096834852579</v>
      </c>
      <c r="AL437">
        <f t="shared" si="130"/>
        <v>0.22879066884985316</v>
      </c>
      <c r="AM437">
        <f t="shared" si="131"/>
        <v>23.388449658830044</v>
      </c>
      <c r="AO437">
        <f t="shared" si="132"/>
        <v>0.22820410144889511</v>
      </c>
      <c r="AP437">
        <f t="shared" si="133"/>
        <v>23.268678025481378</v>
      </c>
    </row>
    <row r="438" spans="1:42" x14ac:dyDescent="0.2">
      <c r="A438" s="3">
        <v>440</v>
      </c>
      <c r="B438" s="3">
        <v>3.0600000000000001E-7</v>
      </c>
      <c r="C438" s="2">
        <v>2.273E-2</v>
      </c>
      <c r="D438" s="3">
        <v>162000</v>
      </c>
      <c r="E438" s="3">
        <v>110000000000</v>
      </c>
      <c r="F438" s="3">
        <v>99500000000</v>
      </c>
      <c r="G438" s="2">
        <v>0</v>
      </c>
      <c r="H438" s="3">
        <v>12400000000</v>
      </c>
      <c r="I438" s="2"/>
      <c r="J438" s="7">
        <f t="shared" si="117"/>
        <v>0.30599999999999999</v>
      </c>
      <c r="K438" s="7">
        <f t="shared" si="118"/>
        <v>22.73</v>
      </c>
      <c r="L438" s="7">
        <f t="shared" si="119"/>
        <v>110</v>
      </c>
      <c r="M438" s="7">
        <f t="shared" si="120"/>
        <v>162</v>
      </c>
      <c r="O438">
        <f t="shared" si="121"/>
        <v>0.20076851851851851</v>
      </c>
      <c r="P438">
        <f t="shared" si="122"/>
        <v>200.7685185185185</v>
      </c>
      <c r="V438">
        <f t="shared" si="123"/>
        <v>669.5448826906628</v>
      </c>
      <c r="W438">
        <f t="shared" si="124"/>
        <v>120.97770006767851</v>
      </c>
      <c r="AE438">
        <f t="shared" si="125"/>
        <v>0.54938046864489165</v>
      </c>
      <c r="AF438">
        <f t="shared" si="126"/>
        <v>0.53244971588926371</v>
      </c>
      <c r="AG438">
        <f t="shared" si="127"/>
        <v>0.53381830499001637</v>
      </c>
      <c r="AI438">
        <f t="shared" si="128"/>
        <v>0.23207960107226419</v>
      </c>
      <c r="AJ438">
        <f t="shared" si="129"/>
        <v>23.97195748960252</v>
      </c>
      <c r="AL438">
        <f t="shared" si="130"/>
        <v>0.23945923191461863</v>
      </c>
      <c r="AM438">
        <f t="shared" si="131"/>
        <v>25.52070871114373</v>
      </c>
      <c r="AO438">
        <f t="shared" si="132"/>
        <v>0.23884531273685816</v>
      </c>
      <c r="AP438">
        <f t="shared" si="133"/>
        <v>25.390017835470612</v>
      </c>
    </row>
    <row r="439" spans="1:42" x14ac:dyDescent="0.2">
      <c r="A439" s="3">
        <v>440</v>
      </c>
      <c r="B439" s="3">
        <v>3.0600000000000001E-7</v>
      </c>
      <c r="C439" s="2">
        <v>2.2780000000000002E-2</v>
      </c>
      <c r="D439" s="3">
        <v>168000</v>
      </c>
      <c r="E439" s="3">
        <v>113000000000</v>
      </c>
      <c r="F439" s="3">
        <v>102000000000</v>
      </c>
      <c r="G439" s="2">
        <v>0</v>
      </c>
      <c r="H439" s="3">
        <v>12200000000</v>
      </c>
      <c r="I439" s="2"/>
      <c r="J439" s="7">
        <f t="shared" si="117"/>
        <v>0.30599999999999999</v>
      </c>
      <c r="K439" s="7">
        <f t="shared" si="118"/>
        <v>22.78</v>
      </c>
      <c r="L439" s="7">
        <f t="shared" si="119"/>
        <v>113</v>
      </c>
      <c r="M439" s="7">
        <f t="shared" si="120"/>
        <v>168</v>
      </c>
      <c r="O439">
        <f t="shared" si="121"/>
        <v>0.20430357142857142</v>
      </c>
      <c r="P439">
        <f t="shared" si="122"/>
        <v>204.30357142857142</v>
      </c>
      <c r="V439">
        <f t="shared" si="123"/>
        <v>674.74230314103397</v>
      </c>
      <c r="W439">
        <f t="shared" si="124"/>
        <v>124.49197213360787</v>
      </c>
      <c r="AE439">
        <f t="shared" si="125"/>
        <v>0.56972789340951724</v>
      </c>
      <c r="AF439">
        <f t="shared" si="126"/>
        <v>0.55217007573701415</v>
      </c>
      <c r="AG439">
        <f t="shared" si="127"/>
        <v>0.55358935332297987</v>
      </c>
      <c r="AI439">
        <f t="shared" si="128"/>
        <v>0.2237910438911119</v>
      </c>
      <c r="AJ439">
        <f t="shared" si="129"/>
        <v>22.33928395707726</v>
      </c>
      <c r="AL439">
        <f t="shared" si="130"/>
        <v>0.23090711648909656</v>
      </c>
      <c r="AM439">
        <f t="shared" si="131"/>
        <v>23.782553382691997</v>
      </c>
      <c r="AO439">
        <f t="shared" si="132"/>
        <v>0.23031512299625614</v>
      </c>
      <c r="AP439">
        <f t="shared" si="133"/>
        <v>23.660763554576075</v>
      </c>
    </row>
    <row r="440" spans="1:42" x14ac:dyDescent="0.2">
      <c r="A440" s="3">
        <v>440</v>
      </c>
      <c r="B440" s="3">
        <v>3.0699999999999998E-7</v>
      </c>
      <c r="C440" s="2">
        <v>2.283E-2</v>
      </c>
      <c r="D440" s="3">
        <v>160000</v>
      </c>
      <c r="E440" s="3">
        <v>108000000000</v>
      </c>
      <c r="F440" s="3">
        <v>98200000000</v>
      </c>
      <c r="G440" s="3">
        <v>4040000000</v>
      </c>
      <c r="H440" s="3">
        <v>12500000000</v>
      </c>
      <c r="I440" s="2"/>
      <c r="J440" s="7">
        <f t="shared" si="117"/>
        <v>0.307</v>
      </c>
      <c r="K440" s="7">
        <f t="shared" si="118"/>
        <v>22.83</v>
      </c>
      <c r="L440" s="7">
        <f t="shared" si="119"/>
        <v>108</v>
      </c>
      <c r="M440" s="7">
        <f t="shared" si="120"/>
        <v>160</v>
      </c>
      <c r="O440">
        <f t="shared" si="121"/>
        <v>0.19998437499999999</v>
      </c>
      <c r="P440">
        <f t="shared" si="122"/>
        <v>199.984375</v>
      </c>
      <c r="V440">
        <f t="shared" si="123"/>
        <v>668.38510151535945</v>
      </c>
      <c r="W440">
        <f t="shared" si="124"/>
        <v>119.69147699226747</v>
      </c>
      <c r="AE440">
        <f t="shared" si="125"/>
        <v>0.54259799372334971</v>
      </c>
      <c r="AF440">
        <f t="shared" si="126"/>
        <v>0.52587626260668019</v>
      </c>
      <c r="AG440">
        <f t="shared" si="127"/>
        <v>0.52722795554569513</v>
      </c>
      <c r="AI440">
        <f t="shared" si="128"/>
        <v>0.23574850653039195</v>
      </c>
      <c r="AJ440">
        <f t="shared" si="129"/>
        <v>24.683119080155024</v>
      </c>
      <c r="AL440">
        <f t="shared" si="130"/>
        <v>0.24324480065444534</v>
      </c>
      <c r="AM440">
        <f t="shared" si="131"/>
        <v>26.277816169177392</v>
      </c>
      <c r="AO440">
        <f t="shared" si="132"/>
        <v>0.24262117613674236</v>
      </c>
      <c r="AP440">
        <f t="shared" si="133"/>
        <v>26.143248166196056</v>
      </c>
    </row>
    <row r="441" spans="1:42" x14ac:dyDescent="0.2">
      <c r="A441" s="3">
        <v>440</v>
      </c>
      <c r="B441" s="3">
        <v>3.0800000000000001E-7</v>
      </c>
      <c r="C441" s="2">
        <v>2.2880000000000001E-2</v>
      </c>
      <c r="D441" s="3">
        <v>158000</v>
      </c>
      <c r="E441" s="3">
        <v>107000000000</v>
      </c>
      <c r="F441" s="3">
        <v>97500000000</v>
      </c>
      <c r="G441" s="3">
        <v>19400000000</v>
      </c>
      <c r="H441" s="3">
        <v>12600000000</v>
      </c>
      <c r="I441" s="2"/>
      <c r="J441" s="7">
        <f t="shared" si="117"/>
        <v>0.308</v>
      </c>
      <c r="K441" s="7">
        <f t="shared" si="118"/>
        <v>22.880000000000003</v>
      </c>
      <c r="L441" s="7">
        <f t="shared" si="119"/>
        <v>107</v>
      </c>
      <c r="M441" s="7">
        <f t="shared" si="120"/>
        <v>158</v>
      </c>
      <c r="O441">
        <f t="shared" si="121"/>
        <v>0.19939240506329114</v>
      </c>
      <c r="P441">
        <f t="shared" si="122"/>
        <v>199.39240506329114</v>
      </c>
      <c r="V441">
        <f t="shared" si="123"/>
        <v>667.50787430369758</v>
      </c>
      <c r="W441">
        <f t="shared" si="124"/>
        <v>118.35066377667506</v>
      </c>
      <c r="AE441">
        <f t="shared" si="125"/>
        <v>0.53581551880180789</v>
      </c>
      <c r="AF441">
        <f t="shared" si="126"/>
        <v>0.51930280932409667</v>
      </c>
      <c r="AG441">
        <f t="shared" si="127"/>
        <v>0.520637606101374</v>
      </c>
      <c r="AI441">
        <f t="shared" si="128"/>
        <v>0.23951029567100388</v>
      </c>
      <c r="AJ441">
        <f t="shared" si="129"/>
        <v>25.367398914412298</v>
      </c>
      <c r="AL441">
        <f t="shared" si="130"/>
        <v>0.24712620657755879</v>
      </c>
      <c r="AM441">
        <f t="shared" si="131"/>
        <v>27.006305126934151</v>
      </c>
      <c r="AO441">
        <f t="shared" si="132"/>
        <v>0.24649263101510457</v>
      </c>
      <c r="AP441">
        <f t="shared" si="133"/>
        <v>26.868006551229104</v>
      </c>
    </row>
    <row r="442" spans="1:42" x14ac:dyDescent="0.2">
      <c r="A442" s="3">
        <v>440</v>
      </c>
      <c r="B442" s="3">
        <v>3.0899999999999997E-7</v>
      </c>
      <c r="C442" s="2">
        <v>2.2939999999999999E-2</v>
      </c>
      <c r="D442" s="3">
        <v>163000</v>
      </c>
      <c r="E442" s="3">
        <v>110000000000</v>
      </c>
      <c r="F442" s="3">
        <v>99500000000</v>
      </c>
      <c r="G442" s="3">
        <v>14800000000</v>
      </c>
      <c r="H442" s="3">
        <v>12300000000</v>
      </c>
      <c r="I442" s="2"/>
      <c r="J442" s="7">
        <f t="shared" si="117"/>
        <v>0.309</v>
      </c>
      <c r="K442" s="7">
        <f t="shared" si="118"/>
        <v>22.939999999999998</v>
      </c>
      <c r="L442" s="7">
        <f t="shared" si="119"/>
        <v>110</v>
      </c>
      <c r="M442" s="7">
        <f t="shared" si="120"/>
        <v>163</v>
      </c>
      <c r="O442">
        <f t="shared" si="121"/>
        <v>0.20344785276073618</v>
      </c>
      <c r="P442">
        <f t="shared" si="122"/>
        <v>203.44785276073617</v>
      </c>
      <c r="V442">
        <f t="shared" si="123"/>
        <v>673.48880495882111</v>
      </c>
      <c r="W442">
        <f t="shared" si="124"/>
        <v>121.01166255463315</v>
      </c>
      <c r="AE442">
        <f t="shared" si="125"/>
        <v>0.55277170610566251</v>
      </c>
      <c r="AF442">
        <f t="shared" si="126"/>
        <v>0.53573644253055541</v>
      </c>
      <c r="AG442">
        <f t="shared" si="127"/>
        <v>0.53711347971217693</v>
      </c>
      <c r="AI442">
        <f t="shared" si="128"/>
        <v>0.23291713120965962</v>
      </c>
      <c r="AJ442">
        <f t="shared" si="129"/>
        <v>23.897490464687895</v>
      </c>
      <c r="AL442">
        <f t="shared" si="130"/>
        <v>0.24032339370427805</v>
      </c>
      <c r="AM442">
        <f t="shared" si="131"/>
        <v>25.441430610794352</v>
      </c>
      <c r="AO442">
        <f t="shared" si="132"/>
        <v>0.23970725901162132</v>
      </c>
      <c r="AP442">
        <f t="shared" si="133"/>
        <v>25.311145716180526</v>
      </c>
    </row>
    <row r="443" spans="1:42" x14ac:dyDescent="0.2">
      <c r="A443" s="3">
        <v>440</v>
      </c>
      <c r="B443" s="3">
        <v>3.0899999999999997E-7</v>
      </c>
      <c r="C443" s="2">
        <v>2.299E-2</v>
      </c>
      <c r="D443" s="3">
        <v>182000</v>
      </c>
      <c r="E443" s="3">
        <v>120000000000</v>
      </c>
      <c r="F443" s="3">
        <v>108000000000</v>
      </c>
      <c r="G443" s="3">
        <v>213000000</v>
      </c>
      <c r="H443" s="3">
        <v>11700000000</v>
      </c>
      <c r="I443" s="2"/>
      <c r="J443" s="7">
        <f t="shared" si="117"/>
        <v>0.309</v>
      </c>
      <c r="K443" s="7">
        <f t="shared" si="118"/>
        <v>22.99</v>
      </c>
      <c r="L443" s="7">
        <f t="shared" si="119"/>
        <v>120.00000000000001</v>
      </c>
      <c r="M443" s="7">
        <f t="shared" si="120"/>
        <v>182</v>
      </c>
      <c r="O443">
        <f t="shared" si="121"/>
        <v>0.214260989010989</v>
      </c>
      <c r="P443">
        <f t="shared" si="122"/>
        <v>214.26098901098899</v>
      </c>
      <c r="V443">
        <f t="shared" si="123"/>
        <v>689.11848322618357</v>
      </c>
      <c r="W443">
        <f t="shared" si="124"/>
        <v>132.05276337092795</v>
      </c>
      <c r="AE443">
        <f t="shared" si="125"/>
        <v>0.61720521786031035</v>
      </c>
      <c r="AF443">
        <f t="shared" si="126"/>
        <v>0.59818424871509868</v>
      </c>
      <c r="AG443">
        <f t="shared" si="127"/>
        <v>0.59972179943322823</v>
      </c>
      <c r="AI443">
        <f t="shared" si="128"/>
        <v>0.20860160652293688</v>
      </c>
      <c r="AJ443">
        <f t="shared" si="129"/>
        <v>19.210129277977071</v>
      </c>
      <c r="AL443">
        <f t="shared" si="130"/>
        <v>0.21523468776811716</v>
      </c>
      <c r="AM443">
        <f t="shared" si="131"/>
        <v>20.451234064606865</v>
      </c>
      <c r="AO443">
        <f t="shared" si="132"/>
        <v>0.2146828748290894</v>
      </c>
      <c r="AP443">
        <f t="shared" si="133"/>
        <v>20.346503834786393</v>
      </c>
    </row>
    <row r="444" spans="1:42" x14ac:dyDescent="0.2">
      <c r="A444" s="3">
        <v>440</v>
      </c>
      <c r="B444" s="3">
        <v>3.1E-7</v>
      </c>
      <c r="C444" s="2">
        <v>2.3040000000000001E-2</v>
      </c>
      <c r="D444" s="3">
        <v>158000</v>
      </c>
      <c r="E444" s="3">
        <v>107000000000</v>
      </c>
      <c r="F444" s="3">
        <v>97000000000</v>
      </c>
      <c r="G444" s="3">
        <v>9200000000</v>
      </c>
      <c r="H444" s="3">
        <v>12600000000</v>
      </c>
      <c r="I444" s="2"/>
      <c r="J444" s="7">
        <f t="shared" si="117"/>
        <v>0.31</v>
      </c>
      <c r="K444" s="7">
        <f t="shared" si="118"/>
        <v>23.040000000000003</v>
      </c>
      <c r="L444" s="7">
        <f t="shared" si="119"/>
        <v>107</v>
      </c>
      <c r="M444" s="7">
        <f t="shared" si="120"/>
        <v>158</v>
      </c>
      <c r="O444">
        <f t="shared" si="121"/>
        <v>0.20063291139240505</v>
      </c>
      <c r="P444">
        <f t="shared" si="122"/>
        <v>200.63291139240505</v>
      </c>
      <c r="V444">
        <f t="shared" si="123"/>
        <v>669.34449472381777</v>
      </c>
      <c r="W444">
        <f t="shared" si="124"/>
        <v>118.02592031864947</v>
      </c>
      <c r="AE444">
        <f t="shared" si="125"/>
        <v>0.53581551880180789</v>
      </c>
      <c r="AF444">
        <f t="shared" si="126"/>
        <v>0.51930280932409667</v>
      </c>
      <c r="AG444">
        <f t="shared" si="127"/>
        <v>0.520637606101374</v>
      </c>
      <c r="AI444">
        <f t="shared" si="128"/>
        <v>0.24106555733120519</v>
      </c>
      <c r="AJ444">
        <f t="shared" si="129"/>
        <v>25.544793312415184</v>
      </c>
      <c r="AL444">
        <f t="shared" si="130"/>
        <v>0.24873092220468582</v>
      </c>
      <c r="AM444">
        <f t="shared" si="131"/>
        <v>27.195160407542083</v>
      </c>
      <c r="AO444">
        <f t="shared" si="132"/>
        <v>0.24809323251520266</v>
      </c>
      <c r="AP444">
        <f t="shared" si="133"/>
        <v>27.055894708930005</v>
      </c>
    </row>
    <row r="445" spans="1:42" x14ac:dyDescent="0.2">
      <c r="A445" s="3">
        <v>440</v>
      </c>
      <c r="B445" s="3">
        <v>3.1E-7</v>
      </c>
      <c r="C445" s="2">
        <v>2.3089999999999999E-2</v>
      </c>
      <c r="D445" s="3">
        <v>152000</v>
      </c>
      <c r="E445" s="3">
        <v>104000000000</v>
      </c>
      <c r="F445" s="3">
        <v>94500000000</v>
      </c>
      <c r="G445" s="2">
        <v>0</v>
      </c>
      <c r="H445" s="3">
        <v>12900000000</v>
      </c>
      <c r="I445" s="2"/>
      <c r="J445" s="7">
        <f t="shared" si="117"/>
        <v>0.31</v>
      </c>
      <c r="K445" s="7">
        <f t="shared" si="118"/>
        <v>23.09</v>
      </c>
      <c r="L445" s="7">
        <f t="shared" si="119"/>
        <v>104</v>
      </c>
      <c r="M445" s="7">
        <f t="shared" si="120"/>
        <v>152</v>
      </c>
      <c r="O445">
        <f t="shared" si="121"/>
        <v>0.19606907894736841</v>
      </c>
      <c r="P445">
        <f t="shared" si="122"/>
        <v>196.06907894736841</v>
      </c>
      <c r="V445">
        <f t="shared" si="123"/>
        <v>662.55596360050504</v>
      </c>
      <c r="W445">
        <f t="shared" si="124"/>
        <v>114.70729142183826</v>
      </c>
      <c r="AE445">
        <f t="shared" si="125"/>
        <v>0.5154680940371823</v>
      </c>
      <c r="AF445">
        <f t="shared" si="126"/>
        <v>0.49958244947634617</v>
      </c>
      <c r="AG445">
        <f t="shared" si="127"/>
        <v>0.50086655776841038</v>
      </c>
      <c r="AI445">
        <f t="shared" si="128"/>
        <v>0.25058130301533171</v>
      </c>
      <c r="AJ445">
        <f t="shared" si="129"/>
        <v>27.661189330789146</v>
      </c>
      <c r="AL445">
        <f t="shared" si="130"/>
        <v>0.25854924808118657</v>
      </c>
      <c r="AM445">
        <f t="shared" si="131"/>
        <v>29.448289978866132</v>
      </c>
      <c r="AO445">
        <f t="shared" si="132"/>
        <v>0.25788638643027645</v>
      </c>
      <c r="AP445">
        <f t="shared" si="133"/>
        <v>29.29748606319221</v>
      </c>
    </row>
    <row r="446" spans="1:42" x14ac:dyDescent="0.2">
      <c r="A446" s="3">
        <v>440</v>
      </c>
      <c r="B446" s="3">
        <v>3.1E-7</v>
      </c>
      <c r="C446" s="2">
        <v>2.3140000000000001E-2</v>
      </c>
      <c r="D446" s="3">
        <v>173000</v>
      </c>
      <c r="E446" s="3">
        <v>115000000000</v>
      </c>
      <c r="F446" s="3">
        <v>104000000000</v>
      </c>
      <c r="G446" s="2">
        <v>0</v>
      </c>
      <c r="H446" s="3">
        <v>12100000000</v>
      </c>
      <c r="I446" s="2"/>
      <c r="J446" s="7">
        <f t="shared" si="117"/>
        <v>0.31</v>
      </c>
      <c r="K446" s="7">
        <f t="shared" si="118"/>
        <v>23.14</v>
      </c>
      <c r="L446" s="7">
        <f t="shared" si="119"/>
        <v>115.00000000000001</v>
      </c>
      <c r="M446" s="7">
        <f t="shared" si="120"/>
        <v>173</v>
      </c>
      <c r="O446">
        <f t="shared" si="121"/>
        <v>0.20968208092485546</v>
      </c>
      <c r="P446">
        <f t="shared" si="122"/>
        <v>209.68208092485546</v>
      </c>
      <c r="V446">
        <f t="shared" si="123"/>
        <v>682.55488485254227</v>
      </c>
      <c r="W446">
        <f t="shared" si="124"/>
        <v>126.72973546836059</v>
      </c>
      <c r="AE446">
        <f t="shared" si="125"/>
        <v>0.58668408071337186</v>
      </c>
      <c r="AF446">
        <f t="shared" si="126"/>
        <v>0.5686037089434729</v>
      </c>
      <c r="AG446">
        <f t="shared" si="127"/>
        <v>0.57006522693378292</v>
      </c>
      <c r="AI446">
        <f t="shared" si="128"/>
        <v>0.22016391941231458</v>
      </c>
      <c r="AJ446">
        <f t="shared" si="129"/>
        <v>21.399579549800283</v>
      </c>
      <c r="AL446">
        <f t="shared" si="130"/>
        <v>0.22716465727364371</v>
      </c>
      <c r="AM446">
        <f t="shared" si="131"/>
        <v>22.782137690185632</v>
      </c>
      <c r="AO446">
        <f t="shared" si="132"/>
        <v>0.22658225859769951</v>
      </c>
      <c r="AP446">
        <f t="shared" si="133"/>
        <v>22.665470964424369</v>
      </c>
    </row>
    <row r="447" spans="1:42" x14ac:dyDescent="0.2">
      <c r="A447" s="3">
        <v>450</v>
      </c>
      <c r="B447" s="3">
        <v>3.1100000000000002E-7</v>
      </c>
      <c r="C447" s="2">
        <v>2.3199999999999998E-2</v>
      </c>
      <c r="D447" s="3">
        <v>193000</v>
      </c>
      <c r="E447" s="3">
        <v>126000000000</v>
      </c>
      <c r="F447" s="3">
        <v>113000000000</v>
      </c>
      <c r="G447" s="3">
        <v>14900000000</v>
      </c>
      <c r="H447" s="3">
        <v>11500000000</v>
      </c>
      <c r="I447" s="2"/>
      <c r="J447" s="7">
        <f t="shared" si="117"/>
        <v>0.311</v>
      </c>
      <c r="K447" s="7">
        <f t="shared" si="118"/>
        <v>23.2</v>
      </c>
      <c r="L447" s="7">
        <f t="shared" si="119"/>
        <v>126.00000000000001</v>
      </c>
      <c r="M447" s="7">
        <f t="shared" si="120"/>
        <v>193</v>
      </c>
      <c r="O447">
        <f t="shared" si="121"/>
        <v>0.22084455958549223</v>
      </c>
      <c r="P447">
        <f t="shared" si="122"/>
        <v>220.84455958549222</v>
      </c>
      <c r="V447">
        <f t="shared" si="123"/>
        <v>698.4201748902276</v>
      </c>
      <c r="W447">
        <f t="shared" si="124"/>
        <v>138.16897545258789</v>
      </c>
      <c r="AE447">
        <f t="shared" si="125"/>
        <v>0.65450882992879067</v>
      </c>
      <c r="AF447">
        <f t="shared" si="126"/>
        <v>0.63433824176930798</v>
      </c>
      <c r="AG447">
        <f t="shared" si="127"/>
        <v>0.63596872137699478</v>
      </c>
      <c r="AI447">
        <f t="shared" si="128"/>
        <v>0.19798561517868563</v>
      </c>
      <c r="AJ447">
        <f t="shared" si="129"/>
        <v>17.238816988452747</v>
      </c>
      <c r="AL447">
        <f t="shared" si="130"/>
        <v>0.20428113079214191</v>
      </c>
      <c r="AM447">
        <f t="shared" si="131"/>
        <v>18.3525616161233</v>
      </c>
      <c r="AO447">
        <f t="shared" si="132"/>
        <v>0.20375740028968792</v>
      </c>
      <c r="AP447">
        <f t="shared" si="133"/>
        <v>18.258578632515608</v>
      </c>
    </row>
    <row r="448" spans="1:42" x14ac:dyDescent="0.2">
      <c r="A448" s="3">
        <v>450</v>
      </c>
      <c r="B448" s="3">
        <v>3.1199999999999999E-7</v>
      </c>
      <c r="C448" s="2">
        <v>2.325E-2</v>
      </c>
      <c r="D448" s="3">
        <v>172000</v>
      </c>
      <c r="E448" s="3">
        <v>114000000000</v>
      </c>
      <c r="F448" s="3">
        <v>103000000000</v>
      </c>
      <c r="G448" s="3">
        <v>6130000000</v>
      </c>
      <c r="H448" s="3">
        <v>12100000000</v>
      </c>
      <c r="I448" s="2"/>
      <c r="J448" s="7">
        <f t="shared" si="117"/>
        <v>0.312</v>
      </c>
      <c r="K448" s="7">
        <f t="shared" si="118"/>
        <v>23.25</v>
      </c>
      <c r="L448" s="7">
        <f t="shared" si="119"/>
        <v>114</v>
      </c>
      <c r="M448" s="7">
        <f t="shared" si="120"/>
        <v>172</v>
      </c>
      <c r="O448">
        <f t="shared" si="121"/>
        <v>0.21061918604651164</v>
      </c>
      <c r="P448">
        <f t="shared" si="122"/>
        <v>210.61918604651163</v>
      </c>
      <c r="V448">
        <f t="shared" si="123"/>
        <v>683.90461916678476</v>
      </c>
      <c r="W448">
        <f t="shared" si="124"/>
        <v>125.74852923902691</v>
      </c>
      <c r="AE448">
        <f t="shared" si="125"/>
        <v>0.583292843252601</v>
      </c>
      <c r="AF448">
        <f t="shared" si="126"/>
        <v>0.56531698230218119</v>
      </c>
      <c r="AG448">
        <f t="shared" si="127"/>
        <v>0.56677005221162224</v>
      </c>
      <c r="AI448">
        <f t="shared" si="128"/>
        <v>0.22287261279443157</v>
      </c>
      <c r="AJ448">
        <f t="shared" si="129"/>
        <v>21.75204813582668</v>
      </c>
      <c r="AL448">
        <f t="shared" si="130"/>
        <v>0.22995948126410712</v>
      </c>
      <c r="AM448">
        <f t="shared" si="131"/>
        <v>23.157378140103415</v>
      </c>
      <c r="AO448">
        <f t="shared" si="132"/>
        <v>0.22936991729312514</v>
      </c>
      <c r="AP448">
        <f t="shared" si="133"/>
        <v>23.03878981790286</v>
      </c>
    </row>
    <row r="449" spans="1:42" x14ac:dyDescent="0.2">
      <c r="A449" s="3">
        <v>450</v>
      </c>
      <c r="B449" s="3">
        <v>3.1199999999999999E-7</v>
      </c>
      <c r="C449" s="2">
        <v>2.3300000000000001E-2</v>
      </c>
      <c r="D449" s="3">
        <v>191000</v>
      </c>
      <c r="E449" s="3">
        <v>124000000000</v>
      </c>
      <c r="F449" s="3">
        <v>111000000000</v>
      </c>
      <c r="G449" s="3">
        <v>24700000000</v>
      </c>
      <c r="H449" s="3">
        <v>11500000000</v>
      </c>
      <c r="I449" s="2"/>
      <c r="J449" s="7">
        <f t="shared" si="117"/>
        <v>0.312</v>
      </c>
      <c r="K449" s="7">
        <f t="shared" si="118"/>
        <v>23.3</v>
      </c>
      <c r="L449" s="7">
        <f t="shared" si="119"/>
        <v>124.00000000000001</v>
      </c>
      <c r="M449" s="7">
        <f t="shared" si="120"/>
        <v>191</v>
      </c>
      <c r="O449">
        <f t="shared" si="121"/>
        <v>0.22050785340314136</v>
      </c>
      <c r="P449">
        <f t="shared" si="122"/>
        <v>220.50785340314135</v>
      </c>
      <c r="V449">
        <f t="shared" si="123"/>
        <v>697.94823248647424</v>
      </c>
      <c r="W449">
        <f t="shared" si="124"/>
        <v>136.82963227770725</v>
      </c>
      <c r="AE449">
        <f t="shared" si="125"/>
        <v>0.64772635500724873</v>
      </c>
      <c r="AF449">
        <f t="shared" si="126"/>
        <v>0.62776478848672446</v>
      </c>
      <c r="AG449">
        <f t="shared" si="127"/>
        <v>0.62937837193267354</v>
      </c>
      <c r="AI449">
        <f t="shared" si="128"/>
        <v>0.20070203874681797</v>
      </c>
      <c r="AJ449">
        <f t="shared" si="129"/>
        <v>17.677599026828119</v>
      </c>
      <c r="AL449">
        <f t="shared" si="130"/>
        <v>0.2070839307718661</v>
      </c>
      <c r="AM449">
        <f t="shared" si="131"/>
        <v>18.81969195347337</v>
      </c>
      <c r="AO449">
        <f t="shared" si="132"/>
        <v>0.20655301452574618</v>
      </c>
      <c r="AP449">
        <f t="shared" si="133"/>
        <v>18.723316807738339</v>
      </c>
    </row>
    <row r="450" spans="1:42" x14ac:dyDescent="0.2">
      <c r="A450" s="3">
        <v>450</v>
      </c>
      <c r="B450" s="3">
        <v>3.1300000000000001E-7</v>
      </c>
      <c r="C450" s="2">
        <v>2.3349999999999999E-2</v>
      </c>
      <c r="D450" s="3">
        <v>157000</v>
      </c>
      <c r="E450" s="3">
        <v>106000000000</v>
      </c>
      <c r="F450" s="3">
        <v>96300000000</v>
      </c>
      <c r="G450" s="2">
        <v>0</v>
      </c>
      <c r="H450" s="3">
        <v>12700000000</v>
      </c>
      <c r="I450" s="2"/>
      <c r="J450" s="7">
        <f t="shared" si="117"/>
        <v>0.313</v>
      </c>
      <c r="K450" s="7">
        <f t="shared" si="118"/>
        <v>23.349999999999998</v>
      </c>
      <c r="L450" s="7">
        <f t="shared" si="119"/>
        <v>106</v>
      </c>
      <c r="M450" s="7">
        <f t="shared" si="120"/>
        <v>157</v>
      </c>
      <c r="O450">
        <f t="shared" si="121"/>
        <v>0.20145541401273886</v>
      </c>
      <c r="P450">
        <f t="shared" si="122"/>
        <v>201.45541401273886</v>
      </c>
      <c r="V450">
        <f t="shared" si="123"/>
        <v>670.55875863552319</v>
      </c>
      <c r="W450">
        <f t="shared" si="124"/>
        <v>117.06654933526571</v>
      </c>
      <c r="AE450">
        <f t="shared" si="125"/>
        <v>0.53242428134103692</v>
      </c>
      <c r="AF450">
        <f t="shared" si="126"/>
        <v>0.51601608268280497</v>
      </c>
      <c r="AG450">
        <f t="shared" si="127"/>
        <v>0.51734243137921332</v>
      </c>
      <c r="AI450">
        <f t="shared" si="128"/>
        <v>0.24494875841909641</v>
      </c>
      <c r="AJ450">
        <f t="shared" si="129"/>
        <v>26.219334989051745</v>
      </c>
      <c r="AL450">
        <f t="shared" si="130"/>
        <v>0.25273760071318124</v>
      </c>
      <c r="AM450">
        <f t="shared" si="131"/>
        <v>27.913282056574484</v>
      </c>
      <c r="AO450">
        <f t="shared" si="132"/>
        <v>0.25208963880844126</v>
      </c>
      <c r="AP450">
        <f t="shared" si="133"/>
        <v>27.770338875953048</v>
      </c>
    </row>
    <row r="451" spans="1:42" x14ac:dyDescent="0.2">
      <c r="A451" s="3">
        <v>450</v>
      </c>
      <c r="B451" s="3">
        <v>3.1399999999999998E-7</v>
      </c>
      <c r="C451" s="2">
        <v>2.3400000000000001E-2</v>
      </c>
      <c r="D451" s="3">
        <v>186000</v>
      </c>
      <c r="E451" s="3">
        <v>121000000000</v>
      </c>
      <c r="F451" s="3">
        <v>109000000000</v>
      </c>
      <c r="G451" s="2">
        <v>0</v>
      </c>
      <c r="H451" s="3">
        <v>11600000000</v>
      </c>
      <c r="I451" s="2"/>
      <c r="J451" s="7">
        <f t="shared" si="117"/>
        <v>0.314</v>
      </c>
      <c r="K451" s="7">
        <f t="shared" si="118"/>
        <v>23.400000000000002</v>
      </c>
      <c r="L451" s="7">
        <f t="shared" si="119"/>
        <v>121.00000000000001</v>
      </c>
      <c r="M451" s="7">
        <f t="shared" si="120"/>
        <v>186</v>
      </c>
      <c r="O451">
        <f t="shared" si="121"/>
        <v>0.21964516129032258</v>
      </c>
      <c r="P451">
        <f t="shared" si="122"/>
        <v>219.64516129032259</v>
      </c>
      <c r="V451">
        <f t="shared" si="123"/>
        <v>696.73721003616185</v>
      </c>
      <c r="W451">
        <f t="shared" si="124"/>
        <v>133.47930706208894</v>
      </c>
      <c r="AE451">
        <f t="shared" si="125"/>
        <v>0.63077016770339411</v>
      </c>
      <c r="AF451">
        <f t="shared" si="126"/>
        <v>0.61133115528026571</v>
      </c>
      <c r="AG451">
        <f t="shared" si="127"/>
        <v>0.6129024983218706</v>
      </c>
      <c r="AI451">
        <f t="shared" si="128"/>
        <v>0.20741839109115073</v>
      </c>
      <c r="AJ451">
        <f t="shared" si="129"/>
        <v>18.720785240853175</v>
      </c>
      <c r="AL451">
        <f t="shared" si="130"/>
        <v>0.21401384863716391</v>
      </c>
      <c r="AM451">
        <f t="shared" si="131"/>
        <v>19.930275080077099</v>
      </c>
      <c r="AO451">
        <f t="shared" si="132"/>
        <v>0.21346516565286566</v>
      </c>
      <c r="AP451">
        <f t="shared" si="133"/>
        <v>19.828212667465337</v>
      </c>
    </row>
    <row r="452" spans="1:42" x14ac:dyDescent="0.2">
      <c r="A452" s="3">
        <v>450</v>
      </c>
      <c r="B452" s="3">
        <v>3.15E-7</v>
      </c>
      <c r="C452" s="2">
        <v>2.3460000000000002E-2</v>
      </c>
      <c r="D452" s="3">
        <v>197000</v>
      </c>
      <c r="E452" s="3">
        <v>127000000000</v>
      </c>
      <c r="F452" s="3">
        <v>114000000000</v>
      </c>
      <c r="G452" s="2">
        <v>0</v>
      </c>
      <c r="H452" s="3">
        <v>11400000000</v>
      </c>
      <c r="I452" s="2"/>
      <c r="J452" s="7">
        <f t="shared" si="117"/>
        <v>0.315</v>
      </c>
      <c r="K452" s="7">
        <f t="shared" si="118"/>
        <v>23.46</v>
      </c>
      <c r="L452" s="7">
        <f t="shared" si="119"/>
        <v>127.00000000000001</v>
      </c>
      <c r="M452" s="7">
        <f t="shared" si="120"/>
        <v>197</v>
      </c>
      <c r="O452">
        <f t="shared" si="121"/>
        <v>0.22568527918781725</v>
      </c>
      <c r="P452">
        <f t="shared" si="122"/>
        <v>225.68527918781726</v>
      </c>
      <c r="V452">
        <f t="shared" si="123"/>
        <v>705.16132634513792</v>
      </c>
      <c r="W452">
        <f t="shared" si="124"/>
        <v>139.68434785062166</v>
      </c>
      <c r="AE452">
        <f t="shared" si="125"/>
        <v>0.66807377977187432</v>
      </c>
      <c r="AF452">
        <f t="shared" si="126"/>
        <v>0.64748514833447501</v>
      </c>
      <c r="AG452">
        <f t="shared" si="127"/>
        <v>0.64914942026563716</v>
      </c>
      <c r="AI452">
        <f t="shared" si="128"/>
        <v>0.19646033712746164</v>
      </c>
      <c r="AJ452">
        <f t="shared" si="129"/>
        <v>16.731298509352484</v>
      </c>
      <c r="AL452">
        <f t="shared" si="130"/>
        <v>0.20270735218809907</v>
      </c>
      <c r="AM452">
        <f t="shared" si="131"/>
        <v>17.812253997262449</v>
      </c>
      <c r="AO452">
        <f t="shared" si="132"/>
        <v>0.20218765649716122</v>
      </c>
      <c r="AP452">
        <f t="shared" si="133"/>
        <v>17.721037914709157</v>
      </c>
    </row>
    <row r="453" spans="1:42" x14ac:dyDescent="0.2">
      <c r="A453" s="3">
        <v>450</v>
      </c>
      <c r="B453" s="3">
        <v>3.1600000000000002E-7</v>
      </c>
      <c r="C453" s="2">
        <v>2.351E-2</v>
      </c>
      <c r="D453" s="3">
        <v>173000</v>
      </c>
      <c r="E453" s="3">
        <v>114000000000</v>
      </c>
      <c r="F453" s="3">
        <v>103000000000</v>
      </c>
      <c r="G453" s="3">
        <v>2830000000</v>
      </c>
      <c r="H453" s="3">
        <v>12000000000</v>
      </c>
      <c r="I453" s="2"/>
      <c r="J453" s="7">
        <f t="shared" ref="J453:J516" si="134">B453*(10^6)</f>
        <v>0.316</v>
      </c>
      <c r="K453" s="7">
        <f t="shared" ref="K453:K516" si="135">C453*1000</f>
        <v>23.509999999999998</v>
      </c>
      <c r="L453" s="7">
        <f t="shared" ref="L453:L516" si="136">E453*(10^-9)</f>
        <v>114</v>
      </c>
      <c r="M453" s="7">
        <f t="shared" ref="M453:M516" si="137">D453*(10^-3)</f>
        <v>173</v>
      </c>
      <c r="O453">
        <f t="shared" ref="O453:O516" si="138">J453-(0.75*(K453/M453))</f>
        <v>0.21407803468208092</v>
      </c>
      <c r="P453">
        <f t="shared" ref="P453:P516" si="139">O453*1000</f>
        <v>214.07803468208093</v>
      </c>
      <c r="V453">
        <f t="shared" ref="V453:V516" si="140">$S$3*(P453^$S$4)</f>
        <v>688.85773574371922</v>
      </c>
      <c r="W453">
        <f t="shared" ref="W453:W516" si="141">M453/(2*(V453/1000))</f>
        <v>125.57019470299049</v>
      </c>
      <c r="AE453">
        <f t="shared" si="125"/>
        <v>0.58668408071337186</v>
      </c>
      <c r="AF453">
        <f t="shared" si="126"/>
        <v>0.5686037089434729</v>
      </c>
      <c r="AG453">
        <f t="shared" si="127"/>
        <v>0.57006522693378292</v>
      </c>
      <c r="AI453">
        <f t="shared" si="128"/>
        <v>0.22442515656223036</v>
      </c>
      <c r="AJ453">
        <f t="shared" si="129"/>
        <v>21.741750873630277</v>
      </c>
      <c r="AL453">
        <f t="shared" si="130"/>
        <v>0.23156139257571423</v>
      </c>
      <c r="AM453">
        <f t="shared" si="131"/>
        <v>23.146415604851519</v>
      </c>
      <c r="AO453">
        <f t="shared" si="132"/>
        <v>0.23096772166733243</v>
      </c>
      <c r="AP453">
        <f t="shared" si="133"/>
        <v>23.027883421504619</v>
      </c>
    </row>
    <row r="454" spans="1:42" x14ac:dyDescent="0.2">
      <c r="A454" s="3">
        <v>450</v>
      </c>
      <c r="B454" s="3">
        <v>3.1699999999999999E-7</v>
      </c>
      <c r="C454" s="2">
        <v>2.3560000000000001E-2</v>
      </c>
      <c r="D454" s="3">
        <v>161000</v>
      </c>
      <c r="E454" s="3">
        <v>107000000000</v>
      </c>
      <c r="F454" s="3">
        <v>97400000000</v>
      </c>
      <c r="G454" s="3">
        <v>9450000000</v>
      </c>
      <c r="H454" s="3">
        <v>12400000000</v>
      </c>
      <c r="I454" s="2"/>
      <c r="J454" s="7">
        <f t="shared" si="134"/>
        <v>0.317</v>
      </c>
      <c r="K454" s="7">
        <f t="shared" si="135"/>
        <v>23.560000000000002</v>
      </c>
      <c r="L454" s="7">
        <f t="shared" si="136"/>
        <v>107</v>
      </c>
      <c r="M454" s="7">
        <f t="shared" si="137"/>
        <v>161</v>
      </c>
      <c r="O454">
        <f t="shared" si="138"/>
        <v>0.20724844720496893</v>
      </c>
      <c r="P454">
        <f t="shared" si="139"/>
        <v>207.24844720496893</v>
      </c>
      <c r="V454">
        <f t="shared" si="140"/>
        <v>679.0338949518125</v>
      </c>
      <c r="W454">
        <f t="shared" si="141"/>
        <v>118.55078310297405</v>
      </c>
      <c r="AE454">
        <f t="shared" si="125"/>
        <v>0.54598923118412068</v>
      </c>
      <c r="AF454">
        <f t="shared" si="126"/>
        <v>0.52916298924797189</v>
      </c>
      <c r="AG454">
        <f t="shared" si="127"/>
        <v>0.53052313026785569</v>
      </c>
      <c r="AI454">
        <f t="shared" si="128"/>
        <v>0.24191563823864443</v>
      </c>
      <c r="AJ454">
        <f t="shared" si="129"/>
        <v>25.156929128671756</v>
      </c>
      <c r="AL454">
        <f t="shared" si="130"/>
        <v>0.24960803385181116</v>
      </c>
      <c r="AM454">
        <f t="shared" si="131"/>
        <v>26.782237563961417</v>
      </c>
      <c r="AO454">
        <f t="shared" si="132"/>
        <v>0.24896809544693335</v>
      </c>
      <c r="AP454">
        <f t="shared" si="133"/>
        <v>26.64508643233194</v>
      </c>
    </row>
    <row r="455" spans="1:42" x14ac:dyDescent="0.2">
      <c r="A455" s="3">
        <v>450</v>
      </c>
      <c r="B455" s="3">
        <v>3.1699999999999999E-7</v>
      </c>
      <c r="C455" s="2">
        <v>2.3609999999999999E-2</v>
      </c>
      <c r="D455" s="3">
        <v>162000</v>
      </c>
      <c r="E455" s="3">
        <v>107000000000</v>
      </c>
      <c r="F455" s="3">
        <v>97400000000</v>
      </c>
      <c r="G455" s="2">
        <v>0</v>
      </c>
      <c r="H455" s="3">
        <v>12400000000</v>
      </c>
      <c r="I455" s="2"/>
      <c r="J455" s="7">
        <f t="shared" si="134"/>
        <v>0.317</v>
      </c>
      <c r="K455" s="7">
        <f t="shared" si="135"/>
        <v>23.61</v>
      </c>
      <c r="L455" s="7">
        <f t="shared" si="136"/>
        <v>107</v>
      </c>
      <c r="M455" s="7">
        <f t="shared" si="137"/>
        <v>162</v>
      </c>
      <c r="O455">
        <f t="shared" si="138"/>
        <v>0.20769444444444446</v>
      </c>
      <c r="P455">
        <f t="shared" si="139"/>
        <v>207.69444444444446</v>
      </c>
      <c r="V455">
        <f t="shared" si="140"/>
        <v>679.68088203069408</v>
      </c>
      <c r="W455">
        <f t="shared" si="141"/>
        <v>119.1735741602661</v>
      </c>
      <c r="AE455">
        <f t="shared" si="125"/>
        <v>0.54938046864489165</v>
      </c>
      <c r="AF455">
        <f t="shared" si="126"/>
        <v>0.53244971588926371</v>
      </c>
      <c r="AG455">
        <f t="shared" si="127"/>
        <v>0.53381830499001637</v>
      </c>
      <c r="AI455">
        <f t="shared" si="128"/>
        <v>0.24042233182976389</v>
      </c>
      <c r="AJ455">
        <f t="shared" si="129"/>
        <v>24.900040313661041</v>
      </c>
      <c r="AL455">
        <f t="shared" si="130"/>
        <v>0.24806724351939249</v>
      </c>
      <c r="AM455">
        <f t="shared" si="131"/>
        <v>26.508751987246082</v>
      </c>
      <c r="AO455">
        <f t="shared" si="132"/>
        <v>0.24743125535158184</v>
      </c>
      <c r="AP455">
        <f t="shared" si="133"/>
        <v>26.373001368036128</v>
      </c>
    </row>
    <row r="456" spans="1:42" x14ac:dyDescent="0.2">
      <c r="A456" s="3">
        <v>450</v>
      </c>
      <c r="B456" s="3">
        <v>3.1899999999999998E-7</v>
      </c>
      <c r="C456" s="2">
        <v>2.366E-2</v>
      </c>
      <c r="D456" s="3">
        <v>164000</v>
      </c>
      <c r="E456" s="3">
        <v>108000000000</v>
      </c>
      <c r="F456" s="3">
        <v>98100000000</v>
      </c>
      <c r="G456" s="3">
        <v>4130000000</v>
      </c>
      <c r="H456" s="3">
        <v>12300000000</v>
      </c>
      <c r="I456" s="2"/>
      <c r="J456" s="7">
        <f t="shared" si="134"/>
        <v>0.31900000000000001</v>
      </c>
      <c r="K456" s="7">
        <f t="shared" si="135"/>
        <v>23.66</v>
      </c>
      <c r="L456" s="7">
        <f t="shared" si="136"/>
        <v>108</v>
      </c>
      <c r="M456" s="7">
        <f t="shared" si="137"/>
        <v>164</v>
      </c>
      <c r="O456">
        <f t="shared" si="138"/>
        <v>0.2107987804878049</v>
      </c>
      <c r="P456">
        <f t="shared" si="139"/>
        <v>210.79878048780489</v>
      </c>
      <c r="V456">
        <f t="shared" si="140"/>
        <v>684.16291103448509</v>
      </c>
      <c r="W456">
        <f t="shared" si="141"/>
        <v>119.85449470801086</v>
      </c>
      <c r="AE456">
        <f t="shared" si="125"/>
        <v>0.55616294356643348</v>
      </c>
      <c r="AF456">
        <f t="shared" si="126"/>
        <v>0.53902316917184723</v>
      </c>
      <c r="AG456">
        <f t="shared" si="127"/>
        <v>0.5404086544343375</v>
      </c>
      <c r="AI456">
        <f t="shared" si="128"/>
        <v>0.23898871401666807</v>
      </c>
      <c r="AJ456">
        <f t="shared" si="129"/>
        <v>24.347879091282739</v>
      </c>
      <c r="AL456">
        <f t="shared" si="130"/>
        <v>0.24658803975138813</v>
      </c>
      <c r="AM456">
        <f t="shared" si="131"/>
        <v>25.920917400770705</v>
      </c>
      <c r="AO456">
        <f t="shared" si="132"/>
        <v>0.24595584392665709</v>
      </c>
      <c r="AP456">
        <f t="shared" si="133"/>
        <v>25.788177066961794</v>
      </c>
    </row>
    <row r="457" spans="1:42" x14ac:dyDescent="0.2">
      <c r="A457" s="3">
        <v>460</v>
      </c>
      <c r="B457" s="3">
        <v>3.2000000000000001E-7</v>
      </c>
      <c r="C457" s="2">
        <v>2.3709999999999998E-2</v>
      </c>
      <c r="D457" s="3">
        <v>170000</v>
      </c>
      <c r="E457" s="3">
        <v>111000000000</v>
      </c>
      <c r="F457" s="3">
        <v>101000000000</v>
      </c>
      <c r="G457" s="3">
        <v>2980000000</v>
      </c>
      <c r="H457" s="3">
        <v>12000000000</v>
      </c>
      <c r="I457" s="2"/>
      <c r="J457" s="7">
        <f t="shared" si="134"/>
        <v>0.32</v>
      </c>
      <c r="K457" s="7">
        <f t="shared" si="135"/>
        <v>23.709999999999997</v>
      </c>
      <c r="L457" s="7">
        <f t="shared" si="136"/>
        <v>111</v>
      </c>
      <c r="M457" s="7">
        <f t="shared" si="137"/>
        <v>170</v>
      </c>
      <c r="O457">
        <f t="shared" si="138"/>
        <v>0.21539705882352944</v>
      </c>
      <c r="P457">
        <f t="shared" si="139"/>
        <v>215.39705882352945</v>
      </c>
      <c r="V457">
        <f t="shared" si="140"/>
        <v>690.73484712293816</v>
      </c>
      <c r="W457">
        <f t="shared" si="141"/>
        <v>123.05735023221081</v>
      </c>
      <c r="AE457">
        <f t="shared" si="125"/>
        <v>0.57651036833105906</v>
      </c>
      <c r="AF457">
        <f t="shared" si="126"/>
        <v>0.55874352901959767</v>
      </c>
      <c r="AG457">
        <f t="shared" si="127"/>
        <v>0.56017970276730111</v>
      </c>
      <c r="AI457">
        <f t="shared" si="128"/>
        <v>0.23127655746993805</v>
      </c>
      <c r="AJ457">
        <f t="shared" si="129"/>
        <v>22.707420556628392</v>
      </c>
      <c r="AL457">
        <f t="shared" si="130"/>
        <v>0.23863065325747465</v>
      </c>
      <c r="AM457">
        <f t="shared" si="131"/>
        <v>24.174474106192786</v>
      </c>
      <c r="AO457">
        <f t="shared" si="132"/>
        <v>0.23801885836752651</v>
      </c>
      <c r="AP457">
        <f t="shared" si="133"/>
        <v>24.050677262396832</v>
      </c>
    </row>
    <row r="458" spans="1:42" x14ac:dyDescent="0.2">
      <c r="A458" s="3">
        <v>460</v>
      </c>
      <c r="B458" s="3">
        <v>3.2099999999999998E-7</v>
      </c>
      <c r="C458" s="2">
        <v>2.3769999999999999E-2</v>
      </c>
      <c r="D458" s="3">
        <v>160000</v>
      </c>
      <c r="E458" s="3">
        <v>105000000000</v>
      </c>
      <c r="F458" s="3">
        <v>95900000000</v>
      </c>
      <c r="G458" s="2">
        <v>0</v>
      </c>
      <c r="H458" s="3">
        <v>12400000000</v>
      </c>
      <c r="I458" s="2"/>
      <c r="J458" s="7">
        <f t="shared" si="134"/>
        <v>0.32099999999999995</v>
      </c>
      <c r="K458" s="7">
        <f t="shared" si="135"/>
        <v>23.77</v>
      </c>
      <c r="L458" s="7">
        <f t="shared" si="136"/>
        <v>105</v>
      </c>
      <c r="M458" s="7">
        <f t="shared" si="137"/>
        <v>160</v>
      </c>
      <c r="O458">
        <f t="shared" si="138"/>
        <v>0.20957812499999995</v>
      </c>
      <c r="P458">
        <f t="shared" si="139"/>
        <v>209.57812499999994</v>
      </c>
      <c r="V458">
        <f t="shared" si="140"/>
        <v>682.40494785342457</v>
      </c>
      <c r="W458">
        <f t="shared" si="141"/>
        <v>117.23244424245206</v>
      </c>
      <c r="AE458">
        <f t="shared" si="125"/>
        <v>0.54259799372334971</v>
      </c>
      <c r="AF458">
        <f t="shared" si="126"/>
        <v>0.52587626260668019</v>
      </c>
      <c r="AG458">
        <f t="shared" si="127"/>
        <v>0.52722795554569513</v>
      </c>
      <c r="AI458">
        <f t="shared" si="128"/>
        <v>0.24649925275653356</v>
      </c>
      <c r="AJ458">
        <f t="shared" si="129"/>
        <v>25.699419208729083</v>
      </c>
      <c r="AL458">
        <f t="shared" si="130"/>
        <v>0.25433739742696077</v>
      </c>
      <c r="AM458">
        <f t="shared" si="131"/>
        <v>27.359776186655569</v>
      </c>
      <c r="AO458">
        <f t="shared" si="132"/>
        <v>0.25368533400617033</v>
      </c>
      <c r="AP458">
        <f t="shared" si="133"/>
        <v>27.219667494983806</v>
      </c>
    </row>
    <row r="459" spans="1:42" x14ac:dyDescent="0.2">
      <c r="A459" s="3">
        <v>460</v>
      </c>
      <c r="B459" s="3">
        <v>3.2099999999999998E-7</v>
      </c>
      <c r="C459" s="2">
        <v>2.3820000000000001E-2</v>
      </c>
      <c r="D459" s="3">
        <v>178000</v>
      </c>
      <c r="E459" s="3">
        <v>115000000000</v>
      </c>
      <c r="F459" s="3">
        <v>104000000000</v>
      </c>
      <c r="G459" s="3">
        <v>7740000000</v>
      </c>
      <c r="H459" s="3">
        <v>11800000000</v>
      </c>
      <c r="I459" s="2"/>
      <c r="J459" s="7">
        <f t="shared" si="134"/>
        <v>0.32099999999999995</v>
      </c>
      <c r="K459" s="7">
        <f t="shared" si="135"/>
        <v>23.82</v>
      </c>
      <c r="L459" s="7">
        <f t="shared" si="136"/>
        <v>115.00000000000001</v>
      </c>
      <c r="M459" s="7">
        <f t="shared" si="137"/>
        <v>178</v>
      </c>
      <c r="O459">
        <f t="shared" si="138"/>
        <v>0.22063483146067411</v>
      </c>
      <c r="P459">
        <f t="shared" si="139"/>
        <v>220.63483146067412</v>
      </c>
      <c r="V459">
        <f t="shared" si="140"/>
        <v>698.12625770640147</v>
      </c>
      <c r="W459">
        <f t="shared" si="141"/>
        <v>127.48410336605495</v>
      </c>
      <c r="AE459">
        <f t="shared" si="125"/>
        <v>0.60364026801722659</v>
      </c>
      <c r="AF459">
        <f t="shared" si="126"/>
        <v>0.58503734214993164</v>
      </c>
      <c r="AG459">
        <f t="shared" si="127"/>
        <v>0.58654110054458586</v>
      </c>
      <c r="AI459">
        <f t="shared" si="128"/>
        <v>0.22157236202834474</v>
      </c>
      <c r="AJ459">
        <f t="shared" si="129"/>
        <v>20.808263785850411</v>
      </c>
      <c r="AL459">
        <f t="shared" si="130"/>
        <v>0.22861788532760516</v>
      </c>
      <c r="AM459">
        <f t="shared" si="131"/>
        <v>22.152618912896905</v>
      </c>
      <c r="AO459">
        <f t="shared" si="132"/>
        <v>0.22803176090442273</v>
      </c>
      <c r="AP459">
        <f t="shared" si="133"/>
        <v>22.039175936177557</v>
      </c>
    </row>
    <row r="460" spans="1:42" x14ac:dyDescent="0.2">
      <c r="A460" s="3">
        <v>460</v>
      </c>
      <c r="B460" s="3">
        <v>3.22E-7</v>
      </c>
      <c r="C460" s="2">
        <v>2.3869999999999999E-2</v>
      </c>
      <c r="D460" s="3">
        <v>196000</v>
      </c>
      <c r="E460" s="3">
        <v>125000000000</v>
      </c>
      <c r="F460" s="3">
        <v>112000000000</v>
      </c>
      <c r="G460" s="2">
        <v>0</v>
      </c>
      <c r="H460" s="3">
        <v>11200000000</v>
      </c>
      <c r="I460" s="2"/>
      <c r="J460" s="7">
        <f t="shared" si="134"/>
        <v>0.32200000000000001</v>
      </c>
      <c r="K460" s="7">
        <f t="shared" si="135"/>
        <v>23.869999999999997</v>
      </c>
      <c r="L460" s="7">
        <f t="shared" si="136"/>
        <v>125.00000000000001</v>
      </c>
      <c r="M460" s="7">
        <f t="shared" si="137"/>
        <v>196</v>
      </c>
      <c r="O460">
        <f t="shared" si="138"/>
        <v>0.2306607142857143</v>
      </c>
      <c r="P460">
        <f t="shared" si="139"/>
        <v>230.66071428571431</v>
      </c>
      <c r="V460">
        <f t="shared" si="140"/>
        <v>712.00667107899926</v>
      </c>
      <c r="W460">
        <f t="shared" si="141"/>
        <v>137.63915982906093</v>
      </c>
      <c r="AE460">
        <f t="shared" si="125"/>
        <v>0.66468254231110346</v>
      </c>
      <c r="AF460">
        <f t="shared" si="126"/>
        <v>0.6441984216931832</v>
      </c>
      <c r="AG460">
        <f t="shared" si="127"/>
        <v>0.64585424554347659</v>
      </c>
      <c r="AI460">
        <f t="shared" si="128"/>
        <v>0.20185074547041465</v>
      </c>
      <c r="AJ460">
        <f t="shared" si="129"/>
        <v>17.197858388127457</v>
      </c>
      <c r="AL460">
        <f t="shared" si="130"/>
        <v>0.20826916389212632</v>
      </c>
      <c r="AM460">
        <f t="shared" si="131"/>
        <v>18.308956812111305</v>
      </c>
      <c r="AO460">
        <f t="shared" si="132"/>
        <v>0.20773520897701533</v>
      </c>
      <c r="AP460">
        <f t="shared" si="133"/>
        <v>18.215197127553981</v>
      </c>
    </row>
    <row r="461" spans="1:42" x14ac:dyDescent="0.2">
      <c r="A461" s="3">
        <v>460</v>
      </c>
      <c r="B461" s="3">
        <v>3.2300000000000002E-7</v>
      </c>
      <c r="C461" s="2">
        <v>2.393E-2</v>
      </c>
      <c r="D461" s="3">
        <v>164000</v>
      </c>
      <c r="E461" s="3">
        <v>107000000000</v>
      </c>
      <c r="F461" s="3">
        <v>97600000000</v>
      </c>
      <c r="G461" s="2">
        <v>0</v>
      </c>
      <c r="H461" s="3">
        <v>12200000000</v>
      </c>
      <c r="I461" s="2"/>
      <c r="J461" s="7">
        <f t="shared" si="134"/>
        <v>0.32300000000000001</v>
      </c>
      <c r="K461" s="7">
        <f t="shared" si="135"/>
        <v>23.93</v>
      </c>
      <c r="L461" s="7">
        <f t="shared" si="136"/>
        <v>107</v>
      </c>
      <c r="M461" s="7">
        <f t="shared" si="137"/>
        <v>164</v>
      </c>
      <c r="O461">
        <f t="shared" si="138"/>
        <v>0.21356402439024391</v>
      </c>
      <c r="P461">
        <f t="shared" si="139"/>
        <v>213.5640243902439</v>
      </c>
      <c r="V461">
        <f t="shared" si="140"/>
        <v>688.12450065231621</v>
      </c>
      <c r="W461">
        <f t="shared" si="141"/>
        <v>119.16448247703298</v>
      </c>
      <c r="AE461">
        <f t="shared" si="125"/>
        <v>0.55616294356643348</v>
      </c>
      <c r="AF461">
        <f t="shared" si="126"/>
        <v>0.53902316917184723</v>
      </c>
      <c r="AG461">
        <f t="shared" si="127"/>
        <v>0.5404086544343375</v>
      </c>
      <c r="AI461">
        <f t="shared" si="128"/>
        <v>0.24198543770339745</v>
      </c>
      <c r="AJ461">
        <f t="shared" si="129"/>
        <v>24.625728937210308</v>
      </c>
      <c r="AL461">
        <f t="shared" si="130"/>
        <v>0.24968005278902308</v>
      </c>
      <c r="AM461">
        <f t="shared" si="131"/>
        <v>26.216718233323878</v>
      </c>
      <c r="AO461">
        <f t="shared" si="132"/>
        <v>0.24903992974391925</v>
      </c>
      <c r="AP461">
        <f t="shared" si="133"/>
        <v>26.082463111259329</v>
      </c>
    </row>
    <row r="462" spans="1:42" x14ac:dyDescent="0.2">
      <c r="A462" s="3">
        <v>460</v>
      </c>
      <c r="B462" s="3">
        <v>3.2399999999999999E-7</v>
      </c>
      <c r="C462" s="2">
        <v>2.3980000000000001E-2</v>
      </c>
      <c r="D462" s="3">
        <v>167000</v>
      </c>
      <c r="E462" s="3">
        <v>109000000000</v>
      </c>
      <c r="F462" s="3">
        <v>98700000000</v>
      </c>
      <c r="G462" s="2">
        <v>0</v>
      </c>
      <c r="H462" s="3">
        <v>12100000000</v>
      </c>
      <c r="I462" s="2"/>
      <c r="J462" s="7">
        <f t="shared" si="134"/>
        <v>0.32400000000000001</v>
      </c>
      <c r="K462" s="7">
        <f t="shared" si="135"/>
        <v>23.98</v>
      </c>
      <c r="L462" s="7">
        <f t="shared" si="136"/>
        <v>109</v>
      </c>
      <c r="M462" s="7">
        <f t="shared" si="137"/>
        <v>167</v>
      </c>
      <c r="O462">
        <f t="shared" si="138"/>
        <v>0.2163053892215569</v>
      </c>
      <c r="P462">
        <f t="shared" si="139"/>
        <v>216.30538922155691</v>
      </c>
      <c r="V462">
        <f t="shared" si="140"/>
        <v>692.02377780226948</v>
      </c>
      <c r="W462">
        <f t="shared" si="141"/>
        <v>120.66059386742386</v>
      </c>
      <c r="AE462">
        <f t="shared" si="125"/>
        <v>0.56633665594874627</v>
      </c>
      <c r="AF462">
        <f t="shared" si="126"/>
        <v>0.54888334909572245</v>
      </c>
      <c r="AG462">
        <f t="shared" si="127"/>
        <v>0.55029417860081931</v>
      </c>
      <c r="AI462">
        <f t="shared" si="128"/>
        <v>0.23837411649409038</v>
      </c>
      <c r="AJ462">
        <f t="shared" si="129"/>
        <v>23.79854077029038</v>
      </c>
      <c r="AL462">
        <f t="shared" si="130"/>
        <v>0.24595389935295103</v>
      </c>
      <c r="AM462">
        <f t="shared" si="131"/>
        <v>25.336088094278093</v>
      </c>
      <c r="AO462">
        <f t="shared" si="132"/>
        <v>0.24532332932042217</v>
      </c>
      <c r="AP462">
        <f t="shared" si="133"/>
        <v>25.206342655910756</v>
      </c>
    </row>
    <row r="463" spans="1:42" x14ac:dyDescent="0.2">
      <c r="A463" s="3">
        <v>460</v>
      </c>
      <c r="B463" s="3">
        <v>3.2399999999999999E-7</v>
      </c>
      <c r="C463" s="2">
        <v>2.4029999999999999E-2</v>
      </c>
      <c r="D463" s="3">
        <v>163000</v>
      </c>
      <c r="E463" s="3">
        <v>107000000000</v>
      </c>
      <c r="F463" s="3">
        <v>96900000000</v>
      </c>
      <c r="G463" s="3">
        <v>2630000000</v>
      </c>
      <c r="H463" s="3">
        <v>12300000000</v>
      </c>
      <c r="I463" s="2"/>
      <c r="J463" s="7">
        <f t="shared" si="134"/>
        <v>0.32400000000000001</v>
      </c>
      <c r="K463" s="7">
        <f t="shared" si="135"/>
        <v>24.029999999999998</v>
      </c>
      <c r="L463" s="7">
        <f t="shared" si="136"/>
        <v>107</v>
      </c>
      <c r="M463" s="7">
        <f t="shared" si="137"/>
        <v>163</v>
      </c>
      <c r="O463">
        <f t="shared" si="138"/>
        <v>0.21343251533742333</v>
      </c>
      <c r="P463">
        <f t="shared" si="139"/>
        <v>213.43251533742333</v>
      </c>
      <c r="V463">
        <f t="shared" si="140"/>
        <v>687.93674526726204</v>
      </c>
      <c r="W463">
        <f t="shared" si="141"/>
        <v>118.47019447745507</v>
      </c>
      <c r="AE463">
        <f t="shared" si="125"/>
        <v>0.55277170610566251</v>
      </c>
      <c r="AF463">
        <f t="shared" si="126"/>
        <v>0.53573644253055541</v>
      </c>
      <c r="AG463">
        <f t="shared" si="127"/>
        <v>0.53711347971217693</v>
      </c>
      <c r="AI463">
        <f t="shared" si="128"/>
        <v>0.24422378806449746</v>
      </c>
      <c r="AJ463">
        <f t="shared" si="129"/>
        <v>25.032985870377075</v>
      </c>
      <c r="AL463">
        <f t="shared" si="130"/>
        <v>0.2519895778646799</v>
      </c>
      <c r="AM463">
        <f t="shared" si="131"/>
        <v>26.650286729615878</v>
      </c>
      <c r="AO463">
        <f t="shared" si="132"/>
        <v>0.25134353372092333</v>
      </c>
      <c r="AP463">
        <f t="shared" si="133"/>
        <v>26.513811314726155</v>
      </c>
    </row>
    <row r="464" spans="1:42" x14ac:dyDescent="0.2">
      <c r="A464" s="3">
        <v>460</v>
      </c>
      <c r="B464" s="3">
        <v>3.2500000000000001E-7</v>
      </c>
      <c r="C464" s="2">
        <v>2.4080000000000001E-2</v>
      </c>
      <c r="D464" s="3">
        <v>176000</v>
      </c>
      <c r="E464" s="3">
        <v>113000000000</v>
      </c>
      <c r="F464" s="3">
        <v>103000000000</v>
      </c>
      <c r="G464" s="2">
        <v>0</v>
      </c>
      <c r="H464" s="3">
        <v>11800000000</v>
      </c>
      <c r="I464" s="2"/>
      <c r="J464" s="7">
        <f t="shared" si="134"/>
        <v>0.32500000000000001</v>
      </c>
      <c r="K464" s="7">
        <f t="shared" si="135"/>
        <v>24.080000000000002</v>
      </c>
      <c r="L464" s="7">
        <f t="shared" si="136"/>
        <v>113</v>
      </c>
      <c r="M464" s="7">
        <f t="shared" si="137"/>
        <v>176</v>
      </c>
      <c r="O464">
        <f t="shared" si="138"/>
        <v>0.22238636363636363</v>
      </c>
      <c r="P464">
        <f t="shared" si="139"/>
        <v>222.38636363636363</v>
      </c>
      <c r="V464">
        <f t="shared" si="140"/>
        <v>700.57613359963727</v>
      </c>
      <c r="W464">
        <f t="shared" si="141"/>
        <v>125.61090191275332</v>
      </c>
      <c r="AE464">
        <f t="shared" ref="AE464:AE527" si="142">M464/(2*$Y$5)</f>
        <v>0.59685779309568476</v>
      </c>
      <c r="AF464">
        <f t="shared" ref="AF464:AF527" si="143">M464/(2*$Y$8)</f>
        <v>0.57846388886734823</v>
      </c>
      <c r="AG464">
        <f t="shared" ref="AG464:AG527" si="144">M464/(2*$Y$11)</f>
        <v>0.57995075110026462</v>
      </c>
      <c r="AI464">
        <f t="shared" ref="AI464:AI527" si="145">J464/(2.4*AE464)</f>
        <v>0.22688263139584652</v>
      </c>
      <c r="AJ464">
        <f t="shared" ref="AJ464:AJ527" si="146">K464/(3.14159*(AE464^2))</f>
        <v>21.516183485197192</v>
      </c>
      <c r="AL464">
        <f t="shared" ref="AL464:AL527" si="147">J464/(2.4*AF464)</f>
        <v>0.2340970098095787</v>
      </c>
      <c r="AM464">
        <f t="shared" ref="AM464:AM527" si="148">K464/(3.14159*(AF464^2))</f>
        <v>22.906275031540773</v>
      </c>
      <c r="AO464">
        <f t="shared" ref="AO464:AO527" si="149">J464/(2.4*AG464)</f>
        <v>0.23349683815351283</v>
      </c>
      <c r="AP464">
        <f t="shared" ref="AP464:AP527" si="150">K464/(3.14159*(AG464^2))</f>
        <v>22.788972601731135</v>
      </c>
    </row>
    <row r="465" spans="1:42" x14ac:dyDescent="0.2">
      <c r="A465" s="3">
        <v>460</v>
      </c>
      <c r="B465" s="3">
        <v>3.2500000000000001E-7</v>
      </c>
      <c r="C465" s="2">
        <v>2.4129999999999999E-2</v>
      </c>
      <c r="D465" s="3">
        <v>174000</v>
      </c>
      <c r="E465" s="3">
        <v>112000000000</v>
      </c>
      <c r="F465" s="3">
        <v>102000000000</v>
      </c>
      <c r="G465" s="3">
        <v>9830000000</v>
      </c>
      <c r="H465" s="3">
        <v>11900000000</v>
      </c>
      <c r="I465" s="2"/>
      <c r="J465" s="7">
        <f t="shared" si="134"/>
        <v>0.32500000000000001</v>
      </c>
      <c r="K465" s="7">
        <f t="shared" si="135"/>
        <v>24.13</v>
      </c>
      <c r="L465" s="7">
        <f t="shared" si="136"/>
        <v>112</v>
      </c>
      <c r="M465" s="7">
        <f t="shared" si="137"/>
        <v>174</v>
      </c>
      <c r="O465">
        <f t="shared" si="138"/>
        <v>0.22099137931034485</v>
      </c>
      <c r="P465">
        <f t="shared" si="139"/>
        <v>220.99137931034485</v>
      </c>
      <c r="V465">
        <f t="shared" si="140"/>
        <v>698.62583848539623</v>
      </c>
      <c r="W465">
        <f t="shared" si="141"/>
        <v>124.53017796853015</v>
      </c>
      <c r="AE465">
        <f t="shared" si="142"/>
        <v>0.59007531817414283</v>
      </c>
      <c r="AF465">
        <f t="shared" si="143"/>
        <v>0.57189043558476471</v>
      </c>
      <c r="AG465">
        <f t="shared" si="144"/>
        <v>0.57336040165594349</v>
      </c>
      <c r="AI465">
        <f t="shared" si="145"/>
        <v>0.22949047773372985</v>
      </c>
      <c r="AJ465">
        <f t="shared" si="146"/>
        <v>22.059360473143357</v>
      </c>
      <c r="AL465">
        <f t="shared" si="147"/>
        <v>0.23678778003727502</v>
      </c>
      <c r="AM465">
        <f t="shared" si="148"/>
        <v>23.484544941037438</v>
      </c>
      <c r="AO465">
        <f t="shared" si="149"/>
        <v>0.23618070985642672</v>
      </c>
      <c r="AP465">
        <f t="shared" si="150"/>
        <v>23.364281206285096</v>
      </c>
    </row>
    <row r="466" spans="1:42" x14ac:dyDescent="0.2">
      <c r="A466" s="3">
        <v>460</v>
      </c>
      <c r="B466" s="3">
        <v>3.2599999999999998E-7</v>
      </c>
      <c r="C466" s="2">
        <v>2.419E-2</v>
      </c>
      <c r="D466" s="3">
        <v>172000</v>
      </c>
      <c r="E466" s="3">
        <v>111000000000</v>
      </c>
      <c r="F466" s="3">
        <v>100000000000</v>
      </c>
      <c r="G466" s="2">
        <v>0</v>
      </c>
      <c r="H466" s="3">
        <v>12000000000</v>
      </c>
      <c r="I466" s="2"/>
      <c r="J466" s="7">
        <f t="shared" si="134"/>
        <v>0.32599999999999996</v>
      </c>
      <c r="K466" s="7">
        <f t="shared" si="135"/>
        <v>24.19</v>
      </c>
      <c r="L466" s="7">
        <f t="shared" si="136"/>
        <v>111</v>
      </c>
      <c r="M466" s="7">
        <f t="shared" si="137"/>
        <v>172</v>
      </c>
      <c r="O466">
        <f t="shared" si="138"/>
        <v>0.22052034883720925</v>
      </c>
      <c r="P466">
        <f t="shared" si="139"/>
        <v>220.52034883720924</v>
      </c>
      <c r="V466">
        <f t="shared" si="140"/>
        <v>697.96575381274351</v>
      </c>
      <c r="W466">
        <f t="shared" si="141"/>
        <v>123.21521440015071</v>
      </c>
      <c r="AE466">
        <f t="shared" si="142"/>
        <v>0.583292843252601</v>
      </c>
      <c r="AF466">
        <f t="shared" si="143"/>
        <v>0.56531698230218119</v>
      </c>
      <c r="AG466">
        <f t="shared" si="144"/>
        <v>0.56677005221162224</v>
      </c>
      <c r="AI466">
        <f t="shared" si="145"/>
        <v>0.23287330695828423</v>
      </c>
      <c r="AJ466">
        <f t="shared" si="146"/>
        <v>22.63148578088806</v>
      </c>
      <c r="AL466">
        <f t="shared" si="147"/>
        <v>0.24027817593621445</v>
      </c>
      <c r="AM466">
        <f t="shared" si="148"/>
        <v>24.093633428348454</v>
      </c>
      <c r="AO466">
        <f t="shared" si="149"/>
        <v>0.23966215717166278</v>
      </c>
      <c r="AP466">
        <f t="shared" si="150"/>
        <v>23.970250567529902</v>
      </c>
    </row>
    <row r="467" spans="1:42" x14ac:dyDescent="0.2">
      <c r="A467" s="3">
        <v>470</v>
      </c>
      <c r="B467" s="3">
        <v>3.2599999999999998E-7</v>
      </c>
      <c r="C467" s="2">
        <v>2.4240000000000001E-2</v>
      </c>
      <c r="D467" s="3">
        <v>158000</v>
      </c>
      <c r="E467" s="3">
        <v>104000000000</v>
      </c>
      <c r="F467" s="3">
        <v>94500000000</v>
      </c>
      <c r="G467" s="2">
        <v>0</v>
      </c>
      <c r="H467" s="3">
        <v>12500000000</v>
      </c>
      <c r="I467" s="2"/>
      <c r="J467" s="7">
        <f t="shared" si="134"/>
        <v>0.32599999999999996</v>
      </c>
      <c r="K467" s="7">
        <f t="shared" si="135"/>
        <v>24.240000000000002</v>
      </c>
      <c r="L467" s="7">
        <f t="shared" si="136"/>
        <v>104</v>
      </c>
      <c r="M467" s="7">
        <f t="shared" si="137"/>
        <v>158</v>
      </c>
      <c r="O467">
        <f t="shared" si="138"/>
        <v>0.21093670886075944</v>
      </c>
      <c r="P467">
        <f t="shared" si="139"/>
        <v>210.93670886075944</v>
      </c>
      <c r="V467">
        <f t="shared" si="140"/>
        <v>684.36119576052863</v>
      </c>
      <c r="W467">
        <f t="shared" si="141"/>
        <v>115.43611836759318</v>
      </c>
      <c r="AE467">
        <f t="shared" si="142"/>
        <v>0.53581551880180789</v>
      </c>
      <c r="AF467">
        <f t="shared" si="143"/>
        <v>0.51930280932409667</v>
      </c>
      <c r="AG467">
        <f t="shared" si="144"/>
        <v>0.520637606101374</v>
      </c>
      <c r="AI467">
        <f t="shared" si="145"/>
        <v>0.25350765061281577</v>
      </c>
      <c r="AJ467">
        <f t="shared" si="146"/>
        <v>26.875251297436805</v>
      </c>
      <c r="AL467">
        <f t="shared" si="147"/>
        <v>0.26156864722170181</v>
      </c>
      <c r="AM467">
        <f t="shared" si="148"/>
        <v>28.611575012101568</v>
      </c>
      <c r="AO467">
        <f t="shared" si="149"/>
        <v>0.26089804451598725</v>
      </c>
      <c r="AP467">
        <f t="shared" si="150"/>
        <v>28.465055891686777</v>
      </c>
    </row>
    <row r="468" spans="1:42" x14ac:dyDescent="0.2">
      <c r="A468" s="3">
        <v>470</v>
      </c>
      <c r="B468" s="3">
        <v>3.27E-7</v>
      </c>
      <c r="C468" s="2">
        <v>2.4289999999999999E-2</v>
      </c>
      <c r="D468" s="3">
        <v>178000</v>
      </c>
      <c r="E468" s="3">
        <v>114000000000</v>
      </c>
      <c r="F468" s="3">
        <v>103000000000</v>
      </c>
      <c r="G468" s="3">
        <v>2870000000</v>
      </c>
      <c r="H468" s="3">
        <v>11800000000</v>
      </c>
      <c r="I468" s="2"/>
      <c r="J468" s="7">
        <f t="shared" si="134"/>
        <v>0.32700000000000001</v>
      </c>
      <c r="K468" s="7">
        <f t="shared" si="135"/>
        <v>24.29</v>
      </c>
      <c r="L468" s="7">
        <f t="shared" si="136"/>
        <v>114</v>
      </c>
      <c r="M468" s="7">
        <f t="shared" si="137"/>
        <v>178</v>
      </c>
      <c r="O468">
        <f t="shared" si="138"/>
        <v>0.22465449438202248</v>
      </c>
      <c r="P468">
        <f t="shared" si="139"/>
        <v>224.65449438202248</v>
      </c>
      <c r="V468">
        <f t="shared" si="140"/>
        <v>703.73266280445625</v>
      </c>
      <c r="W468">
        <f t="shared" si="141"/>
        <v>126.46847972826028</v>
      </c>
      <c r="AE468">
        <f t="shared" si="142"/>
        <v>0.60364026801722659</v>
      </c>
      <c r="AF468">
        <f t="shared" si="143"/>
        <v>0.58503734214993164</v>
      </c>
      <c r="AG468">
        <f t="shared" si="144"/>
        <v>0.58654110054458586</v>
      </c>
      <c r="AI468">
        <f t="shared" si="145"/>
        <v>0.22571390150551013</v>
      </c>
      <c r="AJ468">
        <f t="shared" si="146"/>
        <v>21.218838260214376</v>
      </c>
      <c r="AL468">
        <f t="shared" si="147"/>
        <v>0.23289111682905578</v>
      </c>
      <c r="AM468">
        <f t="shared" si="148"/>
        <v>22.58971928607329</v>
      </c>
      <c r="AO468">
        <f t="shared" si="149"/>
        <v>0.23229403680917834</v>
      </c>
      <c r="AP468">
        <f t="shared" si="150"/>
        <v>22.47403792988047</v>
      </c>
    </row>
    <row r="469" spans="1:42" x14ac:dyDescent="0.2">
      <c r="A469" s="3">
        <v>470</v>
      </c>
      <c r="B469" s="3">
        <v>3.27E-7</v>
      </c>
      <c r="C469" s="2">
        <v>2.4340000000000001E-2</v>
      </c>
      <c r="D469" s="3">
        <v>177000</v>
      </c>
      <c r="E469" s="3">
        <v>113000000000</v>
      </c>
      <c r="F469" s="3">
        <v>102000000000</v>
      </c>
      <c r="G469" s="3">
        <v>3180000000</v>
      </c>
      <c r="H469" s="3">
        <v>11900000000</v>
      </c>
      <c r="I469" s="2"/>
      <c r="J469" s="7">
        <f t="shared" si="134"/>
        <v>0.32700000000000001</v>
      </c>
      <c r="K469" s="7">
        <f t="shared" si="135"/>
        <v>24.34</v>
      </c>
      <c r="L469" s="7">
        <f t="shared" si="136"/>
        <v>113</v>
      </c>
      <c r="M469" s="7">
        <f t="shared" si="137"/>
        <v>177</v>
      </c>
      <c r="O469">
        <f t="shared" si="138"/>
        <v>0.22386440677966102</v>
      </c>
      <c r="P469">
        <f t="shared" si="139"/>
        <v>223.86440677966101</v>
      </c>
      <c r="V469">
        <f t="shared" si="140"/>
        <v>702.63513102608147</v>
      </c>
      <c r="W469">
        <f t="shared" si="141"/>
        <v>125.95441943069443</v>
      </c>
      <c r="AE469">
        <f t="shared" si="142"/>
        <v>0.60024903055645562</v>
      </c>
      <c r="AF469">
        <f t="shared" si="143"/>
        <v>0.58175061550863993</v>
      </c>
      <c r="AG469">
        <f t="shared" si="144"/>
        <v>0.58324592582242529</v>
      </c>
      <c r="AI469">
        <f t="shared" si="145"/>
        <v>0.22698912128802712</v>
      </c>
      <c r="AJ469">
        <f t="shared" si="146"/>
        <v>21.503449503145724</v>
      </c>
      <c r="AL469">
        <f t="shared" si="147"/>
        <v>0.23420688585068883</v>
      </c>
      <c r="AM469">
        <f t="shared" si="148"/>
        <v>22.892718347786033</v>
      </c>
      <c r="AO469">
        <f t="shared" si="149"/>
        <v>0.23360643249736579</v>
      </c>
      <c r="AP469">
        <f t="shared" si="150"/>
        <v>22.775485341396056</v>
      </c>
    </row>
    <row r="470" spans="1:42" x14ac:dyDescent="0.2">
      <c r="A470" s="3">
        <v>470</v>
      </c>
      <c r="B470" s="3">
        <v>3.2800000000000003E-7</v>
      </c>
      <c r="C470" s="2">
        <v>2.4389999999999998E-2</v>
      </c>
      <c r="D470" s="3">
        <v>161000</v>
      </c>
      <c r="E470" s="3">
        <v>105000000000</v>
      </c>
      <c r="F470" s="3">
        <v>95600000000</v>
      </c>
      <c r="G470" s="3">
        <v>11200000000</v>
      </c>
      <c r="H470" s="3">
        <v>12400000000</v>
      </c>
      <c r="I470" s="2"/>
      <c r="J470" s="7">
        <f t="shared" si="134"/>
        <v>0.32800000000000001</v>
      </c>
      <c r="K470" s="7">
        <f t="shared" si="135"/>
        <v>24.389999999999997</v>
      </c>
      <c r="L470" s="7">
        <f t="shared" si="136"/>
        <v>105</v>
      </c>
      <c r="M470" s="7">
        <f t="shared" si="137"/>
        <v>161</v>
      </c>
      <c r="O470">
        <f t="shared" si="138"/>
        <v>0.21438198757763977</v>
      </c>
      <c r="P470">
        <f t="shared" si="139"/>
        <v>214.38198757763976</v>
      </c>
      <c r="V470">
        <f t="shared" si="140"/>
        <v>689.29086290403018</v>
      </c>
      <c r="W470">
        <f t="shared" si="141"/>
        <v>116.78669242886511</v>
      </c>
      <c r="AE470">
        <f t="shared" si="142"/>
        <v>0.54598923118412068</v>
      </c>
      <c r="AF470">
        <f t="shared" si="143"/>
        <v>0.52916298924797189</v>
      </c>
      <c r="AG470">
        <f t="shared" si="144"/>
        <v>0.53052313026785569</v>
      </c>
      <c r="AI470">
        <f t="shared" si="145"/>
        <v>0.25031018719960685</v>
      </c>
      <c r="AJ470">
        <f t="shared" si="146"/>
        <v>26.043187667585059</v>
      </c>
      <c r="AL470">
        <f t="shared" si="147"/>
        <v>0.25826951136717369</v>
      </c>
      <c r="AM470">
        <f t="shared" si="148"/>
        <v>27.725754422114548</v>
      </c>
      <c r="AO470">
        <f t="shared" si="149"/>
        <v>0.2576073668977733</v>
      </c>
      <c r="AP470">
        <f t="shared" si="150"/>
        <v>27.58377156555925</v>
      </c>
    </row>
    <row r="471" spans="1:42" x14ac:dyDescent="0.2">
      <c r="A471" s="3">
        <v>470</v>
      </c>
      <c r="B471" s="3">
        <v>3.2899999999999999E-7</v>
      </c>
      <c r="C471" s="2">
        <v>2.445E-2</v>
      </c>
      <c r="D471" s="3">
        <v>173000</v>
      </c>
      <c r="E471" s="3">
        <v>111000000000</v>
      </c>
      <c r="F471" s="3">
        <v>100000000000</v>
      </c>
      <c r="G471" s="2">
        <v>0</v>
      </c>
      <c r="H471" s="3">
        <v>12000000000</v>
      </c>
      <c r="I471" s="2"/>
      <c r="J471" s="7">
        <f t="shared" si="134"/>
        <v>0.32900000000000001</v>
      </c>
      <c r="K471" s="7">
        <f t="shared" si="135"/>
        <v>24.45</v>
      </c>
      <c r="L471" s="7">
        <f t="shared" si="136"/>
        <v>111</v>
      </c>
      <c r="M471" s="7">
        <f t="shared" si="137"/>
        <v>173</v>
      </c>
      <c r="O471">
        <f t="shared" si="138"/>
        <v>0.22300289017341041</v>
      </c>
      <c r="P471">
        <f t="shared" si="139"/>
        <v>223.00289017341041</v>
      </c>
      <c r="V471">
        <f t="shared" si="140"/>
        <v>701.43591360554092</v>
      </c>
      <c r="W471">
        <f t="shared" si="141"/>
        <v>123.31846476946158</v>
      </c>
      <c r="AE471">
        <f t="shared" si="142"/>
        <v>0.58668408071337186</v>
      </c>
      <c r="AF471">
        <f t="shared" si="143"/>
        <v>0.5686037089434729</v>
      </c>
      <c r="AG471">
        <f t="shared" si="144"/>
        <v>0.57006522693378292</v>
      </c>
      <c r="AI471">
        <f t="shared" si="145"/>
        <v>0.23365783705371454</v>
      </c>
      <c r="AJ471">
        <f t="shared" si="146"/>
        <v>22.611050993630808</v>
      </c>
      <c r="AL471">
        <f t="shared" si="147"/>
        <v>0.24108765239686705</v>
      </c>
      <c r="AM471">
        <f t="shared" si="148"/>
        <v>24.071878415083781</v>
      </c>
      <c r="AO471">
        <f t="shared" si="149"/>
        <v>0.24046955831820369</v>
      </c>
      <c r="AP471">
        <f t="shared" si="150"/>
        <v>23.948606961113907</v>
      </c>
    </row>
    <row r="472" spans="1:42" x14ac:dyDescent="0.2">
      <c r="A472" s="3">
        <v>470</v>
      </c>
      <c r="B472" s="3">
        <v>3.2899999999999999E-7</v>
      </c>
      <c r="C472" s="2">
        <v>2.4500000000000001E-2</v>
      </c>
      <c r="D472" s="3">
        <v>169000</v>
      </c>
      <c r="E472" s="3">
        <v>109000000000</v>
      </c>
      <c r="F472" s="3">
        <v>98700000000</v>
      </c>
      <c r="G472" s="3">
        <v>7560000000</v>
      </c>
      <c r="H472" s="3">
        <v>12100000000</v>
      </c>
      <c r="I472" s="2"/>
      <c r="J472" s="7">
        <f t="shared" si="134"/>
        <v>0.32900000000000001</v>
      </c>
      <c r="K472" s="7">
        <f t="shared" si="135"/>
        <v>24.5</v>
      </c>
      <c r="L472" s="7">
        <f t="shared" si="136"/>
        <v>109</v>
      </c>
      <c r="M472" s="7">
        <f t="shared" si="137"/>
        <v>169</v>
      </c>
      <c r="O472">
        <f t="shared" si="138"/>
        <v>0.22027218934911244</v>
      </c>
      <c r="P472">
        <f t="shared" si="139"/>
        <v>220.27218934911244</v>
      </c>
      <c r="V472">
        <f t="shared" si="140"/>
        <v>697.61767641411893</v>
      </c>
      <c r="W472">
        <f t="shared" si="141"/>
        <v>121.12651794367551</v>
      </c>
      <c r="AE472">
        <f t="shared" si="142"/>
        <v>0.57311913087028821</v>
      </c>
      <c r="AF472">
        <f t="shared" si="143"/>
        <v>0.55545680237830597</v>
      </c>
      <c r="AG472">
        <f t="shared" si="144"/>
        <v>0.55688452804514055</v>
      </c>
      <c r="AI472">
        <f t="shared" si="145"/>
        <v>0.23918820006090299</v>
      </c>
      <c r="AJ472">
        <f t="shared" si="146"/>
        <v>23.742517532152107</v>
      </c>
      <c r="AL472">
        <f t="shared" si="147"/>
        <v>0.24679386902164491</v>
      </c>
      <c r="AM472">
        <f t="shared" si="148"/>
        <v>25.276445374562687</v>
      </c>
      <c r="AO472">
        <f t="shared" si="149"/>
        <v>0.24616114549733278</v>
      </c>
      <c r="AP472">
        <f t="shared" si="150"/>
        <v>25.147005364988701</v>
      </c>
    </row>
    <row r="473" spans="1:42" x14ac:dyDescent="0.2">
      <c r="A473" s="3">
        <v>470</v>
      </c>
      <c r="B473" s="3">
        <v>3.2899999999999999E-7</v>
      </c>
      <c r="C473" s="2">
        <v>2.4559999999999998E-2</v>
      </c>
      <c r="D473" s="3">
        <v>182000</v>
      </c>
      <c r="E473" s="3">
        <v>116000000000</v>
      </c>
      <c r="F473" s="3">
        <v>104000000000</v>
      </c>
      <c r="G473" s="3">
        <v>8230000000</v>
      </c>
      <c r="H473" s="3">
        <v>11700000000</v>
      </c>
      <c r="I473" s="2"/>
      <c r="J473" s="7">
        <f t="shared" si="134"/>
        <v>0.32900000000000001</v>
      </c>
      <c r="K473" s="7">
        <f t="shared" si="135"/>
        <v>24.56</v>
      </c>
      <c r="L473" s="7">
        <f t="shared" si="136"/>
        <v>116.00000000000001</v>
      </c>
      <c r="M473" s="7">
        <f t="shared" si="137"/>
        <v>182</v>
      </c>
      <c r="O473">
        <f t="shared" si="138"/>
        <v>0.22779120879120882</v>
      </c>
      <c r="P473">
        <f t="shared" si="139"/>
        <v>227.79120879120882</v>
      </c>
      <c r="V473">
        <f t="shared" si="140"/>
        <v>708.06888060934739</v>
      </c>
      <c r="W473">
        <f t="shared" si="141"/>
        <v>128.51857000365212</v>
      </c>
      <c r="AE473">
        <f t="shared" si="142"/>
        <v>0.61720521786031035</v>
      </c>
      <c r="AF473">
        <f t="shared" si="143"/>
        <v>0.59818424871509868</v>
      </c>
      <c r="AG473">
        <f t="shared" si="144"/>
        <v>0.59972179943322823</v>
      </c>
      <c r="AI473">
        <f t="shared" si="145"/>
        <v>0.22210332862798135</v>
      </c>
      <c r="AJ473">
        <f t="shared" si="146"/>
        <v>20.521999785433529</v>
      </c>
      <c r="AL473">
        <f t="shared" si="147"/>
        <v>0.22916573552009886</v>
      </c>
      <c r="AM473">
        <f t="shared" si="148"/>
        <v>21.847860314342956</v>
      </c>
      <c r="AO473">
        <f t="shared" si="149"/>
        <v>0.2285782065332376</v>
      </c>
      <c r="AP473">
        <f t="shared" si="150"/>
        <v>21.735977998362497</v>
      </c>
    </row>
    <row r="474" spans="1:42" x14ac:dyDescent="0.2">
      <c r="A474" s="3">
        <v>470</v>
      </c>
      <c r="B474" s="3">
        <v>3.3000000000000002E-7</v>
      </c>
      <c r="C474" s="2">
        <v>2.461E-2</v>
      </c>
      <c r="D474" s="3">
        <v>168000</v>
      </c>
      <c r="E474" s="3">
        <v>108000000000</v>
      </c>
      <c r="F474" s="3">
        <v>98200000000</v>
      </c>
      <c r="G474" s="2">
        <v>0</v>
      </c>
      <c r="H474" s="3">
        <v>12200000000</v>
      </c>
      <c r="I474" s="2"/>
      <c r="J474" s="7">
        <f t="shared" si="134"/>
        <v>0.33</v>
      </c>
      <c r="K474" s="7">
        <f t="shared" si="135"/>
        <v>24.61</v>
      </c>
      <c r="L474" s="7">
        <f t="shared" si="136"/>
        <v>108</v>
      </c>
      <c r="M474" s="7">
        <f t="shared" si="137"/>
        <v>168</v>
      </c>
      <c r="O474">
        <f t="shared" si="138"/>
        <v>0.22013392857142861</v>
      </c>
      <c r="P474">
        <f t="shared" si="139"/>
        <v>220.13392857142861</v>
      </c>
      <c r="V474">
        <f t="shared" si="140"/>
        <v>697.42365213875019</v>
      </c>
      <c r="W474">
        <f t="shared" si="141"/>
        <v>120.44329116513597</v>
      </c>
      <c r="AE474">
        <f t="shared" si="142"/>
        <v>0.56972789340951724</v>
      </c>
      <c r="AF474">
        <f t="shared" si="143"/>
        <v>0.55217007573701415</v>
      </c>
      <c r="AG474">
        <f t="shared" si="144"/>
        <v>0.55358935332297987</v>
      </c>
      <c r="AI474">
        <f t="shared" si="145"/>
        <v>0.24134328262766971</v>
      </c>
      <c r="AJ474">
        <f t="shared" si="146"/>
        <v>24.133879639318319</v>
      </c>
      <c r="AL474">
        <f t="shared" si="147"/>
        <v>0.24901747856667278</v>
      </c>
      <c r="AM474">
        <f t="shared" si="148"/>
        <v>25.693092131169884</v>
      </c>
      <c r="AO474">
        <f t="shared" si="149"/>
        <v>0.2483790542116488</v>
      </c>
      <c r="AP474">
        <f t="shared" si="150"/>
        <v>25.561518484552995</v>
      </c>
    </row>
    <row r="475" spans="1:42" x14ac:dyDescent="0.2">
      <c r="A475" s="3">
        <v>470</v>
      </c>
      <c r="B475" s="3">
        <v>3.3000000000000002E-7</v>
      </c>
      <c r="C475" s="2">
        <v>2.4660000000000001E-2</v>
      </c>
      <c r="D475" s="3">
        <v>181000</v>
      </c>
      <c r="E475" s="3">
        <v>115000000000</v>
      </c>
      <c r="F475" s="3">
        <v>104000000000</v>
      </c>
      <c r="G475" s="2">
        <v>0</v>
      </c>
      <c r="H475" s="3">
        <v>11800000000</v>
      </c>
      <c r="I475" s="2"/>
      <c r="J475" s="7">
        <f t="shared" si="134"/>
        <v>0.33</v>
      </c>
      <c r="K475" s="7">
        <f t="shared" si="135"/>
        <v>24.66</v>
      </c>
      <c r="L475" s="7">
        <f t="shared" si="136"/>
        <v>115.00000000000001</v>
      </c>
      <c r="M475" s="7">
        <f t="shared" si="137"/>
        <v>181</v>
      </c>
      <c r="O475">
        <f t="shared" si="138"/>
        <v>0.22781767955801108</v>
      </c>
      <c r="P475">
        <f t="shared" si="139"/>
        <v>227.81767955801106</v>
      </c>
      <c r="V475">
        <f t="shared" si="140"/>
        <v>708.10533202077272</v>
      </c>
      <c r="W475">
        <f t="shared" si="141"/>
        <v>127.80584456514885</v>
      </c>
      <c r="AE475">
        <f t="shared" si="142"/>
        <v>0.61381398039953938</v>
      </c>
      <c r="AF475">
        <f t="shared" si="143"/>
        <v>0.59489752207380697</v>
      </c>
      <c r="AG475">
        <f t="shared" si="144"/>
        <v>0.59642662471106767</v>
      </c>
      <c r="AI475">
        <f t="shared" si="145"/>
        <v>0.22400923470413545</v>
      </c>
      <c r="AJ475">
        <f t="shared" si="146"/>
        <v>20.833873110941067</v>
      </c>
      <c r="AL475">
        <f t="shared" si="147"/>
        <v>0.23113224529945317</v>
      </c>
      <c r="AM475">
        <f t="shared" si="148"/>
        <v>22.179882774273718</v>
      </c>
      <c r="AO475">
        <f t="shared" si="149"/>
        <v>0.23053967462738667</v>
      </c>
      <c r="AP475">
        <f t="shared" si="150"/>
        <v>22.066300180039914</v>
      </c>
    </row>
    <row r="476" spans="1:42" x14ac:dyDescent="0.2">
      <c r="A476" s="3">
        <v>470</v>
      </c>
      <c r="B476" s="3">
        <v>3.3099999999999999E-7</v>
      </c>
      <c r="C476" s="2">
        <v>2.4709999999999999E-2</v>
      </c>
      <c r="D476" s="3">
        <v>170000</v>
      </c>
      <c r="E476" s="3">
        <v>109000000000</v>
      </c>
      <c r="F476" s="3">
        <v>98900000000</v>
      </c>
      <c r="G476" s="3">
        <v>14300000000</v>
      </c>
      <c r="H476" s="3">
        <v>12200000000</v>
      </c>
      <c r="I476" s="2"/>
      <c r="J476" s="7">
        <f t="shared" si="134"/>
        <v>0.33099999999999996</v>
      </c>
      <c r="K476" s="7">
        <f t="shared" si="135"/>
        <v>24.71</v>
      </c>
      <c r="L476" s="7">
        <f t="shared" si="136"/>
        <v>109</v>
      </c>
      <c r="M476" s="7">
        <f t="shared" si="137"/>
        <v>170</v>
      </c>
      <c r="O476">
        <f t="shared" si="138"/>
        <v>0.221985294117647</v>
      </c>
      <c r="P476">
        <f t="shared" si="139"/>
        <v>221.98529411764702</v>
      </c>
      <c r="V476">
        <f t="shared" si="140"/>
        <v>700.01610726614501</v>
      </c>
      <c r="W476">
        <f t="shared" si="141"/>
        <v>121.42577737526707</v>
      </c>
      <c r="AE476">
        <f t="shared" si="142"/>
        <v>0.57651036833105906</v>
      </c>
      <c r="AF476">
        <f t="shared" si="143"/>
        <v>0.55874352901959767</v>
      </c>
      <c r="AG476">
        <f t="shared" si="144"/>
        <v>0.56017970276730111</v>
      </c>
      <c r="AI476">
        <f t="shared" si="145"/>
        <v>0.23922668913296713</v>
      </c>
      <c r="AJ476">
        <f t="shared" si="146"/>
        <v>23.665135468337731</v>
      </c>
      <c r="AL476">
        <f t="shared" si="147"/>
        <v>0.24683358196320032</v>
      </c>
      <c r="AM476">
        <f t="shared" si="148"/>
        <v>25.194063904007752</v>
      </c>
      <c r="AO476">
        <f t="shared" si="149"/>
        <v>0.24620075662391019</v>
      </c>
      <c r="AP476">
        <f t="shared" si="150"/>
        <v>25.065045767769959</v>
      </c>
    </row>
    <row r="477" spans="1:42" x14ac:dyDescent="0.2">
      <c r="A477" s="3">
        <v>480</v>
      </c>
      <c r="B477" s="3">
        <v>3.3200000000000001E-7</v>
      </c>
      <c r="C477" s="2">
        <v>2.4760000000000001E-2</v>
      </c>
      <c r="D477" s="3">
        <v>190000</v>
      </c>
      <c r="E477" s="3">
        <v>119000000000</v>
      </c>
      <c r="F477" s="3">
        <v>107000000000</v>
      </c>
      <c r="G477" s="2">
        <v>0</v>
      </c>
      <c r="H477" s="3">
        <v>11500000000</v>
      </c>
      <c r="I477" s="2"/>
      <c r="J477" s="7">
        <f t="shared" si="134"/>
        <v>0.33200000000000002</v>
      </c>
      <c r="K477" s="7">
        <f t="shared" si="135"/>
        <v>24.76</v>
      </c>
      <c r="L477" s="7">
        <f t="shared" si="136"/>
        <v>119.00000000000001</v>
      </c>
      <c r="M477" s="7">
        <f t="shared" si="137"/>
        <v>190</v>
      </c>
      <c r="O477">
        <f t="shared" si="138"/>
        <v>0.23426315789473684</v>
      </c>
      <c r="P477">
        <f t="shared" si="139"/>
        <v>234.26315789473685</v>
      </c>
      <c r="V477">
        <f t="shared" si="140"/>
        <v>716.9118304581059</v>
      </c>
      <c r="W477">
        <f t="shared" si="141"/>
        <v>132.51280835928611</v>
      </c>
      <c r="AE477">
        <f t="shared" si="142"/>
        <v>0.64433511754647788</v>
      </c>
      <c r="AF477">
        <f t="shared" si="143"/>
        <v>0.62447806184543275</v>
      </c>
      <c r="AG477">
        <f t="shared" si="144"/>
        <v>0.62608319721051298</v>
      </c>
      <c r="AI477">
        <f t="shared" si="145"/>
        <v>0.21469159380926484</v>
      </c>
      <c r="AJ477">
        <f t="shared" si="146"/>
        <v>18.983554379013302</v>
      </c>
      <c r="AL477">
        <f t="shared" si="147"/>
        <v>0.22151832351730047</v>
      </c>
      <c r="AM477">
        <f t="shared" si="148"/>
        <v>20.210020888744225</v>
      </c>
      <c r="AO477">
        <f t="shared" si="149"/>
        <v>0.22095040076090783</v>
      </c>
      <c r="AP477">
        <f t="shared" si="150"/>
        <v>20.106525905230363</v>
      </c>
    </row>
    <row r="478" spans="1:42" x14ac:dyDescent="0.2">
      <c r="A478" s="3">
        <v>480</v>
      </c>
      <c r="B478" s="3">
        <v>3.3299999999999998E-7</v>
      </c>
      <c r="C478" s="2">
        <v>2.4809999999999999E-2</v>
      </c>
      <c r="D478" s="3">
        <v>203000</v>
      </c>
      <c r="E478" s="3">
        <v>127000000000</v>
      </c>
      <c r="F478" s="3">
        <v>113000000000</v>
      </c>
      <c r="G478" s="3">
        <v>3060000000</v>
      </c>
      <c r="H478" s="3">
        <v>11200000000</v>
      </c>
      <c r="I478" s="2"/>
      <c r="J478" s="7">
        <f t="shared" si="134"/>
        <v>0.33299999999999996</v>
      </c>
      <c r="K478" s="7">
        <f t="shared" si="135"/>
        <v>24.81</v>
      </c>
      <c r="L478" s="7">
        <f t="shared" si="136"/>
        <v>127.00000000000001</v>
      </c>
      <c r="M478" s="7">
        <f t="shared" si="137"/>
        <v>203</v>
      </c>
      <c r="O478">
        <f t="shared" si="138"/>
        <v>0.2413374384236453</v>
      </c>
      <c r="P478">
        <f t="shared" si="139"/>
        <v>241.3374384236453</v>
      </c>
      <c r="V478">
        <f t="shared" si="140"/>
        <v>726.42348796269266</v>
      </c>
      <c r="W478">
        <f t="shared" si="141"/>
        <v>139.72565821717041</v>
      </c>
      <c r="AE478">
        <f t="shared" si="142"/>
        <v>0.68842120453650002</v>
      </c>
      <c r="AF478">
        <f t="shared" si="143"/>
        <v>0.66720550818222546</v>
      </c>
      <c r="AG478">
        <f t="shared" si="144"/>
        <v>0.66892046859860066</v>
      </c>
      <c r="AI478">
        <f t="shared" si="145"/>
        <v>0.20154812066461192</v>
      </c>
      <c r="AJ478">
        <f t="shared" si="146"/>
        <v>16.663598027853144</v>
      </c>
      <c r="AL478">
        <f t="shared" si="147"/>
        <v>0.2079569162700991</v>
      </c>
      <c r="AM478">
        <f t="shared" si="148"/>
        <v>17.740179604977293</v>
      </c>
      <c r="AO478">
        <f t="shared" si="149"/>
        <v>0.20742376188709474</v>
      </c>
      <c r="AP478">
        <f t="shared" si="150"/>
        <v>17.649332613484439</v>
      </c>
    </row>
    <row r="479" spans="1:42" x14ac:dyDescent="0.2">
      <c r="A479" s="3">
        <v>480</v>
      </c>
      <c r="B479" s="3">
        <v>3.3299999999999998E-7</v>
      </c>
      <c r="C479" s="2">
        <v>2.486E-2</v>
      </c>
      <c r="D479" s="3">
        <v>194000</v>
      </c>
      <c r="E479" s="3">
        <v>122000000000</v>
      </c>
      <c r="F479" s="3">
        <v>109000000000</v>
      </c>
      <c r="G479" s="3">
        <v>9420000000</v>
      </c>
      <c r="H479" s="3">
        <v>11400000000</v>
      </c>
      <c r="I479" s="2"/>
      <c r="J479" s="7">
        <f t="shared" si="134"/>
        <v>0.33299999999999996</v>
      </c>
      <c r="K479" s="7">
        <f t="shared" si="135"/>
        <v>24.86</v>
      </c>
      <c r="L479" s="7">
        <f t="shared" si="136"/>
        <v>122.00000000000001</v>
      </c>
      <c r="M479" s="7">
        <f t="shared" si="137"/>
        <v>194</v>
      </c>
      <c r="O479">
        <f t="shared" si="138"/>
        <v>0.23689175257731954</v>
      </c>
      <c r="P479">
        <f t="shared" si="139"/>
        <v>236.89175257731955</v>
      </c>
      <c r="V479">
        <f t="shared" si="140"/>
        <v>720.46452077951869</v>
      </c>
      <c r="W479">
        <f t="shared" si="141"/>
        <v>134.63535983014017</v>
      </c>
      <c r="AE479">
        <f t="shared" si="142"/>
        <v>0.65790006738956153</v>
      </c>
      <c r="AF479">
        <f t="shared" si="143"/>
        <v>0.63762496841059968</v>
      </c>
      <c r="AG479">
        <f t="shared" si="144"/>
        <v>0.63926389609915535</v>
      </c>
      <c r="AI479">
        <f t="shared" si="145"/>
        <v>0.21089829121090839</v>
      </c>
      <c r="AJ479">
        <f t="shared" si="146"/>
        <v>18.282338962090027</v>
      </c>
      <c r="AL479">
        <f t="shared" si="147"/>
        <v>0.21760440207644394</v>
      </c>
      <c r="AM479">
        <f t="shared" si="148"/>
        <v>19.463502194689976</v>
      </c>
      <c r="AO479">
        <f t="shared" si="149"/>
        <v>0.2170465137272177</v>
      </c>
      <c r="AP479">
        <f t="shared" si="150"/>
        <v>19.363830113703486</v>
      </c>
    </row>
    <row r="480" spans="1:42" x14ac:dyDescent="0.2">
      <c r="A480" s="3">
        <v>480</v>
      </c>
      <c r="B480" s="3">
        <v>3.3299999999999998E-7</v>
      </c>
      <c r="C480" s="2">
        <v>2.4910000000000002E-2</v>
      </c>
      <c r="D480" s="3">
        <v>186000</v>
      </c>
      <c r="E480" s="3">
        <v>117000000000</v>
      </c>
      <c r="F480" s="3">
        <v>106000000000</v>
      </c>
      <c r="G480" s="3">
        <v>19600000000</v>
      </c>
      <c r="H480" s="3">
        <v>11600000000</v>
      </c>
      <c r="I480" s="2"/>
      <c r="J480" s="7">
        <f t="shared" si="134"/>
        <v>0.33299999999999996</v>
      </c>
      <c r="K480" s="7">
        <f t="shared" si="135"/>
        <v>24.91</v>
      </c>
      <c r="L480" s="7">
        <f t="shared" si="136"/>
        <v>117.00000000000001</v>
      </c>
      <c r="M480" s="7">
        <f t="shared" si="137"/>
        <v>186</v>
      </c>
      <c r="O480">
        <f t="shared" si="138"/>
        <v>0.2325564516129032</v>
      </c>
      <c r="P480">
        <f t="shared" si="139"/>
        <v>232.5564516129032</v>
      </c>
      <c r="V480">
        <f t="shared" si="140"/>
        <v>714.59322171551662</v>
      </c>
      <c r="W480">
        <f t="shared" si="141"/>
        <v>130.14397166647601</v>
      </c>
      <c r="AE480">
        <f t="shared" si="142"/>
        <v>0.63077016770339411</v>
      </c>
      <c r="AF480">
        <f t="shared" si="143"/>
        <v>0.61133115528026571</v>
      </c>
      <c r="AG480">
        <f t="shared" si="144"/>
        <v>0.6129024983218706</v>
      </c>
      <c r="AI480">
        <f t="shared" si="145"/>
        <v>0.21996918545653882</v>
      </c>
      <c r="AJ480">
        <f t="shared" si="146"/>
        <v>19.928835912378315</v>
      </c>
      <c r="AL480">
        <f t="shared" si="147"/>
        <v>0.22696373119801139</v>
      </c>
      <c r="AM480">
        <f t="shared" si="148"/>
        <v>21.21637402755216</v>
      </c>
      <c r="AO480">
        <f t="shared" si="149"/>
        <v>0.22638184765096897</v>
      </c>
      <c r="AP480">
        <f t="shared" si="150"/>
        <v>21.107725536177842</v>
      </c>
    </row>
    <row r="481" spans="1:42" x14ac:dyDescent="0.2">
      <c r="A481" s="3">
        <v>480</v>
      </c>
      <c r="B481" s="3">
        <v>3.34E-7</v>
      </c>
      <c r="C481" s="2">
        <v>2.4969999999999999E-2</v>
      </c>
      <c r="D481" s="3">
        <v>165000</v>
      </c>
      <c r="E481" s="3">
        <v>106000000000</v>
      </c>
      <c r="F481" s="3">
        <v>96600000000</v>
      </c>
      <c r="G481" s="3">
        <v>2370000000</v>
      </c>
      <c r="H481" s="3">
        <v>12300000000</v>
      </c>
      <c r="I481" s="2"/>
      <c r="J481" s="7">
        <f t="shared" si="134"/>
        <v>0.33400000000000002</v>
      </c>
      <c r="K481" s="7">
        <f t="shared" si="135"/>
        <v>24.97</v>
      </c>
      <c r="L481" s="7">
        <f t="shared" si="136"/>
        <v>106</v>
      </c>
      <c r="M481" s="7">
        <f t="shared" si="137"/>
        <v>165</v>
      </c>
      <c r="O481">
        <f t="shared" si="138"/>
        <v>0.22050000000000003</v>
      </c>
      <c r="P481">
        <f t="shared" si="139"/>
        <v>220.50000000000003</v>
      </c>
      <c r="V481">
        <f t="shared" si="140"/>
        <v>697.93722001789229</v>
      </c>
      <c r="W481">
        <f t="shared" si="141"/>
        <v>118.20547412256512</v>
      </c>
      <c r="AE481">
        <f t="shared" si="142"/>
        <v>0.55955418102720444</v>
      </c>
      <c r="AF481">
        <f t="shared" si="143"/>
        <v>0.54230989581313893</v>
      </c>
      <c r="AG481">
        <f t="shared" si="144"/>
        <v>0.54370382915649806</v>
      </c>
      <c r="AI481">
        <f t="shared" si="145"/>
        <v>0.24870990403680079</v>
      </c>
      <c r="AJ481">
        <f t="shared" si="146"/>
        <v>25.385442970855621</v>
      </c>
      <c r="AL481">
        <f t="shared" si="147"/>
        <v>0.2566183426507464</v>
      </c>
      <c r="AM481">
        <f t="shared" si="148"/>
        <v>27.025514951941432</v>
      </c>
      <c r="AO481">
        <f t="shared" si="149"/>
        <v>0.25596043140356362</v>
      </c>
      <c r="AP481">
        <f t="shared" si="150"/>
        <v>26.887118003229592</v>
      </c>
    </row>
    <row r="482" spans="1:42" x14ac:dyDescent="0.2">
      <c r="A482" s="3">
        <v>480</v>
      </c>
      <c r="B482" s="3">
        <v>3.3500000000000002E-7</v>
      </c>
      <c r="C482" s="2">
        <v>2.5020000000000001E-2</v>
      </c>
      <c r="D482" s="3">
        <v>171000</v>
      </c>
      <c r="E482" s="3">
        <v>109000000000</v>
      </c>
      <c r="F482" s="3">
        <v>98800000000</v>
      </c>
      <c r="G482" s="2">
        <v>0</v>
      </c>
      <c r="H482" s="3">
        <v>12100000000</v>
      </c>
      <c r="I482" s="2"/>
      <c r="J482" s="7">
        <f t="shared" si="134"/>
        <v>0.33500000000000002</v>
      </c>
      <c r="K482" s="7">
        <f t="shared" si="135"/>
        <v>25.02</v>
      </c>
      <c r="L482" s="7">
        <f t="shared" si="136"/>
        <v>109</v>
      </c>
      <c r="M482" s="7">
        <f t="shared" si="137"/>
        <v>171</v>
      </c>
      <c r="O482">
        <f t="shared" si="138"/>
        <v>0.22526315789473686</v>
      </c>
      <c r="P482">
        <f t="shared" si="139"/>
        <v>225.26315789473685</v>
      </c>
      <c r="V482">
        <f t="shared" si="140"/>
        <v>704.57670828759206</v>
      </c>
      <c r="W482">
        <f t="shared" si="141"/>
        <v>121.34945562960742</v>
      </c>
      <c r="AE482">
        <f t="shared" si="142"/>
        <v>0.57990160579183003</v>
      </c>
      <c r="AF482">
        <f t="shared" si="143"/>
        <v>0.56203025566088949</v>
      </c>
      <c r="AG482">
        <f t="shared" si="144"/>
        <v>0.56347487748946168</v>
      </c>
      <c r="AI482">
        <f t="shared" si="145"/>
        <v>0.24070175343408209</v>
      </c>
      <c r="AJ482">
        <f t="shared" si="146"/>
        <v>23.682588930917689</v>
      </c>
      <c r="AL482">
        <f t="shared" si="147"/>
        <v>0.24835555012816488</v>
      </c>
      <c r="AM482">
        <f t="shared" si="148"/>
        <v>25.21264497877802</v>
      </c>
      <c r="AO482">
        <f t="shared" si="149"/>
        <v>0.2477188228075774</v>
      </c>
      <c r="AP482">
        <f t="shared" si="150"/>
        <v>25.083531689346795</v>
      </c>
    </row>
    <row r="483" spans="1:42" x14ac:dyDescent="0.2">
      <c r="A483" s="3">
        <v>480</v>
      </c>
      <c r="B483" s="3">
        <v>3.3500000000000002E-7</v>
      </c>
      <c r="C483" s="2">
        <v>2.5069999999999999E-2</v>
      </c>
      <c r="D483" s="3">
        <v>176000</v>
      </c>
      <c r="E483" s="3">
        <v>111000000000</v>
      </c>
      <c r="F483" s="3">
        <v>101000000000</v>
      </c>
      <c r="G483" s="2">
        <v>0</v>
      </c>
      <c r="H483" s="3">
        <v>12000000000</v>
      </c>
      <c r="I483" s="2"/>
      <c r="J483" s="7">
        <f t="shared" si="134"/>
        <v>0.33500000000000002</v>
      </c>
      <c r="K483" s="7">
        <f t="shared" si="135"/>
        <v>25.07</v>
      </c>
      <c r="L483" s="7">
        <f t="shared" si="136"/>
        <v>111</v>
      </c>
      <c r="M483" s="7">
        <f t="shared" si="137"/>
        <v>176</v>
      </c>
      <c r="O483">
        <f t="shared" si="138"/>
        <v>0.22816761363636365</v>
      </c>
      <c r="P483">
        <f t="shared" si="139"/>
        <v>228.16761363636365</v>
      </c>
      <c r="V483">
        <f t="shared" si="140"/>
        <v>708.586985101702</v>
      </c>
      <c r="W483">
        <f t="shared" si="141"/>
        <v>124.19082180484806</v>
      </c>
      <c r="AE483">
        <f t="shared" si="142"/>
        <v>0.59685779309568476</v>
      </c>
      <c r="AF483">
        <f t="shared" si="143"/>
        <v>0.57846388886734823</v>
      </c>
      <c r="AG483">
        <f t="shared" si="144"/>
        <v>0.57995075110026462</v>
      </c>
      <c r="AI483">
        <f t="shared" si="145"/>
        <v>0.23386363543879565</v>
      </c>
      <c r="AJ483">
        <f t="shared" si="146"/>
        <v>22.400777407553722</v>
      </c>
      <c r="AL483">
        <f t="shared" si="147"/>
        <v>0.24129999472679653</v>
      </c>
      <c r="AM483">
        <f t="shared" si="148"/>
        <v>23.848019727604946</v>
      </c>
      <c r="AO483">
        <f t="shared" si="149"/>
        <v>0.24068135625054399</v>
      </c>
      <c r="AP483">
        <f t="shared" si="150"/>
        <v>23.725894648064763</v>
      </c>
    </row>
    <row r="484" spans="1:42" x14ac:dyDescent="0.2">
      <c r="A484" s="3">
        <v>480</v>
      </c>
      <c r="B484" s="3">
        <v>3.3599999999999999E-7</v>
      </c>
      <c r="C484" s="2">
        <v>2.513E-2</v>
      </c>
      <c r="D484" s="3">
        <v>176000</v>
      </c>
      <c r="E484" s="3">
        <v>111000000000</v>
      </c>
      <c r="F484" s="3">
        <v>101000000000</v>
      </c>
      <c r="G484" s="2">
        <v>0</v>
      </c>
      <c r="H484" s="3">
        <v>12000000000</v>
      </c>
      <c r="I484" s="2"/>
      <c r="J484" s="7">
        <f t="shared" si="134"/>
        <v>0.33599999999999997</v>
      </c>
      <c r="K484" s="7">
        <f t="shared" si="135"/>
        <v>25.13</v>
      </c>
      <c r="L484" s="7">
        <f t="shared" si="136"/>
        <v>111</v>
      </c>
      <c r="M484" s="7">
        <f t="shared" si="137"/>
        <v>176</v>
      </c>
      <c r="O484">
        <f t="shared" si="138"/>
        <v>0.22891193181818179</v>
      </c>
      <c r="P484">
        <f t="shared" si="139"/>
        <v>228.91193181818178</v>
      </c>
      <c r="V484">
        <f t="shared" si="140"/>
        <v>709.61010627557482</v>
      </c>
      <c r="W484">
        <f t="shared" si="141"/>
        <v>124.0117625464391</v>
      </c>
      <c r="AE484">
        <f t="shared" si="142"/>
        <v>0.59685779309568476</v>
      </c>
      <c r="AF484">
        <f t="shared" si="143"/>
        <v>0.57846388886734823</v>
      </c>
      <c r="AG484">
        <f t="shared" si="144"/>
        <v>0.57995075110026462</v>
      </c>
      <c r="AI484">
        <f t="shared" si="145"/>
        <v>0.23456173584309051</v>
      </c>
      <c r="AJ484">
        <f t="shared" si="146"/>
        <v>22.454389160423812</v>
      </c>
      <c r="AL484">
        <f t="shared" si="147"/>
        <v>0.24202029321851828</v>
      </c>
      <c r="AM484">
        <f t="shared" si="148"/>
        <v>23.905095163730046</v>
      </c>
      <c r="AO484">
        <f t="shared" si="149"/>
        <v>0.24139980806024705</v>
      </c>
      <c r="AP484">
        <f t="shared" si="150"/>
        <v>23.782677802388012</v>
      </c>
    </row>
    <row r="485" spans="1:42" x14ac:dyDescent="0.2">
      <c r="A485" s="3">
        <v>480</v>
      </c>
      <c r="B485" s="3">
        <v>3.3599999999999999E-7</v>
      </c>
      <c r="C485" s="2">
        <v>2.5180000000000001E-2</v>
      </c>
      <c r="D485" s="3">
        <v>195000</v>
      </c>
      <c r="E485" s="3">
        <v>121000000000</v>
      </c>
      <c r="F485" s="3">
        <v>109000000000</v>
      </c>
      <c r="G485" s="3">
        <v>6390000000</v>
      </c>
      <c r="H485" s="3">
        <v>11400000000</v>
      </c>
      <c r="I485" s="2"/>
      <c r="J485" s="7">
        <f t="shared" si="134"/>
        <v>0.33599999999999997</v>
      </c>
      <c r="K485" s="7">
        <f t="shared" si="135"/>
        <v>25.18</v>
      </c>
      <c r="L485" s="7">
        <f t="shared" si="136"/>
        <v>121.00000000000001</v>
      </c>
      <c r="M485" s="7">
        <f t="shared" si="137"/>
        <v>195</v>
      </c>
      <c r="O485">
        <f t="shared" si="138"/>
        <v>0.23915384615384611</v>
      </c>
      <c r="P485">
        <f t="shared" si="139"/>
        <v>239.1538461538461</v>
      </c>
      <c r="V485">
        <f t="shared" si="140"/>
        <v>723.50432627581654</v>
      </c>
      <c r="W485">
        <f t="shared" si="141"/>
        <v>134.76076985174896</v>
      </c>
      <c r="AE485">
        <f t="shared" si="142"/>
        <v>0.6612913048503325</v>
      </c>
      <c r="AF485">
        <f t="shared" si="143"/>
        <v>0.64091169505189149</v>
      </c>
      <c r="AG485">
        <f t="shared" si="144"/>
        <v>0.64255907082131591</v>
      </c>
      <c r="AI485">
        <f t="shared" si="145"/>
        <v>0.21170700260709713</v>
      </c>
      <c r="AJ485">
        <f t="shared" si="146"/>
        <v>18.328232917309879</v>
      </c>
      <c r="AL485">
        <f t="shared" si="147"/>
        <v>0.21843882875107293</v>
      </c>
      <c r="AM485">
        <f t="shared" si="148"/>
        <v>19.51236121103339</v>
      </c>
      <c r="AO485">
        <f t="shared" si="149"/>
        <v>0.21787880112104349</v>
      </c>
      <c r="AP485">
        <f t="shared" si="150"/>
        <v>19.412438924313879</v>
      </c>
    </row>
    <row r="486" spans="1:42" x14ac:dyDescent="0.2">
      <c r="A486" s="3">
        <v>480</v>
      </c>
      <c r="B486" s="3">
        <v>3.3700000000000001E-7</v>
      </c>
      <c r="C486" s="2">
        <v>2.5229999999999999E-2</v>
      </c>
      <c r="D486" s="3">
        <v>175000</v>
      </c>
      <c r="E486" s="3">
        <v>110000000000</v>
      </c>
      <c r="F486" s="3">
        <v>100000000000</v>
      </c>
      <c r="G486" s="3">
        <v>7140000000</v>
      </c>
      <c r="H486" s="3">
        <v>12000000000</v>
      </c>
      <c r="I486" s="2"/>
      <c r="J486" s="7">
        <f t="shared" si="134"/>
        <v>0.33700000000000002</v>
      </c>
      <c r="K486" s="7">
        <f t="shared" si="135"/>
        <v>25.23</v>
      </c>
      <c r="L486" s="7">
        <f t="shared" si="136"/>
        <v>110</v>
      </c>
      <c r="M486" s="7">
        <f t="shared" si="137"/>
        <v>175</v>
      </c>
      <c r="O486">
        <f t="shared" si="138"/>
        <v>0.22887142857142861</v>
      </c>
      <c r="P486">
        <f t="shared" si="139"/>
        <v>228.87142857142862</v>
      </c>
      <c r="V486">
        <f t="shared" si="140"/>
        <v>709.55447923780036</v>
      </c>
      <c r="W486">
        <f t="shared" si="141"/>
        <v>123.31681718645767</v>
      </c>
      <c r="AE486">
        <f t="shared" si="142"/>
        <v>0.59346655563491379</v>
      </c>
      <c r="AF486">
        <f t="shared" si="143"/>
        <v>0.57517716222605642</v>
      </c>
      <c r="AG486">
        <f t="shared" si="144"/>
        <v>0.57665557637810405</v>
      </c>
      <c r="AI486">
        <f t="shared" si="145"/>
        <v>0.23660417816879911</v>
      </c>
      <c r="AJ486">
        <f t="shared" si="146"/>
        <v>22.802120970714391</v>
      </c>
      <c r="AL486">
        <f t="shared" si="147"/>
        <v>0.24412768080572719</v>
      </c>
      <c r="AM486">
        <f t="shared" si="148"/>
        <v>24.275292810037136</v>
      </c>
      <c r="AO486">
        <f t="shared" si="149"/>
        <v>0.24350179278349277</v>
      </c>
      <c r="AP486">
        <f t="shared" si="150"/>
        <v>24.150979676319974</v>
      </c>
    </row>
    <row r="487" spans="1:42" x14ac:dyDescent="0.2">
      <c r="A487" s="3">
        <v>490</v>
      </c>
      <c r="B487" s="3">
        <v>3.3799999999999998E-7</v>
      </c>
      <c r="C487" s="2">
        <v>2.528E-2</v>
      </c>
      <c r="D487" s="3">
        <v>169000</v>
      </c>
      <c r="E487" s="3">
        <v>107000000000</v>
      </c>
      <c r="F487" s="3">
        <v>97600000000</v>
      </c>
      <c r="G487" s="3">
        <v>3020000000</v>
      </c>
      <c r="H487" s="3">
        <v>12200000000</v>
      </c>
      <c r="I487" s="2"/>
      <c r="J487" s="7">
        <f t="shared" si="134"/>
        <v>0.33799999999999997</v>
      </c>
      <c r="K487" s="7">
        <f t="shared" si="135"/>
        <v>25.28</v>
      </c>
      <c r="L487" s="7">
        <f t="shared" si="136"/>
        <v>107</v>
      </c>
      <c r="M487" s="7">
        <f t="shared" si="137"/>
        <v>169</v>
      </c>
      <c r="O487">
        <f t="shared" si="138"/>
        <v>0.22581065088757393</v>
      </c>
      <c r="P487">
        <f t="shared" si="139"/>
        <v>225.81065088757393</v>
      </c>
      <c r="V487">
        <f t="shared" si="140"/>
        <v>705.33484290424212</v>
      </c>
      <c r="W487">
        <f t="shared" si="141"/>
        <v>119.80125588588272</v>
      </c>
      <c r="AE487">
        <f t="shared" si="142"/>
        <v>0.57311913087028821</v>
      </c>
      <c r="AF487">
        <f t="shared" si="143"/>
        <v>0.55545680237830597</v>
      </c>
      <c r="AG487">
        <f t="shared" si="144"/>
        <v>0.55688452804514055</v>
      </c>
      <c r="AI487">
        <f t="shared" si="145"/>
        <v>0.24573134231180913</v>
      </c>
      <c r="AJ487">
        <f t="shared" si="146"/>
        <v>24.498401763787971</v>
      </c>
      <c r="AL487">
        <f t="shared" si="147"/>
        <v>0.25354506908606678</v>
      </c>
      <c r="AM487">
        <f t="shared" si="148"/>
        <v>26.081164859956928</v>
      </c>
      <c r="AO487">
        <f t="shared" si="149"/>
        <v>0.25289503701549687</v>
      </c>
      <c r="AP487">
        <f t="shared" si="150"/>
        <v>25.947603903139363</v>
      </c>
    </row>
    <row r="488" spans="1:42" x14ac:dyDescent="0.2">
      <c r="A488" s="3">
        <v>490</v>
      </c>
      <c r="B488" s="3">
        <v>3.3799999999999998E-7</v>
      </c>
      <c r="C488" s="2">
        <v>2.5329999999999998E-2</v>
      </c>
      <c r="D488" s="3">
        <v>174000</v>
      </c>
      <c r="E488" s="3">
        <v>110000000000</v>
      </c>
      <c r="F488" s="3">
        <v>99600000000</v>
      </c>
      <c r="G488" s="3">
        <v>4870000000</v>
      </c>
      <c r="H488" s="3">
        <v>12100000000</v>
      </c>
      <c r="I488" s="2"/>
      <c r="J488" s="7">
        <f t="shared" si="134"/>
        <v>0.33799999999999997</v>
      </c>
      <c r="K488" s="7">
        <f t="shared" si="135"/>
        <v>25.33</v>
      </c>
      <c r="L488" s="7">
        <f t="shared" si="136"/>
        <v>110</v>
      </c>
      <c r="M488" s="7">
        <f t="shared" si="137"/>
        <v>174</v>
      </c>
      <c r="O488">
        <f t="shared" si="138"/>
        <v>0.22881896551724135</v>
      </c>
      <c r="P488">
        <f t="shared" si="139"/>
        <v>228.81896551724134</v>
      </c>
      <c r="V488">
        <f t="shared" si="140"/>
        <v>709.4824184850271</v>
      </c>
      <c r="W488">
        <f t="shared" si="141"/>
        <v>122.62460313783806</v>
      </c>
      <c r="AE488">
        <f t="shared" si="142"/>
        <v>0.59007531817414283</v>
      </c>
      <c r="AF488">
        <f t="shared" si="143"/>
        <v>0.57189043558476471</v>
      </c>
      <c r="AG488">
        <f t="shared" si="144"/>
        <v>0.57336040165594349</v>
      </c>
      <c r="AI488">
        <f t="shared" si="145"/>
        <v>0.23867009684307902</v>
      </c>
      <c r="AJ488">
        <f t="shared" si="146"/>
        <v>23.156386273714102</v>
      </c>
      <c r="AL488">
        <f t="shared" si="147"/>
        <v>0.246259291238766</v>
      </c>
      <c r="AM488">
        <f t="shared" si="148"/>
        <v>24.652446057044273</v>
      </c>
      <c r="AO488">
        <f t="shared" si="149"/>
        <v>0.24562793825068374</v>
      </c>
      <c r="AP488">
        <f t="shared" si="150"/>
        <v>24.526201531504412</v>
      </c>
    </row>
    <row r="489" spans="1:42" x14ac:dyDescent="0.2">
      <c r="A489" s="3">
        <v>490</v>
      </c>
      <c r="B489" s="3">
        <v>3.39E-7</v>
      </c>
      <c r="C489" s="2">
        <v>2.5389999999999999E-2</v>
      </c>
      <c r="D489" s="3">
        <v>179000</v>
      </c>
      <c r="E489" s="3">
        <v>113000000000</v>
      </c>
      <c r="F489" s="3">
        <v>102000000000</v>
      </c>
      <c r="G489" s="3">
        <v>13600000000</v>
      </c>
      <c r="H489" s="3">
        <v>11900000000</v>
      </c>
      <c r="I489" s="2"/>
      <c r="J489" s="7">
        <f t="shared" si="134"/>
        <v>0.33900000000000002</v>
      </c>
      <c r="K489" s="7">
        <f t="shared" si="135"/>
        <v>25.39</v>
      </c>
      <c r="L489" s="7">
        <f t="shared" si="136"/>
        <v>113</v>
      </c>
      <c r="M489" s="7">
        <f t="shared" si="137"/>
        <v>179</v>
      </c>
      <c r="O489">
        <f t="shared" si="138"/>
        <v>0.2326173184357542</v>
      </c>
      <c r="P489">
        <f t="shared" si="139"/>
        <v>232.61731843575421</v>
      </c>
      <c r="V489">
        <f t="shared" si="140"/>
        <v>714.67607368062522</v>
      </c>
      <c r="W489">
        <f t="shared" si="141"/>
        <v>125.23156055731593</v>
      </c>
      <c r="AE489">
        <f t="shared" si="142"/>
        <v>0.60703150547799756</v>
      </c>
      <c r="AF489">
        <f t="shared" si="143"/>
        <v>0.58832406879122345</v>
      </c>
      <c r="AG489">
        <f t="shared" si="144"/>
        <v>0.58983627526674642</v>
      </c>
      <c r="AI489">
        <f t="shared" si="145"/>
        <v>0.2326897347589478</v>
      </c>
      <c r="AJ489">
        <f t="shared" si="146"/>
        <v>21.932630956582884</v>
      </c>
      <c r="AL489">
        <f t="shared" si="147"/>
        <v>0.2400887665368063</v>
      </c>
      <c r="AM489">
        <f t="shared" si="148"/>
        <v>23.349627837223675</v>
      </c>
      <c r="AO489">
        <f t="shared" si="149"/>
        <v>0.23947323337500967</v>
      </c>
      <c r="AP489">
        <f t="shared" si="150"/>
        <v>23.230055009398725</v>
      </c>
    </row>
    <row r="490" spans="1:42" x14ac:dyDescent="0.2">
      <c r="A490" s="3">
        <v>490</v>
      </c>
      <c r="B490" s="3">
        <v>3.39E-7</v>
      </c>
      <c r="C490" s="2">
        <v>2.5440000000000001E-2</v>
      </c>
      <c r="D490" s="3">
        <v>188000</v>
      </c>
      <c r="E490" s="3">
        <v>118000000000</v>
      </c>
      <c r="F490" s="3">
        <v>106000000000</v>
      </c>
      <c r="G490" s="3">
        <v>3580000000</v>
      </c>
      <c r="H490" s="3">
        <v>11700000000</v>
      </c>
      <c r="I490" s="2"/>
      <c r="J490" s="7">
        <f t="shared" si="134"/>
        <v>0.33900000000000002</v>
      </c>
      <c r="K490" s="7">
        <f t="shared" si="135"/>
        <v>25.44</v>
      </c>
      <c r="L490" s="7">
        <f t="shared" si="136"/>
        <v>118.00000000000001</v>
      </c>
      <c r="M490" s="7">
        <f t="shared" si="137"/>
        <v>188</v>
      </c>
      <c r="O490">
        <f t="shared" si="138"/>
        <v>0.23751063829787236</v>
      </c>
      <c r="P490">
        <f t="shared" si="139"/>
        <v>237.51063829787236</v>
      </c>
      <c r="V490">
        <f t="shared" si="140"/>
        <v>721.29778126972951</v>
      </c>
      <c r="W490">
        <f t="shared" si="141"/>
        <v>130.32065596337759</v>
      </c>
      <c r="AE490">
        <f t="shared" si="142"/>
        <v>0.63755264262493594</v>
      </c>
      <c r="AF490">
        <f t="shared" si="143"/>
        <v>0.61790460856284923</v>
      </c>
      <c r="AG490">
        <f t="shared" si="144"/>
        <v>0.61949284776619185</v>
      </c>
      <c r="AI490">
        <f t="shared" si="145"/>
        <v>0.22155033256304074</v>
      </c>
      <c r="AJ490">
        <f t="shared" si="146"/>
        <v>19.922117658649057</v>
      </c>
      <c r="AL490">
        <f t="shared" si="147"/>
        <v>0.22859515537281022</v>
      </c>
      <c r="AM490">
        <f t="shared" si="148"/>
        <v>21.209221729015571</v>
      </c>
      <c r="AO490">
        <f t="shared" si="149"/>
        <v>0.22800908922407834</v>
      </c>
      <c r="AP490">
        <f t="shared" si="150"/>
        <v>21.100609864373265</v>
      </c>
    </row>
    <row r="491" spans="1:42" x14ac:dyDescent="0.2">
      <c r="A491" s="3">
        <v>490</v>
      </c>
      <c r="B491" s="3">
        <v>3.3999999999999997E-7</v>
      </c>
      <c r="C491" s="2">
        <v>2.5489999999999999E-2</v>
      </c>
      <c r="D491" s="3">
        <v>174000</v>
      </c>
      <c r="E491" s="3">
        <v>110000000000</v>
      </c>
      <c r="F491" s="3">
        <v>99400000000</v>
      </c>
      <c r="G491" s="2">
        <v>0</v>
      </c>
      <c r="H491" s="3">
        <v>12100000000</v>
      </c>
      <c r="I491" s="2"/>
      <c r="J491" s="7">
        <f t="shared" si="134"/>
        <v>0.33999999999999997</v>
      </c>
      <c r="K491" s="7">
        <f t="shared" si="135"/>
        <v>25.49</v>
      </c>
      <c r="L491" s="7">
        <f t="shared" si="136"/>
        <v>110</v>
      </c>
      <c r="M491" s="7">
        <f t="shared" si="137"/>
        <v>174</v>
      </c>
      <c r="O491">
        <f t="shared" si="138"/>
        <v>0.23012931034482756</v>
      </c>
      <c r="P491">
        <f t="shared" si="139"/>
        <v>230.12931034482756</v>
      </c>
      <c r="V491">
        <f t="shared" si="140"/>
        <v>711.27949862530568</v>
      </c>
      <c r="W491">
        <f t="shared" si="141"/>
        <v>122.31478647725042</v>
      </c>
      <c r="AE491">
        <f t="shared" si="142"/>
        <v>0.59007531817414283</v>
      </c>
      <c r="AF491">
        <f t="shared" si="143"/>
        <v>0.57189043558476471</v>
      </c>
      <c r="AG491">
        <f t="shared" si="144"/>
        <v>0.57336040165594349</v>
      </c>
      <c r="AI491">
        <f t="shared" si="145"/>
        <v>0.24008234593682504</v>
      </c>
      <c r="AJ491">
        <f t="shared" si="146"/>
        <v>23.302656380456867</v>
      </c>
      <c r="AL491">
        <f t="shared" si="147"/>
        <v>0.24771644680822616</v>
      </c>
      <c r="AM491">
        <f t="shared" si="148"/>
        <v>24.808166205845183</v>
      </c>
      <c r="AO491">
        <f t="shared" si="149"/>
        <v>0.24708135800364639</v>
      </c>
      <c r="AP491">
        <f t="shared" si="150"/>
        <v>24.681124241533656</v>
      </c>
    </row>
    <row r="492" spans="1:42" x14ac:dyDescent="0.2">
      <c r="A492" s="3">
        <v>490</v>
      </c>
      <c r="B492" s="3">
        <v>3.41E-7</v>
      </c>
      <c r="C492" s="2">
        <v>2.554E-2</v>
      </c>
      <c r="D492" s="3">
        <v>155000</v>
      </c>
      <c r="E492" s="3">
        <v>99600000000</v>
      </c>
      <c r="F492" s="3">
        <v>91200000000</v>
      </c>
      <c r="G492" s="3">
        <v>646000000</v>
      </c>
      <c r="H492" s="3">
        <v>12800000000</v>
      </c>
      <c r="I492" s="2"/>
      <c r="J492" s="7">
        <f t="shared" si="134"/>
        <v>0.34099999999999997</v>
      </c>
      <c r="K492" s="7">
        <f t="shared" si="135"/>
        <v>25.54</v>
      </c>
      <c r="L492" s="7">
        <f t="shared" si="136"/>
        <v>99.600000000000009</v>
      </c>
      <c r="M492" s="7">
        <f t="shared" si="137"/>
        <v>155</v>
      </c>
      <c r="O492">
        <f t="shared" si="138"/>
        <v>0.21741935483870964</v>
      </c>
      <c r="P492">
        <f t="shared" si="139"/>
        <v>217.41935483870964</v>
      </c>
      <c r="V492">
        <f t="shared" si="140"/>
        <v>693.60039819446501</v>
      </c>
      <c r="W492">
        <f t="shared" si="141"/>
        <v>111.7358066715978</v>
      </c>
      <c r="AE492">
        <f t="shared" si="142"/>
        <v>0.52564180641949509</v>
      </c>
      <c r="AF492">
        <f t="shared" si="143"/>
        <v>0.50944262940022145</v>
      </c>
      <c r="AG492">
        <f t="shared" si="144"/>
        <v>0.51075208193489219</v>
      </c>
      <c r="AI492">
        <f t="shared" si="145"/>
        <v>0.27030447654299006</v>
      </c>
      <c r="AJ492">
        <f t="shared" si="146"/>
        <v>29.423314157008619</v>
      </c>
      <c r="AL492">
        <f t="shared" si="147"/>
        <v>0.27889957599467347</v>
      </c>
      <c r="AM492">
        <f t="shared" si="148"/>
        <v>31.32426003354886</v>
      </c>
      <c r="AO492">
        <f t="shared" si="149"/>
        <v>0.27818454071704657</v>
      </c>
      <c r="AP492">
        <f t="shared" si="150"/>
        <v>31.163849324742436</v>
      </c>
    </row>
    <row r="493" spans="1:42" x14ac:dyDescent="0.2">
      <c r="A493" s="3">
        <v>490</v>
      </c>
      <c r="B493" s="3">
        <v>3.41E-7</v>
      </c>
      <c r="C493" s="2">
        <v>2.5590000000000002E-2</v>
      </c>
      <c r="D493" s="3">
        <v>211000</v>
      </c>
      <c r="E493" s="3">
        <v>129000000000</v>
      </c>
      <c r="F493" s="3">
        <v>116000000000</v>
      </c>
      <c r="G493" s="2">
        <v>0</v>
      </c>
      <c r="H493" s="3">
        <v>11100000000</v>
      </c>
      <c r="I493" s="2"/>
      <c r="J493" s="7">
        <f t="shared" si="134"/>
        <v>0.34099999999999997</v>
      </c>
      <c r="K493" s="7">
        <f t="shared" si="135"/>
        <v>25.590000000000003</v>
      </c>
      <c r="L493" s="7">
        <f t="shared" si="136"/>
        <v>129</v>
      </c>
      <c r="M493" s="7">
        <f t="shared" si="137"/>
        <v>211</v>
      </c>
      <c r="O493">
        <f t="shared" si="138"/>
        <v>0.25004028436018955</v>
      </c>
      <c r="P493">
        <f t="shared" si="139"/>
        <v>250.04028436018956</v>
      </c>
      <c r="V493">
        <f t="shared" si="140"/>
        <v>737.91419909308115</v>
      </c>
      <c r="W493">
        <f t="shared" si="141"/>
        <v>142.97055149455409</v>
      </c>
      <c r="AE493">
        <f t="shared" si="142"/>
        <v>0.71555110422266743</v>
      </c>
      <c r="AF493">
        <f t="shared" si="143"/>
        <v>0.69349932131255942</v>
      </c>
      <c r="AG493">
        <f t="shared" si="144"/>
        <v>0.69528186637588552</v>
      </c>
      <c r="AI493">
        <f t="shared" si="145"/>
        <v>0.19856489983015857</v>
      </c>
      <c r="AJ493">
        <f t="shared" si="146"/>
        <v>15.908874928001445</v>
      </c>
      <c r="AL493">
        <f t="shared" si="147"/>
        <v>0.20487883544632413</v>
      </c>
      <c r="AM493">
        <f t="shared" si="148"/>
        <v>16.936696268364464</v>
      </c>
      <c r="AO493">
        <f t="shared" si="149"/>
        <v>0.20435357256465506</v>
      </c>
      <c r="AP493">
        <f t="shared" si="150"/>
        <v>16.849963893829905</v>
      </c>
    </row>
    <row r="494" spans="1:42" x14ac:dyDescent="0.2">
      <c r="A494" s="3">
        <v>490</v>
      </c>
      <c r="B494" s="3">
        <v>3.4200000000000002E-7</v>
      </c>
      <c r="C494" s="2">
        <v>2.5649999999999999E-2</v>
      </c>
      <c r="D494" s="3">
        <v>170000</v>
      </c>
      <c r="E494" s="3">
        <v>107000000000</v>
      </c>
      <c r="F494" s="3">
        <v>97400000000</v>
      </c>
      <c r="G494" s="3">
        <v>2750000000</v>
      </c>
      <c r="H494" s="3">
        <v>12200000000</v>
      </c>
      <c r="I494" s="2"/>
      <c r="J494" s="7">
        <f t="shared" si="134"/>
        <v>0.34200000000000003</v>
      </c>
      <c r="K494" s="7">
        <f t="shared" si="135"/>
        <v>25.65</v>
      </c>
      <c r="L494" s="7">
        <f t="shared" si="136"/>
        <v>107</v>
      </c>
      <c r="M494" s="7">
        <f t="shared" si="137"/>
        <v>170</v>
      </c>
      <c r="O494">
        <f t="shared" si="138"/>
        <v>0.22883823529411768</v>
      </c>
      <c r="P494">
        <f t="shared" si="139"/>
        <v>228.83823529411768</v>
      </c>
      <c r="V494">
        <f t="shared" si="140"/>
        <v>709.50888760202599</v>
      </c>
      <c r="W494">
        <f t="shared" si="141"/>
        <v>119.80117724427681</v>
      </c>
      <c r="AE494">
        <f t="shared" si="142"/>
        <v>0.57651036833105906</v>
      </c>
      <c r="AF494">
        <f t="shared" si="143"/>
        <v>0.55874352901959767</v>
      </c>
      <c r="AG494">
        <f t="shared" si="144"/>
        <v>0.56017970276730111</v>
      </c>
      <c r="AI494">
        <f t="shared" si="145"/>
        <v>0.24717682079599632</v>
      </c>
      <c r="AJ494">
        <f t="shared" si="146"/>
        <v>24.565387485344505</v>
      </c>
      <c r="AL494">
        <f t="shared" si="147"/>
        <v>0.25503651066892608</v>
      </c>
      <c r="AM494">
        <f t="shared" si="148"/>
        <v>26.152478313953814</v>
      </c>
      <c r="AO494">
        <f t="shared" si="149"/>
        <v>0.25438265488029393</v>
      </c>
      <c r="AP494">
        <f t="shared" si="150"/>
        <v>26.018552162820697</v>
      </c>
    </row>
    <row r="495" spans="1:42" x14ac:dyDescent="0.2">
      <c r="A495" s="3">
        <v>490</v>
      </c>
      <c r="B495" s="3">
        <v>3.4200000000000002E-7</v>
      </c>
      <c r="C495" s="2">
        <v>2.5700000000000001E-2</v>
      </c>
      <c r="D495" s="3">
        <v>184000</v>
      </c>
      <c r="E495" s="3">
        <v>114000000000</v>
      </c>
      <c r="F495" s="3">
        <v>103000000000</v>
      </c>
      <c r="G495" s="2">
        <v>0</v>
      </c>
      <c r="H495" s="3">
        <v>11800000000</v>
      </c>
      <c r="I495" s="2"/>
      <c r="J495" s="7">
        <f t="shared" si="134"/>
        <v>0.34200000000000003</v>
      </c>
      <c r="K495" s="7">
        <f t="shared" si="135"/>
        <v>25.7</v>
      </c>
      <c r="L495" s="7">
        <f t="shared" si="136"/>
        <v>114</v>
      </c>
      <c r="M495" s="7">
        <f t="shared" si="137"/>
        <v>184</v>
      </c>
      <c r="O495">
        <f t="shared" si="138"/>
        <v>0.23724456521739135</v>
      </c>
      <c r="P495">
        <f t="shared" si="139"/>
        <v>237.24456521739134</v>
      </c>
      <c r="V495">
        <f t="shared" si="140"/>
        <v>720.93969196566866</v>
      </c>
      <c r="W495">
        <f t="shared" si="141"/>
        <v>127.61122882436756</v>
      </c>
      <c r="AE495">
        <f t="shared" si="142"/>
        <v>0.62398769278185218</v>
      </c>
      <c r="AF495">
        <f t="shared" si="143"/>
        <v>0.6047577019976822</v>
      </c>
      <c r="AG495">
        <f t="shared" si="144"/>
        <v>0.60631214887754936</v>
      </c>
      <c r="AI495">
        <f t="shared" si="145"/>
        <v>0.22836988877890962</v>
      </c>
      <c r="AJ495">
        <f t="shared" si="146"/>
        <v>21.010266906128198</v>
      </c>
      <c r="AL495">
        <f t="shared" si="147"/>
        <v>0.23563155877020342</v>
      </c>
      <c r="AM495">
        <f t="shared" si="148"/>
        <v>22.367672806329985</v>
      </c>
      <c r="AO495">
        <f t="shared" si="149"/>
        <v>0.23502745287853252</v>
      </c>
      <c r="AP495">
        <f t="shared" si="150"/>
        <v>22.253128544298871</v>
      </c>
    </row>
    <row r="496" spans="1:42" x14ac:dyDescent="0.2">
      <c r="A496" s="3">
        <v>490</v>
      </c>
      <c r="B496" s="3">
        <v>3.4299999999999999E-7</v>
      </c>
      <c r="C496" s="2">
        <v>2.5749999999999999E-2</v>
      </c>
      <c r="D496" s="3">
        <v>167000</v>
      </c>
      <c r="E496" s="3">
        <v>105000000000</v>
      </c>
      <c r="F496" s="3">
        <v>95900000000</v>
      </c>
      <c r="G496" s="3">
        <v>9880000000</v>
      </c>
      <c r="H496" s="3">
        <v>12300000000</v>
      </c>
      <c r="I496" s="2"/>
      <c r="J496" s="7">
        <f t="shared" si="134"/>
        <v>0.34299999999999997</v>
      </c>
      <c r="K496" s="7">
        <f t="shared" si="135"/>
        <v>25.75</v>
      </c>
      <c r="L496" s="7">
        <f t="shared" si="136"/>
        <v>105</v>
      </c>
      <c r="M496" s="7">
        <f t="shared" si="137"/>
        <v>167</v>
      </c>
      <c r="O496">
        <f t="shared" si="138"/>
        <v>0.22735628742514968</v>
      </c>
      <c r="P496">
        <f t="shared" si="139"/>
        <v>227.35628742514967</v>
      </c>
      <c r="V496">
        <f t="shared" si="140"/>
        <v>707.46963657999299</v>
      </c>
      <c r="W496">
        <f t="shared" si="141"/>
        <v>118.02626668707744</v>
      </c>
      <c r="AE496">
        <f t="shared" si="142"/>
        <v>0.56633665594874627</v>
      </c>
      <c r="AF496">
        <f t="shared" si="143"/>
        <v>0.54888334909572245</v>
      </c>
      <c r="AG496">
        <f t="shared" si="144"/>
        <v>0.55029417860081931</v>
      </c>
      <c r="AI496">
        <f t="shared" si="145"/>
        <v>0.25235284554775611</v>
      </c>
      <c r="AJ496">
        <f t="shared" si="146"/>
        <v>25.555146990616233</v>
      </c>
      <c r="AL496">
        <f t="shared" si="147"/>
        <v>0.26037712184587097</v>
      </c>
      <c r="AM496">
        <f t="shared" si="148"/>
        <v>27.206183003655582</v>
      </c>
      <c r="AO496">
        <f t="shared" si="149"/>
        <v>0.2597095739410642</v>
      </c>
      <c r="AP496">
        <f t="shared" si="150"/>
        <v>27.066860858619766</v>
      </c>
    </row>
    <row r="497" spans="1:42" x14ac:dyDescent="0.2">
      <c r="A497" s="3">
        <v>500</v>
      </c>
      <c r="B497" s="3">
        <v>3.4400000000000001E-7</v>
      </c>
      <c r="C497" s="2">
        <v>2.58E-2</v>
      </c>
      <c r="D497" s="3">
        <v>188000</v>
      </c>
      <c r="E497" s="3">
        <v>116000000000</v>
      </c>
      <c r="F497" s="3">
        <v>105000000000</v>
      </c>
      <c r="G497" s="3">
        <v>3150000000</v>
      </c>
      <c r="H497" s="3">
        <v>11700000000</v>
      </c>
      <c r="I497" s="2"/>
      <c r="J497" s="7">
        <f t="shared" si="134"/>
        <v>0.34400000000000003</v>
      </c>
      <c r="K497" s="7">
        <f t="shared" si="135"/>
        <v>25.8</v>
      </c>
      <c r="L497" s="7">
        <f t="shared" si="136"/>
        <v>116.00000000000001</v>
      </c>
      <c r="M497" s="7">
        <f t="shared" si="137"/>
        <v>188</v>
      </c>
      <c r="O497">
        <f t="shared" si="138"/>
        <v>0.24107446808510641</v>
      </c>
      <c r="P497">
        <f t="shared" si="139"/>
        <v>241.07446808510642</v>
      </c>
      <c r="V497">
        <f t="shared" si="140"/>
        <v>726.07271418486323</v>
      </c>
      <c r="W497">
        <f t="shared" si="141"/>
        <v>129.46361729834533</v>
      </c>
      <c r="AE497">
        <f t="shared" si="142"/>
        <v>0.63755264262493594</v>
      </c>
      <c r="AF497">
        <f t="shared" si="143"/>
        <v>0.61790460856284923</v>
      </c>
      <c r="AG497">
        <f t="shared" si="144"/>
        <v>0.61949284776619185</v>
      </c>
      <c r="AI497">
        <f t="shared" si="145"/>
        <v>0.22481803658314459</v>
      </c>
      <c r="AJ497">
        <f t="shared" si="146"/>
        <v>20.204034417969563</v>
      </c>
      <c r="AL497">
        <f t="shared" si="147"/>
        <v>0.23196676533406113</v>
      </c>
      <c r="AM497">
        <f t="shared" si="148"/>
        <v>21.509352225180887</v>
      </c>
      <c r="AO497">
        <f t="shared" si="149"/>
        <v>0.23137205514183762</v>
      </c>
      <c r="AP497">
        <f t="shared" si="150"/>
        <v>21.399203400189865</v>
      </c>
    </row>
    <row r="498" spans="1:42" x14ac:dyDescent="0.2">
      <c r="A498" s="3">
        <v>500</v>
      </c>
      <c r="B498" s="3">
        <v>3.4400000000000001E-7</v>
      </c>
      <c r="C498" s="2">
        <v>2.5860000000000001E-2</v>
      </c>
      <c r="D498" s="3">
        <v>160000</v>
      </c>
      <c r="E498" s="3">
        <v>102000000000</v>
      </c>
      <c r="F498" s="3">
        <v>92700000000</v>
      </c>
      <c r="G498" s="2">
        <v>0</v>
      </c>
      <c r="H498" s="3">
        <v>12700000000</v>
      </c>
      <c r="I498" s="2"/>
      <c r="J498" s="7">
        <f t="shared" si="134"/>
        <v>0.34400000000000003</v>
      </c>
      <c r="K498" s="7">
        <f t="shared" si="135"/>
        <v>25.86</v>
      </c>
      <c r="L498" s="7">
        <f t="shared" si="136"/>
        <v>102</v>
      </c>
      <c r="M498" s="7">
        <f t="shared" si="137"/>
        <v>160</v>
      </c>
      <c r="O498">
        <f t="shared" si="138"/>
        <v>0.22278125000000004</v>
      </c>
      <c r="P498">
        <f t="shared" si="139"/>
        <v>222.78125000000003</v>
      </c>
      <c r="V498">
        <f t="shared" si="140"/>
        <v>701.12697685558328</v>
      </c>
      <c r="W498">
        <f t="shared" si="141"/>
        <v>114.10201381607692</v>
      </c>
      <c r="AE498">
        <f t="shared" si="142"/>
        <v>0.54259799372334971</v>
      </c>
      <c r="AF498">
        <f t="shared" si="143"/>
        <v>0.52587626260668019</v>
      </c>
      <c r="AG498">
        <f t="shared" si="144"/>
        <v>0.52722795554569513</v>
      </c>
      <c r="AI498">
        <f t="shared" si="145"/>
        <v>0.26416119298519491</v>
      </c>
      <c r="AJ498">
        <f t="shared" si="146"/>
        <v>27.95906523928204</v>
      </c>
      <c r="AL498">
        <f t="shared" si="147"/>
        <v>0.27256094926752183</v>
      </c>
      <c r="AM498">
        <f t="shared" si="148"/>
        <v>29.765410693601726</v>
      </c>
      <c r="AO498">
        <f t="shared" si="149"/>
        <v>0.27186216479165926</v>
      </c>
      <c r="AP498">
        <f t="shared" si="150"/>
        <v>29.612982811118268</v>
      </c>
    </row>
    <row r="499" spans="1:42" x14ac:dyDescent="0.2">
      <c r="A499" s="3">
        <v>500</v>
      </c>
      <c r="B499" s="3">
        <v>3.4400000000000001E-7</v>
      </c>
      <c r="C499" s="2">
        <v>2.5909999999999999E-2</v>
      </c>
      <c r="D499" s="3">
        <v>186000</v>
      </c>
      <c r="E499" s="3">
        <v>115000000000</v>
      </c>
      <c r="F499" s="3">
        <v>104000000000</v>
      </c>
      <c r="G499" s="3">
        <v>13000000000</v>
      </c>
      <c r="H499" s="3">
        <v>11700000000</v>
      </c>
      <c r="I499" s="2"/>
      <c r="J499" s="7">
        <f t="shared" si="134"/>
        <v>0.34400000000000003</v>
      </c>
      <c r="K499" s="7">
        <f t="shared" si="135"/>
        <v>25.91</v>
      </c>
      <c r="L499" s="7">
        <f t="shared" si="136"/>
        <v>115.00000000000001</v>
      </c>
      <c r="M499" s="7">
        <f t="shared" si="137"/>
        <v>186</v>
      </c>
      <c r="O499">
        <f t="shared" si="138"/>
        <v>0.23952419354838711</v>
      </c>
      <c r="P499">
        <f t="shared" si="139"/>
        <v>239.5241935483871</v>
      </c>
      <c r="V499">
        <f t="shared" si="140"/>
        <v>724.00047194438719</v>
      </c>
      <c r="W499">
        <f t="shared" si="141"/>
        <v>128.45295494108964</v>
      </c>
      <c r="AE499">
        <f t="shared" si="142"/>
        <v>0.63077016770339411</v>
      </c>
      <c r="AF499">
        <f t="shared" si="143"/>
        <v>0.61133115528026571</v>
      </c>
      <c r="AG499">
        <f t="shared" si="144"/>
        <v>0.6129024983218706</v>
      </c>
      <c r="AI499">
        <f t="shared" si="145"/>
        <v>0.22723543482597408</v>
      </c>
      <c r="AJ499">
        <f t="shared" si="146"/>
        <v>20.728869469679733</v>
      </c>
      <c r="AL499">
        <f t="shared" si="147"/>
        <v>0.23446103162797577</v>
      </c>
      <c r="AM499">
        <f t="shared" si="148"/>
        <v>22.068095184820411</v>
      </c>
      <c r="AO499">
        <f t="shared" si="149"/>
        <v>0.23385992670250255</v>
      </c>
      <c r="AP499">
        <f t="shared" si="150"/>
        <v>21.95508505188149</v>
      </c>
    </row>
    <row r="500" spans="1:42" x14ac:dyDescent="0.2">
      <c r="A500" s="3">
        <v>500</v>
      </c>
      <c r="B500" s="3">
        <v>3.4499999999999998E-7</v>
      </c>
      <c r="C500" s="2">
        <v>2.596E-2</v>
      </c>
      <c r="D500" s="3">
        <v>171000</v>
      </c>
      <c r="E500" s="3">
        <v>107000000000</v>
      </c>
      <c r="F500" s="3">
        <v>97300000000</v>
      </c>
      <c r="G500" s="3">
        <v>7810000000</v>
      </c>
      <c r="H500" s="3">
        <v>12200000000</v>
      </c>
      <c r="I500" s="2"/>
      <c r="J500" s="7">
        <f t="shared" si="134"/>
        <v>0.34499999999999997</v>
      </c>
      <c r="K500" s="7">
        <f t="shared" si="135"/>
        <v>25.96</v>
      </c>
      <c r="L500" s="7">
        <f t="shared" si="136"/>
        <v>107</v>
      </c>
      <c r="M500" s="7">
        <f t="shared" si="137"/>
        <v>171</v>
      </c>
      <c r="O500">
        <f t="shared" si="138"/>
        <v>0.23114035087719295</v>
      </c>
      <c r="P500">
        <f t="shared" si="139"/>
        <v>231.14035087719296</v>
      </c>
      <c r="V500">
        <f t="shared" si="140"/>
        <v>712.66220440074358</v>
      </c>
      <c r="W500">
        <f t="shared" si="141"/>
        <v>119.97268758190201</v>
      </c>
      <c r="AE500">
        <f t="shared" si="142"/>
        <v>0.57990160579183003</v>
      </c>
      <c r="AF500">
        <f t="shared" si="143"/>
        <v>0.56203025566088949</v>
      </c>
      <c r="AG500">
        <f t="shared" si="144"/>
        <v>0.56347487748946168</v>
      </c>
      <c r="AI500">
        <f t="shared" si="145"/>
        <v>0.24788688040226362</v>
      </c>
      <c r="AJ500">
        <f t="shared" si="146"/>
        <v>24.572342471887421</v>
      </c>
      <c r="AL500">
        <f t="shared" si="147"/>
        <v>0.25576914863945333</v>
      </c>
      <c r="AM500">
        <f t="shared" si="148"/>
        <v>26.159882639851215</v>
      </c>
      <c r="AO500">
        <f t="shared" si="149"/>
        <v>0.25511341453317671</v>
      </c>
      <c r="AP500">
        <f t="shared" si="150"/>
        <v>26.025918571360627</v>
      </c>
    </row>
    <row r="501" spans="1:42" x14ac:dyDescent="0.2">
      <c r="A501" s="3">
        <v>500</v>
      </c>
      <c r="B501" s="3">
        <v>3.46E-7</v>
      </c>
      <c r="C501" s="2">
        <v>2.6009999999999998E-2</v>
      </c>
      <c r="D501" s="3">
        <v>181000</v>
      </c>
      <c r="E501" s="3">
        <v>112000000000</v>
      </c>
      <c r="F501" s="3">
        <v>102000000000</v>
      </c>
      <c r="G501" s="3">
        <v>6790000000</v>
      </c>
      <c r="H501" s="3">
        <v>11900000000</v>
      </c>
      <c r="I501" s="2"/>
      <c r="J501" s="7">
        <f t="shared" si="134"/>
        <v>0.34599999999999997</v>
      </c>
      <c r="K501" s="7">
        <f t="shared" si="135"/>
        <v>26.009999999999998</v>
      </c>
      <c r="L501" s="7">
        <f t="shared" si="136"/>
        <v>112</v>
      </c>
      <c r="M501" s="7">
        <f t="shared" si="137"/>
        <v>181</v>
      </c>
      <c r="O501">
        <f t="shared" si="138"/>
        <v>0.23822375690607733</v>
      </c>
      <c r="P501">
        <f t="shared" si="139"/>
        <v>238.22375690607734</v>
      </c>
      <c r="V501">
        <f t="shared" si="140"/>
        <v>722.2564176488853</v>
      </c>
      <c r="W501">
        <f t="shared" si="141"/>
        <v>125.30175958089623</v>
      </c>
      <c r="AE501">
        <f t="shared" si="142"/>
        <v>0.61381398039953938</v>
      </c>
      <c r="AF501">
        <f t="shared" si="143"/>
        <v>0.59489752207380697</v>
      </c>
      <c r="AG501">
        <f t="shared" si="144"/>
        <v>0.59642662471106767</v>
      </c>
      <c r="AI501">
        <f t="shared" si="145"/>
        <v>0.23487028850797229</v>
      </c>
      <c r="AJ501">
        <f t="shared" si="146"/>
        <v>21.974413609715214</v>
      </c>
      <c r="AL501">
        <f t="shared" si="147"/>
        <v>0.24233865719275996</v>
      </c>
      <c r="AM501">
        <f t="shared" si="148"/>
        <v>23.394109933449286</v>
      </c>
      <c r="AO501">
        <f t="shared" si="149"/>
        <v>0.24171735582144177</v>
      </c>
      <c r="AP501">
        <f t="shared" si="150"/>
        <v>23.274309313983704</v>
      </c>
    </row>
    <row r="502" spans="1:42" x14ac:dyDescent="0.2">
      <c r="A502" s="3">
        <v>500</v>
      </c>
      <c r="B502" s="3">
        <v>3.46E-7</v>
      </c>
      <c r="C502" s="2">
        <v>2.606E-2</v>
      </c>
      <c r="D502" s="3">
        <v>177000</v>
      </c>
      <c r="E502" s="3">
        <v>110000000000</v>
      </c>
      <c r="F502" s="3">
        <v>99800000000</v>
      </c>
      <c r="G502" s="2">
        <v>0</v>
      </c>
      <c r="H502" s="3">
        <v>12000000000</v>
      </c>
      <c r="I502" s="2"/>
      <c r="J502" s="7">
        <f t="shared" si="134"/>
        <v>0.34599999999999997</v>
      </c>
      <c r="K502" s="7">
        <f t="shared" si="135"/>
        <v>26.06</v>
      </c>
      <c r="L502" s="7">
        <f t="shared" si="136"/>
        <v>110</v>
      </c>
      <c r="M502" s="7">
        <f t="shared" si="137"/>
        <v>177</v>
      </c>
      <c r="O502">
        <f t="shared" si="138"/>
        <v>0.23557627118644064</v>
      </c>
      <c r="P502">
        <f t="shared" si="139"/>
        <v>235.57627118644064</v>
      </c>
      <c r="V502">
        <f t="shared" si="140"/>
        <v>718.68933525406317</v>
      </c>
      <c r="W502">
        <f t="shared" si="141"/>
        <v>123.14082825330148</v>
      </c>
      <c r="AE502">
        <f t="shared" si="142"/>
        <v>0.60024903055645562</v>
      </c>
      <c r="AF502">
        <f t="shared" si="143"/>
        <v>0.58175061550863993</v>
      </c>
      <c r="AG502">
        <f t="shared" si="144"/>
        <v>0.58324592582242529</v>
      </c>
      <c r="AI502">
        <f t="shared" si="145"/>
        <v>0.24017809163809595</v>
      </c>
      <c r="AJ502">
        <f t="shared" si="146"/>
        <v>23.023003042398422</v>
      </c>
      <c r="AL502">
        <f t="shared" si="147"/>
        <v>0.24781523701632516</v>
      </c>
      <c r="AM502">
        <f t="shared" si="148"/>
        <v>24.51044536332391</v>
      </c>
      <c r="AO502">
        <f t="shared" si="149"/>
        <v>0.24717989493605061</v>
      </c>
      <c r="AP502">
        <f t="shared" si="150"/>
        <v>24.384928019588379</v>
      </c>
    </row>
    <row r="503" spans="1:42" x14ac:dyDescent="0.2">
      <c r="A503" s="3">
        <v>500</v>
      </c>
      <c r="B503" s="3">
        <v>3.4700000000000002E-7</v>
      </c>
      <c r="C503" s="2">
        <v>2.6110000000000001E-2</v>
      </c>
      <c r="D503" s="3">
        <v>177000</v>
      </c>
      <c r="E503" s="3">
        <v>110000000000</v>
      </c>
      <c r="F503" s="3">
        <v>99700000000</v>
      </c>
      <c r="G503" s="3">
        <v>3510000000</v>
      </c>
      <c r="H503" s="3">
        <v>12000000000</v>
      </c>
      <c r="I503" s="2"/>
      <c r="J503" s="7">
        <f t="shared" si="134"/>
        <v>0.34700000000000003</v>
      </c>
      <c r="K503" s="7">
        <f t="shared" si="135"/>
        <v>26.110000000000003</v>
      </c>
      <c r="L503" s="7">
        <f t="shared" si="136"/>
        <v>110</v>
      </c>
      <c r="M503" s="7">
        <f t="shared" si="137"/>
        <v>177</v>
      </c>
      <c r="O503">
        <f t="shared" si="138"/>
        <v>0.23636440677966103</v>
      </c>
      <c r="P503">
        <f t="shared" si="139"/>
        <v>236.36440677966104</v>
      </c>
      <c r="V503">
        <f t="shared" si="140"/>
        <v>719.75355131591664</v>
      </c>
      <c r="W503">
        <f t="shared" si="141"/>
        <v>122.9587541988456</v>
      </c>
      <c r="AE503">
        <f t="shared" si="142"/>
        <v>0.60024903055645562</v>
      </c>
      <c r="AF503">
        <f t="shared" si="143"/>
        <v>0.58175061550863993</v>
      </c>
      <c r="AG503">
        <f t="shared" si="144"/>
        <v>0.58324592582242529</v>
      </c>
      <c r="AI503">
        <f t="shared" si="145"/>
        <v>0.24087224797231013</v>
      </c>
      <c r="AJ503">
        <f t="shared" si="146"/>
        <v>23.067176110399956</v>
      </c>
      <c r="AL503">
        <f t="shared" si="147"/>
        <v>0.24853146602504292</v>
      </c>
      <c r="AM503">
        <f t="shared" si="148"/>
        <v>24.557472311450017</v>
      </c>
      <c r="AO503">
        <f t="shared" si="149"/>
        <v>0.24789428769598143</v>
      </c>
      <c r="AP503">
        <f t="shared" si="150"/>
        <v>24.431714143954441</v>
      </c>
    </row>
    <row r="504" spans="1:42" x14ac:dyDescent="0.2">
      <c r="A504" s="3">
        <v>500</v>
      </c>
      <c r="B504" s="3">
        <v>3.4799999999999999E-7</v>
      </c>
      <c r="C504" s="2">
        <v>2.6169999999999999E-2</v>
      </c>
      <c r="D504" s="3">
        <v>178000</v>
      </c>
      <c r="E504" s="3">
        <v>110000000000</v>
      </c>
      <c r="F504" s="3">
        <v>100000000000</v>
      </c>
      <c r="G504" s="2">
        <v>0</v>
      </c>
      <c r="H504" s="3">
        <v>12000000000</v>
      </c>
      <c r="I504" s="2"/>
      <c r="J504" s="7">
        <f t="shared" si="134"/>
        <v>0.34799999999999998</v>
      </c>
      <c r="K504" s="7">
        <f t="shared" si="135"/>
        <v>26.169999999999998</v>
      </c>
      <c r="L504" s="7">
        <f t="shared" si="136"/>
        <v>110</v>
      </c>
      <c r="M504" s="7">
        <f t="shared" si="137"/>
        <v>178</v>
      </c>
      <c r="O504">
        <f t="shared" si="138"/>
        <v>0.23773314606741569</v>
      </c>
      <c r="P504">
        <f t="shared" si="139"/>
        <v>237.7331460674157</v>
      </c>
      <c r="V504">
        <f t="shared" si="140"/>
        <v>721.59706752755858</v>
      </c>
      <c r="W504">
        <f t="shared" si="141"/>
        <v>123.33753004976145</v>
      </c>
      <c r="AE504">
        <f t="shared" si="142"/>
        <v>0.60364026801722659</v>
      </c>
      <c r="AF504">
        <f t="shared" si="143"/>
        <v>0.58503734214993164</v>
      </c>
      <c r="AG504">
        <f t="shared" si="144"/>
        <v>0.58654110054458586</v>
      </c>
      <c r="AI504">
        <f t="shared" si="145"/>
        <v>0.24020928967558872</v>
      </c>
      <c r="AJ504">
        <f t="shared" si="146"/>
        <v>22.861136157670245</v>
      </c>
      <c r="AL504">
        <f t="shared" si="147"/>
        <v>0.24784742708413274</v>
      </c>
      <c r="AM504">
        <f t="shared" si="148"/>
        <v>24.338120778778837</v>
      </c>
      <c r="AO504">
        <f t="shared" si="149"/>
        <v>0.24721200247582281</v>
      </c>
      <c r="AP504">
        <f t="shared" si="150"/>
        <v>24.213485904692135</v>
      </c>
    </row>
    <row r="505" spans="1:42" x14ac:dyDescent="0.2">
      <c r="A505" s="3">
        <v>500</v>
      </c>
      <c r="B505" s="3">
        <v>3.4799999999999999E-7</v>
      </c>
      <c r="C505" s="2">
        <v>2.622E-2</v>
      </c>
      <c r="D505" s="3">
        <v>169000</v>
      </c>
      <c r="E505" s="3">
        <v>106000000000</v>
      </c>
      <c r="F505" s="3">
        <v>96300000000</v>
      </c>
      <c r="G505" s="3">
        <v>6620000000</v>
      </c>
      <c r="H505" s="3">
        <v>12300000000</v>
      </c>
      <c r="I505" s="2"/>
      <c r="J505" s="7">
        <f t="shared" si="134"/>
        <v>0.34799999999999998</v>
      </c>
      <c r="K505" s="7">
        <f t="shared" si="135"/>
        <v>26.22</v>
      </c>
      <c r="L505" s="7">
        <f t="shared" si="136"/>
        <v>106</v>
      </c>
      <c r="M505" s="7">
        <f t="shared" si="137"/>
        <v>169</v>
      </c>
      <c r="O505">
        <f t="shared" si="138"/>
        <v>0.23163905325443784</v>
      </c>
      <c r="P505">
        <f t="shared" si="139"/>
        <v>231.63905325443784</v>
      </c>
      <c r="V505">
        <f t="shared" si="140"/>
        <v>713.34299255755707</v>
      </c>
      <c r="W505">
        <f t="shared" si="141"/>
        <v>118.45633991166179</v>
      </c>
      <c r="AE505">
        <f t="shared" si="142"/>
        <v>0.57311913087028821</v>
      </c>
      <c r="AF505">
        <f t="shared" si="143"/>
        <v>0.55545680237830597</v>
      </c>
      <c r="AG505">
        <f t="shared" si="144"/>
        <v>0.55688452804514055</v>
      </c>
      <c r="AI505">
        <f t="shared" si="145"/>
        <v>0.25300150036837155</v>
      </c>
      <c r="AJ505">
        <f t="shared" si="146"/>
        <v>25.409339171144008</v>
      </c>
      <c r="AL505">
        <f t="shared" si="147"/>
        <v>0.26104640249097999</v>
      </c>
      <c r="AM505">
        <f t="shared" si="148"/>
        <v>27.050955009021781</v>
      </c>
      <c r="AO505">
        <f t="shared" si="149"/>
        <v>0.26037713870234586</v>
      </c>
      <c r="AP505">
        <f t="shared" si="150"/>
        <v>26.912427782449129</v>
      </c>
    </row>
    <row r="506" spans="1:42" x14ac:dyDescent="0.2">
      <c r="A506" s="3">
        <v>500</v>
      </c>
      <c r="B506" s="3">
        <v>3.4900000000000001E-7</v>
      </c>
      <c r="C506" s="2">
        <v>2.6270000000000002E-2</v>
      </c>
      <c r="D506" s="3">
        <v>169000</v>
      </c>
      <c r="E506" s="3">
        <v>106000000000</v>
      </c>
      <c r="F506" s="3">
        <v>96200000000</v>
      </c>
      <c r="G506" s="3">
        <v>6540000000</v>
      </c>
      <c r="H506" s="3">
        <v>12300000000</v>
      </c>
      <c r="I506" s="2"/>
      <c r="J506" s="7">
        <f t="shared" si="134"/>
        <v>0.34900000000000003</v>
      </c>
      <c r="K506" s="7">
        <f t="shared" si="135"/>
        <v>26.270000000000003</v>
      </c>
      <c r="L506" s="7">
        <f t="shared" si="136"/>
        <v>106</v>
      </c>
      <c r="M506" s="7">
        <f t="shared" si="137"/>
        <v>169</v>
      </c>
      <c r="O506">
        <f t="shared" si="138"/>
        <v>0.23241715976331362</v>
      </c>
      <c r="P506">
        <f t="shared" si="139"/>
        <v>232.41715976331361</v>
      </c>
      <c r="V506">
        <f t="shared" si="140"/>
        <v>714.40357208685066</v>
      </c>
      <c r="W506">
        <f t="shared" si="141"/>
        <v>118.28048361119792</v>
      </c>
      <c r="AE506">
        <f t="shared" si="142"/>
        <v>0.57311913087028821</v>
      </c>
      <c r="AF506">
        <f t="shared" si="143"/>
        <v>0.55545680237830597</v>
      </c>
      <c r="AG506">
        <f t="shared" si="144"/>
        <v>0.55688452804514055</v>
      </c>
      <c r="AI506">
        <f t="shared" si="145"/>
        <v>0.25372851617402781</v>
      </c>
      <c r="AJ506">
        <f t="shared" si="146"/>
        <v>25.457793288556569</v>
      </c>
      <c r="AL506">
        <f t="shared" si="147"/>
        <v>0.26179653583147139</v>
      </c>
      <c r="AM506">
        <f t="shared" si="148"/>
        <v>27.102539591418854</v>
      </c>
      <c r="AO506">
        <f t="shared" si="149"/>
        <v>0.26112534887103084</v>
      </c>
      <c r="AP506">
        <f t="shared" si="150"/>
        <v>26.963748201561355</v>
      </c>
    </row>
    <row r="507" spans="1:42" x14ac:dyDescent="0.2">
      <c r="A507" s="3">
        <v>510</v>
      </c>
      <c r="B507" s="3">
        <v>3.4900000000000001E-7</v>
      </c>
      <c r="C507" s="2">
        <v>2.632E-2</v>
      </c>
      <c r="D507" s="3">
        <v>179000</v>
      </c>
      <c r="E507" s="3">
        <v>111000000000</v>
      </c>
      <c r="F507" s="3">
        <v>100000000000</v>
      </c>
      <c r="G507" s="3">
        <v>9310000000</v>
      </c>
      <c r="H507" s="3">
        <v>12000000000</v>
      </c>
      <c r="I507" s="2"/>
      <c r="J507" s="7">
        <f t="shared" si="134"/>
        <v>0.34900000000000003</v>
      </c>
      <c r="K507" s="7">
        <f t="shared" si="135"/>
        <v>26.32</v>
      </c>
      <c r="L507" s="7">
        <f t="shared" si="136"/>
        <v>111</v>
      </c>
      <c r="M507" s="7">
        <f t="shared" si="137"/>
        <v>179</v>
      </c>
      <c r="O507">
        <f t="shared" si="138"/>
        <v>0.23872067039106148</v>
      </c>
      <c r="P507">
        <f t="shared" si="139"/>
        <v>238.72067039106147</v>
      </c>
      <c r="V507">
        <f t="shared" si="140"/>
        <v>722.92346762208228</v>
      </c>
      <c r="W507">
        <f t="shared" si="141"/>
        <v>123.80286988661889</v>
      </c>
      <c r="AE507">
        <f t="shared" si="142"/>
        <v>0.60703150547799756</v>
      </c>
      <c r="AF507">
        <f t="shared" si="143"/>
        <v>0.58832406879122345</v>
      </c>
      <c r="AG507">
        <f t="shared" si="144"/>
        <v>0.58983627526674642</v>
      </c>
      <c r="AI507">
        <f t="shared" si="145"/>
        <v>0.23955373873413802</v>
      </c>
      <c r="AJ507">
        <f t="shared" si="146"/>
        <v>22.735992389809432</v>
      </c>
      <c r="AL507">
        <f t="shared" si="147"/>
        <v>0.2471710310364171</v>
      </c>
      <c r="AM507">
        <f t="shared" si="148"/>
        <v>24.204891873797838</v>
      </c>
      <c r="AO507">
        <f t="shared" si="149"/>
        <v>0.2465373405542135</v>
      </c>
      <c r="AP507">
        <f t="shared" si="150"/>
        <v>24.080939261416873</v>
      </c>
    </row>
    <row r="508" spans="1:42" x14ac:dyDescent="0.2">
      <c r="A508" s="3">
        <v>510</v>
      </c>
      <c r="B508" s="3">
        <v>3.4999999999999998E-7</v>
      </c>
      <c r="C508" s="2">
        <v>2.6380000000000001E-2</v>
      </c>
      <c r="D508" s="3">
        <v>183000</v>
      </c>
      <c r="E508" s="3">
        <v>113000000000</v>
      </c>
      <c r="F508" s="3">
        <v>102000000000</v>
      </c>
      <c r="G508" s="2">
        <v>0</v>
      </c>
      <c r="H508" s="3">
        <v>11900000000</v>
      </c>
      <c r="I508" s="2"/>
      <c r="J508" s="7">
        <f t="shared" si="134"/>
        <v>0.35</v>
      </c>
      <c r="K508" s="7">
        <f t="shared" si="135"/>
        <v>26.38</v>
      </c>
      <c r="L508" s="7">
        <f t="shared" si="136"/>
        <v>113</v>
      </c>
      <c r="M508" s="7">
        <f t="shared" si="137"/>
        <v>183</v>
      </c>
      <c r="O508">
        <f t="shared" si="138"/>
        <v>0.24188524590163932</v>
      </c>
      <c r="P508">
        <f t="shared" si="139"/>
        <v>241.88524590163931</v>
      </c>
      <c r="V508">
        <f t="shared" si="140"/>
        <v>727.15352042141626</v>
      </c>
      <c r="W508">
        <f t="shared" si="141"/>
        <v>125.83312523464355</v>
      </c>
      <c r="AE508">
        <f t="shared" si="142"/>
        <v>0.62059645532108132</v>
      </c>
      <c r="AF508">
        <f t="shared" si="143"/>
        <v>0.60147097535639049</v>
      </c>
      <c r="AG508">
        <f t="shared" si="144"/>
        <v>0.6030169741553888</v>
      </c>
      <c r="AI508">
        <f t="shared" si="145"/>
        <v>0.23498898854954425</v>
      </c>
      <c r="AJ508">
        <f t="shared" si="146"/>
        <v>21.802520523717877</v>
      </c>
      <c r="AL508">
        <f t="shared" si="147"/>
        <v>0.24246113163968136</v>
      </c>
      <c r="AM508">
        <f t="shared" si="148"/>
        <v>23.211111386955938</v>
      </c>
      <c r="AO508">
        <f t="shared" si="149"/>
        <v>0.24183951627165004</v>
      </c>
      <c r="AP508">
        <f t="shared" si="150"/>
        <v>23.092247898216584</v>
      </c>
    </row>
    <row r="509" spans="1:42" x14ac:dyDescent="0.2">
      <c r="A509" s="3">
        <v>510</v>
      </c>
      <c r="B509" s="3">
        <v>3.5100000000000001E-7</v>
      </c>
      <c r="C509" s="2">
        <v>2.6429999999999999E-2</v>
      </c>
      <c r="D509" s="3">
        <v>160000</v>
      </c>
      <c r="E509" s="3">
        <v>101000000000</v>
      </c>
      <c r="F509" s="3">
        <v>92300000000</v>
      </c>
      <c r="G509" s="2">
        <v>0</v>
      </c>
      <c r="H509" s="3">
        <v>12700000000</v>
      </c>
      <c r="I509" s="2"/>
      <c r="J509" s="7">
        <f t="shared" si="134"/>
        <v>0.35099999999999998</v>
      </c>
      <c r="K509" s="7">
        <f t="shared" si="135"/>
        <v>26.43</v>
      </c>
      <c r="L509" s="7">
        <f t="shared" si="136"/>
        <v>101</v>
      </c>
      <c r="M509" s="7">
        <f t="shared" si="137"/>
        <v>160</v>
      </c>
      <c r="O509">
        <f t="shared" si="138"/>
        <v>0.227109375</v>
      </c>
      <c r="P509">
        <f t="shared" si="139"/>
        <v>227.109375</v>
      </c>
      <c r="V509">
        <f t="shared" si="140"/>
        <v>707.12915116088959</v>
      </c>
      <c r="W509">
        <f t="shared" si="141"/>
        <v>113.13350590718045</v>
      </c>
      <c r="AE509">
        <f t="shared" si="142"/>
        <v>0.54259799372334971</v>
      </c>
      <c r="AF509">
        <f t="shared" si="143"/>
        <v>0.52587626260668019</v>
      </c>
      <c r="AG509">
        <f t="shared" si="144"/>
        <v>0.52722795554569513</v>
      </c>
      <c r="AI509">
        <f t="shared" si="145"/>
        <v>0.26953656609826571</v>
      </c>
      <c r="AJ509">
        <f t="shared" si="146"/>
        <v>28.575332338523754</v>
      </c>
      <c r="AL509">
        <f t="shared" si="147"/>
        <v>0.27810724765377953</v>
      </c>
      <c r="AM509">
        <f t="shared" si="148"/>
        <v>30.421492831859769</v>
      </c>
      <c r="AO509">
        <f t="shared" si="149"/>
        <v>0.27739424372637317</v>
      </c>
      <c r="AP509">
        <f t="shared" si="150"/>
        <v>30.265705170064031</v>
      </c>
    </row>
    <row r="510" spans="1:42" x14ac:dyDescent="0.2">
      <c r="A510" s="3">
        <v>510</v>
      </c>
      <c r="B510" s="3">
        <v>3.5100000000000001E-7</v>
      </c>
      <c r="C510" s="2">
        <v>2.648E-2</v>
      </c>
      <c r="D510" s="3">
        <v>177000</v>
      </c>
      <c r="E510" s="3">
        <v>109000000000</v>
      </c>
      <c r="F510" s="3">
        <v>99200000000</v>
      </c>
      <c r="G510" s="2">
        <v>0</v>
      </c>
      <c r="H510" s="3">
        <v>12100000000</v>
      </c>
      <c r="I510" s="2"/>
      <c r="J510" s="7">
        <f t="shared" si="134"/>
        <v>0.35099999999999998</v>
      </c>
      <c r="K510" s="7">
        <f t="shared" si="135"/>
        <v>26.48</v>
      </c>
      <c r="L510" s="7">
        <f t="shared" si="136"/>
        <v>109</v>
      </c>
      <c r="M510" s="7">
        <f t="shared" si="137"/>
        <v>177</v>
      </c>
      <c r="O510">
        <f t="shared" si="138"/>
        <v>0.2387966101694915</v>
      </c>
      <c r="P510">
        <f t="shared" si="139"/>
        <v>238.79661016949149</v>
      </c>
      <c r="V510">
        <f t="shared" si="140"/>
        <v>723.02534000999151</v>
      </c>
      <c r="W510">
        <f t="shared" si="141"/>
        <v>122.4023489948181</v>
      </c>
      <c r="AE510">
        <f t="shared" si="142"/>
        <v>0.60024903055645562</v>
      </c>
      <c r="AF510">
        <f t="shared" si="143"/>
        <v>0.58175061550863993</v>
      </c>
      <c r="AG510">
        <f t="shared" si="144"/>
        <v>0.58324592582242529</v>
      </c>
      <c r="AI510">
        <f t="shared" si="145"/>
        <v>0.24364887330916671</v>
      </c>
      <c r="AJ510">
        <f t="shared" si="146"/>
        <v>23.394056813611289</v>
      </c>
      <c r="AL510">
        <f t="shared" si="147"/>
        <v>0.25139638205991366</v>
      </c>
      <c r="AM510">
        <f t="shared" si="148"/>
        <v>24.905471727583162</v>
      </c>
      <c r="AO510">
        <f t="shared" si="149"/>
        <v>0.25075185873570455</v>
      </c>
      <c r="AP510">
        <f t="shared" si="150"/>
        <v>24.777931464263251</v>
      </c>
    </row>
    <row r="511" spans="1:42" x14ac:dyDescent="0.2">
      <c r="A511" s="3">
        <v>510</v>
      </c>
      <c r="B511" s="3">
        <v>3.5199999999999998E-7</v>
      </c>
      <c r="C511" s="2">
        <v>2.6530000000000001E-2</v>
      </c>
      <c r="D511" s="3">
        <v>184000</v>
      </c>
      <c r="E511" s="3">
        <v>113000000000</v>
      </c>
      <c r="F511" s="3">
        <v>102000000000</v>
      </c>
      <c r="G511" s="2">
        <v>0</v>
      </c>
      <c r="H511" s="3">
        <v>11800000000</v>
      </c>
      <c r="I511" s="2"/>
      <c r="J511" s="7">
        <f t="shared" si="134"/>
        <v>0.35199999999999998</v>
      </c>
      <c r="K511" s="7">
        <f t="shared" si="135"/>
        <v>26.53</v>
      </c>
      <c r="L511" s="7">
        <f t="shared" si="136"/>
        <v>113</v>
      </c>
      <c r="M511" s="7">
        <f t="shared" si="137"/>
        <v>184</v>
      </c>
      <c r="O511">
        <f t="shared" si="138"/>
        <v>0.24386141304347825</v>
      </c>
      <c r="P511">
        <f t="shared" si="139"/>
        <v>243.86141304347825</v>
      </c>
      <c r="V511">
        <f t="shared" si="140"/>
        <v>729.77942338836658</v>
      </c>
      <c r="W511">
        <f t="shared" si="141"/>
        <v>126.0654891759539</v>
      </c>
      <c r="AE511">
        <f t="shared" si="142"/>
        <v>0.62398769278185218</v>
      </c>
      <c r="AF511">
        <f t="shared" si="143"/>
        <v>0.6047577019976822</v>
      </c>
      <c r="AG511">
        <f t="shared" si="144"/>
        <v>0.60631214887754936</v>
      </c>
      <c r="AI511">
        <f t="shared" si="145"/>
        <v>0.23504737090694788</v>
      </c>
      <c r="AJ511">
        <f t="shared" si="146"/>
        <v>21.688808599983702</v>
      </c>
      <c r="AL511">
        <f t="shared" si="147"/>
        <v>0.24252137043015087</v>
      </c>
      <c r="AM511">
        <f t="shared" si="148"/>
        <v>23.090052900853482</v>
      </c>
      <c r="AO511">
        <f t="shared" si="149"/>
        <v>0.24189960062351881</v>
      </c>
      <c r="AP511">
        <f t="shared" si="150"/>
        <v>22.971809349426035</v>
      </c>
    </row>
    <row r="512" spans="1:42" x14ac:dyDescent="0.2">
      <c r="A512" s="3">
        <v>510</v>
      </c>
      <c r="B512" s="3">
        <v>3.5199999999999998E-7</v>
      </c>
      <c r="C512" s="2">
        <v>2.6589999999999999E-2</v>
      </c>
      <c r="D512" s="3">
        <v>194000</v>
      </c>
      <c r="E512" s="3">
        <v>118000000000</v>
      </c>
      <c r="F512" s="3">
        <v>106000000000</v>
      </c>
      <c r="G512" s="3">
        <v>2240000000</v>
      </c>
      <c r="H512" s="3">
        <v>11600000000</v>
      </c>
      <c r="I512" s="2"/>
      <c r="J512" s="7">
        <f t="shared" si="134"/>
        <v>0.35199999999999998</v>
      </c>
      <c r="K512" s="7">
        <f t="shared" si="135"/>
        <v>26.59</v>
      </c>
      <c r="L512" s="7">
        <f t="shared" si="136"/>
        <v>118.00000000000001</v>
      </c>
      <c r="M512" s="7">
        <f t="shared" si="137"/>
        <v>194</v>
      </c>
      <c r="O512">
        <f t="shared" si="138"/>
        <v>0.24920360824742266</v>
      </c>
      <c r="P512">
        <f t="shared" si="139"/>
        <v>249.20360824742266</v>
      </c>
      <c r="V512">
        <f t="shared" si="140"/>
        <v>736.81928055572314</v>
      </c>
      <c r="W512">
        <f t="shared" si="141"/>
        <v>131.64693508948457</v>
      </c>
      <c r="AE512">
        <f t="shared" si="142"/>
        <v>0.65790006738956153</v>
      </c>
      <c r="AF512">
        <f t="shared" si="143"/>
        <v>0.63762496841059968</v>
      </c>
      <c r="AG512">
        <f t="shared" si="144"/>
        <v>0.63926389609915535</v>
      </c>
      <c r="AI512">
        <f t="shared" si="145"/>
        <v>0.22293152704576502</v>
      </c>
      <c r="AJ512">
        <f t="shared" si="146"/>
        <v>19.554601488414072</v>
      </c>
      <c r="AL512">
        <f t="shared" si="147"/>
        <v>0.23002026886158639</v>
      </c>
      <c r="AM512">
        <f t="shared" si="148"/>
        <v>20.817961518777413</v>
      </c>
      <c r="AO512">
        <f t="shared" si="149"/>
        <v>0.22943054904498689</v>
      </c>
      <c r="AP512">
        <f t="shared" si="150"/>
        <v>20.711353287344156</v>
      </c>
    </row>
    <row r="513" spans="1:42" x14ac:dyDescent="0.2">
      <c r="A513" s="3">
        <v>510</v>
      </c>
      <c r="B513" s="3">
        <v>3.53E-7</v>
      </c>
      <c r="C513" s="2">
        <v>2.664E-2</v>
      </c>
      <c r="D513" s="3">
        <v>182000</v>
      </c>
      <c r="E513" s="3">
        <v>112000000000</v>
      </c>
      <c r="F513" s="3">
        <v>101000000000</v>
      </c>
      <c r="G513" s="3">
        <v>3560000000</v>
      </c>
      <c r="H513" s="3">
        <v>11900000000</v>
      </c>
      <c r="I513" s="2"/>
      <c r="J513" s="7">
        <f t="shared" si="134"/>
        <v>0.35299999999999998</v>
      </c>
      <c r="K513" s="7">
        <f t="shared" si="135"/>
        <v>26.64</v>
      </c>
      <c r="L513" s="7">
        <f t="shared" si="136"/>
        <v>112</v>
      </c>
      <c r="M513" s="7">
        <f t="shared" si="137"/>
        <v>182</v>
      </c>
      <c r="O513">
        <f t="shared" si="138"/>
        <v>0.24321978021978019</v>
      </c>
      <c r="P513">
        <f t="shared" si="139"/>
        <v>243.2197802197802</v>
      </c>
      <c r="V513">
        <f t="shared" si="140"/>
        <v>728.92813447136973</v>
      </c>
      <c r="W513">
        <f t="shared" si="141"/>
        <v>124.84083916721728</v>
      </c>
      <c r="AE513">
        <f t="shared" si="142"/>
        <v>0.61720521786031035</v>
      </c>
      <c r="AF513">
        <f t="shared" si="143"/>
        <v>0.59818424871509868</v>
      </c>
      <c r="AG513">
        <f t="shared" si="144"/>
        <v>0.59972179943322823</v>
      </c>
      <c r="AI513">
        <f t="shared" si="145"/>
        <v>0.23830539515403468</v>
      </c>
      <c r="AJ513">
        <f t="shared" si="146"/>
        <v>22.26001931123572</v>
      </c>
      <c r="AL513">
        <f t="shared" si="147"/>
        <v>0.24588299282247689</v>
      </c>
      <c r="AM513">
        <f t="shared" si="148"/>
        <v>23.698167702528355</v>
      </c>
      <c r="AO513">
        <f t="shared" si="149"/>
        <v>0.24525260457821541</v>
      </c>
      <c r="AP513">
        <f t="shared" si="150"/>
        <v>23.576810011253134</v>
      </c>
    </row>
    <row r="514" spans="1:42" x14ac:dyDescent="0.2">
      <c r="A514" s="3">
        <v>510</v>
      </c>
      <c r="B514" s="3">
        <v>3.53E-7</v>
      </c>
      <c r="C514" s="2">
        <v>2.6689999999999998E-2</v>
      </c>
      <c r="D514" s="3">
        <v>176000</v>
      </c>
      <c r="E514" s="3">
        <v>108000000000</v>
      </c>
      <c r="F514" s="3">
        <v>98400000000</v>
      </c>
      <c r="G514" s="2">
        <v>0</v>
      </c>
      <c r="H514" s="3">
        <v>12100000000</v>
      </c>
      <c r="I514" s="2"/>
      <c r="J514" s="7">
        <f t="shared" si="134"/>
        <v>0.35299999999999998</v>
      </c>
      <c r="K514" s="7">
        <f t="shared" si="135"/>
        <v>26.689999999999998</v>
      </c>
      <c r="L514" s="7">
        <f t="shared" si="136"/>
        <v>108</v>
      </c>
      <c r="M514" s="7">
        <f t="shared" si="137"/>
        <v>176</v>
      </c>
      <c r="O514">
        <f t="shared" si="138"/>
        <v>0.23926420454545452</v>
      </c>
      <c r="P514">
        <f t="shared" si="139"/>
        <v>239.26420454545453</v>
      </c>
      <c r="V514">
        <f t="shared" si="140"/>
        <v>723.65221554275865</v>
      </c>
      <c r="W514">
        <f t="shared" si="141"/>
        <v>121.60537632569485</v>
      </c>
      <c r="AE514">
        <f t="shared" si="142"/>
        <v>0.59685779309568476</v>
      </c>
      <c r="AF514">
        <f t="shared" si="143"/>
        <v>0.57846388886734823</v>
      </c>
      <c r="AG514">
        <f t="shared" si="144"/>
        <v>0.57995075110026462</v>
      </c>
      <c r="AI514">
        <f t="shared" si="145"/>
        <v>0.24642944271610404</v>
      </c>
      <c r="AJ514">
        <f t="shared" si="146"/>
        <v>23.84829473504622</v>
      </c>
      <c r="AL514">
        <f t="shared" si="147"/>
        <v>0.25426536757778856</v>
      </c>
      <c r="AM514">
        <f t="shared" si="148"/>
        <v>25.389056502982687</v>
      </c>
      <c r="AO514">
        <f t="shared" si="149"/>
        <v>0.25361348882520007</v>
      </c>
      <c r="AP514">
        <f t="shared" si="150"/>
        <v>25.259039814792519</v>
      </c>
    </row>
    <row r="515" spans="1:42" x14ac:dyDescent="0.2">
      <c r="A515" s="3">
        <v>510</v>
      </c>
      <c r="B515" s="3">
        <v>3.5400000000000002E-7</v>
      </c>
      <c r="C515" s="2">
        <v>2.674E-2</v>
      </c>
      <c r="D515" s="3">
        <v>181000</v>
      </c>
      <c r="E515" s="3">
        <v>111000000000</v>
      </c>
      <c r="F515" s="3">
        <v>100000000000</v>
      </c>
      <c r="G515" s="3">
        <v>9470000000</v>
      </c>
      <c r="H515" s="3">
        <v>12000000000</v>
      </c>
      <c r="I515" s="2"/>
      <c r="J515" s="7">
        <f t="shared" si="134"/>
        <v>0.35400000000000004</v>
      </c>
      <c r="K515" s="7">
        <f t="shared" si="135"/>
        <v>26.74</v>
      </c>
      <c r="L515" s="7">
        <f t="shared" si="136"/>
        <v>111</v>
      </c>
      <c r="M515" s="7">
        <f t="shared" si="137"/>
        <v>181</v>
      </c>
      <c r="O515">
        <f t="shared" si="138"/>
        <v>0.24319889502762437</v>
      </c>
      <c r="P515">
        <f t="shared" si="139"/>
        <v>243.19889502762436</v>
      </c>
      <c r="V515">
        <f t="shared" si="140"/>
        <v>728.90040395124515</v>
      </c>
      <c r="W515">
        <f t="shared" si="141"/>
        <v>124.15962387922258</v>
      </c>
      <c r="AE515">
        <f t="shared" si="142"/>
        <v>0.61381398039953938</v>
      </c>
      <c r="AF515">
        <f t="shared" si="143"/>
        <v>0.59489752207380697</v>
      </c>
      <c r="AG515">
        <f t="shared" si="144"/>
        <v>0.59642662471106767</v>
      </c>
      <c r="AI515">
        <f t="shared" si="145"/>
        <v>0.24030081540989079</v>
      </c>
      <c r="AJ515">
        <f t="shared" si="146"/>
        <v>22.591150323867158</v>
      </c>
      <c r="AL515">
        <f t="shared" si="147"/>
        <v>0.24794186313941341</v>
      </c>
      <c r="AM515">
        <f t="shared" si="148"/>
        <v>24.050692026929408</v>
      </c>
      <c r="AO515">
        <f t="shared" si="149"/>
        <v>0.24730619641846935</v>
      </c>
      <c r="AP515">
        <f t="shared" si="150"/>
        <v>23.927529067894049</v>
      </c>
    </row>
    <row r="516" spans="1:42" x14ac:dyDescent="0.2">
      <c r="A516" s="3">
        <v>510</v>
      </c>
      <c r="B516" s="3">
        <v>3.5499999999999999E-7</v>
      </c>
      <c r="C516" s="2">
        <v>2.6790000000000001E-2</v>
      </c>
      <c r="D516" s="3">
        <v>183000</v>
      </c>
      <c r="E516" s="3">
        <v>112000000000</v>
      </c>
      <c r="F516" s="3">
        <v>101000000000</v>
      </c>
      <c r="G516" s="3">
        <v>8120000000</v>
      </c>
      <c r="H516" s="3">
        <v>11900000000</v>
      </c>
      <c r="I516" s="2"/>
      <c r="J516" s="7">
        <f t="shared" si="134"/>
        <v>0.35499999999999998</v>
      </c>
      <c r="K516" s="7">
        <f t="shared" si="135"/>
        <v>26.790000000000003</v>
      </c>
      <c r="L516" s="7">
        <f t="shared" si="136"/>
        <v>112</v>
      </c>
      <c r="M516" s="7">
        <f t="shared" si="137"/>
        <v>183</v>
      </c>
      <c r="O516">
        <f t="shared" si="138"/>
        <v>0.24520491803278685</v>
      </c>
      <c r="P516">
        <f t="shared" si="139"/>
        <v>245.20491803278685</v>
      </c>
      <c r="V516">
        <f t="shared" si="140"/>
        <v>731.55789199301444</v>
      </c>
      <c r="W516">
        <f t="shared" si="141"/>
        <v>125.0755422113247</v>
      </c>
      <c r="AE516">
        <f t="shared" si="142"/>
        <v>0.62059645532108132</v>
      </c>
      <c r="AF516">
        <f t="shared" si="143"/>
        <v>0.60147097535639049</v>
      </c>
      <c r="AG516">
        <f t="shared" si="144"/>
        <v>0.6030169741553888</v>
      </c>
      <c r="AI516">
        <f t="shared" si="145"/>
        <v>0.23834597410025202</v>
      </c>
      <c r="AJ516">
        <f t="shared" si="146"/>
        <v>22.141376983715013</v>
      </c>
      <c r="AL516">
        <f t="shared" si="147"/>
        <v>0.2459248620916768</v>
      </c>
      <c r="AM516">
        <f t="shared" si="148"/>
        <v>23.571860275077697</v>
      </c>
      <c r="AO516">
        <f t="shared" si="149"/>
        <v>0.24529436650410219</v>
      </c>
      <c r="AP516">
        <f t="shared" si="150"/>
        <v>23.451149400804489</v>
      </c>
    </row>
    <row r="517" spans="1:42" x14ac:dyDescent="0.2">
      <c r="A517" s="3">
        <v>520</v>
      </c>
      <c r="B517" s="3">
        <v>3.5600000000000001E-7</v>
      </c>
      <c r="C517" s="2">
        <v>2.6849999999999999E-2</v>
      </c>
      <c r="D517" s="3">
        <v>179000</v>
      </c>
      <c r="E517" s="3">
        <v>109000000000</v>
      </c>
      <c r="F517" s="3">
        <v>99200000000</v>
      </c>
      <c r="G517" s="3">
        <v>1940000000</v>
      </c>
      <c r="H517" s="3">
        <v>12000000000</v>
      </c>
      <c r="I517" s="2"/>
      <c r="J517" s="7">
        <f t="shared" ref="J517:J580" si="151">B517*(10^6)</f>
        <v>0.35600000000000004</v>
      </c>
      <c r="K517" s="7">
        <f t="shared" ref="K517:K580" si="152">C517*1000</f>
        <v>26.849999999999998</v>
      </c>
      <c r="L517" s="7">
        <f t="shared" ref="L517:L580" si="153">E517*(10^-9)</f>
        <v>109</v>
      </c>
      <c r="M517" s="7">
        <f t="shared" ref="M517:M580" si="154">D517*(10^-3)</f>
        <v>179</v>
      </c>
      <c r="O517">
        <f t="shared" ref="O517:O580" si="155">J517-(0.75*(K517/M517))</f>
        <v>0.24350000000000005</v>
      </c>
      <c r="P517">
        <f t="shared" ref="P517:P580" si="156">O517*1000</f>
        <v>243.50000000000006</v>
      </c>
      <c r="V517">
        <f t="shared" ref="V517:V580" si="157">$S$3*(P517^$S$4)</f>
        <v>729.30007084924625</v>
      </c>
      <c r="W517">
        <f t="shared" ref="W517:W580" si="158">M517/(2*(V517/1000))</f>
        <v>122.72040491615495</v>
      </c>
      <c r="AE517">
        <f t="shared" si="142"/>
        <v>0.60703150547799756</v>
      </c>
      <c r="AF517">
        <f t="shared" si="143"/>
        <v>0.58832406879122345</v>
      </c>
      <c r="AG517">
        <f t="shared" si="144"/>
        <v>0.58983627526674642</v>
      </c>
      <c r="AI517">
        <f t="shared" si="145"/>
        <v>0.24435854151677114</v>
      </c>
      <c r="AJ517">
        <f t="shared" si="146"/>
        <v>23.193822023798752</v>
      </c>
      <c r="AL517">
        <f t="shared" si="147"/>
        <v>0.25212861618614468</v>
      </c>
      <c r="AM517">
        <f t="shared" si="148"/>
        <v>24.692300410770208</v>
      </c>
      <c r="AO517">
        <f t="shared" si="149"/>
        <v>0.25148221557965617</v>
      </c>
      <c r="AP517">
        <f t="shared" si="150"/>
        <v>24.565851792136893</v>
      </c>
    </row>
    <row r="518" spans="1:42" x14ac:dyDescent="0.2">
      <c r="A518" s="3">
        <v>520</v>
      </c>
      <c r="B518" s="3">
        <v>3.5699999999999998E-7</v>
      </c>
      <c r="C518" s="2">
        <v>2.69E-2</v>
      </c>
      <c r="D518" s="3">
        <v>175000</v>
      </c>
      <c r="E518" s="3">
        <v>107000000000</v>
      </c>
      <c r="F518" s="3">
        <v>97400000000</v>
      </c>
      <c r="G518" s="3">
        <v>22000000000</v>
      </c>
      <c r="H518" s="3">
        <v>12100000000</v>
      </c>
      <c r="I518" s="2"/>
      <c r="J518" s="7">
        <f t="shared" si="151"/>
        <v>0.35699999999999998</v>
      </c>
      <c r="K518" s="7">
        <f t="shared" si="152"/>
        <v>26.9</v>
      </c>
      <c r="L518" s="7">
        <f t="shared" si="153"/>
        <v>107</v>
      </c>
      <c r="M518" s="7">
        <f t="shared" si="154"/>
        <v>175</v>
      </c>
      <c r="O518">
        <f t="shared" si="155"/>
        <v>0.24171428571428569</v>
      </c>
      <c r="P518">
        <f t="shared" si="156"/>
        <v>241.71428571428569</v>
      </c>
      <c r="V518">
        <f t="shared" si="157"/>
        <v>726.92579025895213</v>
      </c>
      <c r="W518">
        <f t="shared" si="158"/>
        <v>120.36992107382785</v>
      </c>
      <c r="AE518">
        <f t="shared" si="142"/>
        <v>0.59346655563491379</v>
      </c>
      <c r="AF518">
        <f t="shared" si="143"/>
        <v>0.57517716222605642</v>
      </c>
      <c r="AG518">
        <f t="shared" si="144"/>
        <v>0.57665557637810405</v>
      </c>
      <c r="AI518">
        <f t="shared" si="145"/>
        <v>0.25064596915804532</v>
      </c>
      <c r="AJ518">
        <f t="shared" si="146"/>
        <v>24.311417126921011</v>
      </c>
      <c r="AL518">
        <f t="shared" si="147"/>
        <v>0.25861597046778811</v>
      </c>
      <c r="AM518">
        <f t="shared" si="148"/>
        <v>25.882099745937335</v>
      </c>
      <c r="AO518">
        <f t="shared" si="149"/>
        <v>0.25795293775580685</v>
      </c>
      <c r="AP518">
        <f t="shared" si="150"/>
        <v>25.749558196314201</v>
      </c>
    </row>
    <row r="519" spans="1:42" x14ac:dyDescent="0.2">
      <c r="A519" s="3">
        <v>520</v>
      </c>
      <c r="B519" s="3">
        <v>3.5900000000000003E-7</v>
      </c>
      <c r="C519" s="2">
        <v>2.6950000000000002E-2</v>
      </c>
      <c r="D519" s="3">
        <v>168000</v>
      </c>
      <c r="E519" s="3">
        <v>104000000000</v>
      </c>
      <c r="F519" s="3">
        <v>94400000000</v>
      </c>
      <c r="G519" s="3">
        <v>4320000000</v>
      </c>
      <c r="H519" s="3">
        <v>12300000000</v>
      </c>
      <c r="I519" s="2"/>
      <c r="J519" s="7">
        <f t="shared" si="151"/>
        <v>0.35900000000000004</v>
      </c>
      <c r="K519" s="7">
        <f t="shared" si="152"/>
        <v>26.950000000000003</v>
      </c>
      <c r="L519" s="7">
        <f t="shared" si="153"/>
        <v>104</v>
      </c>
      <c r="M519" s="7">
        <f t="shared" si="154"/>
        <v>168</v>
      </c>
      <c r="O519">
        <f t="shared" si="155"/>
        <v>0.23868750000000002</v>
      </c>
      <c r="P519">
        <f t="shared" si="156"/>
        <v>238.68750000000003</v>
      </c>
      <c r="V519">
        <f t="shared" si="157"/>
        <v>722.87896423880318</v>
      </c>
      <c r="W519">
        <f t="shared" si="158"/>
        <v>116.20202572702142</v>
      </c>
      <c r="AE519">
        <f t="shared" si="142"/>
        <v>0.56972789340951724</v>
      </c>
      <c r="AF519">
        <f t="shared" si="143"/>
        <v>0.55217007573701415</v>
      </c>
      <c r="AG519">
        <f t="shared" si="144"/>
        <v>0.55358935332297987</v>
      </c>
      <c r="AI519">
        <f t="shared" si="145"/>
        <v>0.26255223776767705</v>
      </c>
      <c r="AJ519">
        <f t="shared" si="146"/>
        <v>26.428608544479026</v>
      </c>
      <c r="AL519">
        <f t="shared" si="147"/>
        <v>0.27090083274374405</v>
      </c>
      <c r="AM519">
        <f t="shared" si="148"/>
        <v>28.136076104633421</v>
      </c>
      <c r="AO519">
        <f t="shared" si="149"/>
        <v>0.27020630443024823</v>
      </c>
      <c r="AP519">
        <f t="shared" si="150"/>
        <v>27.991992001572665</v>
      </c>
    </row>
    <row r="520" spans="1:42" x14ac:dyDescent="0.2">
      <c r="A520" s="3">
        <v>520</v>
      </c>
      <c r="B520" s="3">
        <v>3.5999999999999999E-7</v>
      </c>
      <c r="C520" s="2">
        <v>2.7E-2</v>
      </c>
      <c r="D520" s="3">
        <v>201000</v>
      </c>
      <c r="E520" s="3">
        <v>120000000000</v>
      </c>
      <c r="F520" s="3">
        <v>108000000000</v>
      </c>
      <c r="G520" s="2">
        <v>0</v>
      </c>
      <c r="H520" s="3">
        <v>11300000000</v>
      </c>
      <c r="I520" s="2"/>
      <c r="J520" s="7">
        <f t="shared" si="151"/>
        <v>0.36</v>
      </c>
      <c r="K520" s="7">
        <f t="shared" si="152"/>
        <v>27</v>
      </c>
      <c r="L520" s="7">
        <f t="shared" si="153"/>
        <v>120.00000000000001</v>
      </c>
      <c r="M520" s="7">
        <f t="shared" si="154"/>
        <v>201</v>
      </c>
      <c r="O520">
        <f t="shared" si="155"/>
        <v>0.25925373134328356</v>
      </c>
      <c r="P520">
        <f t="shared" si="156"/>
        <v>259.25373134328356</v>
      </c>
      <c r="V520">
        <f t="shared" si="157"/>
        <v>749.83885440901315</v>
      </c>
      <c r="W520">
        <f t="shared" si="158"/>
        <v>134.02879753305029</v>
      </c>
      <c r="AE520">
        <f t="shared" si="142"/>
        <v>0.68163872961495808</v>
      </c>
      <c r="AF520">
        <f t="shared" si="143"/>
        <v>0.66063205489964194</v>
      </c>
      <c r="AG520">
        <f t="shared" si="144"/>
        <v>0.66233011915427953</v>
      </c>
      <c r="AI520">
        <f t="shared" si="145"/>
        <v>0.22005791848818732</v>
      </c>
      <c r="AJ520">
        <f t="shared" si="146"/>
        <v>18.497189317264326</v>
      </c>
      <c r="AL520">
        <f t="shared" si="147"/>
        <v>0.22705528574871653</v>
      </c>
      <c r="AM520">
        <f t="shared" si="148"/>
        <v>19.692233341625609</v>
      </c>
      <c r="AO520">
        <f t="shared" si="149"/>
        <v>0.22647316747656437</v>
      </c>
      <c r="AP520">
        <f t="shared" si="150"/>
        <v>19.591389934473177</v>
      </c>
    </row>
    <row r="521" spans="1:42" x14ac:dyDescent="0.2">
      <c r="A521" s="3">
        <v>520</v>
      </c>
      <c r="B521" s="3">
        <v>3.6100000000000002E-7</v>
      </c>
      <c r="C521" s="2">
        <v>2.7050000000000001E-2</v>
      </c>
      <c r="D521" s="3">
        <v>183000</v>
      </c>
      <c r="E521" s="3">
        <v>111000000000</v>
      </c>
      <c r="F521" s="3">
        <v>100000000000</v>
      </c>
      <c r="G521" s="3">
        <v>6560000000</v>
      </c>
      <c r="H521" s="3">
        <v>11800000000</v>
      </c>
      <c r="I521" s="2"/>
      <c r="J521" s="7">
        <f t="shared" si="151"/>
        <v>0.36100000000000004</v>
      </c>
      <c r="K521" s="7">
        <f t="shared" si="152"/>
        <v>27.05</v>
      </c>
      <c r="L521" s="7">
        <f t="shared" si="153"/>
        <v>111</v>
      </c>
      <c r="M521" s="7">
        <f t="shared" si="154"/>
        <v>183</v>
      </c>
      <c r="O521">
        <f t="shared" si="155"/>
        <v>0.25013934426229512</v>
      </c>
      <c r="P521">
        <f t="shared" si="156"/>
        <v>250.13934426229511</v>
      </c>
      <c r="V521">
        <f t="shared" si="157"/>
        <v>738.04369892399177</v>
      </c>
      <c r="W521">
        <f t="shared" si="158"/>
        <v>123.97639886825078</v>
      </c>
      <c r="AE521">
        <f t="shared" si="142"/>
        <v>0.62059645532108132</v>
      </c>
      <c r="AF521">
        <f t="shared" si="143"/>
        <v>0.60147097535639049</v>
      </c>
      <c r="AG521">
        <f t="shared" si="144"/>
        <v>0.6030169741553888</v>
      </c>
      <c r="AI521">
        <f t="shared" si="145"/>
        <v>0.24237435676110139</v>
      </c>
      <c r="AJ521">
        <f t="shared" si="146"/>
        <v>22.356261568103434</v>
      </c>
      <c r="AL521">
        <f t="shared" si="147"/>
        <v>0.25008133863407139</v>
      </c>
      <c r="AM521">
        <f t="shared" si="148"/>
        <v>23.800627862667103</v>
      </c>
      <c r="AO521">
        <f t="shared" si="149"/>
        <v>0.2494401867830448</v>
      </c>
      <c r="AP521">
        <f t="shared" si="150"/>
        <v>23.678745475616324</v>
      </c>
    </row>
    <row r="522" spans="1:42" x14ac:dyDescent="0.2">
      <c r="A522" s="3">
        <v>520</v>
      </c>
      <c r="B522" s="3">
        <v>3.6199999999999999E-7</v>
      </c>
      <c r="C522" s="2">
        <v>2.7099999999999999E-2</v>
      </c>
      <c r="D522" s="3">
        <v>156000</v>
      </c>
      <c r="E522" s="3">
        <v>96800000000</v>
      </c>
      <c r="F522" s="3">
        <v>88800000000</v>
      </c>
      <c r="G522" s="3">
        <v>1520000000</v>
      </c>
      <c r="H522" s="3">
        <v>12800000000</v>
      </c>
      <c r="I522" s="2"/>
      <c r="J522" s="7">
        <f t="shared" si="151"/>
        <v>0.36199999999999999</v>
      </c>
      <c r="K522" s="7">
        <f t="shared" si="152"/>
        <v>27.099999999999998</v>
      </c>
      <c r="L522" s="7">
        <f t="shared" si="153"/>
        <v>96.800000000000011</v>
      </c>
      <c r="M522" s="7">
        <f t="shared" si="154"/>
        <v>156</v>
      </c>
      <c r="O522">
        <f t="shared" si="155"/>
        <v>0.23171153846153847</v>
      </c>
      <c r="P522">
        <f t="shared" si="156"/>
        <v>231.71153846153848</v>
      </c>
      <c r="V522">
        <f t="shared" si="157"/>
        <v>713.44187552534004</v>
      </c>
      <c r="W522">
        <f t="shared" si="158"/>
        <v>109.32915865439637</v>
      </c>
      <c r="AE522">
        <f t="shared" si="142"/>
        <v>0.52903304388026595</v>
      </c>
      <c r="AF522">
        <f t="shared" si="143"/>
        <v>0.51272935604151315</v>
      </c>
      <c r="AG522">
        <f t="shared" si="144"/>
        <v>0.51404725665705275</v>
      </c>
      <c r="AI522">
        <f t="shared" si="145"/>
        <v>0.28511136511818885</v>
      </c>
      <c r="AJ522">
        <f t="shared" si="146"/>
        <v>30.821529491355854</v>
      </c>
      <c r="AL522">
        <f t="shared" si="147"/>
        <v>0.29417729169601342</v>
      </c>
      <c r="AM522">
        <f t="shared" si="148"/>
        <v>32.812809572267476</v>
      </c>
      <c r="AO522">
        <f t="shared" si="149"/>
        <v>0.29342308781926246</v>
      </c>
      <c r="AP522">
        <f t="shared" si="150"/>
        <v>32.644776040564558</v>
      </c>
    </row>
    <row r="523" spans="1:42" x14ac:dyDescent="0.2">
      <c r="A523" s="3">
        <v>520</v>
      </c>
      <c r="B523" s="3">
        <v>3.6199999999999999E-7</v>
      </c>
      <c r="C523" s="2">
        <v>2.716E-2</v>
      </c>
      <c r="D523" s="3">
        <v>177000</v>
      </c>
      <c r="E523" s="3">
        <v>107000000000</v>
      </c>
      <c r="F523" s="3">
        <v>97500000000</v>
      </c>
      <c r="G523" s="3">
        <v>9970000000</v>
      </c>
      <c r="H523" s="3">
        <v>12000000000</v>
      </c>
      <c r="I523" s="2"/>
      <c r="J523" s="7">
        <f t="shared" si="151"/>
        <v>0.36199999999999999</v>
      </c>
      <c r="K523" s="7">
        <f t="shared" si="152"/>
        <v>27.16</v>
      </c>
      <c r="L523" s="7">
        <f t="shared" si="153"/>
        <v>107</v>
      </c>
      <c r="M523" s="7">
        <f t="shared" si="154"/>
        <v>177</v>
      </c>
      <c r="O523">
        <f t="shared" si="155"/>
        <v>0.24691525423728811</v>
      </c>
      <c r="P523">
        <f t="shared" si="156"/>
        <v>246.91525423728811</v>
      </c>
      <c r="V523">
        <f t="shared" si="157"/>
        <v>733.81411982471047</v>
      </c>
      <c r="W523">
        <f t="shared" si="158"/>
        <v>120.60274885571894</v>
      </c>
      <c r="AE523">
        <f t="shared" si="142"/>
        <v>0.60024903055645562</v>
      </c>
      <c r="AF523">
        <f t="shared" si="143"/>
        <v>0.58175061550863993</v>
      </c>
      <c r="AG523">
        <f t="shared" si="144"/>
        <v>0.58324592582242529</v>
      </c>
      <c r="AI523">
        <f t="shared" si="145"/>
        <v>0.25128459298552236</v>
      </c>
      <c r="AJ523">
        <f t="shared" si="146"/>
        <v>23.994810538432123</v>
      </c>
      <c r="AL523">
        <f t="shared" si="147"/>
        <v>0.25927490115580842</v>
      </c>
      <c r="AM523">
        <f t="shared" si="148"/>
        <v>25.545038222098135</v>
      </c>
      <c r="AO523">
        <f t="shared" si="149"/>
        <v>0.25861017909494316</v>
      </c>
      <c r="AP523">
        <f t="shared" si="150"/>
        <v>25.414222755641614</v>
      </c>
    </row>
    <row r="524" spans="1:42" x14ac:dyDescent="0.2">
      <c r="A524" s="3">
        <v>520</v>
      </c>
      <c r="B524" s="3">
        <v>3.6300000000000001E-7</v>
      </c>
      <c r="C524" s="2">
        <v>2.7210000000000002E-2</v>
      </c>
      <c r="D524" s="3">
        <v>169000</v>
      </c>
      <c r="E524" s="3">
        <v>103000000000</v>
      </c>
      <c r="F524" s="3">
        <v>94000000000</v>
      </c>
      <c r="G524" s="3">
        <v>11900000000</v>
      </c>
      <c r="H524" s="3">
        <v>12200000000</v>
      </c>
      <c r="I524" s="2"/>
      <c r="J524" s="7">
        <f t="shared" si="151"/>
        <v>0.36299999999999999</v>
      </c>
      <c r="K524" s="7">
        <f t="shared" si="152"/>
        <v>27.21</v>
      </c>
      <c r="L524" s="7">
        <f t="shared" si="153"/>
        <v>103</v>
      </c>
      <c r="M524" s="7">
        <f t="shared" si="154"/>
        <v>169</v>
      </c>
      <c r="O524">
        <f t="shared" si="155"/>
        <v>0.24224556213017751</v>
      </c>
      <c r="P524">
        <f t="shared" si="156"/>
        <v>242.24556213017752</v>
      </c>
      <c r="V524">
        <f t="shared" si="157"/>
        <v>727.63319182243345</v>
      </c>
      <c r="W524">
        <f t="shared" si="158"/>
        <v>116.12994150027833</v>
      </c>
      <c r="AE524">
        <f t="shared" si="142"/>
        <v>0.57311913087028821</v>
      </c>
      <c r="AF524">
        <f t="shared" si="143"/>
        <v>0.55545680237830597</v>
      </c>
      <c r="AG524">
        <f t="shared" si="144"/>
        <v>0.55688452804514055</v>
      </c>
      <c r="AI524">
        <f t="shared" si="145"/>
        <v>0.26390673745321513</v>
      </c>
      <c r="AJ524">
        <f t="shared" si="146"/>
        <v>26.368730695912607</v>
      </c>
      <c r="AL524">
        <f t="shared" si="147"/>
        <v>0.27229840259834986</v>
      </c>
      <c r="AM524">
        <f t="shared" si="148"/>
        <v>28.072329740483703</v>
      </c>
      <c r="AO524">
        <f t="shared" si="149"/>
        <v>0.27160029123261942</v>
      </c>
      <c r="AP524">
        <f t="shared" si="150"/>
        <v>27.928572080871124</v>
      </c>
    </row>
    <row r="525" spans="1:42" x14ac:dyDescent="0.2">
      <c r="A525" s="3">
        <v>520</v>
      </c>
      <c r="B525" s="3">
        <v>3.6300000000000001E-7</v>
      </c>
      <c r="C525" s="2">
        <v>2.726E-2</v>
      </c>
      <c r="D525" s="3">
        <v>179000</v>
      </c>
      <c r="E525" s="3">
        <v>108000000000</v>
      </c>
      <c r="F525" s="3">
        <v>98200000000</v>
      </c>
      <c r="G525" s="3">
        <v>6420000000</v>
      </c>
      <c r="H525" s="3">
        <v>11900000000</v>
      </c>
      <c r="I525" s="2"/>
      <c r="J525" s="7">
        <f t="shared" si="151"/>
        <v>0.36299999999999999</v>
      </c>
      <c r="K525" s="7">
        <f t="shared" si="152"/>
        <v>27.259999999999998</v>
      </c>
      <c r="L525" s="7">
        <f t="shared" si="153"/>
        <v>108</v>
      </c>
      <c r="M525" s="7">
        <f t="shared" si="154"/>
        <v>179</v>
      </c>
      <c r="O525">
        <f t="shared" si="155"/>
        <v>0.24878212290502794</v>
      </c>
      <c r="P525">
        <f t="shared" si="156"/>
        <v>248.78212290502793</v>
      </c>
      <c r="V525">
        <f t="shared" si="157"/>
        <v>736.26692699695309</v>
      </c>
      <c r="W525">
        <f t="shared" si="158"/>
        <v>121.55917469367789</v>
      </c>
      <c r="AE525">
        <f t="shared" si="142"/>
        <v>0.60703150547799756</v>
      </c>
      <c r="AF525">
        <f t="shared" si="143"/>
        <v>0.58832406879122345</v>
      </c>
      <c r="AG525">
        <f t="shared" si="144"/>
        <v>0.58983627526674642</v>
      </c>
      <c r="AI525">
        <f t="shared" si="145"/>
        <v>0.24916334429940426</v>
      </c>
      <c r="AJ525">
        <f t="shared" si="146"/>
        <v>23.547992118016907</v>
      </c>
      <c r="AL525">
        <f t="shared" si="147"/>
        <v>0.25708620133587218</v>
      </c>
      <c r="AM525">
        <f t="shared" si="148"/>
        <v>25.069352297862043</v>
      </c>
      <c r="AO525">
        <f t="shared" si="149"/>
        <v>0.25642709060509883</v>
      </c>
      <c r="AP525">
        <f t="shared" si="150"/>
        <v>24.940972806467474</v>
      </c>
    </row>
    <row r="526" spans="1:42" x14ac:dyDescent="0.2">
      <c r="A526" s="3">
        <v>520</v>
      </c>
      <c r="B526" s="3">
        <v>3.6399999999999998E-7</v>
      </c>
      <c r="C526" s="2">
        <v>2.7310000000000001E-2</v>
      </c>
      <c r="D526" s="3">
        <v>177000</v>
      </c>
      <c r="E526" s="3">
        <v>107000000000</v>
      </c>
      <c r="F526" s="3">
        <v>97400000000</v>
      </c>
      <c r="G526" s="3">
        <v>9640000000</v>
      </c>
      <c r="H526" s="3">
        <v>11900000000</v>
      </c>
      <c r="I526" s="2"/>
      <c r="J526" s="7">
        <f t="shared" si="151"/>
        <v>0.36399999999999999</v>
      </c>
      <c r="K526" s="7">
        <f t="shared" si="152"/>
        <v>27.310000000000002</v>
      </c>
      <c r="L526" s="7">
        <f t="shared" si="153"/>
        <v>107</v>
      </c>
      <c r="M526" s="7">
        <f t="shared" si="154"/>
        <v>177</v>
      </c>
      <c r="O526">
        <f t="shared" si="155"/>
        <v>0.24827966101694912</v>
      </c>
      <c r="P526">
        <f t="shared" si="156"/>
        <v>248.27966101694912</v>
      </c>
      <c r="V526">
        <f t="shared" si="157"/>
        <v>735.60777276658484</v>
      </c>
      <c r="W526">
        <f t="shared" si="158"/>
        <v>120.30867981064941</v>
      </c>
      <c r="AE526">
        <f t="shared" si="142"/>
        <v>0.60024903055645562</v>
      </c>
      <c r="AF526">
        <f t="shared" si="143"/>
        <v>0.58175061550863993</v>
      </c>
      <c r="AG526">
        <f t="shared" si="144"/>
        <v>0.58324592582242529</v>
      </c>
      <c r="AI526">
        <f t="shared" si="145"/>
        <v>0.25267290565395067</v>
      </c>
      <c r="AJ526">
        <f t="shared" si="146"/>
        <v>24.127329742436721</v>
      </c>
      <c r="AL526">
        <f t="shared" si="147"/>
        <v>0.26070735917324384</v>
      </c>
      <c r="AM526">
        <f t="shared" si="148"/>
        <v>25.686119066476444</v>
      </c>
      <c r="AO526">
        <f t="shared" si="149"/>
        <v>0.26003896461480469</v>
      </c>
      <c r="AP526">
        <f t="shared" si="150"/>
        <v>25.554581128739784</v>
      </c>
    </row>
    <row r="527" spans="1:42" x14ac:dyDescent="0.2">
      <c r="A527" s="3">
        <v>530</v>
      </c>
      <c r="B527" s="3">
        <v>3.65E-7</v>
      </c>
      <c r="C527" s="2">
        <v>2.7369999999999998E-2</v>
      </c>
      <c r="D527" s="3">
        <v>174000</v>
      </c>
      <c r="E527" s="3">
        <v>105000000000</v>
      </c>
      <c r="F527" s="3">
        <v>95800000000</v>
      </c>
      <c r="G527" s="3">
        <v>3590000000</v>
      </c>
      <c r="H527" s="3">
        <v>12100000000</v>
      </c>
      <c r="I527" s="2"/>
      <c r="J527" s="7">
        <f t="shared" si="151"/>
        <v>0.36499999999999999</v>
      </c>
      <c r="K527" s="7">
        <f t="shared" si="152"/>
        <v>27.369999999999997</v>
      </c>
      <c r="L527" s="7">
        <f t="shared" si="153"/>
        <v>105</v>
      </c>
      <c r="M527" s="7">
        <f t="shared" si="154"/>
        <v>174</v>
      </c>
      <c r="O527">
        <f t="shared" si="155"/>
        <v>0.24702586206896551</v>
      </c>
      <c r="P527">
        <f t="shared" si="156"/>
        <v>247.02586206896552</v>
      </c>
      <c r="V527">
        <f t="shared" si="157"/>
        <v>733.95973048941539</v>
      </c>
      <c r="W527">
        <f t="shared" si="158"/>
        <v>118.53511355723438</v>
      </c>
      <c r="AE527">
        <f t="shared" si="142"/>
        <v>0.59007531817414283</v>
      </c>
      <c r="AF527">
        <f t="shared" si="143"/>
        <v>0.57189043558476471</v>
      </c>
      <c r="AG527">
        <f t="shared" si="144"/>
        <v>0.57336040165594349</v>
      </c>
      <c r="AI527">
        <f t="shared" si="145"/>
        <v>0.25773545960865046</v>
      </c>
      <c r="AJ527">
        <f t="shared" si="146"/>
        <v>25.021330134684362</v>
      </c>
      <c r="AL527">
        <f t="shared" si="147"/>
        <v>0.26593089142647808</v>
      </c>
      <c r="AM527">
        <f t="shared" si="148"/>
        <v>26.637877954255888</v>
      </c>
      <c r="AO527">
        <f t="shared" si="149"/>
        <v>0.26524910491567921</v>
      </c>
      <c r="AP527">
        <f t="shared" si="150"/>
        <v>26.501466084377252</v>
      </c>
    </row>
    <row r="528" spans="1:42" x14ac:dyDescent="0.2">
      <c r="A528" s="3">
        <v>530</v>
      </c>
      <c r="B528" s="3">
        <v>3.65E-7</v>
      </c>
      <c r="C528" s="2">
        <v>2.742E-2</v>
      </c>
      <c r="D528" s="3">
        <v>162000</v>
      </c>
      <c r="E528" s="3">
        <v>99400000000</v>
      </c>
      <c r="F528" s="3">
        <v>91000000000</v>
      </c>
      <c r="G528" s="3">
        <v>963000000</v>
      </c>
      <c r="H528" s="3">
        <v>12500000000</v>
      </c>
      <c r="I528" s="2"/>
      <c r="J528" s="7">
        <f t="shared" si="151"/>
        <v>0.36499999999999999</v>
      </c>
      <c r="K528" s="7">
        <f t="shared" si="152"/>
        <v>27.42</v>
      </c>
      <c r="L528" s="7">
        <f t="shared" si="153"/>
        <v>99.4</v>
      </c>
      <c r="M528" s="7">
        <f t="shared" si="154"/>
        <v>162</v>
      </c>
      <c r="O528">
        <f t="shared" si="155"/>
        <v>0.23805555555555552</v>
      </c>
      <c r="P528">
        <f t="shared" si="156"/>
        <v>238.05555555555551</v>
      </c>
      <c r="V528">
        <f t="shared" si="157"/>
        <v>722.03045088272518</v>
      </c>
      <c r="W528">
        <f t="shared" si="158"/>
        <v>112.18363422342185</v>
      </c>
      <c r="AE528">
        <f t="shared" ref="AE528:AE591" si="159">M528/(2*$Y$5)</f>
        <v>0.54938046864489165</v>
      </c>
      <c r="AF528">
        <f t="shared" ref="AF528:AF591" si="160">M528/(2*$Y$8)</f>
        <v>0.53244971588926371</v>
      </c>
      <c r="AG528">
        <f t="shared" ref="AG528:AG591" si="161">M528/(2*$Y$11)</f>
        <v>0.53381830499001637</v>
      </c>
      <c r="AI528">
        <f t="shared" ref="AI528:AI591" si="162">J528/(2.4*AE528)</f>
        <v>0.27682697513521709</v>
      </c>
      <c r="AJ528">
        <f t="shared" ref="AJ528:AJ591" si="163">K528/(3.14159*(AE528^2))</f>
        <v>28.918217086005328</v>
      </c>
      <c r="AL528">
        <f t="shared" ref="AL528:AL591" si="164">J528/(2.4*AF528)</f>
        <v>0.28562947597658755</v>
      </c>
      <c r="AM528">
        <f t="shared" ref="AM528:AM591" si="165">K528/(3.14159*(AF528^2))</f>
        <v>30.786530262189228</v>
      </c>
      <c r="AO528">
        <f t="shared" ref="AO528:AO591" si="166">J528/(2.4*AG528)</f>
        <v>0.28489718676128506</v>
      </c>
      <c r="AP528">
        <f t="shared" ref="AP528:AP591" si="167">K528/(3.14159*(AG528^2))</f>
        <v>30.628873253348186</v>
      </c>
    </row>
    <row r="529" spans="1:42" x14ac:dyDescent="0.2">
      <c r="A529" s="3">
        <v>530</v>
      </c>
      <c r="B529" s="3">
        <v>3.6600000000000002E-7</v>
      </c>
      <c r="C529" s="2">
        <v>2.7470000000000001E-2</v>
      </c>
      <c r="D529" s="3">
        <v>186000</v>
      </c>
      <c r="E529" s="3">
        <v>111000000000</v>
      </c>
      <c r="F529" s="3">
        <v>101000000000</v>
      </c>
      <c r="G529" s="2">
        <v>0</v>
      </c>
      <c r="H529" s="3">
        <v>11700000000</v>
      </c>
      <c r="I529" s="2"/>
      <c r="J529" s="7">
        <f t="shared" si="151"/>
        <v>0.36600000000000005</v>
      </c>
      <c r="K529" s="7">
        <f t="shared" si="152"/>
        <v>27.470000000000002</v>
      </c>
      <c r="L529" s="7">
        <f t="shared" si="153"/>
        <v>111</v>
      </c>
      <c r="M529" s="7">
        <f t="shared" si="154"/>
        <v>186</v>
      </c>
      <c r="O529">
        <f t="shared" si="155"/>
        <v>0.25523387096774197</v>
      </c>
      <c r="P529">
        <f t="shared" si="156"/>
        <v>255.23387096774198</v>
      </c>
      <c r="V529">
        <f t="shared" si="157"/>
        <v>744.66560156692697</v>
      </c>
      <c r="W529">
        <f t="shared" si="158"/>
        <v>124.88827173473463</v>
      </c>
      <c r="AE529">
        <f t="shared" si="159"/>
        <v>0.63077016770339411</v>
      </c>
      <c r="AF529">
        <f t="shared" si="160"/>
        <v>0.61133115528026571</v>
      </c>
      <c r="AG529">
        <f t="shared" si="161"/>
        <v>0.6129024983218706</v>
      </c>
      <c r="AI529">
        <f t="shared" si="162"/>
        <v>0.24176793356484452</v>
      </c>
      <c r="AJ529">
        <f t="shared" si="163"/>
        <v>21.976921819069947</v>
      </c>
      <c r="AL529">
        <f t="shared" si="164"/>
        <v>0.24945563248790445</v>
      </c>
      <c r="AM529">
        <f t="shared" si="165"/>
        <v>23.396780190158886</v>
      </c>
      <c r="AO529">
        <f t="shared" si="166"/>
        <v>0.24881608480556958</v>
      </c>
      <c r="AP529">
        <f t="shared" si="167"/>
        <v>23.276965896379178</v>
      </c>
    </row>
    <row r="530" spans="1:42" x14ac:dyDescent="0.2">
      <c r="A530" s="3">
        <v>530</v>
      </c>
      <c r="B530" s="3">
        <v>3.6699999999999999E-7</v>
      </c>
      <c r="C530" s="2">
        <v>2.7519999999999999E-2</v>
      </c>
      <c r="D530" s="3">
        <v>189000</v>
      </c>
      <c r="E530" s="3">
        <v>113000000000</v>
      </c>
      <c r="F530" s="3">
        <v>102000000000</v>
      </c>
      <c r="G530" s="3">
        <v>2850000000</v>
      </c>
      <c r="H530" s="3">
        <v>11600000000</v>
      </c>
      <c r="I530" s="2"/>
      <c r="J530" s="7">
        <f t="shared" si="151"/>
        <v>0.36699999999999999</v>
      </c>
      <c r="K530" s="7">
        <f t="shared" si="152"/>
        <v>27.52</v>
      </c>
      <c r="L530" s="7">
        <f t="shared" si="153"/>
        <v>113</v>
      </c>
      <c r="M530" s="7">
        <f t="shared" si="154"/>
        <v>189</v>
      </c>
      <c r="O530">
        <f t="shared" si="155"/>
        <v>0.2577936507936508</v>
      </c>
      <c r="P530">
        <f t="shared" si="156"/>
        <v>257.79365079365078</v>
      </c>
      <c r="V530">
        <f t="shared" si="157"/>
        <v>747.96504381876764</v>
      </c>
      <c r="W530">
        <f t="shared" si="158"/>
        <v>126.34280275656494</v>
      </c>
      <c r="AE530">
        <f t="shared" si="159"/>
        <v>0.64094388008570691</v>
      </c>
      <c r="AF530">
        <f t="shared" si="160"/>
        <v>0.62119133520414094</v>
      </c>
      <c r="AG530">
        <f t="shared" si="161"/>
        <v>0.62278802248835241</v>
      </c>
      <c r="AI530">
        <f t="shared" si="162"/>
        <v>0.23858043023395226</v>
      </c>
      <c r="AJ530">
        <f t="shared" si="163"/>
        <v>21.323520766494887</v>
      </c>
      <c r="AL530">
        <f t="shared" si="164"/>
        <v>0.24616677342483206</v>
      </c>
      <c r="AM530">
        <f t="shared" si="165"/>
        <v>22.701164993045531</v>
      </c>
      <c r="AO530">
        <f t="shared" si="166"/>
        <v>0.24553565763144805</v>
      </c>
      <c r="AP530">
        <f t="shared" si="167"/>
        <v>22.584912926328993</v>
      </c>
    </row>
    <row r="531" spans="1:42" x14ac:dyDescent="0.2">
      <c r="A531" s="3">
        <v>530</v>
      </c>
      <c r="B531" s="3">
        <v>3.6699999999999999E-7</v>
      </c>
      <c r="C531" s="2">
        <v>2.7570000000000001E-2</v>
      </c>
      <c r="D531" s="3">
        <v>172000</v>
      </c>
      <c r="E531" s="3">
        <v>104000000000</v>
      </c>
      <c r="F531" s="3">
        <v>94800000000</v>
      </c>
      <c r="G531" s="3">
        <v>6470000000</v>
      </c>
      <c r="H531" s="3">
        <v>12200000000</v>
      </c>
      <c r="I531" s="2"/>
      <c r="J531" s="7">
        <f t="shared" si="151"/>
        <v>0.36699999999999999</v>
      </c>
      <c r="K531" s="7">
        <f t="shared" si="152"/>
        <v>27.57</v>
      </c>
      <c r="L531" s="7">
        <f t="shared" si="153"/>
        <v>104</v>
      </c>
      <c r="M531" s="7">
        <f t="shared" si="154"/>
        <v>172</v>
      </c>
      <c r="O531">
        <f t="shared" si="155"/>
        <v>0.24678197674418603</v>
      </c>
      <c r="P531">
        <f t="shared" si="156"/>
        <v>246.78197674418604</v>
      </c>
      <c r="V531">
        <f t="shared" si="157"/>
        <v>733.63861721139699</v>
      </c>
      <c r="W531">
        <f t="shared" si="158"/>
        <v>117.22392739751214</v>
      </c>
      <c r="AE531">
        <f t="shared" si="159"/>
        <v>0.583292843252601</v>
      </c>
      <c r="AF531">
        <f t="shared" si="160"/>
        <v>0.56531698230218119</v>
      </c>
      <c r="AG531">
        <f t="shared" si="161"/>
        <v>0.56677005221162224</v>
      </c>
      <c r="AI531">
        <f t="shared" si="162"/>
        <v>0.2621610541524243</v>
      </c>
      <c r="AJ531">
        <f t="shared" si="163"/>
        <v>25.793719015257704</v>
      </c>
      <c r="AL531">
        <f t="shared" si="164"/>
        <v>0.27049721033310037</v>
      </c>
      <c r="AM531">
        <f t="shared" si="165"/>
        <v>27.46016840097424</v>
      </c>
      <c r="AO531">
        <f t="shared" si="166"/>
        <v>0.26980371681595167</v>
      </c>
      <c r="AP531">
        <f t="shared" si="167"/>
        <v>27.319545603422874</v>
      </c>
    </row>
    <row r="532" spans="1:42" x14ac:dyDescent="0.2">
      <c r="A532" s="3">
        <v>530</v>
      </c>
      <c r="B532" s="3">
        <v>3.6800000000000001E-7</v>
      </c>
      <c r="C532" s="2">
        <v>2.7629999999999998E-2</v>
      </c>
      <c r="D532" s="3">
        <v>182000</v>
      </c>
      <c r="E532" s="3">
        <v>109000000000</v>
      </c>
      <c r="F532" s="3">
        <v>99000000000</v>
      </c>
      <c r="G532" s="2">
        <v>0</v>
      </c>
      <c r="H532" s="3">
        <v>11800000000</v>
      </c>
      <c r="I532" s="2"/>
      <c r="J532" s="7">
        <f t="shared" si="151"/>
        <v>0.36799999999999999</v>
      </c>
      <c r="K532" s="7">
        <f t="shared" si="152"/>
        <v>27.63</v>
      </c>
      <c r="L532" s="7">
        <f t="shared" si="153"/>
        <v>109</v>
      </c>
      <c r="M532" s="7">
        <f t="shared" si="154"/>
        <v>182</v>
      </c>
      <c r="O532">
        <f t="shared" si="155"/>
        <v>0.25414010989010988</v>
      </c>
      <c r="P532">
        <f t="shared" si="156"/>
        <v>254.14010989010987</v>
      </c>
      <c r="V532">
        <f t="shared" si="157"/>
        <v>743.25017310341832</v>
      </c>
      <c r="W532">
        <f t="shared" si="158"/>
        <v>122.43522207338653</v>
      </c>
      <c r="AE532">
        <f t="shared" si="159"/>
        <v>0.61720521786031035</v>
      </c>
      <c r="AF532">
        <f t="shared" si="160"/>
        <v>0.59818424871509868</v>
      </c>
      <c r="AG532">
        <f t="shared" si="161"/>
        <v>0.59972179943322823</v>
      </c>
      <c r="AI532">
        <f t="shared" si="162"/>
        <v>0.24843168673281804</v>
      </c>
      <c r="AJ532">
        <f t="shared" si="163"/>
        <v>23.087249758612721</v>
      </c>
      <c r="AL532">
        <f t="shared" si="164"/>
        <v>0.25633127863646316</v>
      </c>
      <c r="AM532">
        <f t="shared" si="165"/>
        <v>24.578842853635827</v>
      </c>
      <c r="AO532">
        <f t="shared" si="166"/>
        <v>0.25567410335632657</v>
      </c>
      <c r="AP532">
        <f t="shared" si="167"/>
        <v>24.452975248157809</v>
      </c>
    </row>
    <row r="533" spans="1:42" x14ac:dyDescent="0.2">
      <c r="A533" s="3">
        <v>530</v>
      </c>
      <c r="B533" s="3">
        <v>3.6800000000000001E-7</v>
      </c>
      <c r="C533" s="2">
        <v>2.768E-2</v>
      </c>
      <c r="D533" s="3">
        <v>186000</v>
      </c>
      <c r="E533" s="3">
        <v>111000000000</v>
      </c>
      <c r="F533" s="3">
        <v>101000000000</v>
      </c>
      <c r="G533" s="3">
        <v>10300000000</v>
      </c>
      <c r="H533" s="3">
        <v>11700000000</v>
      </c>
      <c r="I533" s="2"/>
      <c r="J533" s="7">
        <f t="shared" si="151"/>
        <v>0.36799999999999999</v>
      </c>
      <c r="K533" s="7">
        <f t="shared" si="152"/>
        <v>27.68</v>
      </c>
      <c r="L533" s="7">
        <f t="shared" si="153"/>
        <v>111</v>
      </c>
      <c r="M533" s="7">
        <f t="shared" si="154"/>
        <v>186</v>
      </c>
      <c r="O533">
        <f t="shared" si="155"/>
        <v>0.25638709677419358</v>
      </c>
      <c r="P533">
        <f t="shared" si="156"/>
        <v>256.38709677419359</v>
      </c>
      <c r="V533">
        <f t="shared" si="157"/>
        <v>746.15432879496973</v>
      </c>
      <c r="W533">
        <f t="shared" si="158"/>
        <v>124.6390946363521</v>
      </c>
      <c r="AE533">
        <f t="shared" si="159"/>
        <v>0.63077016770339411</v>
      </c>
      <c r="AF533">
        <f t="shared" si="160"/>
        <v>0.61133115528026571</v>
      </c>
      <c r="AG533">
        <f t="shared" si="161"/>
        <v>0.6129024983218706</v>
      </c>
      <c r="AI533">
        <f t="shared" si="162"/>
        <v>0.24308906981383271</v>
      </c>
      <c r="AJ533">
        <f t="shared" si="163"/>
        <v>22.144928866103243</v>
      </c>
      <c r="AL533">
        <f t="shared" si="164"/>
        <v>0.25081877802062519</v>
      </c>
      <c r="AM533">
        <f t="shared" si="165"/>
        <v>23.575641633185217</v>
      </c>
      <c r="AO533">
        <f t="shared" si="166"/>
        <v>0.25017573554221201</v>
      </c>
      <c r="AP533">
        <f t="shared" si="167"/>
        <v>23.454911394676941</v>
      </c>
    </row>
    <row r="534" spans="1:42" x14ac:dyDescent="0.2">
      <c r="A534" s="3">
        <v>530</v>
      </c>
      <c r="B534" s="3">
        <v>3.6899999999999998E-7</v>
      </c>
      <c r="C534" s="2">
        <v>2.7730000000000001E-2</v>
      </c>
      <c r="D534" s="3">
        <v>179000</v>
      </c>
      <c r="E534" s="3">
        <v>107000000000</v>
      </c>
      <c r="F534" s="3">
        <v>97400000000</v>
      </c>
      <c r="G534" s="3">
        <v>1090000000</v>
      </c>
      <c r="H534" s="3">
        <v>11900000000</v>
      </c>
      <c r="I534" s="2"/>
      <c r="J534" s="7">
        <f t="shared" si="151"/>
        <v>0.36899999999999999</v>
      </c>
      <c r="K534" s="7">
        <f t="shared" si="152"/>
        <v>27.73</v>
      </c>
      <c r="L534" s="7">
        <f t="shared" si="153"/>
        <v>107</v>
      </c>
      <c r="M534" s="7">
        <f t="shared" si="154"/>
        <v>179</v>
      </c>
      <c r="O534">
        <f t="shared" si="155"/>
        <v>0.25281284916201119</v>
      </c>
      <c r="P534">
        <f t="shared" si="156"/>
        <v>252.81284916201119</v>
      </c>
      <c r="V534">
        <f t="shared" si="157"/>
        <v>741.52800996265933</v>
      </c>
      <c r="W534">
        <f t="shared" si="158"/>
        <v>120.69672190064256</v>
      </c>
      <c r="AE534">
        <f t="shared" si="159"/>
        <v>0.60703150547799756</v>
      </c>
      <c r="AF534">
        <f t="shared" si="160"/>
        <v>0.58832406879122345</v>
      </c>
      <c r="AG534">
        <f t="shared" si="161"/>
        <v>0.58983627526674642</v>
      </c>
      <c r="AI534">
        <f t="shared" si="162"/>
        <v>0.25328174668451836</v>
      </c>
      <c r="AJ534">
        <f t="shared" si="163"/>
        <v>23.953991982120652</v>
      </c>
      <c r="AL534">
        <f t="shared" si="164"/>
        <v>0.26133556003563868</v>
      </c>
      <c r="AM534">
        <f t="shared" si="165"/>
        <v>25.501582509894153</v>
      </c>
      <c r="AO534">
        <f t="shared" si="166"/>
        <v>0.26066555491262111</v>
      </c>
      <c r="AP534">
        <f t="shared" si="167"/>
        <v>25.370989578992777</v>
      </c>
    </row>
    <row r="535" spans="1:42" x14ac:dyDescent="0.2">
      <c r="A535" s="3">
        <v>530</v>
      </c>
      <c r="B535" s="3">
        <v>3.6899999999999998E-7</v>
      </c>
      <c r="C535" s="2">
        <v>2.7779999999999999E-2</v>
      </c>
      <c r="D535" s="3">
        <v>197000</v>
      </c>
      <c r="E535" s="3">
        <v>116000000000</v>
      </c>
      <c r="F535" s="3">
        <v>105000000000</v>
      </c>
      <c r="G535" s="3">
        <v>12600000000</v>
      </c>
      <c r="H535" s="3">
        <v>11400000000</v>
      </c>
      <c r="I535" s="2"/>
      <c r="J535" s="7">
        <f t="shared" si="151"/>
        <v>0.36899999999999999</v>
      </c>
      <c r="K535" s="7">
        <f t="shared" si="152"/>
        <v>27.779999999999998</v>
      </c>
      <c r="L535" s="7">
        <f t="shared" si="153"/>
        <v>116.00000000000001</v>
      </c>
      <c r="M535" s="7">
        <f t="shared" si="154"/>
        <v>197</v>
      </c>
      <c r="O535">
        <f t="shared" si="155"/>
        <v>0.26323857868020306</v>
      </c>
      <c r="P535">
        <f t="shared" si="156"/>
        <v>263.23857868020303</v>
      </c>
      <c r="V535">
        <f t="shared" si="157"/>
        <v>754.92313720157915</v>
      </c>
      <c r="W535">
        <f t="shared" si="158"/>
        <v>130.47685935965504</v>
      </c>
      <c r="AE535">
        <f t="shared" si="159"/>
        <v>0.66807377977187432</v>
      </c>
      <c r="AF535">
        <f t="shared" si="160"/>
        <v>0.64748514833447501</v>
      </c>
      <c r="AG535">
        <f t="shared" si="161"/>
        <v>0.64914942026563716</v>
      </c>
      <c r="AI535">
        <f t="shared" si="162"/>
        <v>0.23013925206359792</v>
      </c>
      <c r="AJ535">
        <f t="shared" si="163"/>
        <v>19.812253733581073</v>
      </c>
      <c r="AL535">
        <f t="shared" si="164"/>
        <v>0.23745718399177321</v>
      </c>
      <c r="AM535">
        <f t="shared" si="165"/>
        <v>21.092259848420746</v>
      </c>
      <c r="AO535">
        <f t="shared" si="166"/>
        <v>0.2368483976109603</v>
      </c>
      <c r="AP535">
        <f t="shared" si="167"/>
        <v>20.984246942481683</v>
      </c>
    </row>
    <row r="536" spans="1:42" x14ac:dyDescent="0.2">
      <c r="A536" s="3">
        <v>530</v>
      </c>
      <c r="B536" s="3">
        <v>3.7E-7</v>
      </c>
      <c r="C536" s="2">
        <v>2.7830000000000001E-2</v>
      </c>
      <c r="D536" s="3">
        <v>174000</v>
      </c>
      <c r="E536" s="3">
        <v>105000000000</v>
      </c>
      <c r="F536" s="3">
        <v>95200000000</v>
      </c>
      <c r="G536" s="3">
        <v>5280000000</v>
      </c>
      <c r="H536" s="3">
        <v>12100000000</v>
      </c>
      <c r="I536" s="2"/>
      <c r="J536" s="7">
        <f t="shared" si="151"/>
        <v>0.37</v>
      </c>
      <c r="K536" s="7">
        <f t="shared" si="152"/>
        <v>27.830000000000002</v>
      </c>
      <c r="L536" s="7">
        <f t="shared" si="153"/>
        <v>105</v>
      </c>
      <c r="M536" s="7">
        <f t="shared" si="154"/>
        <v>174</v>
      </c>
      <c r="O536">
        <f t="shared" si="155"/>
        <v>0.25004310344827585</v>
      </c>
      <c r="P536">
        <f t="shared" si="156"/>
        <v>250.04310344827584</v>
      </c>
      <c r="V536">
        <f t="shared" si="157"/>
        <v>737.91788484837866</v>
      </c>
      <c r="W536">
        <f t="shared" si="158"/>
        <v>117.89929717976148</v>
      </c>
      <c r="AE536">
        <f t="shared" si="159"/>
        <v>0.59007531817414283</v>
      </c>
      <c r="AF536">
        <f t="shared" si="160"/>
        <v>0.57189043558476471</v>
      </c>
      <c r="AG536">
        <f t="shared" si="161"/>
        <v>0.57336040165594349</v>
      </c>
      <c r="AI536">
        <f t="shared" si="162"/>
        <v>0.26126608234301552</v>
      </c>
      <c r="AJ536">
        <f t="shared" si="163"/>
        <v>25.441856691569818</v>
      </c>
      <c r="AL536">
        <f t="shared" si="164"/>
        <v>0.26957378035012847</v>
      </c>
      <c r="AM536">
        <f t="shared" si="165"/>
        <v>27.085573382058513</v>
      </c>
      <c r="AO536">
        <f t="shared" si="166"/>
        <v>0.26888265429808578</v>
      </c>
      <c r="AP536">
        <f t="shared" si="167"/>
        <v>26.946868875711328</v>
      </c>
    </row>
    <row r="537" spans="1:42" x14ac:dyDescent="0.2">
      <c r="A537" s="3">
        <v>540</v>
      </c>
      <c r="B537" s="3">
        <v>3.7E-7</v>
      </c>
      <c r="C537" s="2">
        <v>2.7890000000000002E-2</v>
      </c>
      <c r="D537" s="3">
        <v>196000</v>
      </c>
      <c r="E537" s="3">
        <v>116000000000</v>
      </c>
      <c r="F537" s="3">
        <v>104000000000</v>
      </c>
      <c r="G537" s="3">
        <v>11700000000</v>
      </c>
      <c r="H537" s="3">
        <v>11500000000</v>
      </c>
      <c r="I537" s="2"/>
      <c r="J537" s="7">
        <f t="shared" si="151"/>
        <v>0.37</v>
      </c>
      <c r="K537" s="7">
        <f t="shared" si="152"/>
        <v>27.89</v>
      </c>
      <c r="L537" s="7">
        <f t="shared" si="153"/>
        <v>116.00000000000001</v>
      </c>
      <c r="M537" s="7">
        <f t="shared" si="154"/>
        <v>196</v>
      </c>
      <c r="O537">
        <f t="shared" si="155"/>
        <v>0.26327806122448977</v>
      </c>
      <c r="P537">
        <f t="shared" si="156"/>
        <v>263.27806122448976</v>
      </c>
      <c r="V537">
        <f t="shared" si="157"/>
        <v>754.9732978940425</v>
      </c>
      <c r="W537">
        <f t="shared" si="158"/>
        <v>129.80591535272271</v>
      </c>
      <c r="AE537">
        <f t="shared" si="159"/>
        <v>0.66468254231110346</v>
      </c>
      <c r="AF537">
        <f t="shared" si="160"/>
        <v>0.6441984216931832</v>
      </c>
      <c r="AG537">
        <f t="shared" si="161"/>
        <v>0.64585424554347659</v>
      </c>
      <c r="AI537">
        <f t="shared" si="162"/>
        <v>0.23194029759022802</v>
      </c>
      <c r="AJ537">
        <f t="shared" si="163"/>
        <v>20.094188120857766</v>
      </c>
      <c r="AL537">
        <f t="shared" si="164"/>
        <v>0.23931549888225695</v>
      </c>
      <c r="AM537">
        <f t="shared" si="165"/>
        <v>21.392409111427916</v>
      </c>
      <c r="AO537">
        <f t="shared" si="166"/>
        <v>0.23870194820340271</v>
      </c>
      <c r="AP537">
        <f t="shared" si="167"/>
        <v>21.282859149035634</v>
      </c>
    </row>
    <row r="538" spans="1:42" x14ac:dyDescent="0.2">
      <c r="A538" s="3">
        <v>540</v>
      </c>
      <c r="B538" s="3">
        <v>3.7099999999999997E-7</v>
      </c>
      <c r="C538" s="2">
        <v>2.794E-2</v>
      </c>
      <c r="D538" s="3">
        <v>178000</v>
      </c>
      <c r="E538" s="3">
        <v>107000000000</v>
      </c>
      <c r="F538" s="3">
        <v>96900000000</v>
      </c>
      <c r="G538" s="3">
        <v>5840000000</v>
      </c>
      <c r="H538" s="3">
        <v>12000000000</v>
      </c>
      <c r="I538" s="2"/>
      <c r="J538" s="7">
        <f t="shared" si="151"/>
        <v>0.371</v>
      </c>
      <c r="K538" s="7">
        <f t="shared" si="152"/>
        <v>27.94</v>
      </c>
      <c r="L538" s="7">
        <f t="shared" si="153"/>
        <v>107</v>
      </c>
      <c r="M538" s="7">
        <f t="shared" si="154"/>
        <v>178</v>
      </c>
      <c r="O538">
        <f t="shared" si="155"/>
        <v>0.25327528089887641</v>
      </c>
      <c r="P538">
        <f t="shared" si="156"/>
        <v>253.27528089887642</v>
      </c>
      <c r="V538">
        <f t="shared" si="157"/>
        <v>742.12860025284544</v>
      </c>
      <c r="W538">
        <f t="shared" si="158"/>
        <v>119.92530670516867</v>
      </c>
      <c r="AE538">
        <f t="shared" si="159"/>
        <v>0.60364026801722659</v>
      </c>
      <c r="AF538">
        <f t="shared" si="160"/>
        <v>0.58503734214993164</v>
      </c>
      <c r="AG538">
        <f t="shared" si="161"/>
        <v>0.58654110054458586</v>
      </c>
      <c r="AI538">
        <f t="shared" si="162"/>
        <v>0.25608519100472249</v>
      </c>
      <c r="AJ538">
        <f t="shared" si="163"/>
        <v>24.407342156870719</v>
      </c>
      <c r="AL538">
        <f t="shared" si="164"/>
        <v>0.26422814783969323</v>
      </c>
      <c r="AM538">
        <f t="shared" si="165"/>
        <v>25.984222184145235</v>
      </c>
      <c r="AO538">
        <f t="shared" si="166"/>
        <v>0.26355072677738584</v>
      </c>
      <c r="AP538">
        <f t="shared" si="167"/>
        <v>25.851157668211627</v>
      </c>
    </row>
    <row r="539" spans="1:42" x14ac:dyDescent="0.2">
      <c r="A539" s="3">
        <v>540</v>
      </c>
      <c r="B539" s="3">
        <v>3.72E-7</v>
      </c>
      <c r="C539" s="2">
        <v>2.7990000000000001E-2</v>
      </c>
      <c r="D539" s="3">
        <v>185000</v>
      </c>
      <c r="E539" s="3">
        <v>110000000000</v>
      </c>
      <c r="F539" s="3">
        <v>99700000000</v>
      </c>
      <c r="G539" s="3">
        <v>3690000000</v>
      </c>
      <c r="H539" s="3">
        <v>11800000000</v>
      </c>
      <c r="I539" s="2"/>
      <c r="J539" s="7">
        <f t="shared" si="151"/>
        <v>0.372</v>
      </c>
      <c r="K539" s="7">
        <f t="shared" si="152"/>
        <v>27.990000000000002</v>
      </c>
      <c r="L539" s="7">
        <f t="shared" si="153"/>
        <v>110</v>
      </c>
      <c r="M539" s="7">
        <f t="shared" si="154"/>
        <v>185</v>
      </c>
      <c r="O539">
        <f t="shared" si="155"/>
        <v>0.25852702702702701</v>
      </c>
      <c r="P539">
        <f t="shared" si="156"/>
        <v>258.52702702702703</v>
      </c>
      <c r="V539">
        <f t="shared" si="157"/>
        <v>748.90696713779414</v>
      </c>
      <c r="W539">
        <f t="shared" si="158"/>
        <v>123.51333885104661</v>
      </c>
      <c r="AE539">
        <f t="shared" si="159"/>
        <v>0.62737893024262315</v>
      </c>
      <c r="AF539">
        <f t="shared" si="160"/>
        <v>0.6080444286389739</v>
      </c>
      <c r="AG539">
        <f t="shared" si="161"/>
        <v>0.60960732359971004</v>
      </c>
      <c r="AI539">
        <f t="shared" si="162"/>
        <v>0.24705961983781893</v>
      </c>
      <c r="AJ539">
        <f t="shared" si="163"/>
        <v>22.635679384827224</v>
      </c>
      <c r="AL539">
        <f t="shared" si="164"/>
        <v>0.25491558297301858</v>
      </c>
      <c r="AM539">
        <f t="shared" si="165"/>
        <v>24.09809796757634</v>
      </c>
      <c r="AO539">
        <f t="shared" si="166"/>
        <v>0.25426203721558066</v>
      </c>
      <c r="AP539">
        <f t="shared" si="167"/>
        <v>23.974692243970232</v>
      </c>
    </row>
    <row r="540" spans="1:42" x14ac:dyDescent="0.2">
      <c r="A540" s="3">
        <v>540</v>
      </c>
      <c r="B540" s="3">
        <v>3.72E-7</v>
      </c>
      <c r="C540" s="2">
        <v>2.8039999999999999E-2</v>
      </c>
      <c r="D540" s="3">
        <v>175000</v>
      </c>
      <c r="E540" s="3">
        <v>105000000000</v>
      </c>
      <c r="F540" s="3">
        <v>95600000000</v>
      </c>
      <c r="G540" s="3">
        <v>7350000000</v>
      </c>
      <c r="H540" s="3">
        <v>12100000000</v>
      </c>
      <c r="I540" s="2"/>
      <c r="J540" s="7">
        <f t="shared" si="151"/>
        <v>0.372</v>
      </c>
      <c r="K540" s="7">
        <f t="shared" si="152"/>
        <v>28.04</v>
      </c>
      <c r="L540" s="7">
        <f t="shared" si="153"/>
        <v>105</v>
      </c>
      <c r="M540" s="7">
        <f t="shared" si="154"/>
        <v>175</v>
      </c>
      <c r="O540">
        <f t="shared" si="155"/>
        <v>0.2518285714285714</v>
      </c>
      <c r="P540">
        <f t="shared" si="156"/>
        <v>251.82857142857139</v>
      </c>
      <c r="V540">
        <f t="shared" si="157"/>
        <v>740.24762374501097</v>
      </c>
      <c r="W540">
        <f t="shared" si="158"/>
        <v>118.203689134895</v>
      </c>
      <c r="AE540">
        <f t="shared" si="159"/>
        <v>0.59346655563491379</v>
      </c>
      <c r="AF540">
        <f t="shared" si="160"/>
        <v>0.57517716222605642</v>
      </c>
      <c r="AG540">
        <f t="shared" si="161"/>
        <v>0.57665557637810405</v>
      </c>
      <c r="AI540">
        <f t="shared" si="162"/>
        <v>0.26117731239997999</v>
      </c>
      <c r="AJ540">
        <f t="shared" si="163"/>
        <v>25.341715101816551</v>
      </c>
      <c r="AL540">
        <f t="shared" si="164"/>
        <v>0.26948218771433385</v>
      </c>
      <c r="AM540">
        <f t="shared" si="165"/>
        <v>26.978961965653639</v>
      </c>
      <c r="AO540">
        <f t="shared" si="166"/>
        <v>0.26879129648504246</v>
      </c>
      <c r="AP540">
        <f t="shared" si="167"/>
        <v>26.840803413555768</v>
      </c>
    </row>
    <row r="541" spans="1:42" x14ac:dyDescent="0.2">
      <c r="A541" s="3">
        <v>540</v>
      </c>
      <c r="B541" s="3">
        <v>3.7300000000000002E-7</v>
      </c>
      <c r="C541" s="2">
        <v>2.81E-2</v>
      </c>
      <c r="D541" s="3">
        <v>186000</v>
      </c>
      <c r="E541" s="3">
        <v>110000000000</v>
      </c>
      <c r="F541" s="3">
        <v>99800000000</v>
      </c>
      <c r="G541" s="3">
        <v>3510000000</v>
      </c>
      <c r="H541" s="3">
        <v>11800000000</v>
      </c>
      <c r="I541" s="2"/>
      <c r="J541" s="7">
        <f t="shared" si="151"/>
        <v>0.373</v>
      </c>
      <c r="K541" s="7">
        <f t="shared" si="152"/>
        <v>28.1</v>
      </c>
      <c r="L541" s="7">
        <f t="shared" si="153"/>
        <v>110</v>
      </c>
      <c r="M541" s="7">
        <f t="shared" si="154"/>
        <v>186</v>
      </c>
      <c r="O541">
        <f t="shared" si="155"/>
        <v>0.2596935483870968</v>
      </c>
      <c r="P541">
        <f t="shared" si="156"/>
        <v>259.69354838709677</v>
      </c>
      <c r="V541">
        <f t="shared" si="157"/>
        <v>750.4021459921488</v>
      </c>
      <c r="W541">
        <f t="shared" si="158"/>
        <v>123.93354749410994</v>
      </c>
      <c r="AE541">
        <f t="shared" si="159"/>
        <v>0.63077016770339411</v>
      </c>
      <c r="AF541">
        <f t="shared" si="160"/>
        <v>0.61133115528026571</v>
      </c>
      <c r="AG541">
        <f t="shared" si="161"/>
        <v>0.6129024983218706</v>
      </c>
      <c r="AI541">
        <f t="shared" si="162"/>
        <v>0.24639191043630326</v>
      </c>
      <c r="AJ541">
        <f t="shared" si="163"/>
        <v>22.480942960169841</v>
      </c>
      <c r="AL541">
        <f t="shared" si="164"/>
        <v>0.25422664185242716</v>
      </c>
      <c r="AM541">
        <f t="shared" si="165"/>
        <v>23.933364519237884</v>
      </c>
      <c r="AO541">
        <f t="shared" si="166"/>
        <v>0.25357486238381816</v>
      </c>
      <c r="AP541">
        <f t="shared" si="167"/>
        <v>23.810802391272475</v>
      </c>
    </row>
    <row r="542" spans="1:42" x14ac:dyDescent="0.2">
      <c r="A542" s="3">
        <v>540</v>
      </c>
      <c r="B542" s="3">
        <v>3.7300000000000002E-7</v>
      </c>
      <c r="C542" s="2">
        <v>2.8150000000000001E-2</v>
      </c>
      <c r="D542" s="3">
        <v>188000</v>
      </c>
      <c r="E542" s="3">
        <v>111000000000</v>
      </c>
      <c r="F542" s="3">
        <v>101000000000</v>
      </c>
      <c r="G542" s="2">
        <v>0</v>
      </c>
      <c r="H542" s="3">
        <v>11700000000</v>
      </c>
      <c r="I542" s="2"/>
      <c r="J542" s="7">
        <f t="shared" si="151"/>
        <v>0.373</v>
      </c>
      <c r="K542" s="7">
        <f t="shared" si="152"/>
        <v>28.150000000000002</v>
      </c>
      <c r="L542" s="7">
        <f t="shared" si="153"/>
        <v>111</v>
      </c>
      <c r="M542" s="7">
        <f t="shared" si="154"/>
        <v>188</v>
      </c>
      <c r="O542">
        <f t="shared" si="155"/>
        <v>0.26069946808510636</v>
      </c>
      <c r="P542">
        <f t="shared" si="156"/>
        <v>260.69946808510633</v>
      </c>
      <c r="V542">
        <f t="shared" si="157"/>
        <v>751.68847408472141</v>
      </c>
      <c r="W542">
        <f t="shared" si="158"/>
        <v>125.05180435879005</v>
      </c>
      <c r="AE542">
        <f t="shared" si="159"/>
        <v>0.63755264262493594</v>
      </c>
      <c r="AF542">
        <f t="shared" si="160"/>
        <v>0.61790460856284923</v>
      </c>
      <c r="AG542">
        <f t="shared" si="161"/>
        <v>0.61949284776619185</v>
      </c>
      <c r="AI542">
        <f t="shared" si="162"/>
        <v>0.24377071989974688</v>
      </c>
      <c r="AJ542">
        <f t="shared" si="163"/>
        <v>22.044324374645086</v>
      </c>
      <c r="AL542">
        <f t="shared" si="164"/>
        <v>0.25152210310931628</v>
      </c>
      <c r="AM542">
        <f t="shared" si="165"/>
        <v>23.468537408482245</v>
      </c>
      <c r="AO542">
        <f t="shared" si="166"/>
        <v>0.25087725746484135</v>
      </c>
      <c r="AP542">
        <f t="shared" si="167"/>
        <v>23.348355647881579</v>
      </c>
    </row>
    <row r="543" spans="1:42" x14ac:dyDescent="0.2">
      <c r="A543" s="3">
        <v>540</v>
      </c>
      <c r="B543" s="3">
        <v>3.7399999999999999E-7</v>
      </c>
      <c r="C543" s="2">
        <v>2.8199999999999999E-2</v>
      </c>
      <c r="D543" s="3">
        <v>190000</v>
      </c>
      <c r="E543" s="3">
        <v>112000000000</v>
      </c>
      <c r="F543" s="3">
        <v>101000000000</v>
      </c>
      <c r="G543" s="3">
        <v>7780000000</v>
      </c>
      <c r="H543" s="3">
        <v>11700000000</v>
      </c>
      <c r="I543" s="2"/>
      <c r="J543" s="7">
        <f t="shared" si="151"/>
        <v>0.374</v>
      </c>
      <c r="K543" s="7">
        <f t="shared" si="152"/>
        <v>28.2</v>
      </c>
      <c r="L543" s="7">
        <f t="shared" si="153"/>
        <v>112</v>
      </c>
      <c r="M543" s="7">
        <f t="shared" si="154"/>
        <v>190</v>
      </c>
      <c r="O543">
        <f t="shared" si="155"/>
        <v>0.2626842105263158</v>
      </c>
      <c r="P543">
        <f t="shared" si="156"/>
        <v>262.68421052631578</v>
      </c>
      <c r="V543">
        <f t="shared" si="157"/>
        <v>754.21839591094306</v>
      </c>
      <c r="W543">
        <f t="shared" si="158"/>
        <v>125.95821119592189</v>
      </c>
      <c r="AE543">
        <f t="shared" si="159"/>
        <v>0.64433511754647788</v>
      </c>
      <c r="AF543">
        <f t="shared" si="160"/>
        <v>0.62447806184543275</v>
      </c>
      <c r="AG543">
        <f t="shared" si="161"/>
        <v>0.62608319721051298</v>
      </c>
      <c r="AI543">
        <f t="shared" si="162"/>
        <v>0.2418513737489911</v>
      </c>
      <c r="AJ543">
        <f t="shared" si="163"/>
        <v>21.621011045564419</v>
      </c>
      <c r="AL543">
        <f t="shared" si="164"/>
        <v>0.24954172588997101</v>
      </c>
      <c r="AM543">
        <f t="shared" si="165"/>
        <v>23.017875164078639</v>
      </c>
      <c r="AO543">
        <f t="shared" si="166"/>
        <v>0.24890195748367328</v>
      </c>
      <c r="AP543">
        <f t="shared" si="167"/>
        <v>22.900001232936031</v>
      </c>
    </row>
    <row r="544" spans="1:42" x14ac:dyDescent="0.2">
      <c r="A544" s="3">
        <v>540</v>
      </c>
      <c r="B544" s="3">
        <v>3.7399999999999999E-7</v>
      </c>
      <c r="C544" s="2">
        <v>2.8250000000000001E-2</v>
      </c>
      <c r="D544" s="3">
        <v>215000</v>
      </c>
      <c r="E544" s="3">
        <v>125000000000</v>
      </c>
      <c r="F544" s="3">
        <v>112000000000</v>
      </c>
      <c r="G544" s="3">
        <v>3090000000</v>
      </c>
      <c r="H544" s="3">
        <v>11100000000</v>
      </c>
      <c r="I544" s="2"/>
      <c r="J544" s="7">
        <f t="shared" si="151"/>
        <v>0.374</v>
      </c>
      <c r="K544" s="7">
        <f t="shared" si="152"/>
        <v>28.25</v>
      </c>
      <c r="L544" s="7">
        <f t="shared" si="153"/>
        <v>125.00000000000001</v>
      </c>
      <c r="M544" s="7">
        <f t="shared" si="154"/>
        <v>215</v>
      </c>
      <c r="O544">
        <f t="shared" si="155"/>
        <v>0.27545348837209305</v>
      </c>
      <c r="P544">
        <f t="shared" si="156"/>
        <v>275.45348837209303</v>
      </c>
      <c r="V544">
        <f t="shared" si="157"/>
        <v>770.24639007011888</v>
      </c>
      <c r="W544">
        <f t="shared" si="158"/>
        <v>139.56573037650173</v>
      </c>
      <c r="AE544">
        <f t="shared" si="159"/>
        <v>0.7291160540657512</v>
      </c>
      <c r="AF544">
        <f t="shared" si="160"/>
        <v>0.70664622787772646</v>
      </c>
      <c r="AG544">
        <f t="shared" si="161"/>
        <v>0.70846256526452789</v>
      </c>
      <c r="AI544">
        <f t="shared" si="162"/>
        <v>0.21372912098748054</v>
      </c>
      <c r="AJ544">
        <f t="shared" si="163"/>
        <v>16.915141087989092</v>
      </c>
      <c r="AL544">
        <f t="shared" si="164"/>
        <v>0.22052524613532323</v>
      </c>
      <c r="AM544">
        <f t="shared" si="165"/>
        <v>18.007974054755689</v>
      </c>
      <c r="AO544">
        <f t="shared" si="166"/>
        <v>0.21995986940417639</v>
      </c>
      <c r="AP544">
        <f t="shared" si="167"/>
        <v>17.915755694954132</v>
      </c>
    </row>
    <row r="545" spans="1:42" x14ac:dyDescent="0.2">
      <c r="A545" s="3">
        <v>540</v>
      </c>
      <c r="B545" s="3">
        <v>3.7500000000000001E-7</v>
      </c>
      <c r="C545" s="2">
        <v>2.8299999999999999E-2</v>
      </c>
      <c r="D545" s="3">
        <v>162000</v>
      </c>
      <c r="E545" s="3">
        <v>97800000000</v>
      </c>
      <c r="F545" s="3">
        <v>89600000000</v>
      </c>
      <c r="G545" s="3">
        <v>3020000000</v>
      </c>
      <c r="H545" s="3">
        <v>12600000000</v>
      </c>
      <c r="I545" s="2"/>
      <c r="J545" s="7">
        <f t="shared" si="151"/>
        <v>0.375</v>
      </c>
      <c r="K545" s="7">
        <f t="shared" si="152"/>
        <v>28.299999999999997</v>
      </c>
      <c r="L545" s="7">
        <f t="shared" si="153"/>
        <v>97.800000000000011</v>
      </c>
      <c r="M545" s="7">
        <f t="shared" si="154"/>
        <v>162</v>
      </c>
      <c r="O545">
        <f t="shared" si="155"/>
        <v>0.24398148148148149</v>
      </c>
      <c r="P545">
        <f t="shared" si="156"/>
        <v>243.9814814814815</v>
      </c>
      <c r="V545">
        <f t="shared" si="157"/>
        <v>729.93858604629759</v>
      </c>
      <c r="W545">
        <f t="shared" si="158"/>
        <v>110.96823972374909</v>
      </c>
      <c r="AE545">
        <f t="shared" si="159"/>
        <v>0.54938046864489165</v>
      </c>
      <c r="AF545">
        <f t="shared" si="160"/>
        <v>0.53244971588926371</v>
      </c>
      <c r="AG545">
        <f t="shared" si="161"/>
        <v>0.53381830499001637</v>
      </c>
      <c r="AI545">
        <f t="shared" si="162"/>
        <v>0.28441127582385317</v>
      </c>
      <c r="AJ545">
        <f t="shared" si="163"/>
        <v>29.846299910063845</v>
      </c>
      <c r="AL545">
        <f t="shared" si="164"/>
        <v>0.29345494107183656</v>
      </c>
      <c r="AM545">
        <f t="shared" si="165"/>
        <v>31.774573538291573</v>
      </c>
      <c r="AO545">
        <f t="shared" si="166"/>
        <v>0.2927025891383066</v>
      </c>
      <c r="AP545">
        <f t="shared" si="167"/>
        <v>31.611856785913695</v>
      </c>
    </row>
    <row r="546" spans="1:42" x14ac:dyDescent="0.2">
      <c r="A546" s="3">
        <v>540</v>
      </c>
      <c r="B546" s="3">
        <v>3.7599999999999998E-7</v>
      </c>
      <c r="C546" s="2">
        <v>2.836E-2</v>
      </c>
      <c r="D546" s="3">
        <v>182000</v>
      </c>
      <c r="E546" s="3">
        <v>107000000000</v>
      </c>
      <c r="F546" s="3">
        <v>97700000000</v>
      </c>
      <c r="G546" s="2">
        <v>0</v>
      </c>
      <c r="H546" s="3">
        <v>11900000000</v>
      </c>
      <c r="I546" s="2"/>
      <c r="J546" s="7">
        <f t="shared" si="151"/>
        <v>0.376</v>
      </c>
      <c r="K546" s="7">
        <f t="shared" si="152"/>
        <v>28.36</v>
      </c>
      <c r="L546" s="7">
        <f t="shared" si="153"/>
        <v>107</v>
      </c>
      <c r="M546" s="7">
        <f t="shared" si="154"/>
        <v>182</v>
      </c>
      <c r="O546">
        <f t="shared" si="155"/>
        <v>0.25913186813186817</v>
      </c>
      <c r="P546">
        <f t="shared" si="156"/>
        <v>259.13186813186815</v>
      </c>
      <c r="V546">
        <f t="shared" si="157"/>
        <v>749.682685082332</v>
      </c>
      <c r="W546">
        <f t="shared" si="158"/>
        <v>121.38468956370008</v>
      </c>
      <c r="AE546">
        <f t="shared" si="159"/>
        <v>0.61720521786031035</v>
      </c>
      <c r="AF546">
        <f t="shared" si="160"/>
        <v>0.59818424871509868</v>
      </c>
      <c r="AG546">
        <f t="shared" si="161"/>
        <v>0.59972179943322823</v>
      </c>
      <c r="AI546">
        <f t="shared" si="162"/>
        <v>0.25383237557483584</v>
      </c>
      <c r="AJ546">
        <f t="shared" si="163"/>
        <v>23.697227765264451</v>
      </c>
      <c r="AL546">
        <f t="shared" si="164"/>
        <v>0.26190369773725586</v>
      </c>
      <c r="AM546">
        <f t="shared" si="165"/>
        <v>25.228229581220123</v>
      </c>
      <c r="AO546">
        <f t="shared" si="166"/>
        <v>0.26123223603798584</v>
      </c>
      <c r="AP546">
        <f t="shared" si="167"/>
        <v>25.099036483451158</v>
      </c>
    </row>
    <row r="547" spans="1:42" x14ac:dyDescent="0.2">
      <c r="A547" s="3">
        <v>550</v>
      </c>
      <c r="B547" s="3">
        <v>3.7599999999999998E-7</v>
      </c>
      <c r="C547" s="2">
        <v>2.8410000000000001E-2</v>
      </c>
      <c r="D547" s="3">
        <v>199000</v>
      </c>
      <c r="E547" s="3">
        <v>116000000000</v>
      </c>
      <c r="F547" s="3">
        <v>105000000000</v>
      </c>
      <c r="G547" s="3">
        <v>7670000000</v>
      </c>
      <c r="H547" s="3">
        <v>11400000000</v>
      </c>
      <c r="I547" s="2"/>
      <c r="J547" s="7">
        <f t="shared" si="151"/>
        <v>0.376</v>
      </c>
      <c r="K547" s="7">
        <f t="shared" si="152"/>
        <v>28.41</v>
      </c>
      <c r="L547" s="7">
        <f t="shared" si="153"/>
        <v>116.00000000000001</v>
      </c>
      <c r="M547" s="7">
        <f t="shared" si="154"/>
        <v>199</v>
      </c>
      <c r="O547">
        <f t="shared" si="155"/>
        <v>0.26892713567839199</v>
      </c>
      <c r="P547">
        <f t="shared" si="156"/>
        <v>268.92713567839201</v>
      </c>
      <c r="V547">
        <f t="shared" si="157"/>
        <v>762.10746588582856</v>
      </c>
      <c r="W547">
        <f t="shared" si="158"/>
        <v>130.55901490788716</v>
      </c>
      <c r="AE547">
        <f t="shared" si="159"/>
        <v>0.67485625469341626</v>
      </c>
      <c r="AF547">
        <f t="shared" si="160"/>
        <v>0.65405860161705842</v>
      </c>
      <c r="AG547">
        <f t="shared" si="161"/>
        <v>0.65573976970995829</v>
      </c>
      <c r="AI547">
        <f t="shared" si="162"/>
        <v>0.2321482027870358</v>
      </c>
      <c r="AJ547">
        <f t="shared" si="163"/>
        <v>19.856338742558012</v>
      </c>
      <c r="AL547">
        <f t="shared" si="164"/>
        <v>0.23953001501598273</v>
      </c>
      <c r="AM547">
        <f t="shared" si="165"/>
        <v>21.139193048311359</v>
      </c>
      <c r="AO547">
        <f t="shared" si="166"/>
        <v>0.23891591436639911</v>
      </c>
      <c r="AP547">
        <f t="shared" si="167"/>
        <v>21.030939798694487</v>
      </c>
    </row>
    <row r="548" spans="1:42" x14ac:dyDescent="0.2">
      <c r="A548" s="3">
        <v>550</v>
      </c>
      <c r="B548" s="3">
        <v>3.77E-7</v>
      </c>
      <c r="C548" s="2">
        <v>2.8459999999999999E-2</v>
      </c>
      <c r="D548" s="3">
        <v>190000</v>
      </c>
      <c r="E548" s="3">
        <v>112000000000</v>
      </c>
      <c r="F548" s="3">
        <v>101000000000</v>
      </c>
      <c r="G548" s="3">
        <v>12100000000</v>
      </c>
      <c r="H548" s="3">
        <v>11600000000</v>
      </c>
      <c r="I548" s="2"/>
      <c r="J548" s="7">
        <f t="shared" si="151"/>
        <v>0.377</v>
      </c>
      <c r="K548" s="7">
        <f t="shared" si="152"/>
        <v>28.46</v>
      </c>
      <c r="L548" s="7">
        <f t="shared" si="153"/>
        <v>112</v>
      </c>
      <c r="M548" s="7">
        <f t="shared" si="154"/>
        <v>190</v>
      </c>
      <c r="O548">
        <f t="shared" si="155"/>
        <v>0.26465789473684209</v>
      </c>
      <c r="P548">
        <f t="shared" si="156"/>
        <v>264.65789473684208</v>
      </c>
      <c r="V548">
        <f t="shared" si="157"/>
        <v>756.72368586988068</v>
      </c>
      <c r="W548">
        <f t="shared" si="158"/>
        <v>125.54120053846884</v>
      </c>
      <c r="AE548">
        <f t="shared" si="159"/>
        <v>0.64433511754647788</v>
      </c>
      <c r="AF548">
        <f t="shared" si="160"/>
        <v>0.62447806184543275</v>
      </c>
      <c r="AG548">
        <f t="shared" si="161"/>
        <v>0.62608319721051298</v>
      </c>
      <c r="AI548">
        <f t="shared" si="162"/>
        <v>0.24379135803040011</v>
      </c>
      <c r="AJ548">
        <f t="shared" si="163"/>
        <v>21.820353700594449</v>
      </c>
      <c r="AL548">
        <f t="shared" si="164"/>
        <v>0.2515433974880189</v>
      </c>
      <c r="AM548">
        <f t="shared" si="165"/>
        <v>23.230096708144615</v>
      </c>
      <c r="AO548">
        <f t="shared" si="166"/>
        <v>0.25089849724958507</v>
      </c>
      <c r="AP548">
        <f t="shared" si="167"/>
        <v>23.111135996076577</v>
      </c>
    </row>
    <row r="549" spans="1:42" x14ac:dyDescent="0.2">
      <c r="A549" s="3">
        <v>550</v>
      </c>
      <c r="B549" s="3">
        <v>3.7800000000000002E-7</v>
      </c>
      <c r="C549" s="2">
        <v>2.8510000000000001E-2</v>
      </c>
      <c r="D549" s="3">
        <v>183000</v>
      </c>
      <c r="E549" s="3">
        <v>108000000000</v>
      </c>
      <c r="F549" s="3">
        <v>97800000000</v>
      </c>
      <c r="G549" s="2">
        <v>0</v>
      </c>
      <c r="H549" s="3">
        <v>11900000000</v>
      </c>
      <c r="I549" s="2"/>
      <c r="J549" s="7">
        <f t="shared" si="151"/>
        <v>0.378</v>
      </c>
      <c r="K549" s="7">
        <f t="shared" si="152"/>
        <v>28.51</v>
      </c>
      <c r="L549" s="7">
        <f t="shared" si="153"/>
        <v>108</v>
      </c>
      <c r="M549" s="7">
        <f t="shared" si="154"/>
        <v>183</v>
      </c>
      <c r="O549">
        <f t="shared" si="155"/>
        <v>0.26115573770491801</v>
      </c>
      <c r="P549">
        <f t="shared" si="156"/>
        <v>261.15573770491801</v>
      </c>
      <c r="V549">
        <f t="shared" si="157"/>
        <v>752.27102125132103</v>
      </c>
      <c r="W549">
        <f t="shared" si="158"/>
        <v>121.63169577873636</v>
      </c>
      <c r="AE549">
        <f t="shared" si="159"/>
        <v>0.62059645532108132</v>
      </c>
      <c r="AF549">
        <f t="shared" si="160"/>
        <v>0.60147097535639049</v>
      </c>
      <c r="AG549">
        <f t="shared" si="161"/>
        <v>0.6030169741553888</v>
      </c>
      <c r="AI549">
        <f t="shared" si="162"/>
        <v>0.25378810763350779</v>
      </c>
      <c r="AJ549">
        <f t="shared" si="163"/>
        <v>23.562921157361515</v>
      </c>
      <c r="AL549">
        <f t="shared" si="164"/>
        <v>0.26185802217085591</v>
      </c>
      <c r="AM549">
        <f t="shared" si="165"/>
        <v>25.085245854515307</v>
      </c>
      <c r="AO549">
        <f t="shared" si="166"/>
        <v>0.2611866775733821</v>
      </c>
      <c r="AP549">
        <f t="shared" si="167"/>
        <v>24.956784972636655</v>
      </c>
    </row>
    <row r="550" spans="1:42" x14ac:dyDescent="0.2">
      <c r="A550" s="3">
        <v>550</v>
      </c>
      <c r="B550" s="3">
        <v>3.7899999999999999E-7</v>
      </c>
      <c r="C550" s="2">
        <v>2.8559999999999999E-2</v>
      </c>
      <c r="D550" s="3">
        <v>188000</v>
      </c>
      <c r="E550" s="3">
        <v>110000000000</v>
      </c>
      <c r="F550" s="3">
        <v>99900000000</v>
      </c>
      <c r="G550" s="2">
        <v>0</v>
      </c>
      <c r="H550" s="3">
        <v>11700000000</v>
      </c>
      <c r="I550" s="2"/>
      <c r="J550" s="7">
        <f t="shared" si="151"/>
        <v>0.379</v>
      </c>
      <c r="K550" s="7">
        <f t="shared" si="152"/>
        <v>28.56</v>
      </c>
      <c r="L550" s="7">
        <f t="shared" si="153"/>
        <v>110</v>
      </c>
      <c r="M550" s="7">
        <f t="shared" si="154"/>
        <v>188</v>
      </c>
      <c r="O550">
        <f t="shared" si="155"/>
        <v>0.26506382978723408</v>
      </c>
      <c r="P550">
        <f t="shared" si="156"/>
        <v>265.06382978723411</v>
      </c>
      <c r="V550">
        <f t="shared" si="157"/>
        <v>757.23766674298497</v>
      </c>
      <c r="W550">
        <f t="shared" si="158"/>
        <v>124.13539913341984</v>
      </c>
      <c r="AE550">
        <f t="shared" si="159"/>
        <v>0.63755264262493594</v>
      </c>
      <c r="AF550">
        <f t="shared" si="160"/>
        <v>0.61790460856284923</v>
      </c>
      <c r="AG550">
        <f t="shared" si="161"/>
        <v>0.61949284776619185</v>
      </c>
      <c r="AI550">
        <f t="shared" si="162"/>
        <v>0.2476919647238715</v>
      </c>
      <c r="AJ550">
        <f t="shared" si="163"/>
        <v>22.365396239426769</v>
      </c>
      <c r="AL550">
        <f t="shared" si="164"/>
        <v>0.25556803506281733</v>
      </c>
      <c r="AM550">
        <f t="shared" si="165"/>
        <v>23.810352695781631</v>
      </c>
      <c r="AO550">
        <f t="shared" si="166"/>
        <v>0.2549128165661525</v>
      </c>
      <c r="AP550">
        <f t="shared" si="167"/>
        <v>23.688420508117151</v>
      </c>
    </row>
    <row r="551" spans="1:42" x14ac:dyDescent="0.2">
      <c r="A551" s="3">
        <v>550</v>
      </c>
      <c r="B551" s="3">
        <v>3.8000000000000001E-7</v>
      </c>
      <c r="C551" s="2">
        <v>2.861E-2</v>
      </c>
      <c r="D551" s="3">
        <v>184000</v>
      </c>
      <c r="E551" s="3">
        <v>108000000000</v>
      </c>
      <c r="F551" s="3">
        <v>98100000000</v>
      </c>
      <c r="G551" s="3">
        <v>3420000000</v>
      </c>
      <c r="H551" s="3">
        <v>11800000000</v>
      </c>
      <c r="I551" s="2"/>
      <c r="J551" s="7">
        <f t="shared" si="151"/>
        <v>0.38</v>
      </c>
      <c r="K551" s="7">
        <f t="shared" si="152"/>
        <v>28.61</v>
      </c>
      <c r="L551" s="7">
        <f t="shared" si="153"/>
        <v>108</v>
      </c>
      <c r="M551" s="7">
        <f t="shared" si="154"/>
        <v>184</v>
      </c>
      <c r="O551">
        <f t="shared" si="155"/>
        <v>0.26338315217391306</v>
      </c>
      <c r="P551">
        <f t="shared" si="156"/>
        <v>263.38315217391306</v>
      </c>
      <c r="V551">
        <f t="shared" si="157"/>
        <v>755.10679052690352</v>
      </c>
      <c r="W551">
        <f t="shared" si="158"/>
        <v>121.83707146349937</v>
      </c>
      <c r="AE551">
        <f t="shared" si="159"/>
        <v>0.62398769278185218</v>
      </c>
      <c r="AF551">
        <f t="shared" si="160"/>
        <v>0.6047577019976822</v>
      </c>
      <c r="AG551">
        <f t="shared" si="161"/>
        <v>0.60631214887754936</v>
      </c>
      <c r="AI551">
        <f t="shared" si="162"/>
        <v>0.25374432086545512</v>
      </c>
      <c r="AJ551">
        <f t="shared" si="163"/>
        <v>23.389250435187847</v>
      </c>
      <c r="AL551">
        <f t="shared" si="164"/>
        <v>0.26181284307800379</v>
      </c>
      <c r="AM551">
        <f t="shared" si="165"/>
        <v>24.900354824478633</v>
      </c>
      <c r="AO551">
        <f t="shared" si="166"/>
        <v>0.26114161430948057</v>
      </c>
      <c r="AP551">
        <f t="shared" si="167"/>
        <v>24.772840764684464</v>
      </c>
    </row>
    <row r="552" spans="1:42" x14ac:dyDescent="0.2">
      <c r="A552" s="3">
        <v>550</v>
      </c>
      <c r="B552" s="3">
        <v>3.8000000000000001E-7</v>
      </c>
      <c r="C552" s="2">
        <v>2.8670000000000001E-2</v>
      </c>
      <c r="D552" s="3">
        <v>207000</v>
      </c>
      <c r="E552" s="3">
        <v>120000000000</v>
      </c>
      <c r="F552" s="3">
        <v>108000000000</v>
      </c>
      <c r="G552" s="3">
        <v>3900000000</v>
      </c>
      <c r="H552" s="3">
        <v>11200000000</v>
      </c>
      <c r="I552" s="2"/>
      <c r="J552" s="7">
        <f t="shared" si="151"/>
        <v>0.38</v>
      </c>
      <c r="K552" s="7">
        <f t="shared" si="152"/>
        <v>28.67</v>
      </c>
      <c r="L552" s="7">
        <f t="shared" si="153"/>
        <v>120.00000000000001</v>
      </c>
      <c r="M552" s="7">
        <f t="shared" si="154"/>
        <v>207</v>
      </c>
      <c r="O552">
        <f t="shared" si="155"/>
        <v>0.27612318840579708</v>
      </c>
      <c r="P552">
        <f t="shared" si="156"/>
        <v>276.12318840579707</v>
      </c>
      <c r="V552">
        <f t="shared" si="157"/>
        <v>771.07546019589381</v>
      </c>
      <c r="W552">
        <f t="shared" si="158"/>
        <v>134.22810780893681</v>
      </c>
      <c r="AE552">
        <f t="shared" si="159"/>
        <v>0.70198615437958378</v>
      </c>
      <c r="AF552">
        <f t="shared" si="160"/>
        <v>0.6803524147473925</v>
      </c>
      <c r="AG552">
        <f t="shared" si="161"/>
        <v>0.68210116748724314</v>
      </c>
      <c r="AI552">
        <f t="shared" si="162"/>
        <v>0.22555050743596008</v>
      </c>
      <c r="AJ552">
        <f t="shared" si="163"/>
        <v>18.519151914645001</v>
      </c>
      <c r="AL552">
        <f t="shared" si="164"/>
        <v>0.23272252718044781</v>
      </c>
      <c r="AM552">
        <f t="shared" si="165"/>
        <v>19.715614871921389</v>
      </c>
      <c r="AO552">
        <f t="shared" si="166"/>
        <v>0.23212587938620488</v>
      </c>
      <c r="AP552">
        <f t="shared" si="167"/>
        <v>19.614651728569488</v>
      </c>
    </row>
    <row r="553" spans="1:42" x14ac:dyDescent="0.2">
      <c r="A553" s="3">
        <v>550</v>
      </c>
      <c r="B553" s="3">
        <v>3.8099999999999998E-7</v>
      </c>
      <c r="C553" s="2">
        <v>2.8719999999999999E-2</v>
      </c>
      <c r="D553" s="3">
        <v>183000</v>
      </c>
      <c r="E553" s="3">
        <v>107000000000</v>
      </c>
      <c r="F553" s="3">
        <v>97400000000</v>
      </c>
      <c r="G553" s="3">
        <v>18900000000</v>
      </c>
      <c r="H553" s="3">
        <v>11900000000</v>
      </c>
      <c r="I553" s="2"/>
      <c r="J553" s="7">
        <f t="shared" si="151"/>
        <v>0.38100000000000001</v>
      </c>
      <c r="K553" s="7">
        <f t="shared" si="152"/>
        <v>28.72</v>
      </c>
      <c r="L553" s="7">
        <f t="shared" si="153"/>
        <v>107</v>
      </c>
      <c r="M553" s="7">
        <f t="shared" si="154"/>
        <v>183</v>
      </c>
      <c r="O553">
        <f t="shared" si="155"/>
        <v>0.26329508196721313</v>
      </c>
      <c r="P553">
        <f t="shared" si="156"/>
        <v>263.29508196721315</v>
      </c>
      <c r="V553">
        <f t="shared" si="157"/>
        <v>754.99492064476135</v>
      </c>
      <c r="W553">
        <f t="shared" si="158"/>
        <v>121.19286832004052</v>
      </c>
      <c r="AE553">
        <f t="shared" si="159"/>
        <v>0.62059645532108132</v>
      </c>
      <c r="AF553">
        <f t="shared" si="160"/>
        <v>0.60147097535639049</v>
      </c>
      <c r="AG553">
        <f t="shared" si="161"/>
        <v>0.6030169741553888</v>
      </c>
      <c r="AI553">
        <f t="shared" si="162"/>
        <v>0.25580229896393247</v>
      </c>
      <c r="AJ553">
        <f t="shared" si="163"/>
        <v>23.736481783213701</v>
      </c>
      <c r="AL553">
        <f t="shared" si="164"/>
        <v>0.26393626044205315</v>
      </c>
      <c r="AM553">
        <f t="shared" si="165"/>
        <v>25.270019675260595</v>
      </c>
      <c r="AO553">
        <f t="shared" si="166"/>
        <v>0.26325958771285335</v>
      </c>
      <c r="AP553">
        <f t="shared" si="167"/>
        <v>25.140612571523135</v>
      </c>
    </row>
    <row r="554" spans="1:42" x14ac:dyDescent="0.2">
      <c r="A554" s="3">
        <v>550</v>
      </c>
      <c r="B554" s="3">
        <v>3.8200000000000001E-7</v>
      </c>
      <c r="C554" s="2">
        <v>2.877E-2</v>
      </c>
      <c r="D554" s="3">
        <v>185000</v>
      </c>
      <c r="E554" s="3">
        <v>108000000000</v>
      </c>
      <c r="F554" s="3">
        <v>98200000000</v>
      </c>
      <c r="G554" s="2">
        <v>0</v>
      </c>
      <c r="H554" s="3">
        <v>11800000000</v>
      </c>
      <c r="I554" s="2"/>
      <c r="J554" s="7">
        <f t="shared" si="151"/>
        <v>0.38200000000000001</v>
      </c>
      <c r="K554" s="7">
        <f t="shared" si="152"/>
        <v>28.77</v>
      </c>
      <c r="L554" s="7">
        <f t="shared" si="153"/>
        <v>108</v>
      </c>
      <c r="M554" s="7">
        <f t="shared" si="154"/>
        <v>185</v>
      </c>
      <c r="O554">
        <f t="shared" si="155"/>
        <v>0.26536486486486488</v>
      </c>
      <c r="P554">
        <f t="shared" si="156"/>
        <v>265.3648648648649</v>
      </c>
      <c r="V554">
        <f t="shared" si="157"/>
        <v>757.61854385540266</v>
      </c>
      <c r="W554">
        <f t="shared" si="158"/>
        <v>122.09310443918378</v>
      </c>
      <c r="AE554">
        <f t="shared" si="159"/>
        <v>0.62737893024262315</v>
      </c>
      <c r="AF554">
        <f t="shared" si="160"/>
        <v>0.6080444286389739</v>
      </c>
      <c r="AG554">
        <f t="shared" si="161"/>
        <v>0.60960732359971004</v>
      </c>
      <c r="AI554">
        <f t="shared" si="162"/>
        <v>0.25370100746786783</v>
      </c>
      <c r="AJ554">
        <f t="shared" si="163"/>
        <v>23.266470021489074</v>
      </c>
      <c r="AL554">
        <f t="shared" si="164"/>
        <v>0.26176815240777712</v>
      </c>
      <c r="AM554">
        <f t="shared" si="165"/>
        <v>24.769641962385538</v>
      </c>
      <c r="AO554">
        <f t="shared" si="166"/>
        <v>0.2610970382159995</v>
      </c>
      <c r="AP554">
        <f t="shared" si="167"/>
        <v>24.642797279707878</v>
      </c>
    </row>
    <row r="555" spans="1:42" x14ac:dyDescent="0.2">
      <c r="A555" s="3">
        <v>550</v>
      </c>
      <c r="B555" s="3">
        <v>3.8200000000000001E-7</v>
      </c>
      <c r="C555" s="2">
        <v>2.8830000000000001E-2</v>
      </c>
      <c r="D555" s="3">
        <v>174000</v>
      </c>
      <c r="E555" s="3">
        <v>103000000000</v>
      </c>
      <c r="F555" s="3">
        <v>93900000000</v>
      </c>
      <c r="G555" s="3">
        <v>4800000000</v>
      </c>
      <c r="H555" s="3">
        <v>12100000000</v>
      </c>
      <c r="I555" s="2"/>
      <c r="J555" s="7">
        <f t="shared" si="151"/>
        <v>0.38200000000000001</v>
      </c>
      <c r="K555" s="7">
        <f t="shared" si="152"/>
        <v>28.830000000000002</v>
      </c>
      <c r="L555" s="7">
        <f t="shared" si="153"/>
        <v>103</v>
      </c>
      <c r="M555" s="7">
        <f t="shared" si="154"/>
        <v>174</v>
      </c>
      <c r="O555">
        <f t="shared" si="155"/>
        <v>0.25773275862068967</v>
      </c>
      <c r="P555">
        <f t="shared" si="156"/>
        <v>257.73275862068965</v>
      </c>
      <c r="V555">
        <f t="shared" si="157"/>
        <v>747.88676892975354</v>
      </c>
      <c r="W555">
        <f t="shared" si="158"/>
        <v>116.32776994370334</v>
      </c>
      <c r="AE555">
        <f t="shared" si="159"/>
        <v>0.59007531817414283</v>
      </c>
      <c r="AF555">
        <f t="shared" si="160"/>
        <v>0.57189043558476471</v>
      </c>
      <c r="AG555">
        <f t="shared" si="161"/>
        <v>0.57336040165594349</v>
      </c>
      <c r="AI555">
        <f t="shared" si="162"/>
        <v>0.26973957690549172</v>
      </c>
      <c r="AJ555">
        <f t="shared" si="163"/>
        <v>26.356044858712107</v>
      </c>
      <c r="AL555">
        <f t="shared" si="164"/>
        <v>0.27831671376688943</v>
      </c>
      <c r="AM555">
        <f t="shared" si="165"/>
        <v>28.05882431206421</v>
      </c>
      <c r="AO555">
        <f t="shared" si="166"/>
        <v>0.27760317281586155</v>
      </c>
      <c r="AP555">
        <f t="shared" si="167"/>
        <v>27.915135813394091</v>
      </c>
    </row>
    <row r="556" spans="1:42" x14ac:dyDescent="0.2">
      <c r="A556" s="3">
        <v>550</v>
      </c>
      <c r="B556" s="3">
        <v>3.8299999999999998E-7</v>
      </c>
      <c r="C556" s="2">
        <v>2.8879999999999999E-2</v>
      </c>
      <c r="D556" s="3">
        <v>192000</v>
      </c>
      <c r="E556" s="3">
        <v>111000000000</v>
      </c>
      <c r="F556" s="3">
        <v>101000000000</v>
      </c>
      <c r="G556" s="3">
        <v>8220000000</v>
      </c>
      <c r="H556" s="3">
        <v>11600000000</v>
      </c>
      <c r="I556" s="2"/>
      <c r="J556" s="7">
        <f t="shared" si="151"/>
        <v>0.38299999999999995</v>
      </c>
      <c r="K556" s="7">
        <f t="shared" si="152"/>
        <v>28.88</v>
      </c>
      <c r="L556" s="7">
        <f t="shared" si="153"/>
        <v>111</v>
      </c>
      <c r="M556" s="7">
        <f t="shared" si="154"/>
        <v>192</v>
      </c>
      <c r="O556">
        <f t="shared" si="155"/>
        <v>0.27018749999999991</v>
      </c>
      <c r="P556">
        <f t="shared" si="156"/>
        <v>270.18749999999989</v>
      </c>
      <c r="V556">
        <f t="shared" si="157"/>
        <v>763.6877500792591</v>
      </c>
      <c r="W556">
        <f t="shared" si="158"/>
        <v>125.70582674664699</v>
      </c>
      <c r="AE556">
        <f t="shared" si="159"/>
        <v>0.6511175924680197</v>
      </c>
      <c r="AF556">
        <f t="shared" si="160"/>
        <v>0.63105151512801616</v>
      </c>
      <c r="AG556">
        <f t="shared" si="161"/>
        <v>0.63267354665483422</v>
      </c>
      <c r="AI556">
        <f t="shared" si="162"/>
        <v>0.24509141694120545</v>
      </c>
      <c r="AJ556">
        <f t="shared" si="163"/>
        <v>21.683472010356653</v>
      </c>
      <c r="AL556">
        <f t="shared" si="164"/>
        <v>0.25288479546865517</v>
      </c>
      <c r="AM556">
        <f t="shared" si="165"/>
        <v>23.08437153130151</v>
      </c>
      <c r="AO556">
        <f t="shared" si="166"/>
        <v>0.25223645618993568</v>
      </c>
      <c r="AP556">
        <f t="shared" si="167"/>
        <v>22.966157074017563</v>
      </c>
    </row>
    <row r="557" spans="1:42" x14ac:dyDescent="0.2">
      <c r="A557" s="3">
        <v>560</v>
      </c>
      <c r="B557" s="3">
        <v>3.84E-7</v>
      </c>
      <c r="C557" s="2">
        <v>2.8930000000000001E-2</v>
      </c>
      <c r="D557" s="3">
        <v>189000</v>
      </c>
      <c r="E557" s="3">
        <v>110000000000</v>
      </c>
      <c r="F557" s="3">
        <v>99800000000</v>
      </c>
      <c r="G557" s="3">
        <v>4080000000</v>
      </c>
      <c r="H557" s="3">
        <v>11700000000</v>
      </c>
      <c r="I557" s="2"/>
      <c r="J557" s="7">
        <f t="shared" si="151"/>
        <v>0.38400000000000001</v>
      </c>
      <c r="K557" s="7">
        <f t="shared" si="152"/>
        <v>28.93</v>
      </c>
      <c r="L557" s="7">
        <f t="shared" si="153"/>
        <v>110</v>
      </c>
      <c r="M557" s="7">
        <f t="shared" si="154"/>
        <v>189</v>
      </c>
      <c r="O557">
        <f t="shared" si="155"/>
        <v>0.26919841269841271</v>
      </c>
      <c r="P557">
        <f t="shared" si="156"/>
        <v>269.19841269841271</v>
      </c>
      <c r="V557">
        <f t="shared" si="157"/>
        <v>762.4479493084533</v>
      </c>
      <c r="W557">
        <f t="shared" si="158"/>
        <v>123.94288696784128</v>
      </c>
      <c r="AE557">
        <f t="shared" si="159"/>
        <v>0.64094388008570691</v>
      </c>
      <c r="AF557">
        <f t="shared" si="160"/>
        <v>0.62119133520414094</v>
      </c>
      <c r="AG557">
        <f t="shared" si="161"/>
        <v>0.62278802248835241</v>
      </c>
      <c r="AI557">
        <f t="shared" si="162"/>
        <v>0.249631839808822</v>
      </c>
      <c r="AJ557">
        <f t="shared" si="163"/>
        <v>22.416041270882886</v>
      </c>
      <c r="AL557">
        <f t="shared" si="164"/>
        <v>0.25756959399219487</v>
      </c>
      <c r="AM557">
        <f t="shared" si="165"/>
        <v>23.864269740145613</v>
      </c>
      <c r="AO557">
        <f t="shared" si="166"/>
        <v>0.25690924395225084</v>
      </c>
      <c r="AP557">
        <f t="shared" si="167"/>
        <v>23.742061444720125</v>
      </c>
    </row>
    <row r="558" spans="1:42" x14ac:dyDescent="0.2">
      <c r="A558" s="3">
        <v>560</v>
      </c>
      <c r="B558" s="3">
        <v>3.84E-7</v>
      </c>
      <c r="C558" s="2">
        <v>2.8979999999999999E-2</v>
      </c>
      <c r="D558" s="3">
        <v>173000</v>
      </c>
      <c r="E558" s="3">
        <v>102000000000</v>
      </c>
      <c r="F558" s="3">
        <v>93100000000</v>
      </c>
      <c r="G558" s="3">
        <v>7370000000</v>
      </c>
      <c r="H558" s="3">
        <v>12200000000</v>
      </c>
      <c r="I558" s="2"/>
      <c r="J558" s="7">
        <f t="shared" si="151"/>
        <v>0.38400000000000001</v>
      </c>
      <c r="K558" s="7">
        <f t="shared" si="152"/>
        <v>28.98</v>
      </c>
      <c r="L558" s="7">
        <f t="shared" si="153"/>
        <v>102</v>
      </c>
      <c r="M558" s="7">
        <f t="shared" si="154"/>
        <v>173</v>
      </c>
      <c r="O558">
        <f t="shared" si="155"/>
        <v>0.258364161849711</v>
      </c>
      <c r="P558">
        <f t="shared" si="156"/>
        <v>258.36416184971102</v>
      </c>
      <c r="V558">
        <f t="shared" si="157"/>
        <v>748.69791736516049</v>
      </c>
      <c r="W558">
        <f t="shared" si="158"/>
        <v>115.5339129356915</v>
      </c>
      <c r="AE558">
        <f t="shared" si="159"/>
        <v>0.58668408071337186</v>
      </c>
      <c r="AF558">
        <f t="shared" si="160"/>
        <v>0.5686037089434729</v>
      </c>
      <c r="AG558">
        <f t="shared" si="161"/>
        <v>0.57006522693378292</v>
      </c>
      <c r="AI558">
        <f t="shared" si="162"/>
        <v>0.27271917759460906</v>
      </c>
      <c r="AJ558">
        <f t="shared" si="163"/>
        <v>26.800337742144002</v>
      </c>
      <c r="AL558">
        <f t="shared" si="164"/>
        <v>0.28139105933251352</v>
      </c>
      <c r="AM558">
        <f t="shared" si="165"/>
        <v>28.531821532479672</v>
      </c>
      <c r="AO558">
        <f t="shared" si="166"/>
        <v>0.28066963645650522</v>
      </c>
      <c r="AP558">
        <f t="shared" si="167"/>
        <v>28.385710827528875</v>
      </c>
    </row>
    <row r="559" spans="1:42" x14ac:dyDescent="0.2">
      <c r="A559" s="3">
        <v>560</v>
      </c>
      <c r="B559" s="3">
        <v>3.8500000000000002E-7</v>
      </c>
      <c r="C559" s="2">
        <v>2.903E-2</v>
      </c>
      <c r="D559" s="3">
        <v>199000</v>
      </c>
      <c r="E559" s="3">
        <v>115000000000</v>
      </c>
      <c r="F559" s="3">
        <v>104000000000</v>
      </c>
      <c r="G559" s="3">
        <v>5700000000</v>
      </c>
      <c r="H559" s="3">
        <v>11400000000</v>
      </c>
      <c r="I559" s="2"/>
      <c r="J559" s="7">
        <f t="shared" si="151"/>
        <v>0.38500000000000001</v>
      </c>
      <c r="K559" s="7">
        <f t="shared" si="152"/>
        <v>29.03</v>
      </c>
      <c r="L559" s="7">
        <f t="shared" si="153"/>
        <v>115.00000000000001</v>
      </c>
      <c r="M559" s="7">
        <f t="shared" si="154"/>
        <v>199</v>
      </c>
      <c r="O559">
        <f t="shared" si="155"/>
        <v>0.27559045226130652</v>
      </c>
      <c r="P559">
        <f t="shared" si="156"/>
        <v>275.5904522613065</v>
      </c>
      <c r="V559">
        <f t="shared" si="157"/>
        <v>770.41603882647144</v>
      </c>
      <c r="W559">
        <f t="shared" si="158"/>
        <v>129.15099762404009</v>
      </c>
      <c r="AE559">
        <f t="shared" si="159"/>
        <v>0.67485625469341626</v>
      </c>
      <c r="AF559">
        <f t="shared" si="160"/>
        <v>0.65405860161705842</v>
      </c>
      <c r="AG559">
        <f t="shared" si="161"/>
        <v>0.65573976970995829</v>
      </c>
      <c r="AI559">
        <f t="shared" si="162"/>
        <v>0.23770494168353398</v>
      </c>
      <c r="AJ559">
        <f t="shared" si="163"/>
        <v>20.289669612687753</v>
      </c>
      <c r="AL559">
        <f t="shared" si="164"/>
        <v>0.24526344622647167</v>
      </c>
      <c r="AM559">
        <f t="shared" si="165"/>
        <v>21.600520034934135</v>
      </c>
      <c r="AO559">
        <f t="shared" si="166"/>
        <v>0.24463464635921187</v>
      </c>
      <c r="AP559">
        <f t="shared" si="167"/>
        <v>21.48990434199581</v>
      </c>
    </row>
    <row r="560" spans="1:42" x14ac:dyDescent="0.2">
      <c r="A560" s="3">
        <v>560</v>
      </c>
      <c r="B560" s="3">
        <v>3.8500000000000002E-7</v>
      </c>
      <c r="C560" s="2">
        <v>2.9090000000000001E-2</v>
      </c>
      <c r="D560" s="3">
        <v>183000</v>
      </c>
      <c r="E560" s="3">
        <v>107000000000</v>
      </c>
      <c r="F560" s="3">
        <v>97000000000</v>
      </c>
      <c r="G560" s="3">
        <v>3310000000</v>
      </c>
      <c r="H560" s="3">
        <v>11900000000</v>
      </c>
      <c r="I560" s="2"/>
      <c r="J560" s="7">
        <f t="shared" si="151"/>
        <v>0.38500000000000001</v>
      </c>
      <c r="K560" s="7">
        <f t="shared" si="152"/>
        <v>29.09</v>
      </c>
      <c r="L560" s="7">
        <f t="shared" si="153"/>
        <v>107</v>
      </c>
      <c r="M560" s="7">
        <f t="shared" si="154"/>
        <v>183</v>
      </c>
      <c r="O560">
        <f t="shared" si="155"/>
        <v>0.26577868852459019</v>
      </c>
      <c r="P560">
        <f t="shared" si="156"/>
        <v>265.77868852459017</v>
      </c>
      <c r="V560">
        <f t="shared" si="157"/>
        <v>758.14173131625023</v>
      </c>
      <c r="W560">
        <f t="shared" si="158"/>
        <v>120.68983439434469</v>
      </c>
      <c r="AE560">
        <f t="shared" si="159"/>
        <v>0.62059645532108132</v>
      </c>
      <c r="AF560">
        <f t="shared" si="160"/>
        <v>0.60147097535639049</v>
      </c>
      <c r="AG560">
        <f t="shared" si="161"/>
        <v>0.6030169741553888</v>
      </c>
      <c r="AI560">
        <f t="shared" si="162"/>
        <v>0.25848788740449868</v>
      </c>
      <c r="AJ560">
        <f t="shared" si="163"/>
        <v>24.042279076381845</v>
      </c>
      <c r="AL560">
        <f t="shared" si="164"/>
        <v>0.26670724480364949</v>
      </c>
      <c r="AM560">
        <f t="shared" si="165"/>
        <v>25.595573549907058</v>
      </c>
      <c r="AO560">
        <f t="shared" si="166"/>
        <v>0.26602346789881509</v>
      </c>
      <c r="AP560">
        <f t="shared" si="167"/>
        <v>25.464499293370753</v>
      </c>
    </row>
    <row r="561" spans="1:42" x14ac:dyDescent="0.2">
      <c r="A561" s="3">
        <v>560</v>
      </c>
      <c r="B561" s="3">
        <v>3.8599999999999999E-7</v>
      </c>
      <c r="C561" s="2">
        <v>2.9139999999999999E-2</v>
      </c>
      <c r="D561" s="3">
        <v>190000</v>
      </c>
      <c r="E561" s="3">
        <v>110000000000</v>
      </c>
      <c r="F561" s="3">
        <v>99700000000</v>
      </c>
      <c r="G561" s="2">
        <v>0</v>
      </c>
      <c r="H561" s="3">
        <v>11700000000</v>
      </c>
      <c r="I561" s="2"/>
      <c r="J561" s="7">
        <f t="shared" si="151"/>
        <v>0.38600000000000001</v>
      </c>
      <c r="K561" s="7">
        <f t="shared" si="152"/>
        <v>29.14</v>
      </c>
      <c r="L561" s="7">
        <f t="shared" si="153"/>
        <v>110</v>
      </c>
      <c r="M561" s="7">
        <f t="shared" si="154"/>
        <v>190</v>
      </c>
      <c r="O561">
        <f t="shared" si="155"/>
        <v>0.27097368421052637</v>
      </c>
      <c r="P561">
        <f t="shared" si="156"/>
        <v>270.97368421052636</v>
      </c>
      <c r="V561">
        <f t="shared" si="157"/>
        <v>764.6714138642501</v>
      </c>
      <c r="W561">
        <f t="shared" si="158"/>
        <v>124.2363690829236</v>
      </c>
      <c r="AE561">
        <f t="shared" si="159"/>
        <v>0.64433511754647788</v>
      </c>
      <c r="AF561">
        <f t="shared" si="160"/>
        <v>0.62447806184543275</v>
      </c>
      <c r="AG561">
        <f t="shared" si="161"/>
        <v>0.62608319721051298</v>
      </c>
      <c r="AI561">
        <f t="shared" si="162"/>
        <v>0.24961131087462718</v>
      </c>
      <c r="AJ561">
        <f t="shared" si="163"/>
        <v>22.341711413749902</v>
      </c>
      <c r="AL561">
        <f t="shared" si="164"/>
        <v>0.25754841228216258</v>
      </c>
      <c r="AM561">
        <f t="shared" si="165"/>
        <v>23.785137669547929</v>
      </c>
      <c r="AO561">
        <f t="shared" si="166"/>
        <v>0.25688811654732058</v>
      </c>
      <c r="AP561">
        <f t="shared" si="167"/>
        <v>23.663334607367233</v>
      </c>
    </row>
    <row r="562" spans="1:42" x14ac:dyDescent="0.2">
      <c r="A562" s="3">
        <v>560</v>
      </c>
      <c r="B562" s="3">
        <v>3.8700000000000001E-7</v>
      </c>
      <c r="C562" s="2">
        <v>2.9190000000000001E-2</v>
      </c>
      <c r="D562" s="3">
        <v>201000</v>
      </c>
      <c r="E562" s="3">
        <v>116000000000</v>
      </c>
      <c r="F562" s="3">
        <v>104000000000</v>
      </c>
      <c r="G562" s="3">
        <v>9420000000</v>
      </c>
      <c r="H562" s="3">
        <v>11400000000</v>
      </c>
      <c r="I562" s="2"/>
      <c r="J562" s="7">
        <f t="shared" si="151"/>
        <v>0.38700000000000001</v>
      </c>
      <c r="K562" s="7">
        <f t="shared" si="152"/>
        <v>29.19</v>
      </c>
      <c r="L562" s="7">
        <f t="shared" si="153"/>
        <v>116.00000000000001</v>
      </c>
      <c r="M562" s="7">
        <f t="shared" si="154"/>
        <v>201</v>
      </c>
      <c r="O562">
        <f t="shared" si="155"/>
        <v>0.27808208955223879</v>
      </c>
      <c r="P562">
        <f t="shared" si="156"/>
        <v>278.08208955223881</v>
      </c>
      <c r="V562">
        <f t="shared" si="157"/>
        <v>773.49411631613134</v>
      </c>
      <c r="W562">
        <f t="shared" si="158"/>
        <v>129.92988295585832</v>
      </c>
      <c r="AE562">
        <f t="shared" si="159"/>
        <v>0.68163872961495808</v>
      </c>
      <c r="AF562">
        <f t="shared" si="160"/>
        <v>0.66063205489964194</v>
      </c>
      <c r="AG562">
        <f t="shared" si="161"/>
        <v>0.66233011915427953</v>
      </c>
      <c r="AI562">
        <f t="shared" si="162"/>
        <v>0.23656226237480138</v>
      </c>
      <c r="AJ562">
        <f t="shared" si="163"/>
        <v>19.997516895220212</v>
      </c>
      <c r="AL562">
        <f t="shared" si="164"/>
        <v>0.2440844321798703</v>
      </c>
      <c r="AM562">
        <f t="shared" si="165"/>
        <v>21.28949226822413</v>
      </c>
      <c r="AO562">
        <f t="shared" si="166"/>
        <v>0.24345865503730674</v>
      </c>
      <c r="AP562">
        <f t="shared" si="167"/>
        <v>21.180469340269337</v>
      </c>
    </row>
    <row r="563" spans="1:42" x14ac:dyDescent="0.2">
      <c r="A563" s="3">
        <v>560</v>
      </c>
      <c r="B563" s="3">
        <v>3.8700000000000001E-7</v>
      </c>
      <c r="C563" s="2">
        <v>2.9239999999999999E-2</v>
      </c>
      <c r="D563" s="3">
        <v>188000</v>
      </c>
      <c r="E563" s="3">
        <v>109000000000</v>
      </c>
      <c r="F563" s="3">
        <v>98800000000</v>
      </c>
      <c r="G563" s="2">
        <v>0</v>
      </c>
      <c r="H563" s="3">
        <v>11700000000</v>
      </c>
      <c r="I563" s="2"/>
      <c r="J563" s="7">
        <f t="shared" si="151"/>
        <v>0.38700000000000001</v>
      </c>
      <c r="K563" s="7">
        <f t="shared" si="152"/>
        <v>29.24</v>
      </c>
      <c r="L563" s="7">
        <f t="shared" si="153"/>
        <v>109</v>
      </c>
      <c r="M563" s="7">
        <f t="shared" si="154"/>
        <v>188</v>
      </c>
      <c r="O563">
        <f t="shared" si="155"/>
        <v>0.27035106382978724</v>
      </c>
      <c r="P563">
        <f t="shared" si="156"/>
        <v>270.35106382978722</v>
      </c>
      <c r="V563">
        <f t="shared" si="157"/>
        <v>763.89253028464475</v>
      </c>
      <c r="W563">
        <f t="shared" si="158"/>
        <v>123.05395886640407</v>
      </c>
      <c r="AE563">
        <f t="shared" si="159"/>
        <v>0.63755264262493594</v>
      </c>
      <c r="AF563">
        <f t="shared" si="160"/>
        <v>0.61790460856284923</v>
      </c>
      <c r="AG563">
        <f t="shared" si="161"/>
        <v>0.61949284776619185</v>
      </c>
      <c r="AI563">
        <f t="shared" si="162"/>
        <v>0.25292029115603765</v>
      </c>
      <c r="AJ563">
        <f t="shared" si="163"/>
        <v>22.897905673698833</v>
      </c>
      <c r="AL563">
        <f t="shared" si="164"/>
        <v>0.26096261100081874</v>
      </c>
      <c r="AM563">
        <f t="shared" si="165"/>
        <v>24.377265855205003</v>
      </c>
      <c r="AO563">
        <f t="shared" si="166"/>
        <v>0.26029356203456733</v>
      </c>
      <c r="AP563">
        <f t="shared" si="167"/>
        <v>24.252430520215178</v>
      </c>
    </row>
    <row r="564" spans="1:42" x14ac:dyDescent="0.2">
      <c r="A564" s="3">
        <v>560</v>
      </c>
      <c r="B564" s="3">
        <v>3.8799999999999998E-7</v>
      </c>
      <c r="C564" s="2">
        <v>2.93E-2</v>
      </c>
      <c r="D564" s="3">
        <v>205000</v>
      </c>
      <c r="E564" s="3">
        <v>117000000000</v>
      </c>
      <c r="F564" s="3">
        <v>106000000000</v>
      </c>
      <c r="G564" s="2">
        <v>0</v>
      </c>
      <c r="H564" s="3">
        <v>11300000000</v>
      </c>
      <c r="I564" s="2"/>
      <c r="J564" s="7">
        <f t="shared" si="151"/>
        <v>0.38799999999999996</v>
      </c>
      <c r="K564" s="7">
        <f t="shared" si="152"/>
        <v>29.3</v>
      </c>
      <c r="L564" s="7">
        <f t="shared" si="153"/>
        <v>117.00000000000001</v>
      </c>
      <c r="M564" s="7">
        <f t="shared" si="154"/>
        <v>205</v>
      </c>
      <c r="O564">
        <f t="shared" si="155"/>
        <v>0.2808048780487804</v>
      </c>
      <c r="P564">
        <f t="shared" si="156"/>
        <v>280.80487804878038</v>
      </c>
      <c r="V564">
        <f t="shared" si="157"/>
        <v>776.84023536917118</v>
      </c>
      <c r="W564">
        <f t="shared" si="158"/>
        <v>131.94476204143803</v>
      </c>
      <c r="AE564">
        <f t="shared" si="159"/>
        <v>0.69520367945804185</v>
      </c>
      <c r="AF564">
        <f t="shared" si="160"/>
        <v>0.67377896146480898</v>
      </c>
      <c r="AG564">
        <f t="shared" si="161"/>
        <v>0.6755108180429219</v>
      </c>
      <c r="AI564">
        <f t="shared" si="162"/>
        <v>0.23254575809019987</v>
      </c>
      <c r="AJ564">
        <f t="shared" si="163"/>
        <v>19.29718633642155</v>
      </c>
      <c r="AL564">
        <f t="shared" si="164"/>
        <v>0.23994021172047295</v>
      </c>
      <c r="AM564">
        <f t="shared" si="165"/>
        <v>20.54391560013746</v>
      </c>
      <c r="AO564">
        <f t="shared" si="166"/>
        <v>0.23932505941954338</v>
      </c>
      <c r="AP564">
        <f t="shared" si="167"/>
        <v>20.438710750619929</v>
      </c>
    </row>
    <row r="565" spans="1:42" x14ac:dyDescent="0.2">
      <c r="A565" s="3">
        <v>560</v>
      </c>
      <c r="B565" s="3">
        <v>3.8799999999999998E-7</v>
      </c>
      <c r="C565" s="2">
        <v>2.9350000000000001E-2</v>
      </c>
      <c r="D565" s="3">
        <v>178000</v>
      </c>
      <c r="E565" s="3">
        <v>104000000000</v>
      </c>
      <c r="F565" s="3">
        <v>94600000000</v>
      </c>
      <c r="G565" s="3">
        <v>1120000000</v>
      </c>
      <c r="H565" s="3">
        <v>12000000000</v>
      </c>
      <c r="I565" s="2"/>
      <c r="J565" s="7">
        <f t="shared" si="151"/>
        <v>0.38799999999999996</v>
      </c>
      <c r="K565" s="7">
        <f t="shared" si="152"/>
        <v>29.35</v>
      </c>
      <c r="L565" s="7">
        <f t="shared" si="153"/>
        <v>104</v>
      </c>
      <c r="M565" s="7">
        <f t="shared" si="154"/>
        <v>178</v>
      </c>
      <c r="O565">
        <f t="shared" si="155"/>
        <v>0.26433426966292128</v>
      </c>
      <c r="P565">
        <f t="shared" si="156"/>
        <v>264.33426966292126</v>
      </c>
      <c r="V565">
        <f t="shared" si="157"/>
        <v>756.31360837794114</v>
      </c>
      <c r="W565">
        <f t="shared" si="158"/>
        <v>117.67605265080114</v>
      </c>
      <c r="AE565">
        <f t="shared" si="159"/>
        <v>0.60364026801722659</v>
      </c>
      <c r="AF565">
        <f t="shared" si="160"/>
        <v>0.58503734214993164</v>
      </c>
      <c r="AG565">
        <f t="shared" si="161"/>
        <v>0.58654110054458586</v>
      </c>
      <c r="AI565">
        <f t="shared" si="162"/>
        <v>0.26781955285669085</v>
      </c>
      <c r="AJ565">
        <f t="shared" si="163"/>
        <v>25.639065579962619</v>
      </c>
      <c r="AL565">
        <f t="shared" si="164"/>
        <v>0.27633563709380315</v>
      </c>
      <c r="AM565">
        <f t="shared" si="165"/>
        <v>27.295523303674397</v>
      </c>
      <c r="AO565">
        <f t="shared" si="166"/>
        <v>0.27562717517419322</v>
      </c>
      <c r="AP565">
        <f t="shared" si="167"/>
        <v>27.155743649320375</v>
      </c>
    </row>
    <row r="566" spans="1:42" x14ac:dyDescent="0.2">
      <c r="A566" s="3">
        <v>560</v>
      </c>
      <c r="B566" s="3">
        <v>3.89E-7</v>
      </c>
      <c r="C566" s="2">
        <v>2.9399999999999999E-2</v>
      </c>
      <c r="D566" s="3">
        <v>189000</v>
      </c>
      <c r="E566" s="3">
        <v>109000000000</v>
      </c>
      <c r="F566" s="3">
        <v>98800000000</v>
      </c>
      <c r="G566" s="2">
        <v>0</v>
      </c>
      <c r="H566" s="3">
        <v>11700000000</v>
      </c>
      <c r="I566" s="2"/>
      <c r="J566" s="7">
        <f t="shared" si="151"/>
        <v>0.38900000000000001</v>
      </c>
      <c r="K566" s="7">
        <f t="shared" si="152"/>
        <v>29.4</v>
      </c>
      <c r="L566" s="7">
        <f t="shared" si="153"/>
        <v>109</v>
      </c>
      <c r="M566" s="7">
        <f t="shared" si="154"/>
        <v>189</v>
      </c>
      <c r="O566">
        <f t="shared" si="155"/>
        <v>0.27233333333333332</v>
      </c>
      <c r="P566">
        <f t="shared" si="156"/>
        <v>272.33333333333331</v>
      </c>
      <c r="V566">
        <f t="shared" si="157"/>
        <v>766.36884515749671</v>
      </c>
      <c r="W566">
        <f t="shared" si="158"/>
        <v>123.30877044013874</v>
      </c>
      <c r="AE566">
        <f t="shared" si="159"/>
        <v>0.64094388008570691</v>
      </c>
      <c r="AF566">
        <f t="shared" si="160"/>
        <v>0.62119133520414094</v>
      </c>
      <c r="AG566">
        <f t="shared" si="161"/>
        <v>0.62278802248835241</v>
      </c>
      <c r="AI566">
        <f t="shared" si="162"/>
        <v>0.25288225438966605</v>
      </c>
      <c r="AJ566">
        <f t="shared" si="163"/>
        <v>22.780214772345552</v>
      </c>
      <c r="AL566">
        <f t="shared" si="164"/>
        <v>0.26092336474730154</v>
      </c>
      <c r="AM566">
        <f t="shared" si="165"/>
        <v>24.251971322512304</v>
      </c>
      <c r="AO566">
        <f t="shared" si="166"/>
        <v>0.26025441639954577</v>
      </c>
      <c r="AP566">
        <f t="shared" si="167"/>
        <v>24.127777617517165</v>
      </c>
    </row>
    <row r="567" spans="1:42" x14ac:dyDescent="0.2">
      <c r="A567" s="3">
        <v>570</v>
      </c>
      <c r="B567" s="3">
        <v>3.9000000000000002E-7</v>
      </c>
      <c r="C567" s="2">
        <v>2.945E-2</v>
      </c>
      <c r="D567" s="3">
        <v>189000</v>
      </c>
      <c r="E567" s="3">
        <v>109000000000</v>
      </c>
      <c r="F567" s="3">
        <v>99000000000</v>
      </c>
      <c r="G567" s="3">
        <v>17400000000</v>
      </c>
      <c r="H567" s="3">
        <v>11700000000</v>
      </c>
      <c r="I567" s="2"/>
      <c r="J567" s="7">
        <f t="shared" si="151"/>
        <v>0.39</v>
      </c>
      <c r="K567" s="7">
        <f t="shared" si="152"/>
        <v>29.45</v>
      </c>
      <c r="L567" s="7">
        <f t="shared" si="153"/>
        <v>109</v>
      </c>
      <c r="M567" s="7">
        <f t="shared" si="154"/>
        <v>189</v>
      </c>
      <c r="O567">
        <f t="shared" si="155"/>
        <v>0.27313492063492067</v>
      </c>
      <c r="P567">
        <f t="shared" si="156"/>
        <v>273.13492063492066</v>
      </c>
      <c r="V567">
        <f t="shared" si="157"/>
        <v>767.36736247901717</v>
      </c>
      <c r="W567">
        <f t="shared" si="158"/>
        <v>123.14831802946793</v>
      </c>
      <c r="AE567">
        <f t="shared" si="159"/>
        <v>0.64094388008570691</v>
      </c>
      <c r="AF567">
        <f t="shared" si="160"/>
        <v>0.62119133520414094</v>
      </c>
      <c r="AG567">
        <f t="shared" si="161"/>
        <v>0.62278802248835241</v>
      </c>
      <c r="AI567">
        <f t="shared" si="162"/>
        <v>0.25353233730583485</v>
      </c>
      <c r="AJ567">
        <f t="shared" si="163"/>
        <v>22.818956634203285</v>
      </c>
      <c r="AL567">
        <f t="shared" si="164"/>
        <v>0.2615941188983229</v>
      </c>
      <c r="AM567">
        <f t="shared" si="165"/>
        <v>24.293216171700251</v>
      </c>
      <c r="AO567">
        <f t="shared" si="166"/>
        <v>0.26092345088900476</v>
      </c>
      <c r="AP567">
        <f t="shared" si="167"/>
        <v>24.168811252921106</v>
      </c>
    </row>
    <row r="568" spans="1:42" x14ac:dyDescent="0.2">
      <c r="A568" s="3">
        <v>570</v>
      </c>
      <c r="B568" s="3">
        <v>3.9000000000000002E-7</v>
      </c>
      <c r="C568" s="2">
        <v>2.9499999999999998E-2</v>
      </c>
      <c r="D568" s="3">
        <v>188000</v>
      </c>
      <c r="E568" s="3">
        <v>108000000000</v>
      </c>
      <c r="F568" s="3">
        <v>98300000000</v>
      </c>
      <c r="G568" s="3">
        <v>5710000000</v>
      </c>
      <c r="H568" s="3">
        <v>11800000000</v>
      </c>
      <c r="I568" s="2"/>
      <c r="J568" s="7">
        <f t="shared" si="151"/>
        <v>0.39</v>
      </c>
      <c r="K568" s="7">
        <f t="shared" si="152"/>
        <v>29.5</v>
      </c>
      <c r="L568" s="7">
        <f t="shared" si="153"/>
        <v>108</v>
      </c>
      <c r="M568" s="7">
        <f t="shared" si="154"/>
        <v>188</v>
      </c>
      <c r="O568">
        <f t="shared" si="155"/>
        <v>0.27231382978723406</v>
      </c>
      <c r="P568">
        <f t="shared" si="156"/>
        <v>272.31382978723406</v>
      </c>
      <c r="V568">
        <f t="shared" si="157"/>
        <v>766.34452969047504</v>
      </c>
      <c r="W568">
        <f t="shared" si="158"/>
        <v>122.6602348658591</v>
      </c>
      <c r="AE568">
        <f t="shared" si="159"/>
        <v>0.63755264262493594</v>
      </c>
      <c r="AF568">
        <f t="shared" si="160"/>
        <v>0.61790460856284923</v>
      </c>
      <c r="AG568">
        <f t="shared" si="161"/>
        <v>0.61949284776619185</v>
      </c>
      <c r="AI568">
        <f t="shared" si="162"/>
        <v>0.25488091356809994</v>
      </c>
      <c r="AJ568">
        <f t="shared" si="163"/>
        <v>23.101512222096979</v>
      </c>
      <c r="AL568">
        <f t="shared" si="164"/>
        <v>0.2629855769775693</v>
      </c>
      <c r="AM568">
        <f t="shared" si="165"/>
        <v>24.594026769102175</v>
      </c>
      <c r="AO568">
        <f t="shared" si="166"/>
        <v>0.26231134158522285</v>
      </c>
      <c r="AP568">
        <f t="shared" si="167"/>
        <v>24.468081407193839</v>
      </c>
    </row>
    <row r="569" spans="1:42" x14ac:dyDescent="0.2">
      <c r="A569" s="3">
        <v>570</v>
      </c>
      <c r="B569" s="3">
        <v>3.9099999999999999E-7</v>
      </c>
      <c r="C569" s="2">
        <v>2.9559999999999999E-2</v>
      </c>
      <c r="D569" s="3">
        <v>220000</v>
      </c>
      <c r="E569" s="3">
        <v>125000000000</v>
      </c>
      <c r="F569" s="3">
        <v>112000000000</v>
      </c>
      <c r="G569" s="3">
        <v>26400000000</v>
      </c>
      <c r="H569" s="3">
        <v>11000000000</v>
      </c>
      <c r="I569" s="2"/>
      <c r="J569" s="7">
        <f t="shared" si="151"/>
        <v>0.39100000000000001</v>
      </c>
      <c r="K569" s="7">
        <f t="shared" si="152"/>
        <v>29.56</v>
      </c>
      <c r="L569" s="7">
        <f t="shared" si="153"/>
        <v>125.00000000000001</v>
      </c>
      <c r="M569" s="7">
        <f t="shared" si="154"/>
        <v>220</v>
      </c>
      <c r="O569">
        <f t="shared" si="155"/>
        <v>0.29022727272727278</v>
      </c>
      <c r="P569">
        <f t="shared" si="156"/>
        <v>290.2272727272728</v>
      </c>
      <c r="V569">
        <f t="shared" si="157"/>
        <v>788.28229188614546</v>
      </c>
      <c r="W569">
        <f t="shared" si="158"/>
        <v>139.54391863452861</v>
      </c>
      <c r="AE569">
        <f t="shared" si="159"/>
        <v>0.74607224136960593</v>
      </c>
      <c r="AF569">
        <f t="shared" si="160"/>
        <v>0.7230798610841852</v>
      </c>
      <c r="AG569">
        <f t="shared" si="161"/>
        <v>0.72493843887533083</v>
      </c>
      <c r="AI569">
        <f t="shared" si="162"/>
        <v>0.21836580646344861</v>
      </c>
      <c r="AJ569">
        <f t="shared" si="163"/>
        <v>16.904143091626022</v>
      </c>
      <c r="AL569">
        <f t="shared" si="164"/>
        <v>0.22530936821057304</v>
      </c>
      <c r="AM569">
        <f t="shared" si="165"/>
        <v>17.996265513152036</v>
      </c>
      <c r="AO569">
        <f t="shared" si="166"/>
        <v>0.22473172607513478</v>
      </c>
      <c r="AP569">
        <f t="shared" si="167"/>
        <v>17.904107112482979</v>
      </c>
    </row>
    <row r="570" spans="1:42" x14ac:dyDescent="0.2">
      <c r="A570" s="3">
        <v>570</v>
      </c>
      <c r="B570" s="3">
        <v>3.9099999999999999E-7</v>
      </c>
      <c r="C570" s="2">
        <v>2.9610000000000001E-2</v>
      </c>
      <c r="D570" s="3">
        <v>190000</v>
      </c>
      <c r="E570" s="3">
        <v>109000000000</v>
      </c>
      <c r="F570" s="3">
        <v>99200000000</v>
      </c>
      <c r="G570" s="2">
        <v>0</v>
      </c>
      <c r="H570" s="3">
        <v>11700000000</v>
      </c>
      <c r="I570" s="2"/>
      <c r="J570" s="7">
        <f t="shared" si="151"/>
        <v>0.39100000000000001</v>
      </c>
      <c r="K570" s="7">
        <f t="shared" si="152"/>
        <v>29.61</v>
      </c>
      <c r="L570" s="7">
        <f t="shared" si="153"/>
        <v>109</v>
      </c>
      <c r="M570" s="7">
        <f t="shared" si="154"/>
        <v>190</v>
      </c>
      <c r="O570">
        <f t="shared" si="155"/>
        <v>0.27411842105263162</v>
      </c>
      <c r="P570">
        <f t="shared" si="156"/>
        <v>274.11842105263162</v>
      </c>
      <c r="V570">
        <f t="shared" si="157"/>
        <v>768.5902571932553</v>
      </c>
      <c r="W570">
        <f t="shared" si="158"/>
        <v>123.60291990549275</v>
      </c>
      <c r="AE570">
        <f t="shared" si="159"/>
        <v>0.64433511754647788</v>
      </c>
      <c r="AF570">
        <f t="shared" si="160"/>
        <v>0.62447806184543275</v>
      </c>
      <c r="AG570">
        <f t="shared" si="161"/>
        <v>0.62608319721051298</v>
      </c>
      <c r="AI570">
        <f t="shared" si="162"/>
        <v>0.25284461801030889</v>
      </c>
      <c r="AJ570">
        <f t="shared" si="163"/>
        <v>22.702061597842643</v>
      </c>
      <c r="AL570">
        <f t="shared" si="164"/>
        <v>0.2608845316122424</v>
      </c>
      <c r="AM570">
        <f t="shared" si="165"/>
        <v>24.16876892228257</v>
      </c>
      <c r="AO570">
        <f t="shared" si="166"/>
        <v>0.26021568282384028</v>
      </c>
      <c r="AP570">
        <f t="shared" si="167"/>
        <v>24.045001294582836</v>
      </c>
    </row>
    <row r="571" spans="1:42" x14ac:dyDescent="0.2">
      <c r="A571" s="3">
        <v>570</v>
      </c>
      <c r="B571" s="3">
        <v>3.9200000000000002E-7</v>
      </c>
      <c r="C571" s="2">
        <v>2.9659999999999999E-2</v>
      </c>
      <c r="D571" s="3">
        <v>182000</v>
      </c>
      <c r="E571" s="3">
        <v>105000000000</v>
      </c>
      <c r="F571" s="3">
        <v>95800000000</v>
      </c>
      <c r="G571" s="3">
        <v>5830000000</v>
      </c>
      <c r="H571" s="3">
        <v>11900000000</v>
      </c>
      <c r="I571" s="2"/>
      <c r="J571" s="7">
        <f t="shared" si="151"/>
        <v>0.39200000000000002</v>
      </c>
      <c r="K571" s="7">
        <f t="shared" si="152"/>
        <v>29.66</v>
      </c>
      <c r="L571" s="7">
        <f t="shared" si="153"/>
        <v>105</v>
      </c>
      <c r="M571" s="7">
        <f t="shared" si="154"/>
        <v>182</v>
      </c>
      <c r="O571">
        <f t="shared" si="155"/>
        <v>0.26977472527472529</v>
      </c>
      <c r="P571">
        <f t="shared" si="156"/>
        <v>269.77472527472531</v>
      </c>
      <c r="V571">
        <f t="shared" si="157"/>
        <v>763.17065324026919</v>
      </c>
      <c r="W571">
        <f t="shared" si="158"/>
        <v>119.23938586164482</v>
      </c>
      <c r="AE571">
        <f t="shared" si="159"/>
        <v>0.61720521786031035</v>
      </c>
      <c r="AF571">
        <f t="shared" si="160"/>
        <v>0.59818424871509868</v>
      </c>
      <c r="AG571">
        <f t="shared" si="161"/>
        <v>0.59972179943322823</v>
      </c>
      <c r="AI571">
        <f t="shared" si="162"/>
        <v>0.2646337532588714</v>
      </c>
      <c r="AJ571">
        <f t="shared" si="163"/>
        <v>24.783489968890819</v>
      </c>
      <c r="AL571">
        <f t="shared" si="164"/>
        <v>0.27304853593884121</v>
      </c>
      <c r="AM571">
        <f t="shared" si="165"/>
        <v>26.384671698835998</v>
      </c>
      <c r="AO571">
        <f t="shared" si="166"/>
        <v>0.2723485014013044</v>
      </c>
      <c r="AP571">
        <f t="shared" si="167"/>
        <v>26.249556491507807</v>
      </c>
    </row>
    <row r="572" spans="1:42" x14ac:dyDescent="0.2">
      <c r="A572" s="3">
        <v>570</v>
      </c>
      <c r="B572" s="3">
        <v>3.9400000000000001E-7</v>
      </c>
      <c r="C572" s="2">
        <v>2.971E-2</v>
      </c>
      <c r="D572" s="3">
        <v>170000</v>
      </c>
      <c r="E572" s="3">
        <v>99100000000</v>
      </c>
      <c r="F572" s="3">
        <v>90700000000</v>
      </c>
      <c r="G572" s="2">
        <v>0</v>
      </c>
      <c r="H572" s="3">
        <v>12300000000</v>
      </c>
      <c r="I572" s="2"/>
      <c r="J572" s="7">
        <f t="shared" si="151"/>
        <v>0.39400000000000002</v>
      </c>
      <c r="K572" s="7">
        <f t="shared" si="152"/>
        <v>29.71</v>
      </c>
      <c r="L572" s="7">
        <f t="shared" si="153"/>
        <v>99.100000000000009</v>
      </c>
      <c r="M572" s="7">
        <f t="shared" si="154"/>
        <v>170</v>
      </c>
      <c r="O572">
        <f t="shared" si="155"/>
        <v>0.26292647058823532</v>
      </c>
      <c r="P572">
        <f t="shared" si="156"/>
        <v>262.9264705882353</v>
      </c>
      <c r="V572">
        <f t="shared" si="157"/>
        <v>754.52647115759362</v>
      </c>
      <c r="W572">
        <f t="shared" si="158"/>
        <v>112.653436624421</v>
      </c>
      <c r="AE572">
        <f t="shared" si="159"/>
        <v>0.57651036833105906</v>
      </c>
      <c r="AF572">
        <f t="shared" si="160"/>
        <v>0.55874352901959767</v>
      </c>
      <c r="AG572">
        <f t="shared" si="161"/>
        <v>0.56017970276730111</v>
      </c>
      <c r="AI572">
        <f t="shared" si="162"/>
        <v>0.28475926138486124</v>
      </c>
      <c r="AJ572">
        <f t="shared" si="163"/>
        <v>28.453710026884419</v>
      </c>
      <c r="AL572">
        <f t="shared" si="164"/>
        <v>0.29381399182326567</v>
      </c>
      <c r="AM572">
        <f t="shared" si="165"/>
        <v>30.292012893082571</v>
      </c>
      <c r="AO572">
        <f t="shared" si="166"/>
        <v>0.29306071936501699</v>
      </c>
      <c r="AP572">
        <f t="shared" si="167"/>
        <v>30.136888294635593</v>
      </c>
    </row>
    <row r="573" spans="1:42" x14ac:dyDescent="0.2">
      <c r="A573" s="3">
        <v>570</v>
      </c>
      <c r="B573" s="3">
        <v>3.96E-7</v>
      </c>
      <c r="C573" s="2">
        <v>2.9760000000000002E-2</v>
      </c>
      <c r="D573" s="3">
        <v>186000</v>
      </c>
      <c r="E573" s="3">
        <v>107000000000</v>
      </c>
      <c r="F573" s="3">
        <v>96900000000</v>
      </c>
      <c r="G573" s="2">
        <v>0</v>
      </c>
      <c r="H573" s="3">
        <v>11700000000</v>
      </c>
      <c r="I573" s="2"/>
      <c r="J573" s="7">
        <f t="shared" si="151"/>
        <v>0.39600000000000002</v>
      </c>
      <c r="K573" s="7">
        <f t="shared" si="152"/>
        <v>29.76</v>
      </c>
      <c r="L573" s="7">
        <f t="shared" si="153"/>
        <v>107</v>
      </c>
      <c r="M573" s="7">
        <f t="shared" si="154"/>
        <v>186</v>
      </c>
      <c r="O573">
        <f t="shared" si="155"/>
        <v>0.27600000000000002</v>
      </c>
      <c r="P573">
        <f t="shared" si="156"/>
        <v>276</v>
      </c>
      <c r="V573">
        <f t="shared" si="157"/>
        <v>770.9230404835447</v>
      </c>
      <c r="W573">
        <f t="shared" si="158"/>
        <v>120.63460957356753</v>
      </c>
      <c r="AE573">
        <f t="shared" si="159"/>
        <v>0.63077016770339411</v>
      </c>
      <c r="AF573">
        <f t="shared" si="160"/>
        <v>0.61133115528026571</v>
      </c>
      <c r="AG573">
        <f t="shared" si="161"/>
        <v>0.6129024983218706</v>
      </c>
      <c r="AI573">
        <f t="shared" si="162"/>
        <v>0.26158497729966784</v>
      </c>
      <c r="AJ573">
        <f t="shared" si="163"/>
        <v>23.808998665290193</v>
      </c>
      <c r="AL573">
        <f t="shared" si="164"/>
        <v>0.26990281547871625</v>
      </c>
      <c r="AM573">
        <f t="shared" si="165"/>
        <v>25.347221640303182</v>
      </c>
      <c r="AO573">
        <f t="shared" si="166"/>
        <v>0.26921084585520638</v>
      </c>
      <c r="AP573">
        <f t="shared" si="167"/>
        <v>25.217419187340528</v>
      </c>
    </row>
    <row r="574" spans="1:42" x14ac:dyDescent="0.2">
      <c r="A574" s="3">
        <v>570</v>
      </c>
      <c r="B574" s="3">
        <v>3.96E-7</v>
      </c>
      <c r="C574" s="2">
        <v>2.981E-2</v>
      </c>
      <c r="D574" s="3">
        <v>194000</v>
      </c>
      <c r="E574" s="3">
        <v>110000000000</v>
      </c>
      <c r="F574" s="3">
        <v>100000000000</v>
      </c>
      <c r="G574" s="3">
        <v>3070000000</v>
      </c>
      <c r="H574" s="3">
        <v>11500000000</v>
      </c>
      <c r="I574" s="2"/>
      <c r="J574" s="7">
        <f t="shared" si="151"/>
        <v>0.39600000000000002</v>
      </c>
      <c r="K574" s="7">
        <f t="shared" si="152"/>
        <v>29.81</v>
      </c>
      <c r="L574" s="7">
        <f t="shared" si="153"/>
        <v>110</v>
      </c>
      <c r="M574" s="7">
        <f t="shared" si="154"/>
        <v>194</v>
      </c>
      <c r="O574">
        <f t="shared" si="155"/>
        <v>0.28075515463917528</v>
      </c>
      <c r="P574">
        <f t="shared" si="156"/>
        <v>280.75515463917526</v>
      </c>
      <c r="V574">
        <f t="shared" si="157"/>
        <v>776.77929112221057</v>
      </c>
      <c r="W574">
        <f t="shared" si="158"/>
        <v>124.87459579395379</v>
      </c>
      <c r="AE574">
        <f t="shared" si="159"/>
        <v>0.65790006738956153</v>
      </c>
      <c r="AF574">
        <f t="shared" si="160"/>
        <v>0.63762496841059968</v>
      </c>
      <c r="AG574">
        <f t="shared" si="161"/>
        <v>0.63926389609915535</v>
      </c>
      <c r="AI574">
        <f t="shared" si="162"/>
        <v>0.25079796792648568</v>
      </c>
      <c r="AJ574">
        <f t="shared" si="163"/>
        <v>21.922627693479633</v>
      </c>
      <c r="AL574">
        <f t="shared" si="164"/>
        <v>0.25877280246928469</v>
      </c>
      <c r="AM574">
        <f t="shared" si="165"/>
        <v>23.338978295402583</v>
      </c>
      <c r="AO574">
        <f t="shared" si="166"/>
        <v>0.25810936767561027</v>
      </c>
      <c r="AP574">
        <f t="shared" si="167"/>
        <v>23.219460003600197</v>
      </c>
    </row>
    <row r="575" spans="1:42" x14ac:dyDescent="0.2">
      <c r="A575" s="3">
        <v>570</v>
      </c>
      <c r="B575" s="3">
        <v>3.9700000000000002E-7</v>
      </c>
      <c r="C575" s="2">
        <v>2.9870000000000001E-2</v>
      </c>
      <c r="D575" s="3">
        <v>197000</v>
      </c>
      <c r="E575" s="3">
        <v>112000000000</v>
      </c>
      <c r="F575" s="3">
        <v>101000000000</v>
      </c>
      <c r="G575" s="3">
        <v>4330000000</v>
      </c>
      <c r="H575" s="3">
        <v>11400000000</v>
      </c>
      <c r="I575" s="2"/>
      <c r="J575" s="7">
        <f t="shared" si="151"/>
        <v>0.39700000000000002</v>
      </c>
      <c r="K575" s="7">
        <f t="shared" si="152"/>
        <v>29.87</v>
      </c>
      <c r="L575" s="7">
        <f t="shared" si="153"/>
        <v>112</v>
      </c>
      <c r="M575" s="7">
        <f t="shared" si="154"/>
        <v>197</v>
      </c>
      <c r="O575">
        <f t="shared" si="155"/>
        <v>0.2832817258883249</v>
      </c>
      <c r="P575">
        <f t="shared" si="156"/>
        <v>283.2817258883249</v>
      </c>
      <c r="V575">
        <f t="shared" si="157"/>
        <v>779.86844868895935</v>
      </c>
      <c r="W575">
        <f t="shared" si="158"/>
        <v>126.30335304061708</v>
      </c>
      <c r="AE575">
        <f t="shared" si="159"/>
        <v>0.66807377977187432</v>
      </c>
      <c r="AF575">
        <f t="shared" si="160"/>
        <v>0.64748514833447501</v>
      </c>
      <c r="AG575">
        <f t="shared" si="161"/>
        <v>0.64914942026563716</v>
      </c>
      <c r="AI575">
        <f t="shared" si="162"/>
        <v>0.24760239314159455</v>
      </c>
      <c r="AJ575">
        <f t="shared" si="163"/>
        <v>21.302808460117593</v>
      </c>
      <c r="AL575">
        <f t="shared" si="164"/>
        <v>0.255475615297382</v>
      </c>
      <c r="AM575">
        <f t="shared" si="165"/>
        <v>22.679114531041318</v>
      </c>
      <c r="AO575">
        <f t="shared" si="166"/>
        <v>0.25482063374404129</v>
      </c>
      <c r="AP575">
        <f t="shared" si="167"/>
        <v>22.562975384158673</v>
      </c>
    </row>
    <row r="576" spans="1:42" x14ac:dyDescent="0.2">
      <c r="A576" s="3">
        <v>570</v>
      </c>
      <c r="B576" s="3">
        <v>3.9799999999999999E-7</v>
      </c>
      <c r="C576" s="2">
        <v>2.9919999999999999E-2</v>
      </c>
      <c r="D576" s="3">
        <v>173000</v>
      </c>
      <c r="E576" s="3">
        <v>99900000000</v>
      </c>
      <c r="F576" s="3">
        <v>91400000000</v>
      </c>
      <c r="G576" s="2">
        <v>0</v>
      </c>
      <c r="H576" s="3">
        <v>12100000000</v>
      </c>
      <c r="I576" s="2"/>
      <c r="J576" s="7">
        <f t="shared" si="151"/>
        <v>0.39799999999999996</v>
      </c>
      <c r="K576" s="7">
        <f t="shared" si="152"/>
        <v>29.919999999999998</v>
      </c>
      <c r="L576" s="7">
        <f t="shared" si="153"/>
        <v>99.9</v>
      </c>
      <c r="M576" s="7">
        <f t="shared" si="154"/>
        <v>173</v>
      </c>
      <c r="O576">
        <f t="shared" si="155"/>
        <v>0.26828901734104044</v>
      </c>
      <c r="P576">
        <f t="shared" si="156"/>
        <v>268.28901734104045</v>
      </c>
      <c r="V576">
        <f t="shared" si="157"/>
        <v>761.30580001948783</v>
      </c>
      <c r="W576">
        <f t="shared" si="158"/>
        <v>113.62057138903418</v>
      </c>
      <c r="AE576">
        <f t="shared" si="159"/>
        <v>0.58668408071337186</v>
      </c>
      <c r="AF576">
        <f t="shared" si="160"/>
        <v>0.5686037089434729</v>
      </c>
      <c r="AG576">
        <f t="shared" si="161"/>
        <v>0.57006522693378292</v>
      </c>
      <c r="AI576">
        <f t="shared" si="162"/>
        <v>0.28266206427774582</v>
      </c>
      <c r="AJ576">
        <f t="shared" si="163"/>
        <v>27.66963786214453</v>
      </c>
      <c r="AL576">
        <f t="shared" si="164"/>
        <v>0.29165010837067801</v>
      </c>
      <c r="AM576">
        <f t="shared" si="165"/>
        <v>29.45728434271193</v>
      </c>
      <c r="AO576">
        <f t="shared" si="166"/>
        <v>0.29090238361898196</v>
      </c>
      <c r="AP576">
        <f t="shared" si="167"/>
        <v>29.306434367138159</v>
      </c>
    </row>
    <row r="577" spans="1:42" x14ac:dyDescent="0.2">
      <c r="A577" s="3">
        <v>580</v>
      </c>
      <c r="B577" s="3">
        <v>3.9799999999999999E-7</v>
      </c>
      <c r="C577" s="2">
        <v>2.997E-2</v>
      </c>
      <c r="D577" s="3">
        <v>192000</v>
      </c>
      <c r="E577" s="3">
        <v>109000000000</v>
      </c>
      <c r="F577" s="3">
        <v>98800000000</v>
      </c>
      <c r="G577" s="3">
        <v>3580000000</v>
      </c>
      <c r="H577" s="3">
        <v>11600000000</v>
      </c>
      <c r="I577" s="2"/>
      <c r="J577" s="7">
        <f t="shared" si="151"/>
        <v>0.39799999999999996</v>
      </c>
      <c r="K577" s="7">
        <f t="shared" si="152"/>
        <v>29.97</v>
      </c>
      <c r="L577" s="7">
        <f t="shared" si="153"/>
        <v>109</v>
      </c>
      <c r="M577" s="7">
        <f t="shared" si="154"/>
        <v>192</v>
      </c>
      <c r="O577">
        <f t="shared" si="155"/>
        <v>0.28092968749999997</v>
      </c>
      <c r="P577">
        <f t="shared" si="156"/>
        <v>280.92968749999994</v>
      </c>
      <c r="V577">
        <f t="shared" si="157"/>
        <v>776.99318348154588</v>
      </c>
      <c r="W577">
        <f t="shared" si="158"/>
        <v>123.55320746810652</v>
      </c>
      <c r="AE577">
        <f t="shared" si="159"/>
        <v>0.6511175924680197</v>
      </c>
      <c r="AF577">
        <f t="shared" si="160"/>
        <v>0.63105151512801616</v>
      </c>
      <c r="AG577">
        <f t="shared" si="161"/>
        <v>0.63267354665483422</v>
      </c>
      <c r="AI577">
        <f t="shared" si="162"/>
        <v>0.25469029750026051</v>
      </c>
      <c r="AJ577">
        <f t="shared" si="163"/>
        <v>22.501857899944213</v>
      </c>
      <c r="AL577">
        <f t="shared" si="164"/>
        <v>0.26278889972982966</v>
      </c>
      <c r="AM577">
        <f t="shared" si="165"/>
        <v>23.955630706132489</v>
      </c>
      <c r="AO577">
        <f t="shared" si="166"/>
        <v>0.26211516857335354</v>
      </c>
      <c r="AP577">
        <f t="shared" si="167"/>
        <v>23.832954553611717</v>
      </c>
    </row>
    <row r="578" spans="1:42" x14ac:dyDescent="0.2">
      <c r="A578" s="3">
        <v>580</v>
      </c>
      <c r="B578" s="3">
        <v>3.9900000000000001E-7</v>
      </c>
      <c r="C578" s="2">
        <v>3.0020000000000002E-2</v>
      </c>
      <c r="D578" s="3">
        <v>196000</v>
      </c>
      <c r="E578" s="3">
        <v>111000000000</v>
      </c>
      <c r="F578" s="3">
        <v>100000000000</v>
      </c>
      <c r="G578" s="3">
        <v>3670000000</v>
      </c>
      <c r="H578" s="3">
        <v>11400000000</v>
      </c>
      <c r="I578" s="2"/>
      <c r="J578" s="7">
        <f t="shared" si="151"/>
        <v>0.39900000000000002</v>
      </c>
      <c r="K578" s="7">
        <f t="shared" si="152"/>
        <v>30.020000000000003</v>
      </c>
      <c r="L578" s="7">
        <f t="shared" si="153"/>
        <v>111</v>
      </c>
      <c r="M578" s="7">
        <f t="shared" si="154"/>
        <v>196</v>
      </c>
      <c r="O578">
        <f t="shared" si="155"/>
        <v>0.28412755102040821</v>
      </c>
      <c r="P578">
        <f t="shared" si="156"/>
        <v>284.12755102040819</v>
      </c>
      <c r="V578">
        <f t="shared" si="157"/>
        <v>780.89918124539588</v>
      </c>
      <c r="W578">
        <f t="shared" si="158"/>
        <v>125.49635388746003</v>
      </c>
      <c r="AE578">
        <f t="shared" si="159"/>
        <v>0.66468254231110346</v>
      </c>
      <c r="AF578">
        <f t="shared" si="160"/>
        <v>0.6441984216931832</v>
      </c>
      <c r="AG578">
        <f t="shared" si="161"/>
        <v>0.64585424554347659</v>
      </c>
      <c r="AI578">
        <f t="shared" si="162"/>
        <v>0.25011940199594862</v>
      </c>
      <c r="AJ578">
        <f t="shared" si="163"/>
        <v>21.628810591185019</v>
      </c>
      <c r="AL578">
        <f t="shared" si="164"/>
        <v>0.25807265960546089</v>
      </c>
      <c r="AM578">
        <f t="shared" si="165"/>
        <v>23.02617861330463</v>
      </c>
      <c r="AO578">
        <f t="shared" si="166"/>
        <v>0.25741101981934511</v>
      </c>
      <c r="AP578">
        <f t="shared" si="167"/>
        <v>22.908262160417703</v>
      </c>
    </row>
    <row r="579" spans="1:42" x14ac:dyDescent="0.2">
      <c r="A579" s="3">
        <v>580</v>
      </c>
      <c r="B579" s="3">
        <v>3.9999999999999998E-7</v>
      </c>
      <c r="C579" s="2">
        <v>3.007E-2</v>
      </c>
      <c r="D579" s="3">
        <v>186000</v>
      </c>
      <c r="E579" s="3">
        <v>106000000000</v>
      </c>
      <c r="F579" s="3">
        <v>96400000000</v>
      </c>
      <c r="G579" s="3">
        <v>9410000000</v>
      </c>
      <c r="H579" s="3">
        <v>11700000000</v>
      </c>
      <c r="I579" s="2"/>
      <c r="J579" s="7">
        <f t="shared" si="151"/>
        <v>0.39999999999999997</v>
      </c>
      <c r="K579" s="7">
        <f t="shared" si="152"/>
        <v>30.07</v>
      </c>
      <c r="L579" s="7">
        <f t="shared" si="153"/>
        <v>106</v>
      </c>
      <c r="M579" s="7">
        <f t="shared" si="154"/>
        <v>186</v>
      </c>
      <c r="O579">
        <f t="shared" si="155"/>
        <v>0.27874999999999994</v>
      </c>
      <c r="P579">
        <f t="shared" si="156"/>
        <v>278.74999999999994</v>
      </c>
      <c r="V579">
        <f t="shared" si="157"/>
        <v>774.31661523428079</v>
      </c>
      <c r="W579">
        <f t="shared" si="158"/>
        <v>120.10590780343968</v>
      </c>
      <c r="AE579">
        <f t="shared" si="159"/>
        <v>0.63077016770339411</v>
      </c>
      <c r="AF579">
        <f t="shared" si="160"/>
        <v>0.61133115528026571</v>
      </c>
      <c r="AG579">
        <f t="shared" si="161"/>
        <v>0.6129024983218706</v>
      </c>
      <c r="AI579">
        <f t="shared" si="162"/>
        <v>0.26422724979764423</v>
      </c>
      <c r="AJ579">
        <f t="shared" si="163"/>
        <v>24.057009068053631</v>
      </c>
      <c r="AL579">
        <f t="shared" si="164"/>
        <v>0.27262910654415784</v>
      </c>
      <c r="AM579">
        <f t="shared" si="165"/>
        <v>25.611255199056341</v>
      </c>
      <c r="AO579">
        <f t="shared" si="166"/>
        <v>0.2719301473284913</v>
      </c>
      <c r="AP579">
        <f t="shared" si="167"/>
        <v>25.480100637208658</v>
      </c>
    </row>
    <row r="580" spans="1:42" x14ac:dyDescent="0.2">
      <c r="A580" s="3">
        <v>580</v>
      </c>
      <c r="B580" s="3">
        <v>3.9999999999999998E-7</v>
      </c>
      <c r="C580" s="2">
        <v>3.0130000000000001E-2</v>
      </c>
      <c r="D580" s="3">
        <v>191000</v>
      </c>
      <c r="E580" s="3">
        <v>108000000000</v>
      </c>
      <c r="F580" s="3">
        <v>98300000000</v>
      </c>
      <c r="G580" s="2">
        <v>0</v>
      </c>
      <c r="H580" s="3">
        <v>11600000000</v>
      </c>
      <c r="I580" s="2"/>
      <c r="J580" s="7">
        <f t="shared" si="151"/>
        <v>0.39999999999999997</v>
      </c>
      <c r="K580" s="7">
        <f t="shared" si="152"/>
        <v>30.13</v>
      </c>
      <c r="L580" s="7">
        <f t="shared" si="153"/>
        <v>108</v>
      </c>
      <c r="M580" s="7">
        <f t="shared" si="154"/>
        <v>191</v>
      </c>
      <c r="O580">
        <f t="shared" si="155"/>
        <v>0.28168848167539262</v>
      </c>
      <c r="P580">
        <f t="shared" si="156"/>
        <v>281.68848167539261</v>
      </c>
      <c r="V580">
        <f t="shared" si="157"/>
        <v>777.92223661033495</v>
      </c>
      <c r="W580">
        <f t="shared" si="158"/>
        <v>122.76291318798798</v>
      </c>
      <c r="AE580">
        <f t="shared" si="159"/>
        <v>0.64772635500724873</v>
      </c>
      <c r="AF580">
        <f t="shared" si="160"/>
        <v>0.62776478848672446</v>
      </c>
      <c r="AG580">
        <f t="shared" si="161"/>
        <v>0.62937837193267354</v>
      </c>
      <c r="AI580">
        <f t="shared" si="162"/>
        <v>0.25731030608566402</v>
      </c>
      <c r="AJ580">
        <f t="shared" si="163"/>
        <v>22.859487496924086</v>
      </c>
      <c r="AL580">
        <f t="shared" si="164"/>
        <v>0.26549221893828984</v>
      </c>
      <c r="AM580">
        <f t="shared" si="165"/>
        <v>24.336365603354192</v>
      </c>
      <c r="AO580">
        <f t="shared" si="166"/>
        <v>0.26481155708428994</v>
      </c>
      <c r="AP580">
        <f t="shared" si="167"/>
        <v>24.211739717474515</v>
      </c>
    </row>
    <row r="581" spans="1:42" x14ac:dyDescent="0.2">
      <c r="A581" s="3">
        <v>580</v>
      </c>
      <c r="B581" s="3">
        <v>4.01E-7</v>
      </c>
      <c r="C581" s="2">
        <v>3.0179999999999998E-2</v>
      </c>
      <c r="D581" s="3">
        <v>199000</v>
      </c>
      <c r="E581" s="3">
        <v>112000000000</v>
      </c>
      <c r="F581" s="3">
        <v>102000000000</v>
      </c>
      <c r="G581" s="3">
        <v>1410000000</v>
      </c>
      <c r="H581" s="3">
        <v>11400000000</v>
      </c>
      <c r="I581" s="2"/>
      <c r="J581" s="7">
        <f t="shared" ref="J581:J644" si="168">B581*(10^6)</f>
        <v>0.40100000000000002</v>
      </c>
      <c r="K581" s="7">
        <f t="shared" ref="K581:K644" si="169">C581*1000</f>
        <v>30.18</v>
      </c>
      <c r="L581" s="7">
        <f t="shared" ref="L581:L644" si="170">E581*(10^-9)</f>
        <v>112</v>
      </c>
      <c r="M581" s="7">
        <f t="shared" ref="M581:M644" si="171">D581*(10^-3)</f>
        <v>199</v>
      </c>
      <c r="O581">
        <f t="shared" ref="O581:O644" si="172">J581-(0.75*(K581/M581))</f>
        <v>0.28725628140703519</v>
      </c>
      <c r="P581">
        <f t="shared" ref="P581:P644" si="173">O581*1000</f>
        <v>287.2562814070352</v>
      </c>
      <c r="V581">
        <f t="shared" ref="V581:V644" si="174">$S$3*(P581^$S$4)</f>
        <v>784.69710986150062</v>
      </c>
      <c r="W581">
        <f t="shared" ref="W581:W644" si="175">M581/(2*(V581/1000))</f>
        <v>126.80051799548718</v>
      </c>
      <c r="AE581">
        <f t="shared" si="159"/>
        <v>0.67485625469341626</v>
      </c>
      <c r="AF581">
        <f t="shared" si="160"/>
        <v>0.65405860161705842</v>
      </c>
      <c r="AG581">
        <f t="shared" si="161"/>
        <v>0.65573976970995829</v>
      </c>
      <c r="AI581">
        <f t="shared" si="162"/>
        <v>0.24758358861064192</v>
      </c>
      <c r="AJ581">
        <f t="shared" si="163"/>
        <v>21.093428484702596</v>
      </c>
      <c r="AL581">
        <f t="shared" si="164"/>
        <v>0.25545621282289649</v>
      </c>
      <c r="AM581">
        <f t="shared" si="165"/>
        <v>22.456207187540894</v>
      </c>
      <c r="AO581">
        <f t="shared" si="166"/>
        <v>0.25480128101310118</v>
      </c>
      <c r="AP581">
        <f t="shared" si="167"/>
        <v>22.341209543280524</v>
      </c>
    </row>
    <row r="582" spans="1:42" x14ac:dyDescent="0.2">
      <c r="A582" s="3">
        <v>580</v>
      </c>
      <c r="B582" s="3">
        <v>4.01E-7</v>
      </c>
      <c r="C582" s="2">
        <v>3.023E-2</v>
      </c>
      <c r="D582" s="3">
        <v>196000</v>
      </c>
      <c r="E582" s="3">
        <v>110000000000</v>
      </c>
      <c r="F582" s="3">
        <v>100000000000</v>
      </c>
      <c r="G582" s="3">
        <v>23600000000</v>
      </c>
      <c r="H582" s="3">
        <v>11500000000</v>
      </c>
      <c r="I582" s="2"/>
      <c r="J582" s="7">
        <f t="shared" si="168"/>
        <v>0.40100000000000002</v>
      </c>
      <c r="K582" s="7">
        <f t="shared" si="169"/>
        <v>30.23</v>
      </c>
      <c r="L582" s="7">
        <f t="shared" si="170"/>
        <v>110</v>
      </c>
      <c r="M582" s="7">
        <f t="shared" si="171"/>
        <v>196</v>
      </c>
      <c r="O582">
        <f t="shared" si="172"/>
        <v>0.28532397959183675</v>
      </c>
      <c r="P582">
        <f t="shared" si="173"/>
        <v>285.32397959183675</v>
      </c>
      <c r="V582">
        <f t="shared" si="174"/>
        <v>782.35424910477525</v>
      </c>
      <c r="W582">
        <f t="shared" si="175"/>
        <v>125.26294848163539</v>
      </c>
      <c r="AE582">
        <f t="shared" si="159"/>
        <v>0.66468254231110346</v>
      </c>
      <c r="AF582">
        <f t="shared" si="160"/>
        <v>0.6441984216931832</v>
      </c>
      <c r="AG582">
        <f t="shared" si="161"/>
        <v>0.64585424554347659</v>
      </c>
      <c r="AI582">
        <f t="shared" si="162"/>
        <v>0.25137313333427413</v>
      </c>
      <c r="AJ582">
        <f t="shared" si="163"/>
        <v>21.780111398118688</v>
      </c>
      <c r="AL582">
        <f t="shared" si="164"/>
        <v>0.25936625689671633</v>
      </c>
      <c r="AM582">
        <f t="shared" si="165"/>
        <v>23.187254479686839</v>
      </c>
      <c r="AO582">
        <f t="shared" si="166"/>
        <v>0.25870130062044455</v>
      </c>
      <c r="AP582">
        <f t="shared" si="167"/>
        <v>23.06851316153988</v>
      </c>
    </row>
    <row r="583" spans="1:42" x14ac:dyDescent="0.2">
      <c r="A583" s="3">
        <v>580</v>
      </c>
      <c r="B583" s="3">
        <v>4.0200000000000003E-7</v>
      </c>
      <c r="C583" s="2">
        <v>3.0290000000000001E-2</v>
      </c>
      <c r="D583" s="3">
        <v>197000</v>
      </c>
      <c r="E583" s="3">
        <v>111000000000</v>
      </c>
      <c r="F583" s="3">
        <v>101000000000</v>
      </c>
      <c r="G583" s="3">
        <v>6170000000</v>
      </c>
      <c r="H583" s="3">
        <v>11400000000</v>
      </c>
      <c r="I583" s="2"/>
      <c r="J583" s="7">
        <f t="shared" si="168"/>
        <v>0.40200000000000002</v>
      </c>
      <c r="K583" s="7">
        <f t="shared" si="169"/>
        <v>30.290000000000003</v>
      </c>
      <c r="L583" s="7">
        <f t="shared" si="170"/>
        <v>111</v>
      </c>
      <c r="M583" s="7">
        <f t="shared" si="171"/>
        <v>197</v>
      </c>
      <c r="O583">
        <f t="shared" si="172"/>
        <v>0.28668274111675129</v>
      </c>
      <c r="P583">
        <f t="shared" si="173"/>
        <v>286.68274111675129</v>
      </c>
      <c r="V583">
        <f t="shared" si="174"/>
        <v>784.00262713099471</v>
      </c>
      <c r="W583">
        <f t="shared" si="175"/>
        <v>125.63733409982844</v>
      </c>
      <c r="AE583">
        <f t="shared" si="159"/>
        <v>0.66807377977187432</v>
      </c>
      <c r="AF583">
        <f t="shared" si="160"/>
        <v>0.64748514833447501</v>
      </c>
      <c r="AG583">
        <f t="shared" si="161"/>
        <v>0.64914942026563716</v>
      </c>
      <c r="AI583">
        <f t="shared" si="162"/>
        <v>0.25072081119123679</v>
      </c>
      <c r="AJ583">
        <f t="shared" si="163"/>
        <v>21.602345773584261</v>
      </c>
      <c r="AL583">
        <f t="shared" si="164"/>
        <v>0.25869319231624072</v>
      </c>
      <c r="AM583">
        <f t="shared" si="165"/>
        <v>22.998003988792821</v>
      </c>
      <c r="AO583">
        <f t="shared" si="166"/>
        <v>0.25802996162494862</v>
      </c>
      <c r="AP583">
        <f t="shared" si="167"/>
        <v>22.880231817414337</v>
      </c>
    </row>
    <row r="584" spans="1:42" x14ac:dyDescent="0.2">
      <c r="A584" s="3">
        <v>580</v>
      </c>
      <c r="B584" s="3">
        <v>4.03E-7</v>
      </c>
      <c r="C584" s="2">
        <v>3.0339999999999999E-2</v>
      </c>
      <c r="D584" s="3">
        <v>186000</v>
      </c>
      <c r="E584" s="3">
        <v>106000000000</v>
      </c>
      <c r="F584" s="3">
        <v>96100000000</v>
      </c>
      <c r="G584" s="2">
        <v>0</v>
      </c>
      <c r="H584" s="3">
        <v>11700000000</v>
      </c>
      <c r="I584" s="2"/>
      <c r="J584" s="7">
        <f t="shared" si="168"/>
        <v>0.40299999999999997</v>
      </c>
      <c r="K584" s="7">
        <f t="shared" si="169"/>
        <v>30.34</v>
      </c>
      <c r="L584" s="7">
        <f t="shared" si="170"/>
        <v>106</v>
      </c>
      <c r="M584" s="7">
        <f t="shared" si="171"/>
        <v>186</v>
      </c>
      <c r="O584">
        <f t="shared" si="172"/>
        <v>0.28066129032258058</v>
      </c>
      <c r="P584">
        <f t="shared" si="173"/>
        <v>280.66129032258056</v>
      </c>
      <c r="V584">
        <f t="shared" si="174"/>
        <v>776.66422851872949</v>
      </c>
      <c r="W584">
        <f t="shared" si="175"/>
        <v>119.74286517272924</v>
      </c>
      <c r="AE584">
        <f t="shared" si="159"/>
        <v>0.63077016770339411</v>
      </c>
      <c r="AF584">
        <f t="shared" si="160"/>
        <v>0.61133115528026571</v>
      </c>
      <c r="AG584">
        <f t="shared" si="161"/>
        <v>0.6129024983218706</v>
      </c>
      <c r="AI584">
        <f t="shared" si="162"/>
        <v>0.26620895417112656</v>
      </c>
      <c r="AJ584">
        <f t="shared" si="163"/>
        <v>24.273018128525013</v>
      </c>
      <c r="AL584">
        <f t="shared" si="164"/>
        <v>0.27467382484323899</v>
      </c>
      <c r="AM584">
        <f t="shared" si="165"/>
        <v>25.841219911518767</v>
      </c>
      <c r="AO584">
        <f t="shared" si="166"/>
        <v>0.27396962343345499</v>
      </c>
      <c r="AP584">
        <f t="shared" si="167"/>
        <v>25.708887706448643</v>
      </c>
    </row>
    <row r="585" spans="1:42" x14ac:dyDescent="0.2">
      <c r="A585" s="3">
        <v>580</v>
      </c>
      <c r="B585" s="3">
        <v>4.03E-7</v>
      </c>
      <c r="C585" s="2">
        <v>3.039E-2</v>
      </c>
      <c r="D585" s="3">
        <v>182000</v>
      </c>
      <c r="E585" s="3">
        <v>104000000000</v>
      </c>
      <c r="F585" s="3">
        <v>94500000000</v>
      </c>
      <c r="G585" s="3">
        <v>7250000000</v>
      </c>
      <c r="H585" s="3">
        <v>11800000000</v>
      </c>
      <c r="I585" s="2"/>
      <c r="J585" s="7">
        <f t="shared" si="168"/>
        <v>0.40299999999999997</v>
      </c>
      <c r="K585" s="7">
        <f t="shared" si="169"/>
        <v>30.39</v>
      </c>
      <c r="L585" s="7">
        <f t="shared" si="170"/>
        <v>104</v>
      </c>
      <c r="M585" s="7">
        <f t="shared" si="171"/>
        <v>182</v>
      </c>
      <c r="O585">
        <f t="shared" si="172"/>
        <v>0.27776648351648348</v>
      </c>
      <c r="P585">
        <f t="shared" si="173"/>
        <v>277.7664835164835</v>
      </c>
      <c r="V585">
        <f t="shared" si="174"/>
        <v>773.10508016892561</v>
      </c>
      <c r="W585">
        <f t="shared" si="175"/>
        <v>117.7071556432099</v>
      </c>
      <c r="AE585">
        <f t="shared" si="159"/>
        <v>0.61720521786031035</v>
      </c>
      <c r="AF585">
        <f t="shared" si="160"/>
        <v>0.59818424871509868</v>
      </c>
      <c r="AG585">
        <f t="shared" si="161"/>
        <v>0.59972179943322823</v>
      </c>
      <c r="AI585">
        <f t="shared" si="162"/>
        <v>0.27205970041664584</v>
      </c>
      <c r="AJ585">
        <f t="shared" si="163"/>
        <v>25.393467975542549</v>
      </c>
      <c r="AL585">
        <f t="shared" si="164"/>
        <v>0.2807106122024311</v>
      </c>
      <c r="AM585">
        <f t="shared" si="165"/>
        <v>27.034058426420298</v>
      </c>
      <c r="AO585">
        <f t="shared" si="166"/>
        <v>0.27999093383858586</v>
      </c>
      <c r="AP585">
        <f t="shared" si="167"/>
        <v>26.895617726801152</v>
      </c>
    </row>
    <row r="586" spans="1:42" x14ac:dyDescent="0.2">
      <c r="A586" s="3">
        <v>580</v>
      </c>
      <c r="B586" s="3">
        <v>4.03E-7</v>
      </c>
      <c r="C586" s="2">
        <v>3.0439999999999998E-2</v>
      </c>
      <c r="D586" s="3">
        <v>177000</v>
      </c>
      <c r="E586" s="3">
        <v>101000000000</v>
      </c>
      <c r="F586" s="3">
        <v>92400000000</v>
      </c>
      <c r="G586" s="3">
        <v>2760000000</v>
      </c>
      <c r="H586" s="3">
        <v>12000000000</v>
      </c>
      <c r="I586" s="2"/>
      <c r="J586" s="7">
        <f t="shared" si="168"/>
        <v>0.40299999999999997</v>
      </c>
      <c r="K586" s="7">
        <f t="shared" si="169"/>
        <v>30.439999999999998</v>
      </c>
      <c r="L586" s="7">
        <f t="shared" si="170"/>
        <v>101</v>
      </c>
      <c r="M586" s="7">
        <f t="shared" si="171"/>
        <v>177</v>
      </c>
      <c r="O586">
        <f t="shared" si="172"/>
        <v>0.27401694915254238</v>
      </c>
      <c r="P586">
        <f t="shared" si="173"/>
        <v>274.0169491525424</v>
      </c>
      <c r="V586">
        <f t="shared" si="174"/>
        <v>768.46419915140075</v>
      </c>
      <c r="W586">
        <f t="shared" si="175"/>
        <v>115.16476642337891</v>
      </c>
      <c r="AE586">
        <f t="shared" si="159"/>
        <v>0.60024903055645562</v>
      </c>
      <c r="AF586">
        <f t="shared" si="160"/>
        <v>0.58175061550863993</v>
      </c>
      <c r="AG586">
        <f t="shared" si="161"/>
        <v>0.58324592582242529</v>
      </c>
      <c r="AI586">
        <f t="shared" si="162"/>
        <v>0.27974500268830249</v>
      </c>
      <c r="AJ586">
        <f t="shared" si="163"/>
        <v>26.892563799332613</v>
      </c>
      <c r="AL586">
        <f t="shared" si="164"/>
        <v>0.2886402905132342</v>
      </c>
      <c r="AM586">
        <f t="shared" si="165"/>
        <v>28.63000601917037</v>
      </c>
      <c r="AO586">
        <f t="shared" si="166"/>
        <v>0.28790028225210518</v>
      </c>
      <c r="AP586">
        <f t="shared" si="167"/>
        <v>28.483392514054884</v>
      </c>
    </row>
    <row r="587" spans="1:42" x14ac:dyDescent="0.2">
      <c r="A587" s="3">
        <v>590</v>
      </c>
      <c r="B587" s="3">
        <v>4.0400000000000002E-7</v>
      </c>
      <c r="C587" s="2">
        <v>3.049E-2</v>
      </c>
      <c r="D587" s="3">
        <v>181000</v>
      </c>
      <c r="E587" s="3">
        <v>103000000000</v>
      </c>
      <c r="F587" s="3">
        <v>94100000000</v>
      </c>
      <c r="G587" s="2">
        <v>0</v>
      </c>
      <c r="H587" s="3">
        <v>11900000000</v>
      </c>
      <c r="I587" s="2"/>
      <c r="J587" s="7">
        <f t="shared" si="168"/>
        <v>0.40400000000000003</v>
      </c>
      <c r="K587" s="7">
        <f t="shared" si="169"/>
        <v>30.49</v>
      </c>
      <c r="L587" s="7">
        <f t="shared" si="170"/>
        <v>103</v>
      </c>
      <c r="M587" s="7">
        <f t="shared" si="171"/>
        <v>181</v>
      </c>
      <c r="O587">
        <f t="shared" si="172"/>
        <v>0.27766022099447518</v>
      </c>
      <c r="P587">
        <f t="shared" si="173"/>
        <v>277.6602209944752</v>
      </c>
      <c r="V587">
        <f t="shared" si="174"/>
        <v>772.97403880208867</v>
      </c>
      <c r="W587">
        <f t="shared" si="175"/>
        <v>117.08025814198335</v>
      </c>
      <c r="AE587">
        <f t="shared" si="159"/>
        <v>0.61381398039953938</v>
      </c>
      <c r="AF587">
        <f t="shared" si="160"/>
        <v>0.59489752207380697</v>
      </c>
      <c r="AG587">
        <f t="shared" si="161"/>
        <v>0.59642662471106767</v>
      </c>
      <c r="AI587">
        <f t="shared" si="162"/>
        <v>0.27424160854688101</v>
      </c>
      <c r="AJ587">
        <f t="shared" si="163"/>
        <v>25.759318376017564</v>
      </c>
      <c r="AL587">
        <f t="shared" si="164"/>
        <v>0.28296190030599722</v>
      </c>
      <c r="AM587">
        <f t="shared" si="165"/>
        <v>27.423545246861543</v>
      </c>
      <c r="AO587">
        <f t="shared" si="166"/>
        <v>0.28223645014989157</v>
      </c>
      <c r="AP587">
        <f t="shared" si="167"/>
        <v>27.283109995515691</v>
      </c>
    </row>
    <row r="588" spans="1:42" x14ac:dyDescent="0.2">
      <c r="A588" s="3">
        <v>590</v>
      </c>
      <c r="B588" s="3">
        <v>4.0400000000000002E-7</v>
      </c>
      <c r="C588" s="2">
        <v>3.0550000000000001E-2</v>
      </c>
      <c r="D588" s="3">
        <v>196000</v>
      </c>
      <c r="E588" s="3">
        <v>110000000000</v>
      </c>
      <c r="F588" s="3">
        <v>99900000000</v>
      </c>
      <c r="G588" s="2">
        <v>0</v>
      </c>
      <c r="H588" s="3">
        <v>11500000000</v>
      </c>
      <c r="I588" s="2"/>
      <c r="J588" s="7">
        <f t="shared" si="168"/>
        <v>0.40400000000000003</v>
      </c>
      <c r="K588" s="7">
        <f t="shared" si="169"/>
        <v>30.55</v>
      </c>
      <c r="L588" s="7">
        <f t="shared" si="170"/>
        <v>110</v>
      </c>
      <c r="M588" s="7">
        <f t="shared" si="171"/>
        <v>196</v>
      </c>
      <c r="O588">
        <f t="shared" si="172"/>
        <v>0.28709948979591837</v>
      </c>
      <c r="P588">
        <f t="shared" si="173"/>
        <v>287.09948979591837</v>
      </c>
      <c r="V588">
        <f t="shared" si="174"/>
        <v>784.50733236912492</v>
      </c>
      <c r="W588">
        <f t="shared" si="175"/>
        <v>124.91916385797299</v>
      </c>
      <c r="AE588">
        <f t="shared" si="159"/>
        <v>0.66468254231110346</v>
      </c>
      <c r="AF588">
        <f t="shared" si="160"/>
        <v>0.6441984216931832</v>
      </c>
      <c r="AG588">
        <f t="shared" si="161"/>
        <v>0.64585424554347659</v>
      </c>
      <c r="AI588">
        <f t="shared" si="162"/>
        <v>0.25325373034176252</v>
      </c>
      <c r="AJ588">
        <f t="shared" si="163"/>
        <v>22.010665008684285</v>
      </c>
      <c r="AL588">
        <f t="shared" si="164"/>
        <v>0.2613066528335995</v>
      </c>
      <c r="AM588">
        <f t="shared" si="165"/>
        <v>23.432703418935922</v>
      </c>
      <c r="AO588">
        <f t="shared" si="166"/>
        <v>0.2606367218220938</v>
      </c>
      <c r="AP588">
        <f t="shared" si="167"/>
        <v>23.312705163249859</v>
      </c>
    </row>
    <row r="589" spans="1:42" x14ac:dyDescent="0.2">
      <c r="A589" s="3">
        <v>590</v>
      </c>
      <c r="B589" s="3">
        <v>4.0499999999999999E-7</v>
      </c>
      <c r="C589" s="2">
        <v>3.0599999999999999E-2</v>
      </c>
      <c r="D589" s="3">
        <v>174000</v>
      </c>
      <c r="E589" s="3">
        <v>99600000000</v>
      </c>
      <c r="F589" s="3">
        <v>91200000000</v>
      </c>
      <c r="G589" s="3">
        <v>12800000000</v>
      </c>
      <c r="H589" s="3">
        <v>12100000000</v>
      </c>
      <c r="I589" s="2"/>
      <c r="J589" s="7">
        <f t="shared" si="168"/>
        <v>0.40499999999999997</v>
      </c>
      <c r="K589" s="7">
        <f t="shared" si="169"/>
        <v>30.599999999999998</v>
      </c>
      <c r="L589" s="7">
        <f t="shared" si="170"/>
        <v>99.600000000000009</v>
      </c>
      <c r="M589" s="7">
        <f t="shared" si="171"/>
        <v>174</v>
      </c>
      <c r="O589">
        <f t="shared" si="172"/>
        <v>0.27310344827586208</v>
      </c>
      <c r="P589">
        <f t="shared" si="173"/>
        <v>273.10344827586209</v>
      </c>
      <c r="V589">
        <f t="shared" si="174"/>
        <v>767.32818895319269</v>
      </c>
      <c r="W589">
        <f t="shared" si="175"/>
        <v>113.38042998092833</v>
      </c>
      <c r="AE589">
        <f t="shared" si="159"/>
        <v>0.59007531817414283</v>
      </c>
      <c r="AF589">
        <f t="shared" si="160"/>
        <v>0.57189043558476471</v>
      </c>
      <c r="AG589">
        <f t="shared" si="161"/>
        <v>0.57336040165594349</v>
      </c>
      <c r="AI589">
        <f t="shared" si="162"/>
        <v>0.28598044148357105</v>
      </c>
      <c r="AJ589">
        <f t="shared" si="163"/>
        <v>27.974157914553949</v>
      </c>
      <c r="AL589">
        <f t="shared" si="164"/>
        <v>0.29507400281568114</v>
      </c>
      <c r="AM589">
        <f t="shared" si="165"/>
        <v>29.781478458174288</v>
      </c>
      <c r="AO589">
        <f t="shared" si="166"/>
        <v>0.29431749997493173</v>
      </c>
      <c r="AP589">
        <f t="shared" si="167"/>
        <v>29.62896829309258</v>
      </c>
    </row>
    <row r="590" spans="1:42" x14ac:dyDescent="0.2">
      <c r="A590" s="3">
        <v>590</v>
      </c>
      <c r="B590" s="3">
        <v>4.0600000000000001E-7</v>
      </c>
      <c r="C590" s="2">
        <v>3.065E-2</v>
      </c>
      <c r="D590" s="3">
        <v>206000</v>
      </c>
      <c r="E590" s="3">
        <v>115000000000</v>
      </c>
      <c r="F590" s="3">
        <v>104000000000</v>
      </c>
      <c r="G590" s="2">
        <v>0</v>
      </c>
      <c r="H590" s="3">
        <v>11300000000</v>
      </c>
      <c r="I590" s="2"/>
      <c r="J590" s="7">
        <f t="shared" si="168"/>
        <v>0.40600000000000003</v>
      </c>
      <c r="K590" s="7">
        <f t="shared" si="169"/>
        <v>30.65</v>
      </c>
      <c r="L590" s="7">
        <f t="shared" si="170"/>
        <v>115.00000000000001</v>
      </c>
      <c r="M590" s="7">
        <f t="shared" si="171"/>
        <v>206</v>
      </c>
      <c r="O590">
        <f t="shared" si="172"/>
        <v>0.29441019417475733</v>
      </c>
      <c r="P590">
        <f t="shared" si="173"/>
        <v>294.41019417475735</v>
      </c>
      <c r="V590">
        <f t="shared" si="174"/>
        <v>793.29546732201186</v>
      </c>
      <c r="W590">
        <f t="shared" si="175"/>
        <v>129.83812998163847</v>
      </c>
      <c r="AE590">
        <f t="shared" si="159"/>
        <v>0.69859491691881281</v>
      </c>
      <c r="AF590">
        <f t="shared" si="160"/>
        <v>0.67706568810610068</v>
      </c>
      <c r="AG590">
        <f t="shared" si="161"/>
        <v>0.67880599276508247</v>
      </c>
      <c r="AI590">
        <f t="shared" si="162"/>
        <v>0.24215273053056924</v>
      </c>
      <c r="AJ590">
        <f t="shared" si="163"/>
        <v>19.990797979744919</v>
      </c>
      <c r="AL590">
        <f t="shared" si="164"/>
        <v>0.24985266516733773</v>
      </c>
      <c r="AM590">
        <f t="shared" si="165"/>
        <v>21.282339265188227</v>
      </c>
      <c r="AO590">
        <f t="shared" si="166"/>
        <v>0.24921209958323243</v>
      </c>
      <c r="AP590">
        <f t="shared" si="167"/>
        <v>21.17335296757317</v>
      </c>
    </row>
    <row r="591" spans="1:42" x14ac:dyDescent="0.2">
      <c r="A591" s="3">
        <v>590</v>
      </c>
      <c r="B591" s="3">
        <v>4.0600000000000001E-7</v>
      </c>
      <c r="C591" s="2">
        <v>3.0700000000000002E-2</v>
      </c>
      <c r="D591" s="3">
        <v>207000</v>
      </c>
      <c r="E591" s="3">
        <v>116000000000</v>
      </c>
      <c r="F591" s="3">
        <v>104000000000</v>
      </c>
      <c r="G591" s="2">
        <v>0</v>
      </c>
      <c r="H591" s="3">
        <v>11300000000</v>
      </c>
      <c r="I591" s="2"/>
      <c r="J591" s="7">
        <f t="shared" si="168"/>
        <v>0.40600000000000003</v>
      </c>
      <c r="K591" s="7">
        <f t="shared" si="169"/>
        <v>30.700000000000003</v>
      </c>
      <c r="L591" s="7">
        <f t="shared" si="170"/>
        <v>116.00000000000001</v>
      </c>
      <c r="M591" s="7">
        <f t="shared" si="171"/>
        <v>207</v>
      </c>
      <c r="O591">
        <f t="shared" si="172"/>
        <v>0.29476811594202901</v>
      </c>
      <c r="P591">
        <f t="shared" si="173"/>
        <v>294.768115942029</v>
      </c>
      <c r="V591">
        <f t="shared" si="174"/>
        <v>793.72258407177594</v>
      </c>
      <c r="W591">
        <f t="shared" si="175"/>
        <v>130.39820470906562</v>
      </c>
      <c r="AE591">
        <f t="shared" si="159"/>
        <v>0.70198615437958378</v>
      </c>
      <c r="AF591">
        <f t="shared" si="160"/>
        <v>0.6803524147473925</v>
      </c>
      <c r="AG591">
        <f t="shared" si="161"/>
        <v>0.68210116748724314</v>
      </c>
      <c r="AI591">
        <f t="shared" si="162"/>
        <v>0.24098291057631527</v>
      </c>
      <c r="AJ591">
        <f t="shared" si="163"/>
        <v>19.830413804659976</v>
      </c>
      <c r="AL591">
        <f t="shared" si="164"/>
        <v>0.24864564746121531</v>
      </c>
      <c r="AM591">
        <f t="shared" si="165"/>
        <v>21.111593183396813</v>
      </c>
      <c r="AO591">
        <f t="shared" si="166"/>
        <v>0.24800817639683997</v>
      </c>
      <c r="AP591">
        <f t="shared" si="167"/>
        <v>21.003481271959657</v>
      </c>
    </row>
    <row r="592" spans="1:42" x14ac:dyDescent="0.2">
      <c r="A592" s="3">
        <v>590</v>
      </c>
      <c r="B592" s="3">
        <v>4.0600000000000001E-7</v>
      </c>
      <c r="C592" s="2">
        <v>3.075E-2</v>
      </c>
      <c r="D592" s="3">
        <v>180000</v>
      </c>
      <c r="E592" s="3">
        <v>102000000000</v>
      </c>
      <c r="F592" s="3">
        <v>93200000000</v>
      </c>
      <c r="G592" s="3">
        <v>19200000000</v>
      </c>
      <c r="H592" s="3">
        <v>12000000000</v>
      </c>
      <c r="I592" s="2"/>
      <c r="J592" s="7">
        <f t="shared" si="168"/>
        <v>0.40600000000000003</v>
      </c>
      <c r="K592" s="7">
        <f t="shared" si="169"/>
        <v>30.75</v>
      </c>
      <c r="L592" s="7">
        <f t="shared" si="170"/>
        <v>102</v>
      </c>
      <c r="M592" s="7">
        <f t="shared" si="171"/>
        <v>180</v>
      </c>
      <c r="O592">
        <f t="shared" si="172"/>
        <v>0.27787500000000004</v>
      </c>
      <c r="P592">
        <f t="shared" si="173"/>
        <v>277.87500000000006</v>
      </c>
      <c r="V592">
        <f t="shared" si="174"/>
        <v>773.2388722740817</v>
      </c>
      <c r="W592">
        <f t="shared" si="175"/>
        <v>116.39352757229031</v>
      </c>
      <c r="AE592">
        <f t="shared" ref="AE592:AE655" si="176">M592/(2*$Y$5)</f>
        <v>0.61042274293876841</v>
      </c>
      <c r="AF592">
        <f t="shared" ref="AF592:AF655" si="177">M592/(2*$Y$8)</f>
        <v>0.59161079543251516</v>
      </c>
      <c r="AG592">
        <f t="shared" ref="AG592:AG655" si="178">M592/(2*$Y$11)</f>
        <v>0.59313144998890699</v>
      </c>
      <c r="AI592">
        <f t="shared" ref="AI592:AI655" si="179">J592/(2.4*AE592)</f>
        <v>0.27713034716276264</v>
      </c>
      <c r="AJ592">
        <f t="shared" ref="AJ592:AJ655" si="180">K592/(3.14159*(AE592^2))</f>
        <v>26.268435159360976</v>
      </c>
      <c r="AL592">
        <f t="shared" ref="AL592:AL655" si="181">J592/(2.4*AF592)</f>
        <v>0.28594249458039761</v>
      </c>
      <c r="AM592">
        <f t="shared" ref="AM592:AM655" si="182">K592/(3.14159*(AF592^2))</f>
        <v>27.965554431272007</v>
      </c>
      <c r="AO592">
        <f t="shared" ref="AO592:AO655" si="183">J592/(2.4*AG592)</f>
        <v>0.28520940285636603</v>
      </c>
      <c r="AP592">
        <f t="shared" ref="AP592:AP655" si="184">K592/(3.14159*(AG592^2))</f>
        <v>27.822343565199489</v>
      </c>
    </row>
    <row r="593" spans="1:42" x14ac:dyDescent="0.2">
      <c r="A593" s="3">
        <v>590</v>
      </c>
      <c r="B593" s="3">
        <v>4.0699999999999998E-7</v>
      </c>
      <c r="C593" s="2">
        <v>3.0810000000000001E-2</v>
      </c>
      <c r="D593" s="3">
        <v>175000</v>
      </c>
      <c r="E593" s="3">
        <v>99700000000</v>
      </c>
      <c r="F593" s="3">
        <v>91300000000</v>
      </c>
      <c r="G593" s="3">
        <v>295000000</v>
      </c>
      <c r="H593" s="3">
        <v>12100000000</v>
      </c>
      <c r="I593" s="2"/>
      <c r="J593" s="7">
        <f t="shared" si="168"/>
        <v>0.40699999999999997</v>
      </c>
      <c r="K593" s="7">
        <f t="shared" si="169"/>
        <v>30.810000000000002</v>
      </c>
      <c r="L593" s="7">
        <f t="shared" si="170"/>
        <v>99.7</v>
      </c>
      <c r="M593" s="7">
        <f t="shared" si="171"/>
        <v>175</v>
      </c>
      <c r="O593">
        <f t="shared" si="172"/>
        <v>0.27495714285714284</v>
      </c>
      <c r="P593">
        <f t="shared" si="173"/>
        <v>274.95714285714286</v>
      </c>
      <c r="V593">
        <f t="shared" si="174"/>
        <v>769.63120340199066</v>
      </c>
      <c r="W593">
        <f t="shared" si="175"/>
        <v>113.69081660570011</v>
      </c>
      <c r="AE593">
        <f t="shared" si="176"/>
        <v>0.59346655563491379</v>
      </c>
      <c r="AF593">
        <f t="shared" si="177"/>
        <v>0.57517716222605642</v>
      </c>
      <c r="AG593">
        <f t="shared" si="178"/>
        <v>0.57665557637810405</v>
      </c>
      <c r="AI593">
        <f t="shared" si="179"/>
        <v>0.28575044663116089</v>
      </c>
      <c r="AJ593">
        <f t="shared" si="180"/>
        <v>27.845158426782024</v>
      </c>
      <c r="AL593">
        <f t="shared" si="181"/>
        <v>0.29483669462294054</v>
      </c>
      <c r="AM593">
        <f t="shared" si="182"/>
        <v>29.644144727595886</v>
      </c>
      <c r="AO593">
        <f t="shared" si="183"/>
        <v>0.29408080018659211</v>
      </c>
      <c r="AP593">
        <f t="shared" si="184"/>
        <v>29.492337844923444</v>
      </c>
    </row>
    <row r="594" spans="1:42" x14ac:dyDescent="0.2">
      <c r="A594" s="3">
        <v>590</v>
      </c>
      <c r="B594" s="3">
        <v>4.08E-7</v>
      </c>
      <c r="C594" s="2">
        <v>3.0859999999999999E-2</v>
      </c>
      <c r="D594" s="3">
        <v>179000</v>
      </c>
      <c r="E594" s="3">
        <v>102000000000</v>
      </c>
      <c r="F594" s="3">
        <v>92900000000</v>
      </c>
      <c r="G594" s="3">
        <v>11700000000</v>
      </c>
      <c r="H594" s="3">
        <v>12000000000</v>
      </c>
      <c r="I594" s="2"/>
      <c r="J594" s="7">
        <f t="shared" si="168"/>
        <v>0.40799999999999997</v>
      </c>
      <c r="K594" s="7">
        <f t="shared" si="169"/>
        <v>30.86</v>
      </c>
      <c r="L594" s="7">
        <f t="shared" si="170"/>
        <v>102</v>
      </c>
      <c r="M594" s="7">
        <f t="shared" si="171"/>
        <v>179</v>
      </c>
      <c r="O594">
        <f t="shared" si="172"/>
        <v>0.27869832402234634</v>
      </c>
      <c r="P594">
        <f t="shared" si="173"/>
        <v>278.69832402234636</v>
      </c>
      <c r="V594">
        <f t="shared" si="174"/>
        <v>774.25301801015121</v>
      </c>
      <c r="W594">
        <f t="shared" si="175"/>
        <v>115.5952872227959</v>
      </c>
      <c r="AE594">
        <f t="shared" si="176"/>
        <v>0.60703150547799756</v>
      </c>
      <c r="AF594">
        <f t="shared" si="177"/>
        <v>0.58832406879122345</v>
      </c>
      <c r="AG594">
        <f t="shared" si="178"/>
        <v>0.58983627526674642</v>
      </c>
      <c r="AI594">
        <f t="shared" si="179"/>
        <v>0.28005136218776017</v>
      </c>
      <c r="AJ594">
        <f t="shared" si="180"/>
        <v>26.65777831115194</v>
      </c>
      <c r="AL594">
        <f t="shared" si="181"/>
        <v>0.28895639158412079</v>
      </c>
      <c r="AM594">
        <f t="shared" si="182"/>
        <v>28.380051794278163</v>
      </c>
      <c r="AO594">
        <f t="shared" si="183"/>
        <v>0.288215572911516</v>
      </c>
      <c r="AP594">
        <f t="shared" si="184"/>
        <v>28.234718298150636</v>
      </c>
    </row>
    <row r="595" spans="1:42" x14ac:dyDescent="0.2">
      <c r="A595" s="3">
        <v>590</v>
      </c>
      <c r="B595" s="3">
        <v>4.08E-7</v>
      </c>
      <c r="C595" s="2">
        <v>3.091E-2</v>
      </c>
      <c r="D595" s="3">
        <v>178000</v>
      </c>
      <c r="E595" s="3">
        <v>101000000000</v>
      </c>
      <c r="F595" s="3">
        <v>92500000000</v>
      </c>
      <c r="G595" s="3">
        <v>8450000000</v>
      </c>
      <c r="H595" s="3">
        <v>12100000000</v>
      </c>
      <c r="I595" s="2"/>
      <c r="J595" s="7">
        <f t="shared" si="168"/>
        <v>0.40799999999999997</v>
      </c>
      <c r="K595" s="7">
        <f t="shared" si="169"/>
        <v>30.91</v>
      </c>
      <c r="L595" s="7">
        <f t="shared" si="170"/>
        <v>101</v>
      </c>
      <c r="M595" s="7">
        <f t="shared" si="171"/>
        <v>178</v>
      </c>
      <c r="O595">
        <f t="shared" si="172"/>
        <v>0.27776123595505614</v>
      </c>
      <c r="P595">
        <f t="shared" si="173"/>
        <v>277.76123595505612</v>
      </c>
      <c r="V595">
        <f t="shared" si="174"/>
        <v>773.09860960942592</v>
      </c>
      <c r="W595">
        <f t="shared" si="175"/>
        <v>115.12114870438499</v>
      </c>
      <c r="AE595">
        <f t="shared" si="176"/>
        <v>0.60364026801722659</v>
      </c>
      <c r="AF595">
        <f t="shared" si="177"/>
        <v>0.58503734214993164</v>
      </c>
      <c r="AG595">
        <f t="shared" si="178"/>
        <v>0.58654110054458586</v>
      </c>
      <c r="AI595">
        <f t="shared" si="179"/>
        <v>0.28162468444724192</v>
      </c>
      <c r="AJ595">
        <f t="shared" si="180"/>
        <v>27.001823409766423</v>
      </c>
      <c r="AL595">
        <f t="shared" si="181"/>
        <v>0.29057974209863835</v>
      </c>
      <c r="AM595">
        <f t="shared" si="182"/>
        <v>28.746324542302403</v>
      </c>
      <c r="AO595">
        <f t="shared" si="183"/>
        <v>0.28983476152337845</v>
      </c>
      <c r="AP595">
        <f t="shared" si="184"/>
        <v>28.599115373100265</v>
      </c>
    </row>
    <row r="596" spans="1:42" x14ac:dyDescent="0.2">
      <c r="A596" s="3">
        <v>590</v>
      </c>
      <c r="B596" s="3">
        <v>4.08E-7</v>
      </c>
      <c r="C596" s="2">
        <v>3.0960000000000001E-2</v>
      </c>
      <c r="D596" s="3">
        <v>188000</v>
      </c>
      <c r="E596" s="3">
        <v>106000000000</v>
      </c>
      <c r="F596" s="3">
        <v>96400000000</v>
      </c>
      <c r="G596" s="3">
        <v>1410000000</v>
      </c>
      <c r="H596" s="3">
        <v>11800000000</v>
      </c>
      <c r="I596" s="2"/>
      <c r="J596" s="7">
        <f t="shared" si="168"/>
        <v>0.40799999999999997</v>
      </c>
      <c r="K596" s="7">
        <f t="shared" si="169"/>
        <v>30.96</v>
      </c>
      <c r="L596" s="7">
        <f t="shared" si="170"/>
        <v>106</v>
      </c>
      <c r="M596" s="7">
        <f t="shared" si="171"/>
        <v>188</v>
      </c>
      <c r="O596">
        <f t="shared" si="172"/>
        <v>0.28448936170212763</v>
      </c>
      <c r="P596">
        <f t="shared" si="173"/>
        <v>284.48936170212761</v>
      </c>
      <c r="V596">
        <f t="shared" si="174"/>
        <v>781.33956612206157</v>
      </c>
      <c r="W596">
        <f t="shared" si="175"/>
        <v>120.30620753859947</v>
      </c>
      <c r="AE596">
        <f t="shared" si="176"/>
        <v>0.63755264262493594</v>
      </c>
      <c r="AF596">
        <f t="shared" si="177"/>
        <v>0.61790460856284923</v>
      </c>
      <c r="AG596">
        <f t="shared" si="178"/>
        <v>0.61949284776619185</v>
      </c>
      <c r="AI596">
        <f t="shared" si="179"/>
        <v>0.26664464804047378</v>
      </c>
      <c r="AJ596">
        <f t="shared" si="180"/>
        <v>24.244841301563472</v>
      </c>
      <c r="AL596">
        <f t="shared" si="181"/>
        <v>0.27512337283807248</v>
      </c>
      <c r="AM596">
        <f t="shared" si="182"/>
        <v>25.811222670217063</v>
      </c>
      <c r="AO596">
        <f t="shared" si="183"/>
        <v>0.27441801888915623</v>
      </c>
      <c r="AP596">
        <f t="shared" si="184"/>
        <v>25.67904408022784</v>
      </c>
    </row>
    <row r="597" spans="1:42" x14ac:dyDescent="0.2">
      <c r="A597" s="3">
        <v>600</v>
      </c>
      <c r="B597" s="3">
        <v>4.0900000000000002E-7</v>
      </c>
      <c r="C597" s="2">
        <v>3.1009999999999999E-2</v>
      </c>
      <c r="D597" s="3">
        <v>175000</v>
      </c>
      <c r="E597" s="3">
        <v>99400000000</v>
      </c>
      <c r="F597" s="3">
        <v>91000000000</v>
      </c>
      <c r="G597" s="3">
        <v>3610000000</v>
      </c>
      <c r="H597" s="3">
        <v>12200000000</v>
      </c>
      <c r="I597" s="2"/>
      <c r="J597" s="7">
        <f t="shared" si="168"/>
        <v>0.40900000000000003</v>
      </c>
      <c r="K597" s="7">
        <f t="shared" si="169"/>
        <v>31.009999999999998</v>
      </c>
      <c r="L597" s="7">
        <f t="shared" si="170"/>
        <v>99.4</v>
      </c>
      <c r="M597" s="7">
        <f t="shared" si="171"/>
        <v>175</v>
      </c>
      <c r="O597">
        <f t="shared" si="172"/>
        <v>0.27610000000000001</v>
      </c>
      <c r="P597">
        <f t="shared" si="173"/>
        <v>276.10000000000002</v>
      </c>
      <c r="V597">
        <f t="shared" si="174"/>
        <v>771.0467723206167</v>
      </c>
      <c r="W597">
        <f t="shared" si="175"/>
        <v>113.48209102367625</v>
      </c>
      <c r="AE597">
        <f t="shared" si="176"/>
        <v>0.59346655563491379</v>
      </c>
      <c r="AF597">
        <f t="shared" si="177"/>
        <v>0.57517716222605642</v>
      </c>
      <c r="AG597">
        <f t="shared" si="178"/>
        <v>0.57665557637810405</v>
      </c>
      <c r="AI597">
        <f t="shared" si="179"/>
        <v>0.28715462573008554</v>
      </c>
      <c r="AJ597">
        <f t="shared" si="180"/>
        <v>28.025912457465449</v>
      </c>
      <c r="AL597">
        <f t="shared" si="181"/>
        <v>0.29628552358914667</v>
      </c>
      <c r="AM597">
        <f t="shared" si="182"/>
        <v>29.836576695967164</v>
      </c>
      <c r="AO597">
        <f t="shared" si="183"/>
        <v>0.29552591468382355</v>
      </c>
      <c r="AP597">
        <f t="shared" si="184"/>
        <v>29.683784374264064</v>
      </c>
    </row>
    <row r="598" spans="1:42" x14ac:dyDescent="0.2">
      <c r="A598" s="3">
        <v>600</v>
      </c>
      <c r="B598" s="3">
        <v>4.0900000000000002E-7</v>
      </c>
      <c r="C598" s="2">
        <v>3.107E-2</v>
      </c>
      <c r="D598" s="3">
        <v>161000</v>
      </c>
      <c r="E598" s="3">
        <v>92900000000</v>
      </c>
      <c r="F598" s="3">
        <v>85500000000</v>
      </c>
      <c r="G598" s="3">
        <v>1300000000</v>
      </c>
      <c r="H598" s="3">
        <v>12700000000</v>
      </c>
      <c r="I598" s="2"/>
      <c r="J598" s="7">
        <f t="shared" si="168"/>
        <v>0.40900000000000003</v>
      </c>
      <c r="K598" s="7">
        <f t="shared" si="169"/>
        <v>31.07</v>
      </c>
      <c r="L598" s="7">
        <f t="shared" si="170"/>
        <v>92.9</v>
      </c>
      <c r="M598" s="7">
        <f t="shared" si="171"/>
        <v>161</v>
      </c>
      <c r="O598">
        <f t="shared" si="172"/>
        <v>0.26426397515527955</v>
      </c>
      <c r="P598">
        <f t="shared" si="173"/>
        <v>264.26397515527952</v>
      </c>
      <c r="V598">
        <f t="shared" si="174"/>
        <v>756.22449860510233</v>
      </c>
      <c r="W598">
        <f t="shared" si="175"/>
        <v>106.44987057214713</v>
      </c>
      <c r="AE598">
        <f t="shared" si="176"/>
        <v>0.54598923118412068</v>
      </c>
      <c r="AF598">
        <f t="shared" si="177"/>
        <v>0.52916298924797189</v>
      </c>
      <c r="AG598">
        <f t="shared" si="178"/>
        <v>0.53052313026785569</v>
      </c>
      <c r="AI598">
        <f t="shared" si="179"/>
        <v>0.31212459318487562</v>
      </c>
      <c r="AJ598">
        <f t="shared" si="180"/>
        <v>33.17596723377892</v>
      </c>
      <c r="AL598">
        <f t="shared" si="181"/>
        <v>0.32204948216211599</v>
      </c>
      <c r="AM598">
        <f t="shared" si="182"/>
        <v>35.319359979298859</v>
      </c>
      <c r="AO598">
        <f t="shared" si="183"/>
        <v>0.32122382030850394</v>
      </c>
      <c r="AP598">
        <f t="shared" si="184"/>
        <v>35.138490469123653</v>
      </c>
    </row>
    <row r="599" spans="1:42" x14ac:dyDescent="0.2">
      <c r="A599" s="3">
        <v>600</v>
      </c>
      <c r="B599" s="3">
        <v>4.0999999999999999E-7</v>
      </c>
      <c r="C599" s="2">
        <v>3.1119999999999998E-2</v>
      </c>
      <c r="D599" s="3">
        <v>180000</v>
      </c>
      <c r="E599" s="3">
        <v>102000000000</v>
      </c>
      <c r="F599" s="3">
        <v>93100000000</v>
      </c>
      <c r="G599" s="3">
        <v>5550000000</v>
      </c>
      <c r="H599" s="3">
        <v>12000000000</v>
      </c>
      <c r="I599" s="2"/>
      <c r="J599" s="7">
        <f t="shared" si="168"/>
        <v>0.41</v>
      </c>
      <c r="K599" s="7">
        <f t="shared" si="169"/>
        <v>31.119999999999997</v>
      </c>
      <c r="L599" s="7">
        <f t="shared" si="170"/>
        <v>102</v>
      </c>
      <c r="M599" s="7">
        <f t="shared" si="171"/>
        <v>180</v>
      </c>
      <c r="O599">
        <f t="shared" si="172"/>
        <v>0.28033333333333332</v>
      </c>
      <c r="P599">
        <f t="shared" si="173"/>
        <v>280.33333333333331</v>
      </c>
      <c r="V599">
        <f t="shared" si="174"/>
        <v>776.26203747077932</v>
      </c>
      <c r="W599">
        <f t="shared" si="175"/>
        <v>115.94023107614336</v>
      </c>
      <c r="AE599">
        <f t="shared" si="176"/>
        <v>0.61042274293876841</v>
      </c>
      <c r="AF599">
        <f t="shared" si="177"/>
        <v>0.59161079543251516</v>
      </c>
      <c r="AG599">
        <f t="shared" si="178"/>
        <v>0.59313144998890699</v>
      </c>
      <c r="AI599">
        <f t="shared" si="179"/>
        <v>0.27986069541067154</v>
      </c>
      <c r="AJ599">
        <f t="shared" si="180"/>
        <v>26.58451063932727</v>
      </c>
      <c r="AL599">
        <f t="shared" si="181"/>
        <v>0.28875966201468722</v>
      </c>
      <c r="AM599">
        <f t="shared" si="182"/>
        <v>28.302050533371862</v>
      </c>
      <c r="AO599">
        <f t="shared" si="183"/>
        <v>0.28801934771209375</v>
      </c>
      <c r="AP599">
        <f t="shared" si="184"/>
        <v>28.157116479642539</v>
      </c>
    </row>
    <row r="600" spans="1:42" x14ac:dyDescent="0.2">
      <c r="A600" s="3">
        <v>600</v>
      </c>
      <c r="B600" s="3">
        <v>4.1100000000000001E-7</v>
      </c>
      <c r="C600" s="2">
        <v>3.117E-2</v>
      </c>
      <c r="D600" s="3">
        <v>205000</v>
      </c>
      <c r="E600" s="3">
        <v>114000000000</v>
      </c>
      <c r="F600" s="3">
        <v>103000000000</v>
      </c>
      <c r="G600" s="3">
        <v>4100000000</v>
      </c>
      <c r="H600" s="3">
        <v>11400000000</v>
      </c>
      <c r="I600" s="2"/>
      <c r="J600" s="7">
        <f t="shared" si="168"/>
        <v>0.41100000000000003</v>
      </c>
      <c r="K600" s="7">
        <f t="shared" si="169"/>
        <v>31.169999999999998</v>
      </c>
      <c r="L600" s="7">
        <f t="shared" si="170"/>
        <v>114</v>
      </c>
      <c r="M600" s="7">
        <f t="shared" si="171"/>
        <v>205</v>
      </c>
      <c r="O600">
        <f t="shared" si="172"/>
        <v>0.29696341463414638</v>
      </c>
      <c r="P600">
        <f t="shared" si="173"/>
        <v>296.96341463414637</v>
      </c>
      <c r="V600">
        <f t="shared" si="174"/>
        <v>796.33599055803506</v>
      </c>
      <c r="W600">
        <f t="shared" si="175"/>
        <v>128.71451399323644</v>
      </c>
      <c r="AE600">
        <f t="shared" si="176"/>
        <v>0.69520367945804185</v>
      </c>
      <c r="AF600">
        <f t="shared" si="177"/>
        <v>0.67377896146480898</v>
      </c>
      <c r="AG600">
        <f t="shared" si="178"/>
        <v>0.6755108180429219</v>
      </c>
      <c r="AI600">
        <f t="shared" si="179"/>
        <v>0.24633068704915506</v>
      </c>
      <c r="AJ600">
        <f t="shared" si="180"/>
        <v>20.528781505333097</v>
      </c>
      <c r="AL600">
        <f t="shared" si="181"/>
        <v>0.25416347169359382</v>
      </c>
      <c r="AM600">
        <f t="shared" si="182"/>
        <v>21.855080179395376</v>
      </c>
      <c r="AO600">
        <f t="shared" si="183"/>
        <v>0.25351185417894934</v>
      </c>
      <c r="AP600">
        <f t="shared" si="184"/>
        <v>21.743160890676556</v>
      </c>
    </row>
    <row r="601" spans="1:42" x14ac:dyDescent="0.2">
      <c r="A601" s="3">
        <v>600</v>
      </c>
      <c r="B601" s="3">
        <v>4.1100000000000001E-7</v>
      </c>
      <c r="C601" s="2">
        <v>3.1220000000000001E-2</v>
      </c>
      <c r="D601" s="3">
        <v>158000</v>
      </c>
      <c r="E601" s="3">
        <v>91300000000</v>
      </c>
      <c r="F601" s="3">
        <v>84100000000</v>
      </c>
      <c r="G601" s="3">
        <v>96300000</v>
      </c>
      <c r="H601" s="3">
        <v>12900000000</v>
      </c>
      <c r="I601" s="2"/>
      <c r="J601" s="7">
        <f t="shared" si="168"/>
        <v>0.41100000000000003</v>
      </c>
      <c r="K601" s="7">
        <f t="shared" si="169"/>
        <v>31.220000000000002</v>
      </c>
      <c r="L601" s="7">
        <f t="shared" si="170"/>
        <v>91.300000000000011</v>
      </c>
      <c r="M601" s="7">
        <f t="shared" si="171"/>
        <v>158</v>
      </c>
      <c r="O601">
        <f t="shared" si="172"/>
        <v>0.26280379746835447</v>
      </c>
      <c r="P601">
        <f t="shared" si="173"/>
        <v>262.80379746835445</v>
      </c>
      <c r="V601">
        <f t="shared" si="174"/>
        <v>754.37049100088177</v>
      </c>
      <c r="W601">
        <f t="shared" si="175"/>
        <v>104.72307830491167</v>
      </c>
      <c r="AE601">
        <f t="shared" si="176"/>
        <v>0.53581551880180789</v>
      </c>
      <c r="AF601">
        <f t="shared" si="177"/>
        <v>0.51930280932409667</v>
      </c>
      <c r="AG601">
        <f t="shared" si="178"/>
        <v>0.520637606101374</v>
      </c>
      <c r="AI601">
        <f t="shared" si="179"/>
        <v>0.31960627117137208</v>
      </c>
      <c r="AJ601">
        <f t="shared" si="180"/>
        <v>34.614081910312585</v>
      </c>
      <c r="AL601">
        <f t="shared" si="181"/>
        <v>0.3297690613745996</v>
      </c>
      <c r="AM601">
        <f t="shared" si="182"/>
        <v>36.850386628622559</v>
      </c>
      <c r="AO601">
        <f t="shared" si="183"/>
        <v>0.32892360827015577</v>
      </c>
      <c r="AP601">
        <f t="shared" si="184"/>
        <v>36.661676771388663</v>
      </c>
    </row>
    <row r="602" spans="1:42" x14ac:dyDescent="0.2">
      <c r="A602" s="3">
        <v>600</v>
      </c>
      <c r="B602" s="3">
        <v>4.1199999999999998E-7</v>
      </c>
      <c r="C602" s="2">
        <v>3.1269999999999999E-2</v>
      </c>
      <c r="D602" s="3">
        <v>164000</v>
      </c>
      <c r="E602" s="3">
        <v>94200000000</v>
      </c>
      <c r="F602" s="3">
        <v>86700000000</v>
      </c>
      <c r="G602" s="3">
        <v>6690000000</v>
      </c>
      <c r="H602" s="3">
        <v>12600000000</v>
      </c>
      <c r="I602" s="2"/>
      <c r="J602" s="7">
        <f t="shared" si="168"/>
        <v>0.41199999999999998</v>
      </c>
      <c r="K602" s="7">
        <f t="shared" si="169"/>
        <v>31.27</v>
      </c>
      <c r="L602" s="7">
        <f t="shared" si="170"/>
        <v>94.2</v>
      </c>
      <c r="M602" s="7">
        <f t="shared" si="171"/>
        <v>164</v>
      </c>
      <c r="O602">
        <f t="shared" si="172"/>
        <v>0.26899695121951217</v>
      </c>
      <c r="P602">
        <f t="shared" si="173"/>
        <v>268.9969512195122</v>
      </c>
      <c r="V602">
        <f t="shared" si="174"/>
        <v>762.19511058113039</v>
      </c>
      <c r="W602">
        <f t="shared" si="175"/>
        <v>107.58400160489046</v>
      </c>
      <c r="AE602">
        <f t="shared" si="176"/>
        <v>0.55616294356643348</v>
      </c>
      <c r="AF602">
        <f t="shared" si="177"/>
        <v>0.53902316917184723</v>
      </c>
      <c r="AG602">
        <f t="shared" si="178"/>
        <v>0.5404086544343375</v>
      </c>
      <c r="AI602">
        <f t="shared" si="179"/>
        <v>0.30866253973312613</v>
      </c>
      <c r="AJ602">
        <f t="shared" si="180"/>
        <v>32.179128452426511</v>
      </c>
      <c r="AL602">
        <f t="shared" si="181"/>
        <v>0.31847734287640095</v>
      </c>
      <c r="AM602">
        <f t="shared" si="182"/>
        <v>34.258118644213859</v>
      </c>
      <c r="AO602">
        <f t="shared" si="183"/>
        <v>0.31766083917800225</v>
      </c>
      <c r="AP602">
        <f t="shared" si="184"/>
        <v>34.08268372290344</v>
      </c>
    </row>
    <row r="603" spans="1:42" x14ac:dyDescent="0.2">
      <c r="A603" s="3">
        <v>600</v>
      </c>
      <c r="B603" s="3">
        <v>4.1199999999999998E-7</v>
      </c>
      <c r="C603" s="2">
        <v>3.1329999999999997E-2</v>
      </c>
      <c r="D603" s="3">
        <v>213000</v>
      </c>
      <c r="E603" s="3">
        <v>117000000000</v>
      </c>
      <c r="F603" s="3">
        <v>106000000000</v>
      </c>
      <c r="G603" s="2">
        <v>0</v>
      </c>
      <c r="H603" s="3">
        <v>11200000000</v>
      </c>
      <c r="I603" s="2"/>
      <c r="J603" s="7">
        <f t="shared" si="168"/>
        <v>0.41199999999999998</v>
      </c>
      <c r="K603" s="7">
        <f t="shared" si="169"/>
        <v>31.33</v>
      </c>
      <c r="L603" s="7">
        <f t="shared" si="170"/>
        <v>117.00000000000001</v>
      </c>
      <c r="M603" s="7">
        <f t="shared" si="171"/>
        <v>213</v>
      </c>
      <c r="O603">
        <f t="shared" si="172"/>
        <v>0.30168309859154929</v>
      </c>
      <c r="P603">
        <f t="shared" si="173"/>
        <v>301.68309859154931</v>
      </c>
      <c r="V603">
        <f t="shared" si="174"/>
        <v>801.9183644660493</v>
      </c>
      <c r="W603">
        <f t="shared" si="175"/>
        <v>132.80653582601533</v>
      </c>
      <c r="AE603">
        <f t="shared" si="176"/>
        <v>0.72233357914420937</v>
      </c>
      <c r="AF603">
        <f t="shared" si="177"/>
        <v>0.70007277459514294</v>
      </c>
      <c r="AG603">
        <f t="shared" si="178"/>
        <v>0.70187221582020665</v>
      </c>
      <c r="AI603">
        <f t="shared" si="179"/>
        <v>0.2376556643954586</v>
      </c>
      <c r="AJ603">
        <f t="shared" si="180"/>
        <v>19.113282561074019</v>
      </c>
      <c r="AL603">
        <f t="shared" si="181"/>
        <v>0.24521260202690029</v>
      </c>
      <c r="AM603">
        <f t="shared" si="182"/>
        <v>20.348130392210258</v>
      </c>
      <c r="AO603">
        <f t="shared" si="183"/>
        <v>0.24458393251264018</v>
      </c>
      <c r="AP603">
        <f t="shared" si="184"/>
        <v>20.24392815357464</v>
      </c>
    </row>
    <row r="604" spans="1:42" x14ac:dyDescent="0.2">
      <c r="A604" s="3">
        <v>600</v>
      </c>
      <c r="B604" s="3">
        <v>4.1300000000000001E-7</v>
      </c>
      <c r="C604" s="2">
        <v>3.1379999999999998E-2</v>
      </c>
      <c r="D604" s="3">
        <v>165000</v>
      </c>
      <c r="E604" s="3">
        <v>94200000000</v>
      </c>
      <c r="F604" s="3">
        <v>86700000000</v>
      </c>
      <c r="G604" s="3">
        <v>2520000000</v>
      </c>
      <c r="H604" s="3">
        <v>12600000000</v>
      </c>
      <c r="I604" s="2"/>
      <c r="J604" s="7">
        <f t="shared" si="168"/>
        <v>0.41299999999999998</v>
      </c>
      <c r="K604" s="7">
        <f t="shared" si="169"/>
        <v>31.38</v>
      </c>
      <c r="L604" s="7">
        <f t="shared" si="170"/>
        <v>94.2</v>
      </c>
      <c r="M604" s="7">
        <f t="shared" si="171"/>
        <v>165</v>
      </c>
      <c r="O604">
        <f t="shared" si="172"/>
        <v>0.27036363636363636</v>
      </c>
      <c r="P604">
        <f t="shared" si="173"/>
        <v>270.36363636363637</v>
      </c>
      <c r="V604">
        <f t="shared" si="174"/>
        <v>763.90826810930093</v>
      </c>
      <c r="W604">
        <f t="shared" si="175"/>
        <v>107.99726020008963</v>
      </c>
      <c r="AE604">
        <f t="shared" si="176"/>
        <v>0.55955418102720444</v>
      </c>
      <c r="AF604">
        <f t="shared" si="177"/>
        <v>0.54230989581313893</v>
      </c>
      <c r="AG604">
        <f t="shared" si="178"/>
        <v>0.54370382915649806</v>
      </c>
      <c r="AI604">
        <f t="shared" si="179"/>
        <v>0.30753649810538541</v>
      </c>
      <c r="AJ604">
        <f t="shared" si="180"/>
        <v>31.902090525648752</v>
      </c>
      <c r="AL604">
        <f t="shared" si="181"/>
        <v>0.31731549555316846</v>
      </c>
      <c r="AM604">
        <f t="shared" si="182"/>
        <v>33.96318218630045</v>
      </c>
      <c r="AO604">
        <f t="shared" si="183"/>
        <v>0.31650197056787949</v>
      </c>
      <c r="AP604">
        <f t="shared" si="184"/>
        <v>33.789257626805949</v>
      </c>
    </row>
    <row r="605" spans="1:42" x14ac:dyDescent="0.2">
      <c r="A605" s="3">
        <v>600</v>
      </c>
      <c r="B605" s="3">
        <v>4.1399999999999997E-7</v>
      </c>
      <c r="C605" s="2">
        <v>3.143E-2</v>
      </c>
      <c r="D605" s="3">
        <v>181000</v>
      </c>
      <c r="E605" s="3">
        <v>101000000000</v>
      </c>
      <c r="F605" s="3">
        <v>92600000000</v>
      </c>
      <c r="G605" s="3">
        <v>35500000</v>
      </c>
      <c r="H605" s="3">
        <v>12000000000</v>
      </c>
      <c r="I605" s="2"/>
      <c r="J605" s="7">
        <f t="shared" si="168"/>
        <v>0.41399999999999998</v>
      </c>
      <c r="K605" s="7">
        <f t="shared" si="169"/>
        <v>31.43</v>
      </c>
      <c r="L605" s="7">
        <f t="shared" si="170"/>
        <v>101</v>
      </c>
      <c r="M605" s="7">
        <f t="shared" si="171"/>
        <v>181</v>
      </c>
      <c r="O605">
        <f t="shared" si="172"/>
        <v>0.2837651933701657</v>
      </c>
      <c r="P605">
        <f t="shared" si="173"/>
        <v>283.76519337016572</v>
      </c>
      <c r="V605">
        <f t="shared" si="174"/>
        <v>780.45781744634735</v>
      </c>
      <c r="W605">
        <f t="shared" si="175"/>
        <v>115.95758025221066</v>
      </c>
      <c r="AE605">
        <f t="shared" si="176"/>
        <v>0.61381398039953938</v>
      </c>
      <c r="AF605">
        <f t="shared" si="177"/>
        <v>0.59489752207380697</v>
      </c>
      <c r="AG605">
        <f t="shared" si="178"/>
        <v>0.59642662471106767</v>
      </c>
      <c r="AI605">
        <f t="shared" si="179"/>
        <v>0.28102976717427902</v>
      </c>
      <c r="AJ605">
        <f t="shared" si="180"/>
        <v>26.553472501089935</v>
      </c>
      <c r="AL605">
        <f t="shared" si="181"/>
        <v>0.28996590773931397</v>
      </c>
      <c r="AM605">
        <f t="shared" si="182"/>
        <v>28.269007120657864</v>
      </c>
      <c r="AO605">
        <f t="shared" si="183"/>
        <v>0.28922250089617596</v>
      </c>
      <c r="AP605">
        <f t="shared" si="184"/>
        <v>28.124242281372851</v>
      </c>
    </row>
    <row r="606" spans="1:42" x14ac:dyDescent="0.2">
      <c r="A606" s="3">
        <v>600</v>
      </c>
      <c r="B606" s="3">
        <v>4.1399999999999997E-7</v>
      </c>
      <c r="C606" s="2">
        <v>3.1480000000000001E-2</v>
      </c>
      <c r="D606" s="3">
        <v>180000</v>
      </c>
      <c r="E606" s="3">
        <v>101000000000</v>
      </c>
      <c r="F606" s="3">
        <v>92400000000</v>
      </c>
      <c r="G606" s="2">
        <v>0</v>
      </c>
      <c r="H606" s="3">
        <v>12100000000</v>
      </c>
      <c r="I606" s="2"/>
      <c r="J606" s="7">
        <f t="shared" si="168"/>
        <v>0.41399999999999998</v>
      </c>
      <c r="K606" s="7">
        <f t="shared" si="169"/>
        <v>31.48</v>
      </c>
      <c r="L606" s="7">
        <f t="shared" si="170"/>
        <v>101</v>
      </c>
      <c r="M606" s="7">
        <f t="shared" si="171"/>
        <v>180</v>
      </c>
      <c r="O606">
        <f t="shared" si="172"/>
        <v>0.28283333333333327</v>
      </c>
      <c r="P606">
        <f t="shared" si="173"/>
        <v>282.83333333333326</v>
      </c>
      <c r="V606">
        <f t="shared" si="174"/>
        <v>779.32133690098124</v>
      </c>
      <c r="W606">
        <f t="shared" si="175"/>
        <v>115.48509676110046</v>
      </c>
      <c r="AE606">
        <f t="shared" si="176"/>
        <v>0.61042274293876841</v>
      </c>
      <c r="AF606">
        <f t="shared" si="177"/>
        <v>0.59161079543251516</v>
      </c>
      <c r="AG606">
        <f t="shared" si="178"/>
        <v>0.59313144998890699</v>
      </c>
      <c r="AI606">
        <f t="shared" si="179"/>
        <v>0.28259104365858057</v>
      </c>
      <c r="AJ606">
        <f t="shared" si="180"/>
        <v>26.892043538753935</v>
      </c>
      <c r="AL606">
        <f t="shared" si="181"/>
        <v>0.29157682944897684</v>
      </c>
      <c r="AM606">
        <f t="shared" si="182"/>
        <v>28.62945214622578</v>
      </c>
      <c r="AO606">
        <f t="shared" si="183"/>
        <v>0.29082929256782147</v>
      </c>
      <c r="AP606">
        <f t="shared" si="184"/>
        <v>28.482841477479024</v>
      </c>
    </row>
    <row r="607" spans="1:42" x14ac:dyDescent="0.2">
      <c r="A607" s="3">
        <v>610</v>
      </c>
      <c r="B607" s="3">
        <v>4.15E-7</v>
      </c>
      <c r="C607" s="2">
        <v>3.1530000000000002E-2</v>
      </c>
      <c r="D607" s="3">
        <v>192000</v>
      </c>
      <c r="E607" s="3">
        <v>107000000000</v>
      </c>
      <c r="F607" s="3">
        <v>96900000000</v>
      </c>
      <c r="G607" s="2">
        <v>0</v>
      </c>
      <c r="H607" s="3">
        <v>11700000000</v>
      </c>
      <c r="I607" s="2"/>
      <c r="J607" s="7">
        <f t="shared" si="168"/>
        <v>0.41499999999999998</v>
      </c>
      <c r="K607" s="7">
        <f t="shared" si="169"/>
        <v>31.53</v>
      </c>
      <c r="L607" s="7">
        <f t="shared" si="170"/>
        <v>107</v>
      </c>
      <c r="M607" s="7">
        <f t="shared" si="171"/>
        <v>192</v>
      </c>
      <c r="O607">
        <f t="shared" si="172"/>
        <v>0.29183593749999998</v>
      </c>
      <c r="P607">
        <f t="shared" si="173"/>
        <v>291.8359375</v>
      </c>
      <c r="V607">
        <f t="shared" si="174"/>
        <v>790.21498749757541</v>
      </c>
      <c r="W607">
        <f t="shared" si="175"/>
        <v>121.48592663878644</v>
      </c>
      <c r="AE607">
        <f t="shared" si="176"/>
        <v>0.6511175924680197</v>
      </c>
      <c r="AF607">
        <f t="shared" si="177"/>
        <v>0.63105151512801616</v>
      </c>
      <c r="AG607">
        <f t="shared" si="178"/>
        <v>0.63267354665483422</v>
      </c>
      <c r="AI607">
        <f t="shared" si="179"/>
        <v>0.26556902880052291</v>
      </c>
      <c r="AJ607">
        <f t="shared" si="180"/>
        <v>23.67312577861999</v>
      </c>
      <c r="AL607">
        <f t="shared" si="181"/>
        <v>0.27401355122582743</v>
      </c>
      <c r="AM607">
        <f t="shared" si="182"/>
        <v>25.202570442587835</v>
      </c>
      <c r="AO607">
        <f t="shared" si="183"/>
        <v>0.27331104260789379</v>
      </c>
      <c r="AP607">
        <f t="shared" si="184"/>
        <v>25.073508744590505</v>
      </c>
    </row>
    <row r="608" spans="1:42" x14ac:dyDescent="0.2">
      <c r="A608" s="3">
        <v>610</v>
      </c>
      <c r="B608" s="3">
        <v>4.15E-7</v>
      </c>
      <c r="C608" s="2">
        <v>3.159E-2</v>
      </c>
      <c r="D608" s="3">
        <v>194000</v>
      </c>
      <c r="E608" s="3">
        <v>108000000000</v>
      </c>
      <c r="F608" s="3">
        <v>97900000000</v>
      </c>
      <c r="G608" s="3">
        <v>9360000000</v>
      </c>
      <c r="H608" s="3">
        <v>11700000000</v>
      </c>
      <c r="I608" s="2"/>
      <c r="J608" s="7">
        <f t="shared" si="168"/>
        <v>0.41499999999999998</v>
      </c>
      <c r="K608" s="7">
        <f t="shared" si="169"/>
        <v>31.59</v>
      </c>
      <c r="L608" s="7">
        <f t="shared" si="170"/>
        <v>108</v>
      </c>
      <c r="M608" s="7">
        <f t="shared" si="171"/>
        <v>194</v>
      </c>
      <c r="O608">
        <f t="shared" si="172"/>
        <v>0.29287371134020618</v>
      </c>
      <c r="P608">
        <f t="shared" si="173"/>
        <v>292.87371134020617</v>
      </c>
      <c r="V608">
        <f t="shared" si="174"/>
        <v>791.45865141460979</v>
      </c>
      <c r="W608">
        <f t="shared" si="175"/>
        <v>122.55851878885589</v>
      </c>
      <c r="AE608">
        <f t="shared" si="176"/>
        <v>0.65790006738956153</v>
      </c>
      <c r="AF608">
        <f t="shared" si="177"/>
        <v>0.63762496841059968</v>
      </c>
      <c r="AG608">
        <f t="shared" si="178"/>
        <v>0.63926389609915535</v>
      </c>
      <c r="AI608">
        <f t="shared" si="179"/>
        <v>0.26283120376134228</v>
      </c>
      <c r="AJ608">
        <f t="shared" si="180"/>
        <v>23.231660813050041</v>
      </c>
      <c r="AL608">
        <f t="shared" si="181"/>
        <v>0.27118866925442714</v>
      </c>
      <c r="AM608">
        <f t="shared" si="182"/>
        <v>24.732583842729543</v>
      </c>
      <c r="AO608">
        <f t="shared" si="183"/>
        <v>0.27049340299337943</v>
      </c>
      <c r="AP608">
        <f t="shared" si="184"/>
        <v>24.605928933704472</v>
      </c>
    </row>
    <row r="609" spans="1:42" x14ac:dyDescent="0.2">
      <c r="A609" s="3">
        <v>610</v>
      </c>
      <c r="B609" s="3">
        <v>4.1600000000000002E-7</v>
      </c>
      <c r="C609" s="2">
        <v>3.1640000000000001E-2</v>
      </c>
      <c r="D609" s="3">
        <v>174000</v>
      </c>
      <c r="E609" s="3">
        <v>98100000000</v>
      </c>
      <c r="F609" s="3">
        <v>89900000000</v>
      </c>
      <c r="G609" s="2">
        <v>0</v>
      </c>
      <c r="H609" s="3">
        <v>12300000000</v>
      </c>
      <c r="I609" s="2"/>
      <c r="J609" s="7">
        <f t="shared" si="168"/>
        <v>0.41600000000000004</v>
      </c>
      <c r="K609" s="7">
        <f t="shared" si="169"/>
        <v>31.64</v>
      </c>
      <c r="L609" s="7">
        <f t="shared" si="170"/>
        <v>98.100000000000009</v>
      </c>
      <c r="M609" s="7">
        <f t="shared" si="171"/>
        <v>174</v>
      </c>
      <c r="O609">
        <f t="shared" si="172"/>
        <v>0.27962068965517245</v>
      </c>
      <c r="P609">
        <f t="shared" si="173"/>
        <v>279.62068965517244</v>
      </c>
      <c r="V609">
        <f t="shared" si="174"/>
        <v>775.38718034055898</v>
      </c>
      <c r="W609">
        <f t="shared" si="175"/>
        <v>112.20200979050053</v>
      </c>
      <c r="AE609">
        <f t="shared" si="176"/>
        <v>0.59007531817414283</v>
      </c>
      <c r="AF609">
        <f t="shared" si="177"/>
        <v>0.57189043558476471</v>
      </c>
      <c r="AG609">
        <f t="shared" si="178"/>
        <v>0.57336040165594349</v>
      </c>
      <c r="AI609">
        <f t="shared" si="179"/>
        <v>0.29374781149917423</v>
      </c>
      <c r="AJ609">
        <f t="shared" si="180"/>
        <v>28.924913608381928</v>
      </c>
      <c r="AL609">
        <f t="shared" si="181"/>
        <v>0.30308835844771204</v>
      </c>
      <c r="AM609">
        <f t="shared" si="182"/>
        <v>30.793659425380213</v>
      </c>
      <c r="AO609">
        <f t="shared" si="183"/>
        <v>0.30231130861622624</v>
      </c>
      <c r="AP609">
        <f t="shared" si="184"/>
        <v>30.635965908282657</v>
      </c>
    </row>
    <row r="610" spans="1:42" x14ac:dyDescent="0.2">
      <c r="A610" s="3">
        <v>610</v>
      </c>
      <c r="B610" s="3">
        <v>4.1600000000000002E-7</v>
      </c>
      <c r="C610" s="2">
        <v>3.1690000000000003E-2</v>
      </c>
      <c r="D610" s="3">
        <v>197000</v>
      </c>
      <c r="E610" s="3">
        <v>109000000000</v>
      </c>
      <c r="F610" s="3">
        <v>98800000000</v>
      </c>
      <c r="G610" s="2">
        <v>0</v>
      </c>
      <c r="H610" s="3">
        <v>11600000000</v>
      </c>
      <c r="I610" s="2"/>
      <c r="J610" s="7">
        <f t="shared" si="168"/>
        <v>0.41600000000000004</v>
      </c>
      <c r="K610" s="7">
        <f t="shared" si="169"/>
        <v>31.69</v>
      </c>
      <c r="L610" s="7">
        <f t="shared" si="170"/>
        <v>109</v>
      </c>
      <c r="M610" s="7">
        <f t="shared" si="171"/>
        <v>197</v>
      </c>
      <c r="O610">
        <f t="shared" si="172"/>
        <v>0.29535279187817265</v>
      </c>
      <c r="P610">
        <f t="shared" si="173"/>
        <v>295.35279187817264</v>
      </c>
      <c r="V610">
        <f t="shared" si="174"/>
        <v>794.41967120376989</v>
      </c>
      <c r="W610">
        <f t="shared" si="175"/>
        <v>123.98988037487128</v>
      </c>
      <c r="AE610">
        <f t="shared" si="176"/>
        <v>0.66807377977187432</v>
      </c>
      <c r="AF610">
        <f t="shared" si="177"/>
        <v>0.64748514833447501</v>
      </c>
      <c r="AG610">
        <f t="shared" si="178"/>
        <v>0.64914942026563716</v>
      </c>
      <c r="AI610">
        <f t="shared" si="179"/>
        <v>0.2594523817302351</v>
      </c>
      <c r="AJ610">
        <f t="shared" si="180"/>
        <v>22.600803485139821</v>
      </c>
      <c r="AL610">
        <f t="shared" si="181"/>
        <v>0.26770240796904515</v>
      </c>
      <c r="AM610">
        <f t="shared" si="182"/>
        <v>24.060968847964492</v>
      </c>
      <c r="AO610">
        <f t="shared" si="183"/>
        <v>0.26701607969148916</v>
      </c>
      <c r="AP610">
        <f t="shared" si="184"/>
        <v>23.937753261599877</v>
      </c>
    </row>
    <row r="611" spans="1:42" x14ac:dyDescent="0.2">
      <c r="A611" s="3">
        <v>610</v>
      </c>
      <c r="B611" s="3">
        <v>4.1699999999999999E-7</v>
      </c>
      <c r="C611" s="2">
        <v>3.175E-2</v>
      </c>
      <c r="D611" s="3">
        <v>176000</v>
      </c>
      <c r="E611" s="3">
        <v>99100000000</v>
      </c>
      <c r="F611" s="3">
        <v>90700000000</v>
      </c>
      <c r="G611" s="2">
        <v>0</v>
      </c>
      <c r="H611" s="3">
        <v>12200000000</v>
      </c>
      <c r="I611" s="2"/>
      <c r="J611" s="7">
        <f t="shared" si="168"/>
        <v>0.41699999999999998</v>
      </c>
      <c r="K611" s="7">
        <f t="shared" si="169"/>
        <v>31.75</v>
      </c>
      <c r="L611" s="7">
        <f t="shared" si="170"/>
        <v>99.100000000000009</v>
      </c>
      <c r="M611" s="7">
        <f t="shared" si="171"/>
        <v>176</v>
      </c>
      <c r="O611">
        <f t="shared" si="172"/>
        <v>0.28170170454545451</v>
      </c>
      <c r="P611">
        <f t="shared" si="173"/>
        <v>281.7017045454545</v>
      </c>
      <c r="V611">
        <f t="shared" si="174"/>
        <v>777.93841407584421</v>
      </c>
      <c r="W611">
        <f t="shared" si="175"/>
        <v>113.11949430410894</v>
      </c>
      <c r="AE611">
        <f t="shared" si="176"/>
        <v>0.59685779309568476</v>
      </c>
      <c r="AF611">
        <f t="shared" si="177"/>
        <v>0.57846388886734823</v>
      </c>
      <c r="AG611">
        <f t="shared" si="178"/>
        <v>0.57995075110026462</v>
      </c>
      <c r="AI611">
        <f t="shared" si="179"/>
        <v>0.29110786859097842</v>
      </c>
      <c r="AJ611">
        <f t="shared" si="180"/>
        <v>28.369552560424037</v>
      </c>
      <c r="AL611">
        <f t="shared" si="181"/>
        <v>0.30036447104798253</v>
      </c>
      <c r="AM611">
        <f t="shared" si="182"/>
        <v>30.202418282866255</v>
      </c>
      <c r="AO611">
        <f t="shared" si="183"/>
        <v>0.29959440464619952</v>
      </c>
      <c r="AP611">
        <f t="shared" si="184"/>
        <v>30.047752496053299</v>
      </c>
    </row>
    <row r="612" spans="1:42" x14ac:dyDescent="0.2">
      <c r="A612" s="3">
        <v>610</v>
      </c>
      <c r="B612" s="3">
        <v>4.1800000000000001E-7</v>
      </c>
      <c r="C612" s="2">
        <v>3.1800000000000002E-2</v>
      </c>
      <c r="D612" s="3">
        <v>188000</v>
      </c>
      <c r="E612" s="3">
        <v>104000000000</v>
      </c>
      <c r="F612" s="3">
        <v>95200000000</v>
      </c>
      <c r="G612" s="3">
        <v>10200000000</v>
      </c>
      <c r="H612" s="3">
        <v>11800000000</v>
      </c>
      <c r="I612" s="2"/>
      <c r="J612" s="7">
        <f t="shared" si="168"/>
        <v>0.41800000000000004</v>
      </c>
      <c r="K612" s="7">
        <f t="shared" si="169"/>
        <v>31.8</v>
      </c>
      <c r="L612" s="7">
        <f t="shared" si="170"/>
        <v>104</v>
      </c>
      <c r="M612" s="7">
        <f t="shared" si="171"/>
        <v>188</v>
      </c>
      <c r="O612">
        <f t="shared" si="172"/>
        <v>0.29113829787234047</v>
      </c>
      <c r="P612">
        <f t="shared" si="173"/>
        <v>291.13829787234044</v>
      </c>
      <c r="V612">
        <f t="shared" si="174"/>
        <v>789.37755395153408</v>
      </c>
      <c r="W612">
        <f t="shared" si="175"/>
        <v>119.08116658428747</v>
      </c>
      <c r="AE612">
        <f t="shared" si="176"/>
        <v>0.63755264262493594</v>
      </c>
      <c r="AF612">
        <f t="shared" si="177"/>
        <v>0.61790460856284923</v>
      </c>
      <c r="AG612">
        <f t="shared" si="178"/>
        <v>0.61949284776619185</v>
      </c>
      <c r="AI612">
        <f t="shared" si="179"/>
        <v>0.27318005608068152</v>
      </c>
      <c r="AJ612">
        <f t="shared" si="180"/>
        <v>24.902647073311321</v>
      </c>
      <c r="AL612">
        <f t="shared" si="181"/>
        <v>0.2818665927605743</v>
      </c>
      <c r="AM612">
        <f t="shared" si="182"/>
        <v>26.511527161269463</v>
      </c>
      <c r="AO612">
        <f t="shared" si="183"/>
        <v>0.2811439507246748</v>
      </c>
      <c r="AP612">
        <f t="shared" si="184"/>
        <v>26.375762330466578</v>
      </c>
    </row>
    <row r="613" spans="1:42" x14ac:dyDescent="0.2">
      <c r="A613" s="3">
        <v>610</v>
      </c>
      <c r="B613" s="3">
        <v>4.1800000000000001E-7</v>
      </c>
      <c r="C613" s="2">
        <v>3.1850000000000003E-2</v>
      </c>
      <c r="D613" s="3">
        <v>189000</v>
      </c>
      <c r="E613" s="3">
        <v>105000000000</v>
      </c>
      <c r="F613" s="3">
        <v>95800000000</v>
      </c>
      <c r="G613" s="3">
        <v>4190000000</v>
      </c>
      <c r="H613" s="3">
        <v>11800000000</v>
      </c>
      <c r="I613" s="2"/>
      <c r="J613" s="7">
        <f t="shared" si="168"/>
        <v>0.41800000000000004</v>
      </c>
      <c r="K613" s="7">
        <f t="shared" si="169"/>
        <v>31.850000000000005</v>
      </c>
      <c r="L613" s="7">
        <f t="shared" si="170"/>
        <v>105</v>
      </c>
      <c r="M613" s="7">
        <f t="shared" si="171"/>
        <v>189</v>
      </c>
      <c r="O613">
        <f t="shared" si="172"/>
        <v>0.29161111111111115</v>
      </c>
      <c r="P613">
        <f t="shared" si="173"/>
        <v>291.61111111111114</v>
      </c>
      <c r="V613">
        <f t="shared" si="174"/>
        <v>789.94523199523042</v>
      </c>
      <c r="W613">
        <f t="shared" si="175"/>
        <v>119.62854660355819</v>
      </c>
      <c r="AE613">
        <f t="shared" si="176"/>
        <v>0.64094388008570691</v>
      </c>
      <c r="AF613">
        <f t="shared" si="177"/>
        <v>0.62119133520414094</v>
      </c>
      <c r="AG613">
        <f t="shared" si="178"/>
        <v>0.62278802248835241</v>
      </c>
      <c r="AI613">
        <f t="shared" si="179"/>
        <v>0.27173465895856147</v>
      </c>
      <c r="AJ613">
        <f t="shared" si="180"/>
        <v>24.678566003374353</v>
      </c>
      <c r="AL613">
        <f t="shared" si="181"/>
        <v>0.28037523512692047</v>
      </c>
      <c r="AM613">
        <f t="shared" si="182"/>
        <v>26.272968932721668</v>
      </c>
      <c r="AO613">
        <f t="shared" si="183"/>
        <v>0.27965641659385637</v>
      </c>
      <c r="AP613">
        <f t="shared" si="184"/>
        <v>26.138425752310269</v>
      </c>
    </row>
    <row r="614" spans="1:42" x14ac:dyDescent="0.2">
      <c r="A614" s="3">
        <v>610</v>
      </c>
      <c r="B614" s="3">
        <v>4.1899999999999998E-7</v>
      </c>
      <c r="C614" s="2">
        <v>3.1899999999999998E-2</v>
      </c>
      <c r="D614" s="3">
        <v>198000</v>
      </c>
      <c r="E614" s="3">
        <v>109000000000</v>
      </c>
      <c r="F614" s="3">
        <v>98900000000</v>
      </c>
      <c r="G614" s="3">
        <v>1460000000</v>
      </c>
      <c r="H614" s="3">
        <v>11600000000</v>
      </c>
      <c r="I614" s="2"/>
      <c r="J614" s="7">
        <f t="shared" si="168"/>
        <v>0.41899999999999998</v>
      </c>
      <c r="K614" s="7">
        <f t="shared" si="169"/>
        <v>31.9</v>
      </c>
      <c r="L614" s="7">
        <f t="shared" si="170"/>
        <v>109</v>
      </c>
      <c r="M614" s="7">
        <f t="shared" si="171"/>
        <v>198</v>
      </c>
      <c r="O614">
        <f t="shared" si="172"/>
        <v>0.29816666666666669</v>
      </c>
      <c r="P614">
        <f t="shared" si="173"/>
        <v>298.16666666666669</v>
      </c>
      <c r="V614">
        <f t="shared" si="174"/>
        <v>797.76384529554912</v>
      </c>
      <c r="W614">
        <f t="shared" si="175"/>
        <v>124.09687476288585</v>
      </c>
      <c r="AE614">
        <f t="shared" si="176"/>
        <v>0.67146501723264529</v>
      </c>
      <c r="AF614">
        <f t="shared" si="177"/>
        <v>0.65077187497576672</v>
      </c>
      <c r="AG614">
        <f t="shared" si="178"/>
        <v>0.65244459498779772</v>
      </c>
      <c r="AI614">
        <f t="shared" si="179"/>
        <v>0.26000361724406068</v>
      </c>
      <c r="AJ614">
        <f t="shared" si="180"/>
        <v>22.521348695387083</v>
      </c>
      <c r="AL614">
        <f t="shared" si="181"/>
        <v>0.26827117158348984</v>
      </c>
      <c r="AM614">
        <f t="shared" si="182"/>
        <v>23.976380739301938</v>
      </c>
      <c r="AO614">
        <f t="shared" si="183"/>
        <v>0.26758338512498286</v>
      </c>
      <c r="AP614">
        <f t="shared" si="184"/>
        <v>23.853598326409021</v>
      </c>
    </row>
    <row r="615" spans="1:42" x14ac:dyDescent="0.2">
      <c r="A615" s="3">
        <v>610</v>
      </c>
      <c r="B615" s="3">
        <v>4.2E-7</v>
      </c>
      <c r="C615" s="2">
        <v>3.1949999999999999E-2</v>
      </c>
      <c r="D615" s="3">
        <v>178000</v>
      </c>
      <c r="E615" s="3">
        <v>99700000000</v>
      </c>
      <c r="F615" s="3">
        <v>91200000000</v>
      </c>
      <c r="G615" s="3">
        <v>2370000000</v>
      </c>
      <c r="H615" s="3">
        <v>12100000000</v>
      </c>
      <c r="I615" s="2"/>
      <c r="J615" s="7">
        <f t="shared" si="168"/>
        <v>0.42</v>
      </c>
      <c r="K615" s="7">
        <f t="shared" si="169"/>
        <v>31.95</v>
      </c>
      <c r="L615" s="7">
        <f t="shared" si="170"/>
        <v>99.7</v>
      </c>
      <c r="M615" s="7">
        <f t="shared" si="171"/>
        <v>178</v>
      </c>
      <c r="O615">
        <f t="shared" si="172"/>
        <v>0.2853792134831461</v>
      </c>
      <c r="P615">
        <f t="shared" si="173"/>
        <v>285.37921348314609</v>
      </c>
      <c r="V615">
        <f t="shared" si="174"/>
        <v>782.42134110428083</v>
      </c>
      <c r="W615">
        <f t="shared" si="175"/>
        <v>113.7494535545115</v>
      </c>
      <c r="AE615">
        <f t="shared" si="176"/>
        <v>0.60364026801722659</v>
      </c>
      <c r="AF615">
        <f t="shared" si="177"/>
        <v>0.58503734214993164</v>
      </c>
      <c r="AG615">
        <f t="shared" si="178"/>
        <v>0.58654110054458586</v>
      </c>
      <c r="AI615">
        <f t="shared" si="179"/>
        <v>0.28990776340157259</v>
      </c>
      <c r="AJ615">
        <f t="shared" si="180"/>
        <v>27.910328629635625</v>
      </c>
      <c r="AL615">
        <f t="shared" si="181"/>
        <v>0.29912620510153948</v>
      </c>
      <c r="AM615">
        <f t="shared" si="182"/>
        <v>29.713525368054409</v>
      </c>
      <c r="AO615">
        <f t="shared" si="183"/>
        <v>0.29835931333288962</v>
      </c>
      <c r="AP615">
        <f t="shared" si="184"/>
        <v>29.561363188953525</v>
      </c>
    </row>
    <row r="616" spans="1:42" x14ac:dyDescent="0.2">
      <c r="A616" s="3">
        <v>610</v>
      </c>
      <c r="B616" s="3">
        <v>4.2E-7</v>
      </c>
      <c r="C616" s="2">
        <v>3.2000000000000001E-2</v>
      </c>
      <c r="D616" s="3">
        <v>192000</v>
      </c>
      <c r="E616" s="3">
        <v>106000000000</v>
      </c>
      <c r="F616" s="3">
        <v>96600000000</v>
      </c>
      <c r="G616" s="2">
        <v>0</v>
      </c>
      <c r="H616" s="3">
        <v>11700000000</v>
      </c>
      <c r="I616" s="2"/>
      <c r="J616" s="7">
        <f t="shared" si="168"/>
        <v>0.42</v>
      </c>
      <c r="K616" s="7">
        <f t="shared" si="169"/>
        <v>32</v>
      </c>
      <c r="L616" s="7">
        <f t="shared" si="170"/>
        <v>106</v>
      </c>
      <c r="M616" s="7">
        <f t="shared" si="171"/>
        <v>192</v>
      </c>
      <c r="O616">
        <f t="shared" si="172"/>
        <v>0.29499999999999998</v>
      </c>
      <c r="P616">
        <f t="shared" si="173"/>
        <v>295</v>
      </c>
      <c r="V616">
        <f t="shared" si="174"/>
        <v>793.99914278158622</v>
      </c>
      <c r="W616">
        <f t="shared" si="175"/>
        <v>120.90693154111848</v>
      </c>
      <c r="AE616">
        <f t="shared" si="176"/>
        <v>0.6511175924680197</v>
      </c>
      <c r="AF616">
        <f t="shared" si="177"/>
        <v>0.63105151512801616</v>
      </c>
      <c r="AG616">
        <f t="shared" si="178"/>
        <v>0.63267354665483422</v>
      </c>
      <c r="AI616">
        <f t="shared" si="179"/>
        <v>0.26876865565354124</v>
      </c>
      <c r="AJ616">
        <f t="shared" si="180"/>
        <v>24.026007767708204</v>
      </c>
      <c r="AL616">
        <f t="shared" si="181"/>
        <v>0.2773149193128856</v>
      </c>
      <c r="AM616">
        <f t="shared" si="182"/>
        <v>25.578251004212202</v>
      </c>
      <c r="AO616">
        <f t="shared" si="183"/>
        <v>0.27660394673569977</v>
      </c>
      <c r="AP616">
        <f t="shared" si="184"/>
        <v>25.447265455975142</v>
      </c>
    </row>
    <row r="617" spans="1:42" x14ac:dyDescent="0.2">
      <c r="A617" s="3">
        <v>620</v>
      </c>
      <c r="B617" s="3">
        <v>4.2E-7</v>
      </c>
      <c r="C617" s="2">
        <v>3.2059999999999998E-2</v>
      </c>
      <c r="D617" s="3">
        <v>191000</v>
      </c>
      <c r="E617" s="3">
        <v>105000000000</v>
      </c>
      <c r="F617" s="3">
        <v>96000000000</v>
      </c>
      <c r="G617" s="3">
        <v>11500000000</v>
      </c>
      <c r="H617" s="3">
        <v>11800000000</v>
      </c>
      <c r="I617" s="2"/>
      <c r="J617" s="7">
        <f t="shared" si="168"/>
        <v>0.42</v>
      </c>
      <c r="K617" s="7">
        <f t="shared" si="169"/>
        <v>32.059999999999995</v>
      </c>
      <c r="L617" s="7">
        <f t="shared" si="170"/>
        <v>105</v>
      </c>
      <c r="M617" s="7">
        <f t="shared" si="171"/>
        <v>191</v>
      </c>
      <c r="O617">
        <f t="shared" si="172"/>
        <v>0.29410994764397902</v>
      </c>
      <c r="P617">
        <f t="shared" si="173"/>
        <v>294.10994764397901</v>
      </c>
      <c r="V617">
        <f t="shared" si="174"/>
        <v>792.93695271737181</v>
      </c>
      <c r="W617">
        <f t="shared" si="175"/>
        <v>120.43832699778245</v>
      </c>
      <c r="AE617">
        <f t="shared" si="176"/>
        <v>0.64772635500724873</v>
      </c>
      <c r="AF617">
        <f t="shared" si="177"/>
        <v>0.62776478848672446</v>
      </c>
      <c r="AG617">
        <f t="shared" si="178"/>
        <v>0.62937837193267354</v>
      </c>
      <c r="AI617">
        <f t="shared" si="179"/>
        <v>0.27017582138994722</v>
      </c>
      <c r="AJ617">
        <f t="shared" si="180"/>
        <v>24.323769304725726</v>
      </c>
      <c r="AL617">
        <f t="shared" si="181"/>
        <v>0.27876682988520435</v>
      </c>
      <c r="AM617">
        <f t="shared" si="182"/>
        <v>25.89524995829855</v>
      </c>
      <c r="AO617">
        <f t="shared" si="183"/>
        <v>0.27805213493850445</v>
      </c>
      <c r="AP617">
        <f t="shared" si="184"/>
        <v>25.762641066785026</v>
      </c>
    </row>
    <row r="618" spans="1:42" x14ac:dyDescent="0.2">
      <c r="A618" s="3">
        <v>620</v>
      </c>
      <c r="B618" s="3">
        <v>4.2199999999999999E-7</v>
      </c>
      <c r="C618" s="2">
        <v>3.211E-2</v>
      </c>
      <c r="D618" s="3">
        <v>194000</v>
      </c>
      <c r="E618" s="3">
        <v>107000000000</v>
      </c>
      <c r="F618" s="3">
        <v>97100000000</v>
      </c>
      <c r="G618" s="3">
        <v>7130000000</v>
      </c>
      <c r="H618" s="3">
        <v>11700000000</v>
      </c>
      <c r="I618" s="2"/>
      <c r="J618" s="7">
        <f t="shared" si="168"/>
        <v>0.42199999999999999</v>
      </c>
      <c r="K618" s="7">
        <f t="shared" si="169"/>
        <v>32.11</v>
      </c>
      <c r="L618" s="7">
        <f t="shared" si="170"/>
        <v>107</v>
      </c>
      <c r="M618" s="7">
        <f t="shared" si="171"/>
        <v>194</v>
      </c>
      <c r="O618">
        <f t="shared" si="172"/>
        <v>0.29786340206185569</v>
      </c>
      <c r="P618">
        <f t="shared" si="173"/>
        <v>297.86340206185571</v>
      </c>
      <c r="V618">
        <f t="shared" si="174"/>
        <v>797.40427535363972</v>
      </c>
      <c r="W618">
        <f t="shared" si="175"/>
        <v>121.64469516667893</v>
      </c>
      <c r="AE618">
        <f t="shared" si="176"/>
        <v>0.65790006738956153</v>
      </c>
      <c r="AF618">
        <f t="shared" si="177"/>
        <v>0.63762496841059968</v>
      </c>
      <c r="AG618">
        <f t="shared" si="178"/>
        <v>0.63926389609915535</v>
      </c>
      <c r="AI618">
        <f t="shared" si="179"/>
        <v>0.26726450117418421</v>
      </c>
      <c r="AJ618">
        <f t="shared" si="180"/>
        <v>23.614074982812181</v>
      </c>
      <c r="AL618">
        <f t="shared" si="181"/>
        <v>0.27576293596474277</v>
      </c>
      <c r="AM618">
        <f t="shared" si="182"/>
        <v>25.139704564420562</v>
      </c>
      <c r="AO618">
        <f t="shared" si="183"/>
        <v>0.27505594232097857</v>
      </c>
      <c r="AP618">
        <f t="shared" si="184"/>
        <v>25.010964800925944</v>
      </c>
    </row>
    <row r="619" spans="1:42" x14ac:dyDescent="0.2">
      <c r="A619" s="3">
        <v>620</v>
      </c>
      <c r="B619" s="3">
        <v>4.2300000000000002E-7</v>
      </c>
      <c r="C619" s="2">
        <v>3.2160000000000001E-2</v>
      </c>
      <c r="D619" s="3">
        <v>208000</v>
      </c>
      <c r="E619" s="3">
        <v>113000000000</v>
      </c>
      <c r="F619" s="3">
        <v>103000000000</v>
      </c>
      <c r="G619" s="3">
        <v>809000000</v>
      </c>
      <c r="H619" s="3">
        <v>11300000000</v>
      </c>
      <c r="I619" s="2"/>
      <c r="J619" s="7">
        <f t="shared" si="168"/>
        <v>0.42300000000000004</v>
      </c>
      <c r="K619" s="7">
        <f t="shared" si="169"/>
        <v>32.160000000000004</v>
      </c>
      <c r="L619" s="7">
        <f t="shared" si="170"/>
        <v>113</v>
      </c>
      <c r="M619" s="7">
        <f t="shared" si="171"/>
        <v>208</v>
      </c>
      <c r="O619">
        <f t="shared" si="172"/>
        <v>0.30703846153846159</v>
      </c>
      <c r="P619">
        <f t="shared" si="173"/>
        <v>307.0384615384616</v>
      </c>
      <c r="V619">
        <f t="shared" si="174"/>
        <v>808.19401502342112</v>
      </c>
      <c r="W619">
        <f t="shared" si="175"/>
        <v>128.68197248031603</v>
      </c>
      <c r="AE619">
        <f t="shared" si="176"/>
        <v>0.70537739184035464</v>
      </c>
      <c r="AF619">
        <f t="shared" si="177"/>
        <v>0.6836391413886842</v>
      </c>
      <c r="AG619">
        <f t="shared" si="178"/>
        <v>0.68539634220940371</v>
      </c>
      <c r="AI619">
        <f t="shared" si="179"/>
        <v>0.24986624470647908</v>
      </c>
      <c r="AJ619">
        <f t="shared" si="180"/>
        <v>20.574223929838652</v>
      </c>
      <c r="AL619">
        <f t="shared" si="181"/>
        <v>0.25781145246011128</v>
      </c>
      <c r="AM619">
        <f t="shared" si="182"/>
        <v>21.903458493074496</v>
      </c>
      <c r="AO619">
        <f t="shared" si="183"/>
        <v>0.25715048234989235</v>
      </c>
      <c r="AP619">
        <f t="shared" si="184"/>
        <v>21.791291460288299</v>
      </c>
    </row>
    <row r="620" spans="1:42" x14ac:dyDescent="0.2">
      <c r="A620" s="3">
        <v>620</v>
      </c>
      <c r="B620" s="3">
        <v>4.2399999999999999E-7</v>
      </c>
      <c r="C620" s="2">
        <v>3.2210000000000003E-2</v>
      </c>
      <c r="D620" s="3">
        <v>172000</v>
      </c>
      <c r="E620" s="3">
        <v>96100000000</v>
      </c>
      <c r="F620" s="3">
        <v>88200000000</v>
      </c>
      <c r="G620" s="2">
        <v>0</v>
      </c>
      <c r="H620" s="3">
        <v>12300000000</v>
      </c>
      <c r="I620" s="2"/>
      <c r="J620" s="7">
        <f t="shared" si="168"/>
        <v>0.42399999999999999</v>
      </c>
      <c r="K620" s="7">
        <f t="shared" si="169"/>
        <v>32.21</v>
      </c>
      <c r="L620" s="7">
        <f t="shared" si="170"/>
        <v>96.100000000000009</v>
      </c>
      <c r="M620" s="7">
        <f t="shared" si="171"/>
        <v>172</v>
      </c>
      <c r="O620">
        <f t="shared" si="172"/>
        <v>0.28354941860465116</v>
      </c>
      <c r="P620">
        <f t="shared" si="173"/>
        <v>283.54941860465118</v>
      </c>
      <c r="V620">
        <f t="shared" si="174"/>
        <v>780.19484739473057</v>
      </c>
      <c r="W620">
        <f t="shared" si="175"/>
        <v>110.22887460379407</v>
      </c>
      <c r="AE620">
        <f t="shared" si="176"/>
        <v>0.583292843252601</v>
      </c>
      <c r="AF620">
        <f t="shared" si="177"/>
        <v>0.56531698230218119</v>
      </c>
      <c r="AG620">
        <f t="shared" si="178"/>
        <v>0.56677005221162224</v>
      </c>
      <c r="AI620">
        <f t="shared" si="179"/>
        <v>0.30287816610525314</v>
      </c>
      <c r="AJ620">
        <f t="shared" si="180"/>
        <v>30.134772922794728</v>
      </c>
      <c r="AL620">
        <f t="shared" si="181"/>
        <v>0.31250903864096607</v>
      </c>
      <c r="AM620">
        <f t="shared" si="182"/>
        <v>32.08168386635402</v>
      </c>
      <c r="AO620">
        <f t="shared" si="183"/>
        <v>0.31170783632142646</v>
      </c>
      <c r="AP620">
        <f t="shared" si="184"/>
        <v>31.917394410092523</v>
      </c>
    </row>
    <row r="621" spans="1:42" x14ac:dyDescent="0.2">
      <c r="A621" s="3">
        <v>620</v>
      </c>
      <c r="B621" s="3">
        <v>4.2500000000000001E-7</v>
      </c>
      <c r="C621" s="2">
        <v>3.2259999999999997E-2</v>
      </c>
      <c r="D621" s="3">
        <v>179000</v>
      </c>
      <c r="E621" s="3">
        <v>99300000000</v>
      </c>
      <c r="F621" s="3">
        <v>90900000000</v>
      </c>
      <c r="G621" s="3">
        <v>8330000000</v>
      </c>
      <c r="H621" s="3">
        <v>12000000000</v>
      </c>
      <c r="I621" s="2"/>
      <c r="J621" s="7">
        <f t="shared" si="168"/>
        <v>0.42499999999999999</v>
      </c>
      <c r="K621" s="7">
        <f t="shared" si="169"/>
        <v>32.26</v>
      </c>
      <c r="L621" s="7">
        <f t="shared" si="170"/>
        <v>99.300000000000011</v>
      </c>
      <c r="M621" s="7">
        <f t="shared" si="171"/>
        <v>179</v>
      </c>
      <c r="O621">
        <f t="shared" si="172"/>
        <v>0.28983240223463685</v>
      </c>
      <c r="P621">
        <f t="shared" si="173"/>
        <v>289.83240223463685</v>
      </c>
      <c r="V621">
        <f t="shared" si="174"/>
        <v>787.80697175972557</v>
      </c>
      <c r="W621">
        <f t="shared" si="175"/>
        <v>113.60650921898257</v>
      </c>
      <c r="AE621">
        <f t="shared" si="176"/>
        <v>0.60703150547799756</v>
      </c>
      <c r="AF621">
        <f t="shared" si="177"/>
        <v>0.58832406879122345</v>
      </c>
      <c r="AG621">
        <f t="shared" si="178"/>
        <v>0.58983627526674642</v>
      </c>
      <c r="AI621">
        <f t="shared" si="179"/>
        <v>0.2917201689455835</v>
      </c>
      <c r="AJ621">
        <f t="shared" si="180"/>
        <v>27.867139608482226</v>
      </c>
      <c r="AL621">
        <f t="shared" si="181"/>
        <v>0.30099624123345919</v>
      </c>
      <c r="AM621">
        <f t="shared" si="182"/>
        <v>29.667546042884432</v>
      </c>
      <c r="AO621">
        <f t="shared" si="183"/>
        <v>0.30022455511616253</v>
      </c>
      <c r="AP621">
        <f t="shared" si="184"/>
        <v>29.515619322694086</v>
      </c>
    </row>
    <row r="622" spans="1:42" x14ac:dyDescent="0.2">
      <c r="A622" s="3">
        <v>620</v>
      </c>
      <c r="B622" s="3">
        <v>4.2599999999999998E-7</v>
      </c>
      <c r="C622" s="2">
        <v>3.2320000000000002E-2</v>
      </c>
      <c r="D622" s="3">
        <v>186000</v>
      </c>
      <c r="E622" s="3">
        <v>102000000000</v>
      </c>
      <c r="F622" s="3">
        <v>93500000000</v>
      </c>
      <c r="G622" s="3">
        <v>7680000000</v>
      </c>
      <c r="H622" s="3">
        <v>11800000000</v>
      </c>
      <c r="I622" s="2"/>
      <c r="J622" s="7">
        <f t="shared" si="168"/>
        <v>0.42599999999999999</v>
      </c>
      <c r="K622" s="7">
        <f t="shared" si="169"/>
        <v>32.32</v>
      </c>
      <c r="L622" s="7">
        <f t="shared" si="170"/>
        <v>102</v>
      </c>
      <c r="M622" s="7">
        <f t="shared" si="171"/>
        <v>186</v>
      </c>
      <c r="O622">
        <f t="shared" si="172"/>
        <v>0.29567741935483871</v>
      </c>
      <c r="P622">
        <f t="shared" si="173"/>
        <v>295.67741935483872</v>
      </c>
      <c r="V622">
        <f t="shared" si="174"/>
        <v>794.80638052339134</v>
      </c>
      <c r="W622">
        <f t="shared" si="175"/>
        <v>117.00962936250986</v>
      </c>
      <c r="AE622">
        <f t="shared" si="176"/>
        <v>0.63077016770339411</v>
      </c>
      <c r="AF622">
        <f t="shared" si="177"/>
        <v>0.61133115528026571</v>
      </c>
      <c r="AG622">
        <f t="shared" si="178"/>
        <v>0.6129024983218706</v>
      </c>
      <c r="AI622">
        <f t="shared" si="179"/>
        <v>0.28140202103449113</v>
      </c>
      <c r="AJ622">
        <f t="shared" si="180"/>
        <v>25.857084571981822</v>
      </c>
      <c r="AL622">
        <f t="shared" si="181"/>
        <v>0.29034999846952808</v>
      </c>
      <c r="AM622">
        <f t="shared" si="182"/>
        <v>27.527627802909908</v>
      </c>
      <c r="AO622">
        <f t="shared" si="183"/>
        <v>0.28960560690484322</v>
      </c>
      <c r="AP622">
        <f t="shared" si="184"/>
        <v>27.386659547541864</v>
      </c>
    </row>
    <row r="623" spans="1:42" x14ac:dyDescent="0.2">
      <c r="A623" s="3">
        <v>620</v>
      </c>
      <c r="B623" s="3">
        <v>4.2800000000000002E-7</v>
      </c>
      <c r="C623" s="2">
        <v>3.2370000000000003E-2</v>
      </c>
      <c r="D623" s="3">
        <v>182000</v>
      </c>
      <c r="E623" s="3">
        <v>100000000000</v>
      </c>
      <c r="F623" s="3">
        <v>91600000000</v>
      </c>
      <c r="G623" s="3">
        <v>8210000000</v>
      </c>
      <c r="H623" s="3">
        <v>11900000000</v>
      </c>
      <c r="I623" s="2"/>
      <c r="J623" s="7">
        <f t="shared" si="168"/>
        <v>0.42800000000000005</v>
      </c>
      <c r="K623" s="7">
        <f t="shared" si="169"/>
        <v>32.370000000000005</v>
      </c>
      <c r="L623" s="7">
        <f t="shared" si="170"/>
        <v>100</v>
      </c>
      <c r="M623" s="7">
        <f t="shared" si="171"/>
        <v>182</v>
      </c>
      <c r="O623">
        <f t="shared" si="172"/>
        <v>0.2946071428571429</v>
      </c>
      <c r="P623">
        <f t="shared" si="173"/>
        <v>294.60714285714289</v>
      </c>
      <c r="V623">
        <f t="shared" si="174"/>
        <v>793.53052673844093</v>
      </c>
      <c r="W623">
        <f t="shared" si="175"/>
        <v>114.67737778662031</v>
      </c>
      <c r="AE623">
        <f t="shared" si="176"/>
        <v>0.61720521786031035</v>
      </c>
      <c r="AF623">
        <f t="shared" si="177"/>
        <v>0.59818424871509868</v>
      </c>
      <c r="AG623">
        <f t="shared" si="178"/>
        <v>0.59972179943322823</v>
      </c>
      <c r="AI623">
        <f t="shared" si="179"/>
        <v>0.28893685304795147</v>
      </c>
      <c r="AJ623">
        <f t="shared" si="180"/>
        <v>27.047928870296559</v>
      </c>
      <c r="AL623">
        <f t="shared" si="181"/>
        <v>0.29812442189240829</v>
      </c>
      <c r="AM623">
        <f t="shared" si="182"/>
        <v>28.795408728635245</v>
      </c>
      <c r="AO623">
        <f t="shared" si="183"/>
        <v>0.29736009846877115</v>
      </c>
      <c r="AP623">
        <f t="shared" si="184"/>
        <v>28.647948200610511</v>
      </c>
    </row>
    <row r="624" spans="1:42" x14ac:dyDescent="0.2">
      <c r="A624" s="3">
        <v>620</v>
      </c>
      <c r="B624" s="3">
        <v>4.2899999999999999E-7</v>
      </c>
      <c r="C624" s="2">
        <v>3.2419999999999997E-2</v>
      </c>
      <c r="D624" s="3">
        <v>207000</v>
      </c>
      <c r="E624" s="3">
        <v>112000000000</v>
      </c>
      <c r="F624" s="3">
        <v>101000000000</v>
      </c>
      <c r="G624" s="3">
        <v>8050000000</v>
      </c>
      <c r="H624" s="3">
        <v>11200000000</v>
      </c>
      <c r="I624" s="2"/>
      <c r="J624" s="7">
        <f t="shared" si="168"/>
        <v>0.42899999999999999</v>
      </c>
      <c r="K624" s="7">
        <f t="shared" si="169"/>
        <v>32.419999999999995</v>
      </c>
      <c r="L624" s="7">
        <f t="shared" si="170"/>
        <v>112</v>
      </c>
      <c r="M624" s="7">
        <f t="shared" si="171"/>
        <v>207</v>
      </c>
      <c r="O624">
        <f t="shared" si="172"/>
        <v>0.31153623188405799</v>
      </c>
      <c r="P624">
        <f t="shared" si="173"/>
        <v>311.536231884058</v>
      </c>
      <c r="V624">
        <f t="shared" si="174"/>
        <v>813.41775439330354</v>
      </c>
      <c r="W624">
        <f t="shared" si="175"/>
        <v>127.2408912160967</v>
      </c>
      <c r="AE624">
        <f t="shared" si="176"/>
        <v>0.70198615437958378</v>
      </c>
      <c r="AF624">
        <f t="shared" si="177"/>
        <v>0.6803524147473925</v>
      </c>
      <c r="AG624">
        <f t="shared" si="178"/>
        <v>0.68210116748724314</v>
      </c>
      <c r="AI624">
        <f t="shared" si="179"/>
        <v>0.2546346518158602</v>
      </c>
      <c r="AJ624">
        <f t="shared" si="180"/>
        <v>20.941433731175124</v>
      </c>
      <c r="AL624">
        <f t="shared" si="181"/>
        <v>0.26273148463266344</v>
      </c>
      <c r="AM624">
        <f t="shared" si="182"/>
        <v>22.294392540903079</v>
      </c>
      <c r="AO624">
        <f t="shared" si="183"/>
        <v>0.26205790067547868</v>
      </c>
      <c r="AP624">
        <f t="shared" si="184"/>
        <v>22.180223545176933</v>
      </c>
    </row>
    <row r="625" spans="1:42" x14ac:dyDescent="0.2">
      <c r="A625" s="3">
        <v>620</v>
      </c>
      <c r="B625" s="3">
        <v>4.3099999999999998E-7</v>
      </c>
      <c r="C625" s="2">
        <v>3.2469999999999999E-2</v>
      </c>
      <c r="D625" s="3">
        <v>202000</v>
      </c>
      <c r="E625" s="3">
        <v>109000000000</v>
      </c>
      <c r="F625" s="3">
        <v>99000000000</v>
      </c>
      <c r="G625" s="2">
        <v>0</v>
      </c>
      <c r="H625" s="3">
        <v>11300000000</v>
      </c>
      <c r="I625" s="2"/>
      <c r="J625" s="7">
        <f t="shared" si="168"/>
        <v>0.43099999999999999</v>
      </c>
      <c r="K625" s="7">
        <f t="shared" si="169"/>
        <v>32.47</v>
      </c>
      <c r="L625" s="7">
        <f t="shared" si="170"/>
        <v>109</v>
      </c>
      <c r="M625" s="7">
        <f t="shared" si="171"/>
        <v>202</v>
      </c>
      <c r="O625">
        <f t="shared" si="172"/>
        <v>0.31044306930693066</v>
      </c>
      <c r="P625">
        <f t="shared" si="173"/>
        <v>310.44306930693068</v>
      </c>
      <c r="V625">
        <f t="shared" si="174"/>
        <v>812.15203295858873</v>
      </c>
      <c r="W625">
        <f t="shared" si="175"/>
        <v>124.36095201543372</v>
      </c>
      <c r="AE625">
        <f t="shared" si="176"/>
        <v>0.68502996707572905</v>
      </c>
      <c r="AF625">
        <f t="shared" si="177"/>
        <v>0.66391878154093376</v>
      </c>
      <c r="AG625">
        <f t="shared" si="178"/>
        <v>0.66562529387644009</v>
      </c>
      <c r="AI625">
        <f t="shared" si="179"/>
        <v>0.26215398152571723</v>
      </c>
      <c r="AJ625">
        <f t="shared" si="180"/>
        <v>22.02488461902125</v>
      </c>
      <c r="AL625">
        <f t="shared" si="181"/>
        <v>0.27048991281211582</v>
      </c>
      <c r="AM625">
        <f t="shared" si="182"/>
        <v>23.447841712650689</v>
      </c>
      <c r="AO625">
        <f t="shared" si="183"/>
        <v>0.26979643800415637</v>
      </c>
      <c r="AP625">
        <f t="shared" si="184"/>
        <v>23.327765934162112</v>
      </c>
    </row>
    <row r="626" spans="1:42" x14ac:dyDescent="0.2">
      <c r="A626" s="3">
        <v>620</v>
      </c>
      <c r="B626" s="3">
        <v>4.3099999999999998E-7</v>
      </c>
      <c r="C626" s="2">
        <v>3.252E-2</v>
      </c>
      <c r="D626" s="3">
        <v>201000</v>
      </c>
      <c r="E626" s="3">
        <v>109000000000</v>
      </c>
      <c r="F626" s="3">
        <v>98500000000</v>
      </c>
      <c r="G626" s="3">
        <v>10700000000</v>
      </c>
      <c r="H626" s="3">
        <v>11300000000</v>
      </c>
      <c r="I626" s="2"/>
      <c r="J626" s="7">
        <f t="shared" si="168"/>
        <v>0.43099999999999999</v>
      </c>
      <c r="K626" s="7">
        <f t="shared" si="169"/>
        <v>32.520000000000003</v>
      </c>
      <c r="L626" s="7">
        <f t="shared" si="170"/>
        <v>109</v>
      </c>
      <c r="M626" s="7">
        <f t="shared" si="171"/>
        <v>201</v>
      </c>
      <c r="O626">
        <f t="shared" si="172"/>
        <v>0.30965671641791043</v>
      </c>
      <c r="P626">
        <f t="shared" si="173"/>
        <v>309.65671641791045</v>
      </c>
      <c r="V626">
        <f t="shared" si="174"/>
        <v>811.24001615551902</v>
      </c>
      <c r="W626">
        <f t="shared" si="175"/>
        <v>123.88442137786953</v>
      </c>
      <c r="AE626">
        <f t="shared" si="176"/>
        <v>0.68163872961495808</v>
      </c>
      <c r="AF626">
        <f t="shared" si="177"/>
        <v>0.66063205489964194</v>
      </c>
      <c r="AG626">
        <f t="shared" si="178"/>
        <v>0.66233011915427953</v>
      </c>
      <c r="AI626">
        <f t="shared" si="179"/>
        <v>0.26345823019002429</v>
      </c>
      <c r="AJ626">
        <f t="shared" si="180"/>
        <v>22.278836911016146</v>
      </c>
      <c r="AL626">
        <f t="shared" si="181"/>
        <v>0.27183563377138009</v>
      </c>
      <c r="AM626">
        <f t="shared" si="182"/>
        <v>23.718201047024625</v>
      </c>
      <c r="AO626">
        <f t="shared" si="183"/>
        <v>0.27113870883999791</v>
      </c>
      <c r="AP626">
        <f t="shared" si="184"/>
        <v>23.596740765521027</v>
      </c>
    </row>
    <row r="627" spans="1:42" x14ac:dyDescent="0.2">
      <c r="A627" s="3">
        <v>630</v>
      </c>
      <c r="B627" s="3">
        <v>4.32E-7</v>
      </c>
      <c r="C627" s="2">
        <v>3.2579999999999998E-2</v>
      </c>
      <c r="D627" s="3">
        <v>191000</v>
      </c>
      <c r="E627" s="3">
        <v>104000000000</v>
      </c>
      <c r="F627" s="3">
        <v>94400000000</v>
      </c>
      <c r="G627" s="3">
        <v>69800000</v>
      </c>
      <c r="H627" s="3">
        <v>11600000000</v>
      </c>
      <c r="I627" s="2"/>
      <c r="J627" s="7">
        <f t="shared" si="168"/>
        <v>0.432</v>
      </c>
      <c r="K627" s="7">
        <f t="shared" si="169"/>
        <v>32.58</v>
      </c>
      <c r="L627" s="7">
        <f t="shared" si="170"/>
        <v>104</v>
      </c>
      <c r="M627" s="7">
        <f t="shared" si="171"/>
        <v>191</v>
      </c>
      <c r="O627">
        <f t="shared" si="172"/>
        <v>0.30406806282722515</v>
      </c>
      <c r="P627">
        <f t="shared" si="173"/>
        <v>304.06806282722516</v>
      </c>
      <c r="V627">
        <f t="shared" si="174"/>
        <v>804.72077071840954</v>
      </c>
      <c r="W627">
        <f t="shared" si="175"/>
        <v>118.67470491005589</v>
      </c>
      <c r="AE627">
        <f t="shared" si="176"/>
        <v>0.64772635500724873</v>
      </c>
      <c r="AF627">
        <f t="shared" si="177"/>
        <v>0.62776478848672446</v>
      </c>
      <c r="AG627">
        <f t="shared" si="178"/>
        <v>0.62937837193267354</v>
      </c>
      <c r="AI627">
        <f t="shared" si="179"/>
        <v>0.27789513057251719</v>
      </c>
      <c r="AJ627">
        <f t="shared" si="180"/>
        <v>24.718290828071247</v>
      </c>
      <c r="AL627">
        <f t="shared" si="181"/>
        <v>0.28673159645335305</v>
      </c>
      <c r="AM627">
        <f t="shared" si="182"/>
        <v>26.315260250822419</v>
      </c>
      <c r="AO627">
        <f t="shared" si="183"/>
        <v>0.2859964816510332</v>
      </c>
      <c r="AP627">
        <f t="shared" si="184"/>
        <v>26.180500497687344</v>
      </c>
    </row>
    <row r="628" spans="1:42" x14ac:dyDescent="0.2">
      <c r="A628" s="3">
        <v>630</v>
      </c>
      <c r="B628" s="3">
        <v>4.3300000000000003E-7</v>
      </c>
      <c r="C628" s="2">
        <v>3.2629999999999999E-2</v>
      </c>
      <c r="D628" s="3">
        <v>193000</v>
      </c>
      <c r="E628" s="3">
        <v>105000000000</v>
      </c>
      <c r="F628" s="3">
        <v>95300000000</v>
      </c>
      <c r="G628" s="3">
        <v>160000000</v>
      </c>
      <c r="H628" s="3">
        <v>11500000000</v>
      </c>
      <c r="I628" s="2"/>
      <c r="J628" s="7">
        <f t="shared" si="168"/>
        <v>0.43300000000000005</v>
      </c>
      <c r="K628" s="7">
        <f t="shared" si="169"/>
        <v>32.630000000000003</v>
      </c>
      <c r="L628" s="7">
        <f t="shared" si="170"/>
        <v>105</v>
      </c>
      <c r="M628" s="7">
        <f t="shared" si="171"/>
        <v>193</v>
      </c>
      <c r="O628">
        <f t="shared" si="172"/>
        <v>0.30619948186528501</v>
      </c>
      <c r="P628">
        <f t="shared" si="173"/>
        <v>306.19948186528501</v>
      </c>
      <c r="V628">
        <f t="shared" si="174"/>
        <v>807.21491186979938</v>
      </c>
      <c r="W628">
        <f t="shared" si="175"/>
        <v>119.54685001602779</v>
      </c>
      <c r="AE628">
        <f t="shared" si="176"/>
        <v>0.65450882992879067</v>
      </c>
      <c r="AF628">
        <f t="shared" si="177"/>
        <v>0.63433824176930798</v>
      </c>
      <c r="AG628">
        <f t="shared" si="178"/>
        <v>0.63596872137699478</v>
      </c>
      <c r="AI628">
        <f t="shared" si="179"/>
        <v>0.27565199798189993</v>
      </c>
      <c r="AJ628">
        <f t="shared" si="180"/>
        <v>24.245801652293675</v>
      </c>
      <c r="AL628">
        <f t="shared" si="181"/>
        <v>0.28441713708359312</v>
      </c>
      <c r="AM628">
        <f t="shared" si="182"/>
        <v>25.812245066125143</v>
      </c>
      <c r="AO628">
        <f t="shared" si="183"/>
        <v>0.28368795603033725</v>
      </c>
      <c r="AP628">
        <f t="shared" si="184"/>
        <v>25.680061240473467</v>
      </c>
    </row>
    <row r="629" spans="1:42" x14ac:dyDescent="0.2">
      <c r="A629" s="3">
        <v>630</v>
      </c>
      <c r="B629" s="3">
        <v>4.3300000000000003E-7</v>
      </c>
      <c r="C629" s="2">
        <v>3.2680000000000001E-2</v>
      </c>
      <c r="D629" s="3">
        <v>201000</v>
      </c>
      <c r="E629" s="3">
        <v>108000000000</v>
      </c>
      <c r="F629" s="3">
        <v>98300000000</v>
      </c>
      <c r="G629" s="2">
        <v>0</v>
      </c>
      <c r="H629" s="3">
        <v>11300000000</v>
      </c>
      <c r="I629" s="2"/>
      <c r="J629" s="7">
        <f t="shared" si="168"/>
        <v>0.43300000000000005</v>
      </c>
      <c r="K629" s="7">
        <f t="shared" si="169"/>
        <v>32.68</v>
      </c>
      <c r="L629" s="7">
        <f t="shared" si="170"/>
        <v>108</v>
      </c>
      <c r="M629" s="7">
        <f t="shared" si="171"/>
        <v>201</v>
      </c>
      <c r="O629">
        <f t="shared" si="172"/>
        <v>0.31105970149253737</v>
      </c>
      <c r="P629">
        <f t="shared" si="173"/>
        <v>311.05970149253739</v>
      </c>
      <c r="V629">
        <f t="shared" si="174"/>
        <v>812.86630694608232</v>
      </c>
      <c r="W629">
        <f t="shared" si="175"/>
        <v>123.63656746651968</v>
      </c>
      <c r="AE629">
        <f t="shared" si="176"/>
        <v>0.68163872961495808</v>
      </c>
      <c r="AF629">
        <f t="shared" si="177"/>
        <v>0.66063205489964194</v>
      </c>
      <c r="AG629">
        <f t="shared" si="178"/>
        <v>0.66233011915427953</v>
      </c>
      <c r="AI629">
        <f t="shared" si="179"/>
        <v>0.26468077418162533</v>
      </c>
      <c r="AJ629">
        <f t="shared" si="180"/>
        <v>22.388449884748081</v>
      </c>
      <c r="AL629">
        <f t="shared" si="181"/>
        <v>0.27309705202553963</v>
      </c>
      <c r="AM629">
        <f t="shared" si="182"/>
        <v>23.834895763123143</v>
      </c>
      <c r="AO629">
        <f t="shared" si="183"/>
        <v>0.27239689310375664</v>
      </c>
      <c r="AP629">
        <f t="shared" si="184"/>
        <v>23.712837891058644</v>
      </c>
    </row>
    <row r="630" spans="1:42" x14ac:dyDescent="0.2">
      <c r="A630" s="3">
        <v>630</v>
      </c>
      <c r="B630" s="3">
        <v>4.34E-7</v>
      </c>
      <c r="C630" s="2">
        <v>3.2730000000000002E-2</v>
      </c>
      <c r="D630" s="3">
        <v>196000</v>
      </c>
      <c r="E630" s="3">
        <v>106000000000</v>
      </c>
      <c r="F630" s="3">
        <v>96300000000</v>
      </c>
      <c r="G630" s="3">
        <v>5980000000</v>
      </c>
      <c r="H630" s="3">
        <v>11500000000</v>
      </c>
      <c r="I630" s="2"/>
      <c r="J630" s="7">
        <f t="shared" si="168"/>
        <v>0.434</v>
      </c>
      <c r="K630" s="7">
        <f t="shared" si="169"/>
        <v>32.730000000000004</v>
      </c>
      <c r="L630" s="7">
        <f t="shared" si="170"/>
        <v>106</v>
      </c>
      <c r="M630" s="7">
        <f t="shared" si="171"/>
        <v>196</v>
      </c>
      <c r="O630">
        <f t="shared" si="172"/>
        <v>0.30875765306122449</v>
      </c>
      <c r="P630">
        <f t="shared" si="173"/>
        <v>308.75765306122452</v>
      </c>
      <c r="V630">
        <f t="shared" si="174"/>
        <v>810.19569509192058</v>
      </c>
      <c r="W630">
        <f t="shared" si="175"/>
        <v>120.95843089968706</v>
      </c>
      <c r="AE630">
        <f t="shared" si="176"/>
        <v>0.66468254231110346</v>
      </c>
      <c r="AF630">
        <f t="shared" si="177"/>
        <v>0.6441984216931832</v>
      </c>
      <c r="AG630">
        <f t="shared" si="178"/>
        <v>0.64585424554347659</v>
      </c>
      <c r="AI630">
        <f t="shared" si="179"/>
        <v>0.27205970041664584</v>
      </c>
      <c r="AJ630">
        <f t="shared" si="180"/>
        <v>23.581311480662414</v>
      </c>
      <c r="AL630">
        <f t="shared" si="181"/>
        <v>0.28071061220243115</v>
      </c>
      <c r="AM630">
        <f t="shared" si="182"/>
        <v>25.104824317570305</v>
      </c>
      <c r="AO630">
        <f t="shared" si="183"/>
        <v>0.27999093383858586</v>
      </c>
      <c r="AP630">
        <f t="shared" si="184"/>
        <v>24.976263174899117</v>
      </c>
    </row>
    <row r="631" spans="1:42" x14ac:dyDescent="0.2">
      <c r="A631" s="3">
        <v>630</v>
      </c>
      <c r="B631" s="3">
        <v>4.3500000000000002E-7</v>
      </c>
      <c r="C631" s="2">
        <v>3.2779999999999997E-2</v>
      </c>
      <c r="D631" s="3">
        <v>191000</v>
      </c>
      <c r="E631" s="3">
        <v>103000000000</v>
      </c>
      <c r="F631" s="3">
        <v>94300000000</v>
      </c>
      <c r="G631" s="3">
        <v>2830000000</v>
      </c>
      <c r="H631" s="3">
        <v>11600000000</v>
      </c>
      <c r="I631" s="2"/>
      <c r="J631" s="7">
        <f t="shared" si="168"/>
        <v>0.435</v>
      </c>
      <c r="K631" s="7">
        <f t="shared" si="169"/>
        <v>32.779999999999994</v>
      </c>
      <c r="L631" s="7">
        <f t="shared" si="170"/>
        <v>103</v>
      </c>
      <c r="M631" s="7">
        <f t="shared" si="171"/>
        <v>191</v>
      </c>
      <c r="O631">
        <f t="shared" si="172"/>
        <v>0.30628272251308902</v>
      </c>
      <c r="P631">
        <f t="shared" si="173"/>
        <v>306.28272251308903</v>
      </c>
      <c r="V631">
        <f t="shared" si="174"/>
        <v>807.31212180031196</v>
      </c>
      <c r="W631">
        <f t="shared" si="175"/>
        <v>118.29377686914238</v>
      </c>
      <c r="AE631">
        <f t="shared" si="176"/>
        <v>0.64772635500724873</v>
      </c>
      <c r="AF631">
        <f t="shared" si="177"/>
        <v>0.62776478848672446</v>
      </c>
      <c r="AG631">
        <f t="shared" si="178"/>
        <v>0.62937837193267354</v>
      </c>
      <c r="AI631">
        <f t="shared" si="179"/>
        <v>0.27982495786815964</v>
      </c>
      <c r="AJ631">
        <f t="shared" si="180"/>
        <v>24.870029875511829</v>
      </c>
      <c r="AL631">
        <f t="shared" si="181"/>
        <v>0.2887227880953902</v>
      </c>
      <c r="AM631">
        <f t="shared" si="182"/>
        <v>26.476802671023904</v>
      </c>
      <c r="AO631">
        <f t="shared" si="183"/>
        <v>0.28798256832916536</v>
      </c>
      <c r="AP631">
        <f t="shared" si="184"/>
        <v>26.341215663419</v>
      </c>
    </row>
    <row r="632" spans="1:42" x14ac:dyDescent="0.2">
      <c r="A632" s="3">
        <v>630</v>
      </c>
      <c r="B632" s="3">
        <v>4.3500000000000002E-7</v>
      </c>
      <c r="C632" s="2">
        <v>3.2840000000000001E-2</v>
      </c>
      <c r="D632" s="3">
        <v>217000</v>
      </c>
      <c r="E632" s="3">
        <v>116000000000</v>
      </c>
      <c r="F632" s="3">
        <v>105000000000</v>
      </c>
      <c r="G632" s="3">
        <v>7140000000</v>
      </c>
      <c r="H632" s="3">
        <v>11000000000</v>
      </c>
      <c r="I632" s="2"/>
      <c r="J632" s="7">
        <f t="shared" si="168"/>
        <v>0.435</v>
      </c>
      <c r="K632" s="7">
        <f t="shared" si="169"/>
        <v>32.840000000000003</v>
      </c>
      <c r="L632" s="7">
        <f t="shared" si="170"/>
        <v>116.00000000000001</v>
      </c>
      <c r="M632" s="7">
        <f t="shared" si="171"/>
        <v>217</v>
      </c>
      <c r="O632">
        <f t="shared" si="172"/>
        <v>0.32149769585253457</v>
      </c>
      <c r="P632">
        <f t="shared" si="173"/>
        <v>321.49769585253455</v>
      </c>
      <c r="V632">
        <f t="shared" si="174"/>
        <v>824.83944558589235</v>
      </c>
      <c r="W632">
        <f t="shared" si="175"/>
        <v>131.54075084628292</v>
      </c>
      <c r="AE632">
        <f t="shared" si="176"/>
        <v>0.73589852898729313</v>
      </c>
      <c r="AF632">
        <f t="shared" si="177"/>
        <v>0.71321968116030998</v>
      </c>
      <c r="AG632">
        <f t="shared" si="178"/>
        <v>0.71505291470884902</v>
      </c>
      <c r="AI632">
        <f t="shared" si="179"/>
        <v>0.24629754356137551</v>
      </c>
      <c r="AJ632">
        <f t="shared" si="180"/>
        <v>19.302687199674043</v>
      </c>
      <c r="AL632">
        <f t="shared" si="181"/>
        <v>0.25412927431437571</v>
      </c>
      <c r="AM632">
        <f t="shared" si="182"/>
        <v>20.549771856506499</v>
      </c>
      <c r="AO632">
        <f t="shared" si="183"/>
        <v>0.25347774447405796</v>
      </c>
      <c r="AP632">
        <f t="shared" si="184"/>
        <v>20.444537017254685</v>
      </c>
    </row>
    <row r="633" spans="1:42" x14ac:dyDescent="0.2">
      <c r="A633" s="3">
        <v>630</v>
      </c>
      <c r="B633" s="3">
        <v>4.3599999999999999E-7</v>
      </c>
      <c r="C633" s="2">
        <v>3.2890000000000003E-2</v>
      </c>
      <c r="D633" s="3">
        <v>193000</v>
      </c>
      <c r="E633" s="3">
        <v>104000000000</v>
      </c>
      <c r="F633" s="3">
        <v>94900000000</v>
      </c>
      <c r="G633" s="3">
        <v>18800000000</v>
      </c>
      <c r="H633" s="3">
        <v>11600000000</v>
      </c>
      <c r="I633" s="2"/>
      <c r="J633" s="7">
        <f t="shared" si="168"/>
        <v>0.436</v>
      </c>
      <c r="K633" s="7">
        <f t="shared" si="169"/>
        <v>32.89</v>
      </c>
      <c r="L633" s="7">
        <f t="shared" si="170"/>
        <v>104</v>
      </c>
      <c r="M633" s="7">
        <f t="shared" si="171"/>
        <v>193</v>
      </c>
      <c r="O633">
        <f t="shared" si="172"/>
        <v>0.30818911917098446</v>
      </c>
      <c r="P633">
        <f t="shared" si="173"/>
        <v>308.18911917098444</v>
      </c>
      <c r="V633">
        <f t="shared" si="174"/>
        <v>809.53443128478295</v>
      </c>
      <c r="W633">
        <f t="shared" si="175"/>
        <v>119.20431827321825</v>
      </c>
      <c r="AE633">
        <f t="shared" si="176"/>
        <v>0.65450882992879067</v>
      </c>
      <c r="AF633">
        <f t="shared" si="177"/>
        <v>0.63433824176930798</v>
      </c>
      <c r="AG633">
        <f t="shared" si="178"/>
        <v>0.63596872137699478</v>
      </c>
      <c r="AI633">
        <f t="shared" si="179"/>
        <v>0.27756182706722488</v>
      </c>
      <c r="AJ633">
        <f t="shared" si="180"/>
        <v>24.438995290957369</v>
      </c>
      <c r="AL633">
        <f t="shared" si="181"/>
        <v>0.28638769461535007</v>
      </c>
      <c r="AM633">
        <f t="shared" si="182"/>
        <v>26.017920325616178</v>
      </c>
      <c r="AO633">
        <f t="shared" si="183"/>
        <v>0.28565346149936954</v>
      </c>
      <c r="AP633">
        <f t="shared" si="184"/>
        <v>25.884683242389588</v>
      </c>
    </row>
    <row r="634" spans="1:42" x14ac:dyDescent="0.2">
      <c r="A634" s="3">
        <v>630</v>
      </c>
      <c r="B634" s="3">
        <v>4.3599999999999999E-7</v>
      </c>
      <c r="C634" s="2">
        <v>3.2939999999999997E-2</v>
      </c>
      <c r="D634" s="3">
        <v>193000</v>
      </c>
      <c r="E634" s="3">
        <v>104000000000</v>
      </c>
      <c r="F634" s="3">
        <v>94700000000</v>
      </c>
      <c r="G634" s="3">
        <v>4790000000</v>
      </c>
      <c r="H634" s="3">
        <v>11600000000</v>
      </c>
      <c r="I634" s="2"/>
      <c r="J634" s="7">
        <f t="shared" si="168"/>
        <v>0.436</v>
      </c>
      <c r="K634" s="7">
        <f t="shared" si="169"/>
        <v>32.94</v>
      </c>
      <c r="L634" s="7">
        <f t="shared" si="170"/>
        <v>104</v>
      </c>
      <c r="M634" s="7">
        <f t="shared" si="171"/>
        <v>193</v>
      </c>
      <c r="O634">
        <f t="shared" si="172"/>
        <v>0.30799481865284972</v>
      </c>
      <c r="P634">
        <f t="shared" si="173"/>
        <v>307.99481865284974</v>
      </c>
      <c r="V634">
        <f t="shared" si="174"/>
        <v>809.30828389209489</v>
      </c>
      <c r="W634">
        <f t="shared" si="175"/>
        <v>119.23762788626831</v>
      </c>
      <c r="AE634">
        <f t="shared" si="176"/>
        <v>0.65450882992879067</v>
      </c>
      <c r="AF634">
        <f t="shared" si="177"/>
        <v>0.63433824176930798</v>
      </c>
      <c r="AG634">
        <f t="shared" si="178"/>
        <v>0.63596872137699478</v>
      </c>
      <c r="AI634">
        <f t="shared" si="179"/>
        <v>0.27756182706722488</v>
      </c>
      <c r="AJ634">
        <f t="shared" si="180"/>
        <v>24.476147913777307</v>
      </c>
      <c r="AL634">
        <f t="shared" si="181"/>
        <v>0.28638769461535007</v>
      </c>
      <c r="AM634">
        <f t="shared" si="182"/>
        <v>26.057473260133683</v>
      </c>
      <c r="AO634">
        <f t="shared" si="183"/>
        <v>0.28565346149936954</v>
      </c>
      <c r="AP634">
        <f t="shared" si="184"/>
        <v>25.924033627373454</v>
      </c>
    </row>
    <row r="635" spans="1:42" x14ac:dyDescent="0.2">
      <c r="A635" s="3">
        <v>630</v>
      </c>
      <c r="B635" s="3">
        <v>4.3700000000000001E-7</v>
      </c>
      <c r="C635" s="2">
        <v>3.3000000000000002E-2</v>
      </c>
      <c r="D635" s="3">
        <v>192000</v>
      </c>
      <c r="E635" s="3">
        <v>104000000000</v>
      </c>
      <c r="F635" s="3">
        <v>94600000000</v>
      </c>
      <c r="G635" s="2">
        <v>0</v>
      </c>
      <c r="H635" s="3">
        <v>11600000000</v>
      </c>
      <c r="I635" s="2"/>
      <c r="J635" s="7">
        <f t="shared" si="168"/>
        <v>0.437</v>
      </c>
      <c r="K635" s="7">
        <f t="shared" si="169"/>
        <v>33</v>
      </c>
      <c r="L635" s="7">
        <f t="shared" si="170"/>
        <v>104</v>
      </c>
      <c r="M635" s="7">
        <f t="shared" si="171"/>
        <v>192</v>
      </c>
      <c r="O635">
        <f t="shared" si="172"/>
        <v>0.30809375</v>
      </c>
      <c r="P635">
        <f t="shared" si="173"/>
        <v>308.09375</v>
      </c>
      <c r="V635">
        <f t="shared" si="174"/>
        <v>809.42344053250736</v>
      </c>
      <c r="W635">
        <f t="shared" si="175"/>
        <v>118.60294030630378</v>
      </c>
      <c r="AE635">
        <f t="shared" si="176"/>
        <v>0.6511175924680197</v>
      </c>
      <c r="AF635">
        <f t="shared" si="177"/>
        <v>0.63105151512801616</v>
      </c>
      <c r="AG635">
        <f t="shared" si="178"/>
        <v>0.63267354665483422</v>
      </c>
      <c r="AI635">
        <f t="shared" si="179"/>
        <v>0.27964738695380364</v>
      </c>
      <c r="AJ635">
        <f t="shared" si="180"/>
        <v>24.776820510449085</v>
      </c>
      <c r="AL635">
        <f t="shared" si="181"/>
        <v>0.28853957080888337</v>
      </c>
      <c r="AM635">
        <f t="shared" si="182"/>
        <v>26.377571348093831</v>
      </c>
      <c r="AO635">
        <f t="shared" si="183"/>
        <v>0.28779982077023997</v>
      </c>
      <c r="AP635">
        <f t="shared" si="184"/>
        <v>26.242492501474363</v>
      </c>
    </row>
    <row r="636" spans="1:42" x14ac:dyDescent="0.2">
      <c r="A636" s="3">
        <v>630</v>
      </c>
      <c r="B636" s="3">
        <v>4.3700000000000001E-7</v>
      </c>
      <c r="C636" s="2">
        <v>3.3050000000000003E-2</v>
      </c>
      <c r="D636" s="3">
        <v>220000</v>
      </c>
      <c r="E636" s="3">
        <v>117000000000</v>
      </c>
      <c r="F636" s="3">
        <v>106000000000</v>
      </c>
      <c r="G636" s="2">
        <v>0</v>
      </c>
      <c r="H636" s="3">
        <v>11000000000</v>
      </c>
      <c r="I636" s="2"/>
      <c r="J636" s="7">
        <f t="shared" si="168"/>
        <v>0.437</v>
      </c>
      <c r="K636" s="7">
        <f t="shared" si="169"/>
        <v>33.050000000000004</v>
      </c>
      <c r="L636" s="7">
        <f t="shared" si="170"/>
        <v>117.00000000000001</v>
      </c>
      <c r="M636" s="7">
        <f t="shared" si="171"/>
        <v>220</v>
      </c>
      <c r="O636">
        <f t="shared" si="172"/>
        <v>0.32432954545454545</v>
      </c>
      <c r="P636">
        <f t="shared" si="173"/>
        <v>324.32954545454544</v>
      </c>
      <c r="V636">
        <f t="shared" si="174"/>
        <v>828.05031974550013</v>
      </c>
      <c r="W636">
        <f t="shared" si="175"/>
        <v>132.84216837668549</v>
      </c>
      <c r="AE636">
        <f t="shared" si="176"/>
        <v>0.74607224136960593</v>
      </c>
      <c r="AF636">
        <f t="shared" si="177"/>
        <v>0.7230798610841852</v>
      </c>
      <c r="AG636">
        <f t="shared" si="178"/>
        <v>0.72493843887533083</v>
      </c>
      <c r="AI636">
        <f t="shared" si="179"/>
        <v>0.24405590134150137</v>
      </c>
      <c r="AJ636">
        <f t="shared" si="180"/>
        <v>18.899929945136677</v>
      </c>
      <c r="AL636">
        <f t="shared" si="181"/>
        <v>0.25181635270593455</v>
      </c>
      <c r="AM636">
        <f t="shared" si="182"/>
        <v>20.120993748635822</v>
      </c>
      <c r="AO636">
        <f t="shared" si="183"/>
        <v>0.25117075267220945</v>
      </c>
      <c r="AP636">
        <f t="shared" si="184"/>
        <v>20.017954670756517</v>
      </c>
    </row>
    <row r="637" spans="1:42" x14ac:dyDescent="0.2">
      <c r="A637" s="3">
        <v>640</v>
      </c>
      <c r="B637" s="3">
        <v>4.3799999999999998E-7</v>
      </c>
      <c r="C637" s="2">
        <v>3.3099999999999997E-2</v>
      </c>
      <c r="D637" s="3">
        <v>221000</v>
      </c>
      <c r="E637" s="3">
        <v>117000000000</v>
      </c>
      <c r="F637" s="3">
        <v>106000000000</v>
      </c>
      <c r="G637" s="3">
        <v>7330000000</v>
      </c>
      <c r="H637" s="3">
        <v>11000000000</v>
      </c>
      <c r="I637" s="2"/>
      <c r="J637" s="7">
        <f t="shared" si="168"/>
        <v>0.438</v>
      </c>
      <c r="K637" s="7">
        <f t="shared" si="169"/>
        <v>33.099999999999994</v>
      </c>
      <c r="L637" s="7">
        <f t="shared" si="170"/>
        <v>117.00000000000001</v>
      </c>
      <c r="M637" s="7">
        <f t="shared" si="171"/>
        <v>221</v>
      </c>
      <c r="O637">
        <f t="shared" si="172"/>
        <v>0.32566968325791856</v>
      </c>
      <c r="P637">
        <f t="shared" si="173"/>
        <v>325.66968325791856</v>
      </c>
      <c r="V637">
        <f t="shared" si="174"/>
        <v>829.56438305212635</v>
      </c>
      <c r="W637">
        <f t="shared" si="175"/>
        <v>133.20244004865461</v>
      </c>
      <c r="AE637">
        <f t="shared" si="176"/>
        <v>0.74946347883037678</v>
      </c>
      <c r="AF637">
        <f t="shared" si="177"/>
        <v>0.72636658772547702</v>
      </c>
      <c r="AG637">
        <f t="shared" si="178"/>
        <v>0.72823361359749139</v>
      </c>
      <c r="AI637">
        <f t="shared" si="179"/>
        <v>0.24350752925921362</v>
      </c>
      <c r="AJ637">
        <f t="shared" si="180"/>
        <v>18.757611584366309</v>
      </c>
      <c r="AL637">
        <f t="shared" si="181"/>
        <v>0.25125054357397569</v>
      </c>
      <c r="AM637">
        <f t="shared" si="182"/>
        <v>19.969480655429162</v>
      </c>
      <c r="AO637">
        <f t="shared" si="183"/>
        <v>0.25060639414657837</v>
      </c>
      <c r="AP637">
        <f t="shared" si="184"/>
        <v>19.867217472100883</v>
      </c>
    </row>
    <row r="638" spans="1:42" x14ac:dyDescent="0.2">
      <c r="A638" s="3">
        <v>640</v>
      </c>
      <c r="B638" s="3">
        <v>4.3799999999999998E-7</v>
      </c>
      <c r="C638" s="2">
        <v>3.3149999999999999E-2</v>
      </c>
      <c r="D638" s="3">
        <v>220000</v>
      </c>
      <c r="E638" s="3">
        <v>117000000000</v>
      </c>
      <c r="F638" s="3">
        <v>105000000000</v>
      </c>
      <c r="G638" s="3">
        <v>4450000000</v>
      </c>
      <c r="H638" s="3">
        <v>11000000000</v>
      </c>
      <c r="I638" s="2"/>
      <c r="J638" s="7">
        <f t="shared" si="168"/>
        <v>0.438</v>
      </c>
      <c r="K638" s="7">
        <f t="shared" si="169"/>
        <v>33.15</v>
      </c>
      <c r="L638" s="7">
        <f t="shared" si="170"/>
        <v>117.00000000000001</v>
      </c>
      <c r="M638" s="7">
        <f t="shared" si="171"/>
        <v>220</v>
      </c>
      <c r="O638">
        <f t="shared" si="172"/>
        <v>0.3249886363636364</v>
      </c>
      <c r="P638">
        <f t="shared" si="173"/>
        <v>324.98863636363637</v>
      </c>
      <c r="V638">
        <f t="shared" si="174"/>
        <v>828.79538322440817</v>
      </c>
      <c r="W638">
        <f t="shared" si="175"/>
        <v>132.72274704529323</v>
      </c>
      <c r="AE638">
        <f t="shared" si="176"/>
        <v>0.74607224136960593</v>
      </c>
      <c r="AF638">
        <f t="shared" si="177"/>
        <v>0.7230798610841852</v>
      </c>
      <c r="AG638">
        <f t="shared" si="178"/>
        <v>0.72493843887533083</v>
      </c>
      <c r="AI638">
        <f t="shared" si="179"/>
        <v>0.24461438166493729</v>
      </c>
      <c r="AJ638">
        <f t="shared" si="180"/>
        <v>18.957115814864771</v>
      </c>
      <c r="AL638">
        <f t="shared" si="181"/>
        <v>0.25239259149931198</v>
      </c>
      <c r="AM638">
        <f t="shared" si="182"/>
        <v>20.181874213835926</v>
      </c>
      <c r="AO638">
        <f t="shared" si="183"/>
        <v>0.25174551411997192</v>
      </c>
      <c r="AP638">
        <f t="shared" si="184"/>
        <v>20.078523368701312</v>
      </c>
    </row>
    <row r="639" spans="1:42" x14ac:dyDescent="0.2">
      <c r="A639" s="3">
        <v>640</v>
      </c>
      <c r="B639" s="3">
        <v>4.39E-7</v>
      </c>
      <c r="C639" s="2">
        <v>3.32E-2</v>
      </c>
      <c r="D639" s="3">
        <v>185000</v>
      </c>
      <c r="E639" s="3">
        <v>100000000000</v>
      </c>
      <c r="F639" s="3">
        <v>91500000000</v>
      </c>
      <c r="G639" s="2">
        <v>0</v>
      </c>
      <c r="H639" s="3">
        <v>11800000000</v>
      </c>
      <c r="I639" s="2"/>
      <c r="J639" s="7">
        <f t="shared" si="168"/>
        <v>0.439</v>
      </c>
      <c r="K639" s="7">
        <f t="shared" si="169"/>
        <v>33.200000000000003</v>
      </c>
      <c r="L639" s="7">
        <f t="shared" si="170"/>
        <v>100</v>
      </c>
      <c r="M639" s="7">
        <f t="shared" si="171"/>
        <v>185</v>
      </c>
      <c r="O639">
        <f t="shared" si="172"/>
        <v>0.30440540540540539</v>
      </c>
      <c r="P639">
        <f t="shared" si="173"/>
        <v>304.40540540540542</v>
      </c>
      <c r="V639">
        <f t="shared" si="174"/>
        <v>805.1161689938632</v>
      </c>
      <c r="W639">
        <f t="shared" si="175"/>
        <v>114.89025256516126</v>
      </c>
      <c r="AE639">
        <f t="shared" si="176"/>
        <v>0.62737893024262315</v>
      </c>
      <c r="AF639">
        <f t="shared" si="177"/>
        <v>0.6080444286389739</v>
      </c>
      <c r="AG639">
        <f t="shared" si="178"/>
        <v>0.60960732359971004</v>
      </c>
      <c r="AI639">
        <f t="shared" si="179"/>
        <v>0.29155691695914654</v>
      </c>
      <c r="AJ639">
        <f t="shared" si="180"/>
        <v>26.849037355350621</v>
      </c>
      <c r="AL639">
        <f t="shared" si="181"/>
        <v>0.30082779818590094</v>
      </c>
      <c r="AM639">
        <f t="shared" si="182"/>
        <v>28.583667471366006</v>
      </c>
      <c r="AO639">
        <f t="shared" si="183"/>
        <v>0.30005654391838688</v>
      </c>
      <c r="AP639">
        <f t="shared" si="184"/>
        <v>28.437291264730682</v>
      </c>
    </row>
    <row r="640" spans="1:42" x14ac:dyDescent="0.2">
      <c r="A640" s="3">
        <v>640</v>
      </c>
      <c r="B640" s="3">
        <v>4.39E-7</v>
      </c>
      <c r="C640" s="2">
        <v>3.3259999999999998E-2</v>
      </c>
      <c r="D640" s="3">
        <v>204000</v>
      </c>
      <c r="E640" s="3">
        <v>109000000000</v>
      </c>
      <c r="F640" s="3">
        <v>98900000000</v>
      </c>
      <c r="G640" s="3">
        <v>6260000000</v>
      </c>
      <c r="H640" s="3">
        <v>11300000000</v>
      </c>
      <c r="I640" s="2"/>
      <c r="J640" s="7">
        <f t="shared" si="168"/>
        <v>0.439</v>
      </c>
      <c r="K640" s="7">
        <f t="shared" si="169"/>
        <v>33.26</v>
      </c>
      <c r="L640" s="7">
        <f t="shared" si="170"/>
        <v>109</v>
      </c>
      <c r="M640" s="7">
        <f t="shared" si="171"/>
        <v>204</v>
      </c>
      <c r="O640">
        <f t="shared" si="172"/>
        <v>0.31672058823529414</v>
      </c>
      <c r="P640">
        <f t="shared" si="173"/>
        <v>316.72058823529414</v>
      </c>
      <c r="V640">
        <f t="shared" si="174"/>
        <v>819.38705100734262</v>
      </c>
      <c r="W640">
        <f t="shared" si="175"/>
        <v>124.48329501253731</v>
      </c>
      <c r="AE640">
        <f t="shared" si="176"/>
        <v>0.69181244199727088</v>
      </c>
      <c r="AF640">
        <f t="shared" si="177"/>
        <v>0.67049223482351727</v>
      </c>
      <c r="AG640">
        <f t="shared" si="178"/>
        <v>0.67221564332076134</v>
      </c>
      <c r="AI640">
        <f t="shared" si="179"/>
        <v>0.26440210606589271</v>
      </c>
      <c r="AJ640">
        <f t="shared" si="180"/>
        <v>22.120554141286501</v>
      </c>
      <c r="AL640">
        <f t="shared" si="181"/>
        <v>0.27280952286466503</v>
      </c>
      <c r="AM640">
        <f t="shared" si="182"/>
        <v>23.549692135642836</v>
      </c>
      <c r="AO640">
        <f t="shared" si="183"/>
        <v>0.2721101011024587</v>
      </c>
      <c r="AP640">
        <f t="shared" si="184"/>
        <v>23.429094783826521</v>
      </c>
    </row>
    <row r="641" spans="1:42" x14ac:dyDescent="0.2">
      <c r="A641" s="3">
        <v>640</v>
      </c>
      <c r="B641" s="3">
        <v>4.4000000000000002E-7</v>
      </c>
      <c r="C641" s="2">
        <v>3.3309999999999999E-2</v>
      </c>
      <c r="D641" s="3">
        <v>213000</v>
      </c>
      <c r="E641" s="3">
        <v>113000000000</v>
      </c>
      <c r="F641" s="3">
        <v>102000000000</v>
      </c>
      <c r="G641" s="2">
        <v>0</v>
      </c>
      <c r="H641" s="3">
        <v>11200000000</v>
      </c>
      <c r="I641" s="2"/>
      <c r="J641" s="7">
        <f t="shared" si="168"/>
        <v>0.44</v>
      </c>
      <c r="K641" s="7">
        <f t="shared" si="169"/>
        <v>33.31</v>
      </c>
      <c r="L641" s="7">
        <f t="shared" si="170"/>
        <v>113</v>
      </c>
      <c r="M641" s="7">
        <f t="shared" si="171"/>
        <v>213</v>
      </c>
      <c r="O641">
        <f t="shared" si="172"/>
        <v>0.32271126760563379</v>
      </c>
      <c r="P641">
        <f t="shared" si="173"/>
        <v>322.71126760563379</v>
      </c>
      <c r="V641">
        <f t="shared" si="174"/>
        <v>826.21736703095269</v>
      </c>
      <c r="W641">
        <f t="shared" si="175"/>
        <v>128.90070367645779</v>
      </c>
      <c r="AE641">
        <f t="shared" si="176"/>
        <v>0.72233357914420937</v>
      </c>
      <c r="AF641">
        <f t="shared" si="177"/>
        <v>0.70007277459514294</v>
      </c>
      <c r="AG641">
        <f t="shared" si="178"/>
        <v>0.70187221582020665</v>
      </c>
      <c r="AI641">
        <f t="shared" si="179"/>
        <v>0.25380702022815971</v>
      </c>
      <c r="AJ641">
        <f t="shared" si="180"/>
        <v>20.32120785539022</v>
      </c>
      <c r="AL641">
        <f t="shared" si="181"/>
        <v>0.26187753614523335</v>
      </c>
      <c r="AM641">
        <f t="shared" si="182"/>
        <v>21.634095862257382</v>
      </c>
      <c r="AO641">
        <f t="shared" si="183"/>
        <v>0.26120614151835364</v>
      </c>
      <c r="AP641">
        <f t="shared" si="184"/>
        <v>21.523308228393592</v>
      </c>
    </row>
    <row r="642" spans="1:42" x14ac:dyDescent="0.2">
      <c r="A642" s="3">
        <v>640</v>
      </c>
      <c r="B642" s="3">
        <v>4.4099999999999999E-7</v>
      </c>
      <c r="C642" s="2">
        <v>3.3360000000000001E-2</v>
      </c>
      <c r="D642" s="3">
        <v>218000</v>
      </c>
      <c r="E642" s="3">
        <v>116000000000</v>
      </c>
      <c r="F642" s="3">
        <v>104000000000</v>
      </c>
      <c r="G642" s="2">
        <v>0</v>
      </c>
      <c r="H642" s="3">
        <v>11100000000</v>
      </c>
      <c r="I642" s="2"/>
      <c r="J642" s="7">
        <f t="shared" si="168"/>
        <v>0.441</v>
      </c>
      <c r="K642" s="7">
        <f t="shared" si="169"/>
        <v>33.36</v>
      </c>
      <c r="L642" s="7">
        <f t="shared" si="170"/>
        <v>116.00000000000001</v>
      </c>
      <c r="M642" s="7">
        <f t="shared" si="171"/>
        <v>218</v>
      </c>
      <c r="O642">
        <f t="shared" si="172"/>
        <v>0.32622935779816514</v>
      </c>
      <c r="P642">
        <f t="shared" si="173"/>
        <v>326.22935779816515</v>
      </c>
      <c r="V642">
        <f t="shared" si="174"/>
        <v>830.19566581952267</v>
      </c>
      <c r="W642">
        <f t="shared" si="175"/>
        <v>131.29434961865442</v>
      </c>
      <c r="AE642">
        <f t="shared" si="176"/>
        <v>0.73928976644806399</v>
      </c>
      <c r="AF642">
        <f t="shared" si="177"/>
        <v>0.71650640780160169</v>
      </c>
      <c r="AG642">
        <f t="shared" si="178"/>
        <v>0.71834808943100958</v>
      </c>
      <c r="AI642">
        <f t="shared" si="179"/>
        <v>0.24854936229244917</v>
      </c>
      <c r="AJ642">
        <f t="shared" si="180"/>
        <v>19.428852311224205</v>
      </c>
      <c r="AL642">
        <f t="shared" si="181"/>
        <v>0.25645269602512721</v>
      </c>
      <c r="AM642">
        <f t="shared" si="182"/>
        <v>20.684088090914017</v>
      </c>
      <c r="AO642">
        <f t="shared" si="183"/>
        <v>0.25579520945833517</v>
      </c>
      <c r="AP642">
        <f t="shared" si="184"/>
        <v>20.578165421771171</v>
      </c>
    </row>
    <row r="643" spans="1:42" x14ac:dyDescent="0.2">
      <c r="A643" s="3">
        <v>640</v>
      </c>
      <c r="B643" s="3">
        <v>4.4099999999999999E-7</v>
      </c>
      <c r="C643" s="2">
        <v>3.3410000000000002E-2</v>
      </c>
      <c r="D643" s="3">
        <v>194000</v>
      </c>
      <c r="E643" s="3">
        <v>104000000000</v>
      </c>
      <c r="F643" s="3">
        <v>94700000000</v>
      </c>
      <c r="G643" s="2">
        <v>0</v>
      </c>
      <c r="H643" s="3">
        <v>11600000000</v>
      </c>
      <c r="I643" s="2"/>
      <c r="J643" s="7">
        <f t="shared" si="168"/>
        <v>0.441</v>
      </c>
      <c r="K643" s="7">
        <f t="shared" si="169"/>
        <v>33.410000000000004</v>
      </c>
      <c r="L643" s="7">
        <f t="shared" si="170"/>
        <v>104</v>
      </c>
      <c r="M643" s="7">
        <f t="shared" si="171"/>
        <v>194</v>
      </c>
      <c r="O643">
        <f t="shared" si="172"/>
        <v>0.31183762886597938</v>
      </c>
      <c r="P643">
        <f t="shared" si="173"/>
        <v>311.83762886597935</v>
      </c>
      <c r="V643">
        <f t="shared" si="174"/>
        <v>813.76629256546926</v>
      </c>
      <c r="W643">
        <f t="shared" si="175"/>
        <v>119.19884232879569</v>
      </c>
      <c r="AE643">
        <f t="shared" si="176"/>
        <v>0.65790006738956153</v>
      </c>
      <c r="AF643">
        <f t="shared" si="177"/>
        <v>0.63762496841059968</v>
      </c>
      <c r="AG643">
        <f t="shared" si="178"/>
        <v>0.63926389609915535</v>
      </c>
      <c r="AI643">
        <f t="shared" si="179"/>
        <v>0.27929773700904087</v>
      </c>
      <c r="AJ643">
        <f t="shared" si="180"/>
        <v>24.570110407217534</v>
      </c>
      <c r="AL643">
        <f t="shared" si="181"/>
        <v>0.28817880274988522</v>
      </c>
      <c r="AM643">
        <f t="shared" si="182"/>
        <v>26.157506368648118</v>
      </c>
      <c r="AO643">
        <f t="shared" si="183"/>
        <v>0.28743997763874779</v>
      </c>
      <c r="AP643">
        <f t="shared" si="184"/>
        <v>26.023554468979629</v>
      </c>
    </row>
    <row r="644" spans="1:42" x14ac:dyDescent="0.2">
      <c r="A644" s="3">
        <v>640</v>
      </c>
      <c r="B644" s="3">
        <v>4.4099999999999999E-7</v>
      </c>
      <c r="C644" s="2">
        <v>3.3459999999999997E-2</v>
      </c>
      <c r="D644" s="3">
        <v>188000</v>
      </c>
      <c r="E644" s="3">
        <v>101000000000</v>
      </c>
      <c r="F644" s="3">
        <v>92400000000</v>
      </c>
      <c r="G644" s="2">
        <v>0</v>
      </c>
      <c r="H644" s="3">
        <v>11800000000</v>
      </c>
      <c r="I644" s="2"/>
      <c r="J644" s="7">
        <f t="shared" si="168"/>
        <v>0.441</v>
      </c>
      <c r="K644" s="7">
        <f t="shared" si="169"/>
        <v>33.459999999999994</v>
      </c>
      <c r="L644" s="7">
        <f t="shared" si="170"/>
        <v>101</v>
      </c>
      <c r="M644" s="7">
        <f t="shared" si="171"/>
        <v>188</v>
      </c>
      <c r="O644">
        <f t="shared" si="172"/>
        <v>0.30751595744680854</v>
      </c>
      <c r="P644">
        <f t="shared" si="173"/>
        <v>307.51595744680856</v>
      </c>
      <c r="V644">
        <f t="shared" si="174"/>
        <v>808.75059535440778</v>
      </c>
      <c r="W644">
        <f t="shared" si="175"/>
        <v>116.22866250726858</v>
      </c>
      <c r="AE644">
        <f t="shared" si="176"/>
        <v>0.63755264262493594</v>
      </c>
      <c r="AF644">
        <f t="shared" si="177"/>
        <v>0.61790460856284923</v>
      </c>
      <c r="AG644">
        <f t="shared" si="178"/>
        <v>0.61949284776619185</v>
      </c>
      <c r="AI644">
        <f t="shared" si="179"/>
        <v>0.2882114945731592</v>
      </c>
      <c r="AJ644">
        <f t="shared" si="180"/>
        <v>26.202596574622536</v>
      </c>
      <c r="AL644">
        <f t="shared" si="181"/>
        <v>0.29737599858232833</v>
      </c>
      <c r="AM644">
        <f t="shared" si="182"/>
        <v>27.895462226920632</v>
      </c>
      <c r="AO644">
        <f t="shared" si="183"/>
        <v>0.29661359394636738</v>
      </c>
      <c r="AP644">
        <f t="shared" si="184"/>
        <v>27.752610301176464</v>
      </c>
    </row>
    <row r="645" spans="1:42" x14ac:dyDescent="0.2">
      <c r="A645" s="3">
        <v>640</v>
      </c>
      <c r="B645" s="3">
        <v>4.4200000000000001E-7</v>
      </c>
      <c r="C645" s="2">
        <v>3.3520000000000001E-2</v>
      </c>
      <c r="D645" s="3">
        <v>206000</v>
      </c>
      <c r="E645" s="3">
        <v>110000000000</v>
      </c>
      <c r="F645" s="3">
        <v>99600000000</v>
      </c>
      <c r="G645" s="3">
        <v>2490000000</v>
      </c>
      <c r="H645" s="3">
        <v>11300000000</v>
      </c>
      <c r="I645" s="2"/>
      <c r="J645" s="7">
        <f t="shared" ref="J645:J708" si="185">B645*(10^6)</f>
        <v>0.442</v>
      </c>
      <c r="K645" s="7">
        <f t="shared" ref="K645:K708" si="186">C645*1000</f>
        <v>33.520000000000003</v>
      </c>
      <c r="L645" s="7">
        <f t="shared" ref="L645:L708" si="187">E645*(10^-9)</f>
        <v>110</v>
      </c>
      <c r="M645" s="7">
        <f t="shared" ref="M645:M708" si="188">D645*(10^-3)</f>
        <v>206</v>
      </c>
      <c r="O645">
        <f t="shared" ref="O645:O708" si="189">J645-(0.75*(K645/M645))</f>
        <v>0.31996116504854366</v>
      </c>
      <c r="P645">
        <f t="shared" ref="P645:P708" si="190">O645*1000</f>
        <v>319.96116504854365</v>
      </c>
      <c r="V645">
        <f t="shared" ref="V645:V708" si="191">$S$3*(P645^$S$4)</f>
        <v>823.09066528644394</v>
      </c>
      <c r="W645">
        <f t="shared" ref="W645:W708" si="192">M645/(2*(V645/1000))</f>
        <v>125.13809759238971</v>
      </c>
      <c r="AE645">
        <f t="shared" si="176"/>
        <v>0.69859491691881281</v>
      </c>
      <c r="AF645">
        <f t="shared" si="177"/>
        <v>0.67706568810610068</v>
      </c>
      <c r="AG645">
        <f t="shared" si="178"/>
        <v>0.67880599276508247</v>
      </c>
      <c r="AI645">
        <f t="shared" si="179"/>
        <v>0.26362440121800884</v>
      </c>
      <c r="AJ645">
        <f t="shared" si="180"/>
        <v>21.862693255499178</v>
      </c>
      <c r="AL645">
        <f t="shared" si="181"/>
        <v>0.27200708867971246</v>
      </c>
      <c r="AM645">
        <f t="shared" si="182"/>
        <v>23.275171685778449</v>
      </c>
      <c r="AO645">
        <f t="shared" si="183"/>
        <v>0.27130972417681953</v>
      </c>
      <c r="AP645">
        <f t="shared" si="184"/>
        <v>23.155980145939729</v>
      </c>
    </row>
    <row r="646" spans="1:42" x14ac:dyDescent="0.2">
      <c r="A646" s="3">
        <v>640</v>
      </c>
      <c r="B646" s="3">
        <v>4.4299999999999998E-7</v>
      </c>
      <c r="C646" s="2">
        <v>3.3570000000000003E-2</v>
      </c>
      <c r="D646" s="3">
        <v>189000</v>
      </c>
      <c r="E646" s="3">
        <v>101000000000</v>
      </c>
      <c r="F646" s="3">
        <v>92600000000</v>
      </c>
      <c r="G646" s="3">
        <v>7780000000</v>
      </c>
      <c r="H646" s="3">
        <v>11700000000</v>
      </c>
      <c r="I646" s="2"/>
      <c r="J646" s="7">
        <f t="shared" si="185"/>
        <v>0.443</v>
      </c>
      <c r="K646" s="7">
        <f t="shared" si="186"/>
        <v>33.57</v>
      </c>
      <c r="L646" s="7">
        <f t="shared" si="187"/>
        <v>101</v>
      </c>
      <c r="M646" s="7">
        <f t="shared" si="188"/>
        <v>189</v>
      </c>
      <c r="O646">
        <f t="shared" si="189"/>
        <v>0.30978571428571428</v>
      </c>
      <c r="P646">
        <f t="shared" si="190"/>
        <v>309.78571428571428</v>
      </c>
      <c r="V646">
        <f t="shared" si="191"/>
        <v>811.38971703405616</v>
      </c>
      <c r="W646">
        <f t="shared" si="192"/>
        <v>116.46684449666692</v>
      </c>
      <c r="AE646">
        <f t="shared" si="176"/>
        <v>0.64094388008570691</v>
      </c>
      <c r="AF646">
        <f t="shared" si="177"/>
        <v>0.62119133520414094</v>
      </c>
      <c r="AG646">
        <f t="shared" si="178"/>
        <v>0.62278802248835241</v>
      </c>
      <c r="AI646">
        <f t="shared" si="179"/>
        <v>0.28798673186278162</v>
      </c>
      <c r="AJ646">
        <f t="shared" si="180"/>
        <v>26.01128605128028</v>
      </c>
      <c r="AL646">
        <f t="shared" si="181"/>
        <v>0.29714408890245397</v>
      </c>
      <c r="AM646">
        <f t="shared" si="182"/>
        <v>27.691791744787011</v>
      </c>
      <c r="AO646">
        <f t="shared" si="183"/>
        <v>0.29638227883033103</v>
      </c>
      <c r="AP646">
        <f t="shared" si="184"/>
        <v>27.549982810205826</v>
      </c>
    </row>
    <row r="647" spans="1:42" x14ac:dyDescent="0.2">
      <c r="A647" s="3">
        <v>650</v>
      </c>
      <c r="B647" s="3">
        <v>4.4299999999999998E-7</v>
      </c>
      <c r="C647" s="2">
        <v>3.3619999999999997E-2</v>
      </c>
      <c r="D647" s="3">
        <v>189000</v>
      </c>
      <c r="E647" s="3">
        <v>101000000000</v>
      </c>
      <c r="F647" s="3">
        <v>92600000000</v>
      </c>
      <c r="G647" s="2">
        <v>0</v>
      </c>
      <c r="H647" s="3">
        <v>11800000000</v>
      </c>
      <c r="I647" s="2"/>
      <c r="J647" s="7">
        <f t="shared" si="185"/>
        <v>0.443</v>
      </c>
      <c r="K647" s="7">
        <f t="shared" si="186"/>
        <v>33.619999999999997</v>
      </c>
      <c r="L647" s="7">
        <f t="shared" si="187"/>
        <v>101</v>
      </c>
      <c r="M647" s="7">
        <f t="shared" si="188"/>
        <v>189</v>
      </c>
      <c r="O647">
        <f t="shared" si="189"/>
        <v>0.30958730158730163</v>
      </c>
      <c r="P647">
        <f t="shared" si="190"/>
        <v>309.58730158730162</v>
      </c>
      <c r="V647">
        <f t="shared" si="191"/>
        <v>811.15944648710501</v>
      </c>
      <c r="W647">
        <f t="shared" si="192"/>
        <v>116.49990690394094</v>
      </c>
      <c r="AE647">
        <f t="shared" si="176"/>
        <v>0.64094388008570691</v>
      </c>
      <c r="AF647">
        <f t="shared" si="177"/>
        <v>0.62119133520414094</v>
      </c>
      <c r="AG647">
        <f t="shared" si="178"/>
        <v>0.62278802248835241</v>
      </c>
      <c r="AI647">
        <f t="shared" si="179"/>
        <v>0.28798673186278162</v>
      </c>
      <c r="AJ647">
        <f t="shared" si="180"/>
        <v>26.05002791313801</v>
      </c>
      <c r="AL647">
        <f t="shared" si="181"/>
        <v>0.29714408890245397</v>
      </c>
      <c r="AM647">
        <f t="shared" si="182"/>
        <v>27.733036593974955</v>
      </c>
      <c r="AO647">
        <f t="shared" si="183"/>
        <v>0.29638227883033103</v>
      </c>
      <c r="AP647">
        <f t="shared" si="184"/>
        <v>27.591016445609764</v>
      </c>
    </row>
    <row r="648" spans="1:42" x14ac:dyDescent="0.2">
      <c r="A648" s="3">
        <v>650</v>
      </c>
      <c r="B648" s="3">
        <v>4.4400000000000001E-7</v>
      </c>
      <c r="C648" s="2">
        <v>3.3669999999999999E-2</v>
      </c>
      <c r="D648" s="3">
        <v>198000</v>
      </c>
      <c r="E648" s="3">
        <v>105000000000</v>
      </c>
      <c r="F648" s="3">
        <v>95900000000</v>
      </c>
      <c r="G648" s="2">
        <v>0</v>
      </c>
      <c r="H648" s="3">
        <v>11500000000</v>
      </c>
      <c r="I648" s="2"/>
      <c r="J648" s="7">
        <f t="shared" si="185"/>
        <v>0.44400000000000001</v>
      </c>
      <c r="K648" s="7">
        <f t="shared" si="186"/>
        <v>33.67</v>
      </c>
      <c r="L648" s="7">
        <f t="shared" si="187"/>
        <v>105</v>
      </c>
      <c r="M648" s="7">
        <f t="shared" si="188"/>
        <v>198</v>
      </c>
      <c r="O648">
        <f t="shared" si="189"/>
        <v>0.31646212121212119</v>
      </c>
      <c r="P648">
        <f t="shared" si="190"/>
        <v>316.46212121212119</v>
      </c>
      <c r="V648">
        <f t="shared" si="191"/>
        <v>819.09074530691419</v>
      </c>
      <c r="W648">
        <f t="shared" si="192"/>
        <v>120.86572894057618</v>
      </c>
      <c r="AE648">
        <f t="shared" si="176"/>
        <v>0.67146501723264529</v>
      </c>
      <c r="AF648">
        <f t="shared" si="177"/>
        <v>0.65077187497576672</v>
      </c>
      <c r="AG648">
        <f t="shared" si="178"/>
        <v>0.65244459498779772</v>
      </c>
      <c r="AI648">
        <f t="shared" si="179"/>
        <v>0.27551695956172545</v>
      </c>
      <c r="AJ648">
        <f t="shared" si="180"/>
        <v>23.770965848704801</v>
      </c>
      <c r="AL648">
        <f t="shared" si="181"/>
        <v>0.28427780473286279</v>
      </c>
      <c r="AM648">
        <f t="shared" si="182"/>
        <v>25.306731645526529</v>
      </c>
      <c r="AO648">
        <f t="shared" si="183"/>
        <v>0.28354898089616321</v>
      </c>
      <c r="AP648">
        <f t="shared" si="184"/>
        <v>25.177136540758365</v>
      </c>
    </row>
    <row r="649" spans="1:42" x14ac:dyDescent="0.2">
      <c r="A649" s="3">
        <v>650</v>
      </c>
      <c r="B649" s="3">
        <v>4.4499999999999997E-7</v>
      </c>
      <c r="C649" s="2">
        <v>3.372E-2</v>
      </c>
      <c r="D649" s="3">
        <v>172000</v>
      </c>
      <c r="E649" s="3">
        <v>93500000000</v>
      </c>
      <c r="F649" s="3">
        <v>86000000000</v>
      </c>
      <c r="G649" s="2">
        <v>0</v>
      </c>
      <c r="H649" s="3">
        <v>12300000000</v>
      </c>
      <c r="I649" s="2"/>
      <c r="J649" s="7">
        <f t="shared" si="185"/>
        <v>0.44499999999999995</v>
      </c>
      <c r="K649" s="7">
        <f t="shared" si="186"/>
        <v>33.72</v>
      </c>
      <c r="L649" s="7">
        <f t="shared" si="187"/>
        <v>93.5</v>
      </c>
      <c r="M649" s="7">
        <f t="shared" si="188"/>
        <v>172</v>
      </c>
      <c r="O649">
        <f t="shared" si="189"/>
        <v>0.29796511627906974</v>
      </c>
      <c r="P649">
        <f t="shared" si="190"/>
        <v>297.96511627906972</v>
      </c>
      <c r="V649">
        <f t="shared" si="191"/>
        <v>797.52489696137661</v>
      </c>
      <c r="W649">
        <f t="shared" si="192"/>
        <v>107.83362416354119</v>
      </c>
      <c r="AE649">
        <f t="shared" si="176"/>
        <v>0.583292843252601</v>
      </c>
      <c r="AF649">
        <f t="shared" si="177"/>
        <v>0.56531698230218119</v>
      </c>
      <c r="AG649">
        <f t="shared" si="178"/>
        <v>0.56677005221162224</v>
      </c>
      <c r="AI649">
        <f t="shared" si="179"/>
        <v>0.31787920735103214</v>
      </c>
      <c r="AJ649">
        <f t="shared" si="180"/>
        <v>31.547486586669919</v>
      </c>
      <c r="AL649">
        <f t="shared" si="181"/>
        <v>0.32798708064912713</v>
      </c>
      <c r="AM649">
        <f t="shared" si="182"/>
        <v>33.585668425130628</v>
      </c>
      <c r="AO649">
        <f t="shared" si="183"/>
        <v>0.3271461961392329</v>
      </c>
      <c r="AP649">
        <f t="shared" si="184"/>
        <v>33.413677103642343</v>
      </c>
    </row>
    <row r="650" spans="1:42" x14ac:dyDescent="0.2">
      <c r="A650" s="3">
        <v>650</v>
      </c>
      <c r="B650" s="3">
        <v>4.4499999999999997E-7</v>
      </c>
      <c r="C650" s="2">
        <v>3.3779999999999998E-2</v>
      </c>
      <c r="D650" s="3">
        <v>196000</v>
      </c>
      <c r="E650" s="3">
        <v>104000000000</v>
      </c>
      <c r="F650" s="3">
        <v>95000000000</v>
      </c>
      <c r="G650" s="3">
        <v>3060000000</v>
      </c>
      <c r="H650" s="3">
        <v>11600000000</v>
      </c>
      <c r="I650" s="2"/>
      <c r="J650" s="7">
        <f t="shared" si="185"/>
        <v>0.44499999999999995</v>
      </c>
      <c r="K650" s="7">
        <f t="shared" si="186"/>
        <v>33.779999999999994</v>
      </c>
      <c r="L650" s="7">
        <f t="shared" si="187"/>
        <v>104</v>
      </c>
      <c r="M650" s="7">
        <f t="shared" si="188"/>
        <v>196</v>
      </c>
      <c r="O650">
        <f t="shared" si="189"/>
        <v>0.31573979591836732</v>
      </c>
      <c r="P650">
        <f t="shared" si="190"/>
        <v>315.73979591836729</v>
      </c>
      <c r="V650">
        <f t="shared" si="191"/>
        <v>818.26195866934961</v>
      </c>
      <c r="W650">
        <f t="shared" si="192"/>
        <v>119.76604675520629</v>
      </c>
      <c r="AE650">
        <f t="shared" si="176"/>
        <v>0.66468254231110346</v>
      </c>
      <c r="AF650">
        <f t="shared" si="177"/>
        <v>0.6441984216931832</v>
      </c>
      <c r="AG650">
        <f t="shared" si="178"/>
        <v>0.64585424554347659</v>
      </c>
      <c r="AI650">
        <f t="shared" si="179"/>
        <v>0.27895522277743634</v>
      </c>
      <c r="AJ650">
        <f t="shared" si="180"/>
        <v>24.337815515330767</v>
      </c>
      <c r="AL650">
        <f t="shared" si="181"/>
        <v>0.28782539730433604</v>
      </c>
      <c r="AM650">
        <f t="shared" si="182"/>
        <v>25.910203649481353</v>
      </c>
      <c r="AO650">
        <f t="shared" si="183"/>
        <v>0.28708747824463293</v>
      </c>
      <c r="AP650">
        <f t="shared" si="184"/>
        <v>25.777518180509986</v>
      </c>
    </row>
    <row r="651" spans="1:42" x14ac:dyDescent="0.2">
      <c r="A651" s="3">
        <v>650</v>
      </c>
      <c r="B651" s="3">
        <v>4.46E-7</v>
      </c>
      <c r="C651" s="2">
        <v>3.3829999999999999E-2</v>
      </c>
      <c r="D651" s="3">
        <v>200000</v>
      </c>
      <c r="E651" s="3">
        <v>106000000000</v>
      </c>
      <c r="F651" s="3">
        <v>96800000000</v>
      </c>
      <c r="G651" s="3">
        <v>2110000000</v>
      </c>
      <c r="H651" s="3">
        <v>11400000000</v>
      </c>
      <c r="I651" s="2"/>
      <c r="J651" s="7">
        <f t="shared" si="185"/>
        <v>0.44600000000000001</v>
      </c>
      <c r="K651" s="7">
        <f t="shared" si="186"/>
        <v>33.83</v>
      </c>
      <c r="L651" s="7">
        <f t="shared" si="187"/>
        <v>106</v>
      </c>
      <c r="M651" s="7">
        <f t="shared" si="188"/>
        <v>200</v>
      </c>
      <c r="O651">
        <f t="shared" si="189"/>
        <v>0.31913750000000002</v>
      </c>
      <c r="P651">
        <f t="shared" si="190"/>
        <v>319.13750000000005</v>
      </c>
      <c r="V651">
        <f t="shared" si="191"/>
        <v>822.15129670430133</v>
      </c>
      <c r="W651">
        <f t="shared" si="192"/>
        <v>121.63211370080276</v>
      </c>
      <c r="AE651">
        <f t="shared" si="176"/>
        <v>0.67824749215418723</v>
      </c>
      <c r="AF651">
        <f t="shared" si="177"/>
        <v>0.65734532825835024</v>
      </c>
      <c r="AG651">
        <f t="shared" si="178"/>
        <v>0.65903494443211896</v>
      </c>
      <c r="AI651">
        <f t="shared" si="179"/>
        <v>0.2739904466776672</v>
      </c>
      <c r="AJ651">
        <f t="shared" si="180"/>
        <v>23.408635472109172</v>
      </c>
      <c r="AL651">
        <f t="shared" si="181"/>
        <v>0.28270275203096445</v>
      </c>
      <c r="AM651">
        <f t="shared" si="182"/>
        <v>24.920992266407957</v>
      </c>
      <c r="AO651">
        <f t="shared" si="183"/>
        <v>0.28197796627227906</v>
      </c>
      <c r="AP651">
        <f t="shared" si="184"/>
        <v>24.793372522818398</v>
      </c>
    </row>
    <row r="652" spans="1:42" x14ac:dyDescent="0.2">
      <c r="A652" s="3">
        <v>650</v>
      </c>
      <c r="B652" s="3">
        <v>4.4700000000000002E-7</v>
      </c>
      <c r="C652" s="2">
        <v>3.388E-2</v>
      </c>
      <c r="D652" s="3">
        <v>196000</v>
      </c>
      <c r="E652" s="3">
        <v>104000000000</v>
      </c>
      <c r="F652" s="3">
        <v>95100000000</v>
      </c>
      <c r="G652" s="3">
        <v>14000000000</v>
      </c>
      <c r="H652" s="3">
        <v>11500000000</v>
      </c>
      <c r="I652" s="2"/>
      <c r="J652" s="7">
        <f t="shared" si="185"/>
        <v>0.44700000000000001</v>
      </c>
      <c r="K652" s="7">
        <f t="shared" si="186"/>
        <v>33.880000000000003</v>
      </c>
      <c r="L652" s="7">
        <f t="shared" si="187"/>
        <v>104</v>
      </c>
      <c r="M652" s="7">
        <f t="shared" si="188"/>
        <v>196</v>
      </c>
      <c r="O652">
        <f t="shared" si="189"/>
        <v>0.31735714285714284</v>
      </c>
      <c r="P652">
        <f t="shared" si="190"/>
        <v>317.35714285714283</v>
      </c>
      <c r="V652">
        <f t="shared" si="191"/>
        <v>820.11622120934749</v>
      </c>
      <c r="W652">
        <f t="shared" si="192"/>
        <v>119.49525867868911</v>
      </c>
      <c r="AE652">
        <f t="shared" si="176"/>
        <v>0.66468254231110346</v>
      </c>
      <c r="AF652">
        <f t="shared" si="177"/>
        <v>0.6441984216931832</v>
      </c>
      <c r="AG652">
        <f t="shared" si="178"/>
        <v>0.64585424554347659</v>
      </c>
      <c r="AI652">
        <f t="shared" si="179"/>
        <v>0.28020895411576197</v>
      </c>
      <c r="AJ652">
        <f t="shared" si="180"/>
        <v>24.409863518632523</v>
      </c>
      <c r="AL652">
        <f t="shared" si="181"/>
        <v>0.28911899459559154</v>
      </c>
      <c r="AM652">
        <f t="shared" si="182"/>
        <v>25.986906442996698</v>
      </c>
      <c r="AO652">
        <f t="shared" si="183"/>
        <v>0.28837775904573248</v>
      </c>
      <c r="AP652">
        <f t="shared" si="184"/>
        <v>25.853828181044364</v>
      </c>
    </row>
    <row r="653" spans="1:42" x14ac:dyDescent="0.2">
      <c r="A653" s="3">
        <v>650</v>
      </c>
      <c r="B653" s="3">
        <v>4.4700000000000002E-7</v>
      </c>
      <c r="C653" s="2">
        <v>3.3930000000000002E-2</v>
      </c>
      <c r="D653" s="3">
        <v>217000</v>
      </c>
      <c r="E653" s="3">
        <v>114000000000</v>
      </c>
      <c r="F653" s="3">
        <v>103000000000</v>
      </c>
      <c r="G653" s="2">
        <v>0</v>
      </c>
      <c r="H653" s="3">
        <v>11100000000</v>
      </c>
      <c r="I653" s="2"/>
      <c r="J653" s="7">
        <f t="shared" si="185"/>
        <v>0.44700000000000001</v>
      </c>
      <c r="K653" s="7">
        <f t="shared" si="186"/>
        <v>33.93</v>
      </c>
      <c r="L653" s="7">
        <f t="shared" si="187"/>
        <v>114</v>
      </c>
      <c r="M653" s="7">
        <f t="shared" si="188"/>
        <v>217</v>
      </c>
      <c r="O653">
        <f t="shared" si="189"/>
        <v>0.3297304147465438</v>
      </c>
      <c r="P653">
        <f t="shared" si="190"/>
        <v>329.73041474654377</v>
      </c>
      <c r="V653">
        <f t="shared" si="191"/>
        <v>834.13105058869621</v>
      </c>
      <c r="W653">
        <f t="shared" si="192"/>
        <v>130.07548385043941</v>
      </c>
      <c r="AE653">
        <f t="shared" si="176"/>
        <v>0.73589852898729313</v>
      </c>
      <c r="AF653">
        <f t="shared" si="177"/>
        <v>0.71321968116030998</v>
      </c>
      <c r="AG653">
        <f t="shared" si="178"/>
        <v>0.71505291470884902</v>
      </c>
      <c r="AI653">
        <f t="shared" si="179"/>
        <v>0.25309195855617211</v>
      </c>
      <c r="AJ653">
        <f t="shared" si="180"/>
        <v>19.943367134133378</v>
      </c>
      <c r="AL653">
        <f t="shared" si="181"/>
        <v>0.26113973705408267</v>
      </c>
      <c r="AM653">
        <f t="shared" si="182"/>
        <v>21.231844064898461</v>
      </c>
      <c r="AO653">
        <f t="shared" si="183"/>
        <v>0.26047023397679059</v>
      </c>
      <c r="AP653">
        <f t="shared" si="184"/>
        <v>21.123116351871236</v>
      </c>
    </row>
    <row r="654" spans="1:42" x14ac:dyDescent="0.2">
      <c r="A654" s="3">
        <v>650</v>
      </c>
      <c r="B654" s="3">
        <v>4.4799999999999999E-7</v>
      </c>
      <c r="C654" s="2">
        <v>3.3980000000000003E-2</v>
      </c>
      <c r="D654" s="3">
        <v>221000</v>
      </c>
      <c r="E654" s="3">
        <v>116000000000</v>
      </c>
      <c r="F654" s="3">
        <v>105000000000</v>
      </c>
      <c r="G654" s="2">
        <v>0</v>
      </c>
      <c r="H654" s="3">
        <v>11000000000</v>
      </c>
      <c r="I654" s="2"/>
      <c r="J654" s="7">
        <f t="shared" si="185"/>
        <v>0.44800000000000001</v>
      </c>
      <c r="K654" s="7">
        <f t="shared" si="186"/>
        <v>33.980000000000004</v>
      </c>
      <c r="L654" s="7">
        <f t="shared" si="187"/>
        <v>116.00000000000001</v>
      </c>
      <c r="M654" s="7">
        <f t="shared" si="188"/>
        <v>221</v>
      </c>
      <c r="O654">
        <f t="shared" si="189"/>
        <v>0.33268325791855202</v>
      </c>
      <c r="P654">
        <f t="shared" si="190"/>
        <v>332.68325791855204</v>
      </c>
      <c r="V654">
        <f t="shared" si="191"/>
        <v>837.43215713718689</v>
      </c>
      <c r="W654">
        <f t="shared" si="192"/>
        <v>131.95098738237019</v>
      </c>
      <c r="AE654">
        <f t="shared" si="176"/>
        <v>0.74946347883037678</v>
      </c>
      <c r="AF654">
        <f t="shared" si="177"/>
        <v>0.72636658772547702</v>
      </c>
      <c r="AG654">
        <f t="shared" si="178"/>
        <v>0.72823361359749139</v>
      </c>
      <c r="AI654">
        <f t="shared" si="179"/>
        <v>0.24906706189070252</v>
      </c>
      <c r="AJ654">
        <f t="shared" si="180"/>
        <v>19.256303372712004</v>
      </c>
      <c r="AL654">
        <f t="shared" si="181"/>
        <v>0.25698685735420346</v>
      </c>
      <c r="AM654">
        <f t="shared" si="182"/>
        <v>20.500391319380157</v>
      </c>
      <c r="AO654">
        <f t="shared" si="183"/>
        <v>0.25632800131887473</v>
      </c>
      <c r="AP654">
        <f t="shared" si="184"/>
        <v>20.395409356555536</v>
      </c>
    </row>
    <row r="655" spans="1:42" x14ac:dyDescent="0.2">
      <c r="A655" s="3">
        <v>650</v>
      </c>
      <c r="B655" s="3">
        <v>4.4900000000000001E-7</v>
      </c>
      <c r="C655" s="2">
        <v>3.4040000000000001E-2</v>
      </c>
      <c r="D655" s="3">
        <v>201000</v>
      </c>
      <c r="E655" s="3">
        <v>106000000000</v>
      </c>
      <c r="F655" s="3">
        <v>96600000000</v>
      </c>
      <c r="G655" s="3">
        <v>384000000</v>
      </c>
      <c r="H655" s="3">
        <v>11400000000</v>
      </c>
      <c r="I655" s="2"/>
      <c r="J655" s="7">
        <f t="shared" si="185"/>
        <v>0.44900000000000001</v>
      </c>
      <c r="K655" s="7">
        <f t="shared" si="186"/>
        <v>34.04</v>
      </c>
      <c r="L655" s="7">
        <f t="shared" si="187"/>
        <v>106</v>
      </c>
      <c r="M655" s="7">
        <f t="shared" si="188"/>
        <v>201</v>
      </c>
      <c r="O655">
        <f t="shared" si="189"/>
        <v>0.32198507462686565</v>
      </c>
      <c r="P655">
        <f t="shared" si="190"/>
        <v>321.98507462686564</v>
      </c>
      <c r="V655">
        <f t="shared" si="191"/>
        <v>825.39317584408514</v>
      </c>
      <c r="W655">
        <f t="shared" si="192"/>
        <v>121.76015375608608</v>
      </c>
      <c r="AE655">
        <f t="shared" si="176"/>
        <v>0.68163872961495808</v>
      </c>
      <c r="AF655">
        <f t="shared" si="177"/>
        <v>0.66063205489964194</v>
      </c>
      <c r="AG655">
        <f t="shared" si="178"/>
        <v>0.66233011915427953</v>
      </c>
      <c r="AI655">
        <f t="shared" si="179"/>
        <v>0.27446112611443363</v>
      </c>
      <c r="AJ655">
        <f t="shared" si="180"/>
        <v>23.320160161469541</v>
      </c>
      <c r="AL655">
        <f t="shared" si="181"/>
        <v>0.2831883980588159</v>
      </c>
      <c r="AM655">
        <f t="shared" si="182"/>
        <v>24.826800849960581</v>
      </c>
      <c r="AO655">
        <f t="shared" si="183"/>
        <v>0.28246236721382617</v>
      </c>
      <c r="AP655">
        <f t="shared" si="184"/>
        <v>24.699663458128406</v>
      </c>
    </row>
    <row r="656" spans="1:42" x14ac:dyDescent="0.2">
      <c r="A656" s="3">
        <v>650</v>
      </c>
      <c r="B656" s="3">
        <v>4.4999999999999998E-7</v>
      </c>
      <c r="C656" s="2">
        <v>3.4090000000000002E-2</v>
      </c>
      <c r="D656" s="3">
        <v>201000</v>
      </c>
      <c r="E656" s="3">
        <v>106000000000</v>
      </c>
      <c r="F656" s="3">
        <v>96500000000</v>
      </c>
      <c r="G656" s="2">
        <v>0</v>
      </c>
      <c r="H656" s="3">
        <v>11400000000</v>
      </c>
      <c r="I656" s="2"/>
      <c r="J656" s="7">
        <f t="shared" si="185"/>
        <v>0.44999999999999996</v>
      </c>
      <c r="K656" s="7">
        <f t="shared" si="186"/>
        <v>34.090000000000003</v>
      </c>
      <c r="L656" s="7">
        <f t="shared" si="187"/>
        <v>106</v>
      </c>
      <c r="M656" s="7">
        <f t="shared" si="188"/>
        <v>201</v>
      </c>
      <c r="O656">
        <f t="shared" si="189"/>
        <v>0.32279850746268651</v>
      </c>
      <c r="P656">
        <f t="shared" si="190"/>
        <v>322.79850746268653</v>
      </c>
      <c r="V656">
        <f t="shared" si="191"/>
        <v>826.31631019076519</v>
      </c>
      <c r="W656">
        <f t="shared" si="192"/>
        <v>121.62412717812425</v>
      </c>
      <c r="AE656">
        <f t="shared" ref="AE656:AE719" si="193">M656/(2*$Y$5)</f>
        <v>0.68163872961495808</v>
      </c>
      <c r="AF656">
        <f t="shared" ref="AF656:AF719" si="194">M656/(2*$Y$8)</f>
        <v>0.66063205489964194</v>
      </c>
      <c r="AG656">
        <f t="shared" ref="AG656:AG719" si="195">M656/(2*$Y$11)</f>
        <v>0.66233011915427953</v>
      </c>
      <c r="AI656">
        <f t="shared" ref="AI656:AI719" si="196">J656/(2.4*AE656)</f>
        <v>0.27507239811023415</v>
      </c>
      <c r="AJ656">
        <f t="shared" ref="AJ656:AJ719" si="197">K656/(3.14159*(AE656^2))</f>
        <v>23.354414215760777</v>
      </c>
      <c r="AL656">
        <f t="shared" ref="AL656:AL719" si="198">J656/(2.4*AF656)</f>
        <v>0.28381910718589565</v>
      </c>
      <c r="AM656">
        <f t="shared" ref="AM656:AM719" si="199">K656/(3.14159*(AF656^2))</f>
        <v>24.86326794874137</v>
      </c>
      <c r="AO656">
        <f t="shared" ref="AO656:AO719" si="200">J656/(2.4*AG656)</f>
        <v>0.28309145934570545</v>
      </c>
      <c r="AP656">
        <f t="shared" ref="AP656:AP719" si="201">K656/(3.14159*(AG656^2))</f>
        <v>24.735943809858913</v>
      </c>
    </row>
    <row r="657" spans="1:42" x14ac:dyDescent="0.2">
      <c r="A657" s="3">
        <v>660</v>
      </c>
      <c r="B657" s="3">
        <v>4.4999999999999998E-7</v>
      </c>
      <c r="C657" s="2">
        <v>3.4139999999999997E-2</v>
      </c>
      <c r="D657" s="3">
        <v>178000</v>
      </c>
      <c r="E657" s="3">
        <v>95500000000</v>
      </c>
      <c r="F657" s="3">
        <v>87700000000</v>
      </c>
      <c r="G657" s="3">
        <v>3970000000</v>
      </c>
      <c r="H657" s="3">
        <v>12000000000</v>
      </c>
      <c r="I657" s="2"/>
      <c r="J657" s="7">
        <f t="shared" si="185"/>
        <v>0.44999999999999996</v>
      </c>
      <c r="K657" s="7">
        <f t="shared" si="186"/>
        <v>34.139999999999993</v>
      </c>
      <c r="L657" s="7">
        <f t="shared" si="187"/>
        <v>95.5</v>
      </c>
      <c r="M657" s="7">
        <f t="shared" si="188"/>
        <v>178</v>
      </c>
      <c r="O657">
        <f t="shared" si="189"/>
        <v>0.30615168539325843</v>
      </c>
      <c r="P657">
        <f t="shared" si="190"/>
        <v>306.15168539325845</v>
      </c>
      <c r="V657">
        <f t="shared" si="191"/>
        <v>807.15908763493587</v>
      </c>
      <c r="W657">
        <f t="shared" si="192"/>
        <v>110.26326948852142</v>
      </c>
      <c r="AE657">
        <f t="shared" si="193"/>
        <v>0.60364026801722659</v>
      </c>
      <c r="AF657">
        <f t="shared" si="194"/>
        <v>0.58503734214993164</v>
      </c>
      <c r="AG657">
        <f t="shared" si="195"/>
        <v>0.58654110054458586</v>
      </c>
      <c r="AI657">
        <f t="shared" si="196"/>
        <v>0.31061546078739921</v>
      </c>
      <c r="AJ657">
        <f t="shared" si="197"/>
        <v>29.823430967629424</v>
      </c>
      <c r="AL657">
        <f t="shared" si="198"/>
        <v>0.32049236260879232</v>
      </c>
      <c r="AM657">
        <f t="shared" si="199"/>
        <v>31.750227106897572</v>
      </c>
      <c r="AO657">
        <f t="shared" si="200"/>
        <v>0.31967069285666738</v>
      </c>
      <c r="AP657">
        <f t="shared" si="201"/>
        <v>31.58763503195221</v>
      </c>
    </row>
    <row r="658" spans="1:42" x14ac:dyDescent="0.2">
      <c r="A658" s="3">
        <v>660</v>
      </c>
      <c r="B658" s="3">
        <v>4.51E-7</v>
      </c>
      <c r="C658" s="2">
        <v>3.4189999999999998E-2</v>
      </c>
      <c r="D658" s="3">
        <v>182000</v>
      </c>
      <c r="E658" s="3">
        <v>97400000000</v>
      </c>
      <c r="F658" s="3">
        <v>89300000000</v>
      </c>
      <c r="G658" s="3">
        <v>234000000</v>
      </c>
      <c r="H658" s="3">
        <v>11900000000</v>
      </c>
      <c r="I658" s="2"/>
      <c r="J658" s="7">
        <f t="shared" si="185"/>
        <v>0.45100000000000001</v>
      </c>
      <c r="K658" s="7">
        <f t="shared" si="186"/>
        <v>34.19</v>
      </c>
      <c r="L658" s="7">
        <f t="shared" si="187"/>
        <v>97.4</v>
      </c>
      <c r="M658" s="7">
        <f t="shared" si="188"/>
        <v>182</v>
      </c>
      <c r="O658">
        <f t="shared" si="189"/>
        <v>0.31010714285714291</v>
      </c>
      <c r="P658">
        <f t="shared" si="190"/>
        <v>310.10714285714289</v>
      </c>
      <c r="V658">
        <f t="shared" si="191"/>
        <v>811.76258105699117</v>
      </c>
      <c r="W658">
        <f t="shared" si="192"/>
        <v>112.10174270598856</v>
      </c>
      <c r="AE658">
        <f t="shared" si="193"/>
        <v>0.61720521786031035</v>
      </c>
      <c r="AF658">
        <f t="shared" si="194"/>
        <v>0.59818424871509868</v>
      </c>
      <c r="AG658">
        <f t="shared" si="195"/>
        <v>0.59972179943322823</v>
      </c>
      <c r="AI658">
        <f t="shared" si="196"/>
        <v>0.30446383346875255</v>
      </c>
      <c r="AJ658">
        <f t="shared" si="197"/>
        <v>28.568695955373467</v>
      </c>
      <c r="AL658">
        <f t="shared" si="198"/>
        <v>0.3141451268071872</v>
      </c>
      <c r="AM658">
        <f t="shared" si="199"/>
        <v>30.414427693297462</v>
      </c>
      <c r="AO658">
        <f t="shared" si="200"/>
        <v>0.31333972992854153</v>
      </c>
      <c r="AP658">
        <f t="shared" si="201"/>
        <v>30.25867621188981</v>
      </c>
    </row>
    <row r="659" spans="1:42" x14ac:dyDescent="0.2">
      <c r="A659" s="3">
        <v>660</v>
      </c>
      <c r="B659" s="3">
        <v>4.5200000000000002E-7</v>
      </c>
      <c r="C659" s="2">
        <v>3.4250000000000003E-2</v>
      </c>
      <c r="D659" s="3">
        <v>200000</v>
      </c>
      <c r="E659" s="3">
        <v>105000000000</v>
      </c>
      <c r="F659" s="3">
        <v>96000000000</v>
      </c>
      <c r="G659" s="3">
        <v>4160000000</v>
      </c>
      <c r="H659" s="3">
        <v>11400000000</v>
      </c>
      <c r="I659" s="2"/>
      <c r="J659" s="7">
        <f t="shared" si="185"/>
        <v>0.45200000000000001</v>
      </c>
      <c r="K659" s="7">
        <f t="shared" si="186"/>
        <v>34.25</v>
      </c>
      <c r="L659" s="7">
        <f t="shared" si="187"/>
        <v>105</v>
      </c>
      <c r="M659" s="7">
        <f t="shared" si="188"/>
        <v>200</v>
      </c>
      <c r="O659">
        <f t="shared" si="189"/>
        <v>0.32356249999999998</v>
      </c>
      <c r="P659">
        <f t="shared" si="190"/>
        <v>323.5625</v>
      </c>
      <c r="V659">
        <f t="shared" si="191"/>
        <v>827.18215739559321</v>
      </c>
      <c r="W659">
        <f t="shared" si="192"/>
        <v>120.89235618289069</v>
      </c>
      <c r="AE659">
        <f t="shared" si="193"/>
        <v>0.67824749215418723</v>
      </c>
      <c r="AF659">
        <f t="shared" si="194"/>
        <v>0.65734532825835024</v>
      </c>
      <c r="AG659">
        <f t="shared" si="195"/>
        <v>0.65903494443211896</v>
      </c>
      <c r="AI659">
        <f t="shared" si="196"/>
        <v>0.27767641681234434</v>
      </c>
      <c r="AJ659">
        <f t="shared" si="197"/>
        <v>23.699254062067372</v>
      </c>
      <c r="AL659">
        <f t="shared" si="198"/>
        <v>0.2865059280672555</v>
      </c>
      <c r="AM659">
        <f t="shared" si="199"/>
        <v>25.23038679055491</v>
      </c>
      <c r="AO659">
        <f t="shared" si="200"/>
        <v>0.28577139182751155</v>
      </c>
      <c r="AP659">
        <f t="shared" si="201"/>
        <v>25.101182645773875</v>
      </c>
    </row>
    <row r="660" spans="1:42" x14ac:dyDescent="0.2">
      <c r="A660" s="3">
        <v>660</v>
      </c>
      <c r="B660" s="3">
        <v>4.5200000000000002E-7</v>
      </c>
      <c r="C660" s="2">
        <v>3.4299999999999997E-2</v>
      </c>
      <c r="D660" s="3">
        <v>206000</v>
      </c>
      <c r="E660" s="3">
        <v>108000000000</v>
      </c>
      <c r="F660" s="3">
        <v>98200000000</v>
      </c>
      <c r="G660" s="2">
        <v>0</v>
      </c>
      <c r="H660" s="3">
        <v>11300000000</v>
      </c>
      <c r="I660" s="2"/>
      <c r="J660" s="7">
        <f t="shared" si="185"/>
        <v>0.45200000000000001</v>
      </c>
      <c r="K660" s="7">
        <f t="shared" si="186"/>
        <v>34.299999999999997</v>
      </c>
      <c r="L660" s="7">
        <f t="shared" si="187"/>
        <v>108</v>
      </c>
      <c r="M660" s="7">
        <f t="shared" si="188"/>
        <v>206</v>
      </c>
      <c r="O660">
        <f t="shared" si="189"/>
        <v>0.32712135922330099</v>
      </c>
      <c r="P660">
        <f t="shared" si="190"/>
        <v>327.121359223301</v>
      </c>
      <c r="V660">
        <f t="shared" si="191"/>
        <v>831.20054984583339</v>
      </c>
      <c r="W660">
        <f t="shared" si="192"/>
        <v>123.91714613170539</v>
      </c>
      <c r="AE660">
        <f t="shared" si="193"/>
        <v>0.69859491691881281</v>
      </c>
      <c r="AF660">
        <f t="shared" si="194"/>
        <v>0.67706568810610068</v>
      </c>
      <c r="AG660">
        <f t="shared" si="195"/>
        <v>0.67880599276508247</v>
      </c>
      <c r="AI660">
        <f t="shared" si="196"/>
        <v>0.26958875418674211</v>
      </c>
      <c r="AJ660">
        <f t="shared" si="197"/>
        <v>22.37143134438012</v>
      </c>
      <c r="AL660">
        <f t="shared" si="198"/>
        <v>0.27816109521092769</v>
      </c>
      <c r="AM660">
        <f t="shared" si="199"/>
        <v>23.816777709492861</v>
      </c>
      <c r="AO660">
        <f t="shared" si="200"/>
        <v>0.27744795323059374</v>
      </c>
      <c r="AP660">
        <f t="shared" si="201"/>
        <v>23.694812619502763</v>
      </c>
    </row>
    <row r="661" spans="1:42" x14ac:dyDescent="0.2">
      <c r="A661" s="3">
        <v>660</v>
      </c>
      <c r="B661" s="3">
        <v>4.5299999999999999E-7</v>
      </c>
      <c r="C661" s="2">
        <v>3.4349999999999999E-2</v>
      </c>
      <c r="D661" s="3">
        <v>209000</v>
      </c>
      <c r="E661" s="3">
        <v>110000000000</v>
      </c>
      <c r="F661" s="3">
        <v>99400000000</v>
      </c>
      <c r="G661" s="3">
        <v>1510000000</v>
      </c>
      <c r="H661" s="3">
        <v>11200000000</v>
      </c>
      <c r="I661" s="2"/>
      <c r="J661" s="7">
        <f t="shared" si="185"/>
        <v>0.45300000000000001</v>
      </c>
      <c r="K661" s="7">
        <f t="shared" si="186"/>
        <v>34.35</v>
      </c>
      <c r="L661" s="7">
        <f t="shared" si="187"/>
        <v>110</v>
      </c>
      <c r="M661" s="7">
        <f t="shared" si="188"/>
        <v>209</v>
      </c>
      <c r="O661">
        <f t="shared" si="189"/>
        <v>0.32973444976076555</v>
      </c>
      <c r="P661">
        <f t="shared" si="190"/>
        <v>329.73444976076553</v>
      </c>
      <c r="V661">
        <f t="shared" si="191"/>
        <v>834.13557270993567</v>
      </c>
      <c r="W661">
        <f t="shared" si="192"/>
        <v>125.27939512338612</v>
      </c>
      <c r="AE661">
        <f t="shared" si="193"/>
        <v>0.70876862930112561</v>
      </c>
      <c r="AF661">
        <f t="shared" si="194"/>
        <v>0.68692586802997602</v>
      </c>
      <c r="AG661">
        <f t="shared" si="195"/>
        <v>0.68869151693156427</v>
      </c>
      <c r="AI661">
        <f t="shared" si="196"/>
        <v>0.26630693317523818</v>
      </c>
      <c r="AJ661">
        <f t="shared" si="197"/>
        <v>21.765480611193308</v>
      </c>
      <c r="AL661">
        <f t="shared" si="198"/>
        <v>0.27477491936839293</v>
      </c>
      <c r="AM661">
        <f t="shared" si="199"/>
        <v>23.171678444584181</v>
      </c>
      <c r="AO661">
        <f t="shared" si="200"/>
        <v>0.27407045877516772</v>
      </c>
      <c r="AP661">
        <f t="shared" si="201"/>
        <v>23.053016890901844</v>
      </c>
    </row>
    <row r="662" spans="1:42" x14ac:dyDescent="0.2">
      <c r="A662" s="3">
        <v>660</v>
      </c>
      <c r="B662" s="3">
        <v>4.5400000000000002E-7</v>
      </c>
      <c r="C662" s="2">
        <v>3.44E-2</v>
      </c>
      <c r="D662" s="3">
        <v>203000</v>
      </c>
      <c r="E662" s="3">
        <v>107000000000</v>
      </c>
      <c r="F662" s="3">
        <v>97000000000</v>
      </c>
      <c r="G662" s="2">
        <v>0</v>
      </c>
      <c r="H662" s="3">
        <v>11400000000</v>
      </c>
      <c r="I662" s="2"/>
      <c r="J662" s="7">
        <f t="shared" si="185"/>
        <v>0.45400000000000001</v>
      </c>
      <c r="K662" s="7">
        <f t="shared" si="186"/>
        <v>34.4</v>
      </c>
      <c r="L662" s="7">
        <f t="shared" si="187"/>
        <v>107</v>
      </c>
      <c r="M662" s="7">
        <f t="shared" si="188"/>
        <v>203</v>
      </c>
      <c r="O662">
        <f t="shared" si="189"/>
        <v>0.32690640394088671</v>
      </c>
      <c r="P662">
        <f t="shared" si="190"/>
        <v>326.90640394088672</v>
      </c>
      <c r="V662">
        <f t="shared" si="191"/>
        <v>830.95853173310343</v>
      </c>
      <c r="W662">
        <f t="shared" si="192"/>
        <v>122.14809298402018</v>
      </c>
      <c r="AE662">
        <f t="shared" si="193"/>
        <v>0.68842120453650002</v>
      </c>
      <c r="AF662">
        <f t="shared" si="194"/>
        <v>0.66720550818222546</v>
      </c>
      <c r="AG662">
        <f t="shared" si="195"/>
        <v>0.66892046859860066</v>
      </c>
      <c r="AI662">
        <f t="shared" si="196"/>
        <v>0.27478332366887032</v>
      </c>
      <c r="AJ662">
        <f t="shared" si="197"/>
        <v>23.104706656918506</v>
      </c>
      <c r="AL662">
        <f t="shared" si="198"/>
        <v>0.28352084080067569</v>
      </c>
      <c r="AM662">
        <f t="shared" si="199"/>
        <v>24.597427586103137</v>
      </c>
      <c r="AO662">
        <f t="shared" si="200"/>
        <v>0.28279395764787096</v>
      </c>
      <c r="AP662">
        <f t="shared" si="201"/>
        <v>24.471464808700716</v>
      </c>
    </row>
    <row r="663" spans="1:42" x14ac:dyDescent="0.2">
      <c r="A663" s="3">
        <v>660</v>
      </c>
      <c r="B663" s="3">
        <v>4.5400000000000002E-7</v>
      </c>
      <c r="C663" s="2">
        <v>3.4459999999999998E-2</v>
      </c>
      <c r="D663" s="3">
        <v>185000</v>
      </c>
      <c r="E663" s="3">
        <v>98300000000</v>
      </c>
      <c r="F663" s="3">
        <v>90000000000</v>
      </c>
      <c r="G663" s="2">
        <v>0</v>
      </c>
      <c r="H663" s="3">
        <v>11800000000</v>
      </c>
      <c r="I663" s="2"/>
      <c r="J663" s="7">
        <f t="shared" si="185"/>
        <v>0.45400000000000001</v>
      </c>
      <c r="K663" s="7">
        <f t="shared" si="186"/>
        <v>34.46</v>
      </c>
      <c r="L663" s="7">
        <f t="shared" si="187"/>
        <v>98.300000000000011</v>
      </c>
      <c r="M663" s="7">
        <f t="shared" si="188"/>
        <v>185</v>
      </c>
      <c r="O663">
        <f t="shared" si="189"/>
        <v>0.31429729729729733</v>
      </c>
      <c r="P663">
        <f t="shared" si="190"/>
        <v>314.29729729729735</v>
      </c>
      <c r="V663">
        <f t="shared" si="191"/>
        <v>816.60368846114909</v>
      </c>
      <c r="W663">
        <f t="shared" si="192"/>
        <v>113.27404138268328</v>
      </c>
      <c r="AE663">
        <f t="shared" si="193"/>
        <v>0.62737893024262315</v>
      </c>
      <c r="AF663">
        <f t="shared" si="194"/>
        <v>0.6080444286389739</v>
      </c>
      <c r="AG663">
        <f t="shared" si="195"/>
        <v>0.60960732359971004</v>
      </c>
      <c r="AI663">
        <f t="shared" si="196"/>
        <v>0.30151899840421992</v>
      </c>
      <c r="AJ663">
        <f t="shared" si="197"/>
        <v>27.86800684534284</v>
      </c>
      <c r="AL663">
        <f t="shared" si="198"/>
        <v>0.3111066523380388</v>
      </c>
      <c r="AM663">
        <f t="shared" si="199"/>
        <v>29.668469309134714</v>
      </c>
      <c r="AO663">
        <f t="shared" si="200"/>
        <v>0.31030904541901511</v>
      </c>
      <c r="AP663">
        <f t="shared" si="201"/>
        <v>29.516537860922266</v>
      </c>
    </row>
    <row r="664" spans="1:42" x14ac:dyDescent="0.2">
      <c r="A664" s="3">
        <v>660</v>
      </c>
      <c r="B664" s="3">
        <v>4.5499999999999998E-7</v>
      </c>
      <c r="C664" s="2">
        <v>3.4509999999999999E-2</v>
      </c>
      <c r="D664" s="3">
        <v>196000</v>
      </c>
      <c r="E664" s="3">
        <v>103000000000</v>
      </c>
      <c r="F664" s="3">
        <v>94100000000</v>
      </c>
      <c r="G664" s="3">
        <v>257000000</v>
      </c>
      <c r="H664" s="3">
        <v>11500000000</v>
      </c>
      <c r="I664" s="2"/>
      <c r="J664" s="7">
        <f t="shared" si="185"/>
        <v>0.45499999999999996</v>
      </c>
      <c r="K664" s="7">
        <f t="shared" si="186"/>
        <v>34.51</v>
      </c>
      <c r="L664" s="7">
        <f t="shared" si="187"/>
        <v>103</v>
      </c>
      <c r="M664" s="7">
        <f t="shared" si="188"/>
        <v>196</v>
      </c>
      <c r="O664">
        <f t="shared" si="189"/>
        <v>0.32294642857142852</v>
      </c>
      <c r="P664">
        <f t="shared" si="190"/>
        <v>322.9464285714285</v>
      </c>
      <c r="V664">
        <f t="shared" si="191"/>
        <v>826.48404101442691</v>
      </c>
      <c r="W664">
        <f t="shared" si="192"/>
        <v>118.57458237150563</v>
      </c>
      <c r="AE664">
        <f t="shared" si="193"/>
        <v>0.66468254231110346</v>
      </c>
      <c r="AF664">
        <f t="shared" si="194"/>
        <v>0.6441984216931832</v>
      </c>
      <c r="AG664">
        <f t="shared" si="195"/>
        <v>0.64585424554347659</v>
      </c>
      <c r="AI664">
        <f t="shared" si="196"/>
        <v>0.28522387946906413</v>
      </c>
      <c r="AJ664">
        <f t="shared" si="197"/>
        <v>24.863765939433538</v>
      </c>
      <c r="AL664">
        <f t="shared" si="198"/>
        <v>0.29429338376061326</v>
      </c>
      <c r="AM664">
        <f t="shared" si="199"/>
        <v>26.470134042143325</v>
      </c>
      <c r="AO664">
        <f t="shared" si="200"/>
        <v>0.29353888225013031</v>
      </c>
      <c r="AP664">
        <f t="shared" si="201"/>
        <v>26.334581184410887</v>
      </c>
    </row>
    <row r="665" spans="1:42" x14ac:dyDescent="0.2">
      <c r="A665" s="3">
        <v>660</v>
      </c>
      <c r="B665" s="3">
        <v>4.5600000000000001E-7</v>
      </c>
      <c r="C665" s="2">
        <v>3.456E-2</v>
      </c>
      <c r="D665" s="3">
        <v>187000</v>
      </c>
      <c r="E665" s="3">
        <v>99100000000</v>
      </c>
      <c r="F665" s="3">
        <v>90700000000</v>
      </c>
      <c r="G665" s="3">
        <v>5710000000</v>
      </c>
      <c r="H665" s="3">
        <v>11800000000</v>
      </c>
      <c r="I665" s="2"/>
      <c r="J665" s="7">
        <f t="shared" si="185"/>
        <v>0.45600000000000002</v>
      </c>
      <c r="K665" s="7">
        <f t="shared" si="186"/>
        <v>34.56</v>
      </c>
      <c r="L665" s="7">
        <f t="shared" si="187"/>
        <v>99.100000000000009</v>
      </c>
      <c r="M665" s="7">
        <f t="shared" si="188"/>
        <v>187</v>
      </c>
      <c r="O665">
        <f t="shared" si="189"/>
        <v>0.31739037433155082</v>
      </c>
      <c r="P665">
        <f t="shared" si="190"/>
        <v>317.39037433155084</v>
      </c>
      <c r="V665">
        <f t="shared" si="191"/>
        <v>820.15426531712569</v>
      </c>
      <c r="W665">
        <f t="shared" si="192"/>
        <v>114.00294304858214</v>
      </c>
      <c r="AE665">
        <f t="shared" si="193"/>
        <v>0.63416140516416497</v>
      </c>
      <c r="AF665">
        <f t="shared" si="194"/>
        <v>0.61461788192155742</v>
      </c>
      <c r="AG665">
        <f t="shared" si="195"/>
        <v>0.61619767304403117</v>
      </c>
      <c r="AI665">
        <f t="shared" si="196"/>
        <v>0.29960826763151066</v>
      </c>
      <c r="AJ665">
        <f t="shared" si="197"/>
        <v>27.354237478243558</v>
      </c>
      <c r="AL665">
        <f t="shared" si="198"/>
        <v>0.30913516444718309</v>
      </c>
      <c r="AM665">
        <f t="shared" si="199"/>
        <v>29.121506952467069</v>
      </c>
      <c r="AO665">
        <f t="shared" si="200"/>
        <v>0.3083426119761139</v>
      </c>
      <c r="AP665">
        <f t="shared" si="201"/>
        <v>28.972376484045675</v>
      </c>
    </row>
    <row r="666" spans="1:42" x14ac:dyDescent="0.2">
      <c r="A666" s="3">
        <v>660</v>
      </c>
      <c r="B666" s="3">
        <v>4.5600000000000001E-7</v>
      </c>
      <c r="C666" s="2">
        <v>3.4610000000000002E-2</v>
      </c>
      <c r="D666" s="3">
        <v>196000</v>
      </c>
      <c r="E666" s="3">
        <v>103000000000</v>
      </c>
      <c r="F666" s="3">
        <v>94000000000</v>
      </c>
      <c r="G666" s="3">
        <v>6980000000</v>
      </c>
      <c r="H666" s="3">
        <v>11500000000</v>
      </c>
      <c r="I666" s="2"/>
      <c r="J666" s="7">
        <f t="shared" si="185"/>
        <v>0.45600000000000002</v>
      </c>
      <c r="K666" s="7">
        <f t="shared" si="186"/>
        <v>34.61</v>
      </c>
      <c r="L666" s="7">
        <f t="shared" si="187"/>
        <v>103</v>
      </c>
      <c r="M666" s="7">
        <f t="shared" si="188"/>
        <v>196</v>
      </c>
      <c r="O666">
        <f t="shared" si="189"/>
        <v>0.3235637755102041</v>
      </c>
      <c r="P666">
        <f t="shared" si="190"/>
        <v>323.5637755102041</v>
      </c>
      <c r="V666">
        <f t="shared" si="191"/>
        <v>827.183602002773</v>
      </c>
      <c r="W666">
        <f t="shared" si="192"/>
        <v>118.47430215338272</v>
      </c>
      <c r="AE666">
        <f t="shared" si="193"/>
        <v>0.66468254231110346</v>
      </c>
      <c r="AF666">
        <f t="shared" si="194"/>
        <v>0.6441984216931832</v>
      </c>
      <c r="AG666">
        <f t="shared" si="195"/>
        <v>0.64585424554347659</v>
      </c>
      <c r="AI666">
        <f t="shared" si="196"/>
        <v>0.28585074513822695</v>
      </c>
      <c r="AJ666">
        <f t="shared" si="197"/>
        <v>24.93581394273529</v>
      </c>
      <c r="AL666">
        <f t="shared" si="198"/>
        <v>0.29494018240624104</v>
      </c>
      <c r="AM666">
        <f t="shared" si="199"/>
        <v>26.546836835658667</v>
      </c>
      <c r="AO666">
        <f t="shared" si="200"/>
        <v>0.29418402265068011</v>
      </c>
      <c r="AP666">
        <f t="shared" si="201"/>
        <v>26.410891184945257</v>
      </c>
    </row>
    <row r="667" spans="1:42" x14ac:dyDescent="0.2">
      <c r="A667" s="3">
        <v>670</v>
      </c>
      <c r="B667" s="3">
        <v>4.5699999999999998E-7</v>
      </c>
      <c r="C667" s="2">
        <v>3.4660000000000003E-2</v>
      </c>
      <c r="D667" s="3">
        <v>221000</v>
      </c>
      <c r="E667" s="3">
        <v>115000000000</v>
      </c>
      <c r="F667" s="3">
        <v>104000000000</v>
      </c>
      <c r="G667" s="2">
        <v>0</v>
      </c>
      <c r="H667" s="3">
        <v>11000000000</v>
      </c>
      <c r="I667" s="2"/>
      <c r="J667" s="7">
        <f t="shared" si="185"/>
        <v>0.45699999999999996</v>
      </c>
      <c r="K667" s="7">
        <f t="shared" si="186"/>
        <v>34.660000000000004</v>
      </c>
      <c r="L667" s="7">
        <f t="shared" si="187"/>
        <v>115.00000000000001</v>
      </c>
      <c r="M667" s="7">
        <f t="shared" si="188"/>
        <v>221</v>
      </c>
      <c r="O667">
        <f t="shared" si="189"/>
        <v>0.33937556561085969</v>
      </c>
      <c r="P667">
        <f t="shared" si="190"/>
        <v>339.37556561085967</v>
      </c>
      <c r="V667">
        <f t="shared" si="191"/>
        <v>844.85385581155003</v>
      </c>
      <c r="W667">
        <f t="shared" si="192"/>
        <v>130.79185144258574</v>
      </c>
      <c r="AE667">
        <f t="shared" si="193"/>
        <v>0.74946347883037678</v>
      </c>
      <c r="AF667">
        <f t="shared" si="194"/>
        <v>0.72636658772547702</v>
      </c>
      <c r="AG667">
        <f t="shared" si="195"/>
        <v>0.72823361359749139</v>
      </c>
      <c r="AI667">
        <f t="shared" si="196"/>
        <v>0.2540706412590425</v>
      </c>
      <c r="AJ667">
        <f t="shared" si="197"/>
        <v>19.641656118251856</v>
      </c>
      <c r="AL667">
        <f t="shared" si="198"/>
        <v>0.26214953975640842</v>
      </c>
      <c r="AM667">
        <f t="shared" si="199"/>
        <v>20.910640468796828</v>
      </c>
      <c r="AO667">
        <f t="shared" si="200"/>
        <v>0.26147744777394133</v>
      </c>
      <c r="AP667">
        <f t="shared" si="201"/>
        <v>20.803557630906852</v>
      </c>
    </row>
    <row r="668" spans="1:42" x14ac:dyDescent="0.2">
      <c r="A668" s="3">
        <v>670</v>
      </c>
      <c r="B668" s="3">
        <v>4.5699999999999998E-7</v>
      </c>
      <c r="C668" s="2">
        <v>3.4720000000000001E-2</v>
      </c>
      <c r="D668" s="3">
        <v>189000</v>
      </c>
      <c r="E668" s="3">
        <v>99600000000</v>
      </c>
      <c r="F668" s="3">
        <v>91200000000</v>
      </c>
      <c r="G668" s="3">
        <v>4300000000</v>
      </c>
      <c r="H668" s="3">
        <v>11700000000</v>
      </c>
      <c r="I668" s="2"/>
      <c r="J668" s="7">
        <f t="shared" si="185"/>
        <v>0.45699999999999996</v>
      </c>
      <c r="K668" s="7">
        <f t="shared" si="186"/>
        <v>34.72</v>
      </c>
      <c r="L668" s="7">
        <f t="shared" si="187"/>
        <v>99.600000000000009</v>
      </c>
      <c r="M668" s="7">
        <f t="shared" si="188"/>
        <v>189</v>
      </c>
      <c r="O668">
        <f t="shared" si="189"/>
        <v>0.31922222222222219</v>
      </c>
      <c r="P668">
        <f t="shared" si="190"/>
        <v>319.22222222222217</v>
      </c>
      <c r="V668">
        <f t="shared" si="191"/>
        <v>822.2479824551026</v>
      </c>
      <c r="W668">
        <f t="shared" si="192"/>
        <v>114.92883171064517</v>
      </c>
      <c r="AE668">
        <f t="shared" si="193"/>
        <v>0.64094388008570691</v>
      </c>
      <c r="AF668">
        <f t="shared" si="194"/>
        <v>0.62119133520414094</v>
      </c>
      <c r="AG668">
        <f t="shared" si="195"/>
        <v>0.62278802248835241</v>
      </c>
      <c r="AI668">
        <f t="shared" si="196"/>
        <v>0.29708789268914487</v>
      </c>
      <c r="AJ668">
        <f t="shared" si="197"/>
        <v>26.902348874008084</v>
      </c>
      <c r="AL668">
        <f t="shared" si="198"/>
        <v>0.3065346470167527</v>
      </c>
      <c r="AM668">
        <f t="shared" si="199"/>
        <v>28.640423276109768</v>
      </c>
      <c r="AO668">
        <f t="shared" si="200"/>
        <v>0.30574876168275678</v>
      </c>
      <c r="AP668">
        <f t="shared" si="201"/>
        <v>28.493756424496464</v>
      </c>
    </row>
    <row r="669" spans="1:42" x14ac:dyDescent="0.2">
      <c r="A669" s="3">
        <v>670</v>
      </c>
      <c r="B669" s="3">
        <v>4.58E-7</v>
      </c>
      <c r="C669" s="2">
        <v>3.4770000000000002E-2</v>
      </c>
      <c r="D669" s="3">
        <v>188000</v>
      </c>
      <c r="E669" s="3">
        <v>99100000000</v>
      </c>
      <c r="F669" s="3">
        <v>90700000000</v>
      </c>
      <c r="G669" s="2">
        <v>0</v>
      </c>
      <c r="H669" s="3">
        <v>11800000000</v>
      </c>
      <c r="I669" s="2"/>
      <c r="J669" s="7">
        <f t="shared" si="185"/>
        <v>0.45800000000000002</v>
      </c>
      <c r="K669" s="7">
        <f t="shared" si="186"/>
        <v>34.770000000000003</v>
      </c>
      <c r="L669" s="7">
        <f t="shared" si="187"/>
        <v>99.100000000000009</v>
      </c>
      <c r="M669" s="7">
        <f t="shared" si="188"/>
        <v>188</v>
      </c>
      <c r="O669">
        <f t="shared" si="189"/>
        <v>0.31928989361702126</v>
      </c>
      <c r="P669">
        <f t="shared" si="190"/>
        <v>319.28989361702128</v>
      </c>
      <c r="V669">
        <f t="shared" si="191"/>
        <v>822.32519938378425</v>
      </c>
      <c r="W669">
        <f t="shared" si="192"/>
        <v>114.31000785387536</v>
      </c>
      <c r="AE669">
        <f t="shared" si="193"/>
        <v>0.63755264262493594</v>
      </c>
      <c r="AF669">
        <f t="shared" si="194"/>
        <v>0.61790460856284923</v>
      </c>
      <c r="AG669">
        <f t="shared" si="195"/>
        <v>0.61949284776619185</v>
      </c>
      <c r="AI669">
        <f t="shared" si="196"/>
        <v>0.29932168824151228</v>
      </c>
      <c r="AJ669">
        <f t="shared" si="197"/>
        <v>27.228460337705492</v>
      </c>
      <c r="AL669">
        <f t="shared" si="198"/>
        <v>0.30883947245058135</v>
      </c>
      <c r="AM669">
        <f t="shared" si="199"/>
        <v>28.987603754633312</v>
      </c>
      <c r="AO669">
        <f t="shared" si="200"/>
        <v>0.30804767806674893</v>
      </c>
      <c r="AP669">
        <f t="shared" si="201"/>
        <v>28.839159000953554</v>
      </c>
    </row>
    <row r="670" spans="1:42" x14ac:dyDescent="0.2">
      <c r="A670" s="3">
        <v>670</v>
      </c>
      <c r="B670" s="3">
        <v>4.5900000000000002E-7</v>
      </c>
      <c r="C670" s="2">
        <v>3.4819999999999997E-2</v>
      </c>
      <c r="D670" s="3">
        <v>193000</v>
      </c>
      <c r="E670" s="3">
        <v>101000000000</v>
      </c>
      <c r="F670" s="3">
        <v>92600000000</v>
      </c>
      <c r="G670" s="2">
        <v>0</v>
      </c>
      <c r="H670" s="3">
        <v>11600000000</v>
      </c>
      <c r="I670" s="2"/>
      <c r="J670" s="7">
        <f t="shared" si="185"/>
        <v>0.45900000000000002</v>
      </c>
      <c r="K670" s="7">
        <f t="shared" si="186"/>
        <v>34.82</v>
      </c>
      <c r="L670" s="7">
        <f t="shared" si="187"/>
        <v>101</v>
      </c>
      <c r="M670" s="7">
        <f t="shared" si="188"/>
        <v>193</v>
      </c>
      <c r="O670">
        <f t="shared" si="189"/>
        <v>0.32368911917098447</v>
      </c>
      <c r="P670">
        <f t="shared" si="190"/>
        <v>323.6891191709845</v>
      </c>
      <c r="V670">
        <f t="shared" si="191"/>
        <v>827.32554725908813</v>
      </c>
      <c r="W670">
        <f t="shared" si="192"/>
        <v>116.64090432079904</v>
      </c>
      <c r="AE670">
        <f t="shared" si="193"/>
        <v>0.65450882992879067</v>
      </c>
      <c r="AF670">
        <f t="shared" si="194"/>
        <v>0.63433824176930798</v>
      </c>
      <c r="AG670">
        <f t="shared" si="195"/>
        <v>0.63596872137699478</v>
      </c>
      <c r="AI670">
        <f t="shared" si="196"/>
        <v>0.29220385005471611</v>
      </c>
      <c r="AJ670">
        <f t="shared" si="197"/>
        <v>25.8730865318071</v>
      </c>
      <c r="AL670">
        <f t="shared" si="198"/>
        <v>0.30149530235882038</v>
      </c>
      <c r="AM670">
        <f t="shared" si="199"/>
        <v>27.544663597991953</v>
      </c>
      <c r="AO670">
        <f t="shared" si="200"/>
        <v>0.30072233676195098</v>
      </c>
      <c r="AP670">
        <f t="shared" si="201"/>
        <v>27.403608102766963</v>
      </c>
    </row>
    <row r="671" spans="1:42" x14ac:dyDescent="0.2">
      <c r="A671" s="3">
        <v>670</v>
      </c>
      <c r="B671" s="3">
        <v>4.5999999999999999E-7</v>
      </c>
      <c r="C671" s="2">
        <v>3.4869999999999998E-2</v>
      </c>
      <c r="D671" s="3">
        <v>215000</v>
      </c>
      <c r="E671" s="3">
        <v>111000000000</v>
      </c>
      <c r="F671" s="3">
        <v>101000000000</v>
      </c>
      <c r="G671" s="2">
        <v>0</v>
      </c>
      <c r="H671" s="3">
        <v>11100000000</v>
      </c>
      <c r="I671" s="2"/>
      <c r="J671" s="7">
        <f t="shared" si="185"/>
        <v>0.45999999999999996</v>
      </c>
      <c r="K671" s="7">
        <f t="shared" si="186"/>
        <v>34.869999999999997</v>
      </c>
      <c r="L671" s="7">
        <f t="shared" si="187"/>
        <v>111</v>
      </c>
      <c r="M671" s="7">
        <f t="shared" si="188"/>
        <v>215</v>
      </c>
      <c r="O671">
        <f t="shared" si="189"/>
        <v>0.33836046511627904</v>
      </c>
      <c r="P671">
        <f t="shared" si="190"/>
        <v>338.36046511627904</v>
      </c>
      <c r="V671">
        <f t="shared" si="191"/>
        <v>843.73339785484836</v>
      </c>
      <c r="W671">
        <f t="shared" si="192"/>
        <v>127.40991440342836</v>
      </c>
      <c r="AE671">
        <f t="shared" si="193"/>
        <v>0.7291160540657512</v>
      </c>
      <c r="AF671">
        <f t="shared" si="194"/>
        <v>0.70664622787772646</v>
      </c>
      <c r="AG671">
        <f t="shared" si="195"/>
        <v>0.70846256526452789</v>
      </c>
      <c r="AI671">
        <f t="shared" si="196"/>
        <v>0.26287538944984234</v>
      </c>
      <c r="AJ671">
        <f t="shared" si="197"/>
        <v>20.87897238011255</v>
      </c>
      <c r="AL671">
        <f t="shared" si="198"/>
        <v>0.27123425995253658</v>
      </c>
      <c r="AM671">
        <f t="shared" si="199"/>
        <v>22.227895762454189</v>
      </c>
      <c r="AO671">
        <f t="shared" si="200"/>
        <v>0.27053887680727573</v>
      </c>
      <c r="AP671">
        <f t="shared" si="201"/>
        <v>22.114067294975243</v>
      </c>
    </row>
    <row r="672" spans="1:42" x14ac:dyDescent="0.2">
      <c r="A672" s="3">
        <v>670</v>
      </c>
      <c r="B672" s="3">
        <v>4.5999999999999999E-7</v>
      </c>
      <c r="C672" s="2">
        <v>3.492E-2</v>
      </c>
      <c r="D672" s="3">
        <v>207000</v>
      </c>
      <c r="E672" s="3">
        <v>108000000000</v>
      </c>
      <c r="F672" s="3">
        <v>98000000000</v>
      </c>
      <c r="G672" s="3">
        <v>3060000000</v>
      </c>
      <c r="H672" s="3">
        <v>11300000000</v>
      </c>
      <c r="I672" s="2"/>
      <c r="J672" s="7">
        <f t="shared" si="185"/>
        <v>0.45999999999999996</v>
      </c>
      <c r="K672" s="7">
        <f t="shared" si="186"/>
        <v>34.92</v>
      </c>
      <c r="L672" s="7">
        <f t="shared" si="187"/>
        <v>108</v>
      </c>
      <c r="M672" s="7">
        <f t="shared" si="188"/>
        <v>207</v>
      </c>
      <c r="O672">
        <f t="shared" si="189"/>
        <v>0.33347826086956517</v>
      </c>
      <c r="P672">
        <f t="shared" si="190"/>
        <v>333.47826086956519</v>
      </c>
      <c r="V672">
        <f t="shared" si="191"/>
        <v>838.31813322527023</v>
      </c>
      <c r="W672">
        <f t="shared" si="192"/>
        <v>123.4614830551301</v>
      </c>
      <c r="AE672">
        <f t="shared" si="193"/>
        <v>0.70198615437958378</v>
      </c>
      <c r="AF672">
        <f t="shared" si="194"/>
        <v>0.6803524147473925</v>
      </c>
      <c r="AG672">
        <f t="shared" si="195"/>
        <v>0.68210116748724314</v>
      </c>
      <c r="AI672">
        <f t="shared" si="196"/>
        <v>0.27303482479089902</v>
      </c>
      <c r="AJ672">
        <f t="shared" si="197"/>
        <v>22.556288275528548</v>
      </c>
      <c r="AL672">
        <f t="shared" si="198"/>
        <v>0.28171674342896308</v>
      </c>
      <c r="AM672">
        <f t="shared" si="199"/>
        <v>24.013577653557547</v>
      </c>
      <c r="AO672">
        <f t="shared" si="200"/>
        <v>0.28099448557277434</v>
      </c>
      <c r="AP672">
        <f t="shared" si="201"/>
        <v>23.890604756248571</v>
      </c>
    </row>
    <row r="673" spans="1:42" x14ac:dyDescent="0.2">
      <c r="A673" s="3">
        <v>670</v>
      </c>
      <c r="B673" s="3">
        <v>4.6100000000000001E-7</v>
      </c>
      <c r="C673" s="2">
        <v>3.4979999999999997E-2</v>
      </c>
      <c r="D673" s="3">
        <v>179000</v>
      </c>
      <c r="E673" s="3">
        <v>95000000000</v>
      </c>
      <c r="F673" s="3">
        <v>87300000000</v>
      </c>
      <c r="G673" s="3">
        <v>2730000000</v>
      </c>
      <c r="H673" s="3">
        <v>12000000000</v>
      </c>
      <c r="I673" s="2"/>
      <c r="J673" s="7">
        <f t="shared" si="185"/>
        <v>0.46100000000000002</v>
      </c>
      <c r="K673" s="7">
        <f t="shared" si="186"/>
        <v>34.979999999999997</v>
      </c>
      <c r="L673" s="7">
        <f t="shared" si="187"/>
        <v>95</v>
      </c>
      <c r="M673" s="7">
        <f t="shared" si="188"/>
        <v>179</v>
      </c>
      <c r="O673">
        <f t="shared" si="189"/>
        <v>0.31443575418994418</v>
      </c>
      <c r="P673">
        <f t="shared" si="190"/>
        <v>314.43575418994419</v>
      </c>
      <c r="V673">
        <f t="shared" si="191"/>
        <v>816.76303965906686</v>
      </c>
      <c r="W673">
        <f t="shared" si="192"/>
        <v>109.57890557506016</v>
      </c>
      <c r="AE673">
        <f t="shared" si="193"/>
        <v>0.60703150547799756</v>
      </c>
      <c r="AF673">
        <f t="shared" si="194"/>
        <v>0.58832406879122345</v>
      </c>
      <c r="AG673">
        <f t="shared" si="195"/>
        <v>0.58983627526674642</v>
      </c>
      <c r="AI673">
        <f t="shared" si="196"/>
        <v>0.31643058325626822</v>
      </c>
      <c r="AJ673">
        <f t="shared" si="197"/>
        <v>30.216755843295356</v>
      </c>
      <c r="AL673">
        <f t="shared" si="198"/>
        <v>0.3264923934320581</v>
      </c>
      <c r="AM673">
        <f t="shared" si="199"/>
        <v>32.168963440176604</v>
      </c>
      <c r="AO673">
        <f t="shared" si="200"/>
        <v>0.32565534096129634</v>
      </c>
      <c r="AP673">
        <f t="shared" si="201"/>
        <v>32.00422702752136</v>
      </c>
    </row>
    <row r="674" spans="1:42" x14ac:dyDescent="0.2">
      <c r="A674" s="3">
        <v>670</v>
      </c>
      <c r="B674" s="3">
        <v>4.6100000000000001E-7</v>
      </c>
      <c r="C674" s="2">
        <v>3.5029999999999999E-2</v>
      </c>
      <c r="D674" s="3">
        <v>216000</v>
      </c>
      <c r="E674" s="3">
        <v>112000000000</v>
      </c>
      <c r="F674" s="3">
        <v>101000000000</v>
      </c>
      <c r="G674" s="3">
        <v>10500000000</v>
      </c>
      <c r="H674" s="3">
        <v>11100000000</v>
      </c>
      <c r="I674" s="2"/>
      <c r="J674" s="7">
        <f t="shared" si="185"/>
        <v>0.46100000000000002</v>
      </c>
      <c r="K674" s="7">
        <f t="shared" si="186"/>
        <v>35.03</v>
      </c>
      <c r="L674" s="7">
        <f t="shared" si="187"/>
        <v>112</v>
      </c>
      <c r="M674" s="7">
        <f t="shared" si="188"/>
        <v>216</v>
      </c>
      <c r="O674">
        <f t="shared" si="189"/>
        <v>0.3393680555555556</v>
      </c>
      <c r="P674">
        <f t="shared" si="190"/>
        <v>339.3680555555556</v>
      </c>
      <c r="V674">
        <f t="shared" si="191"/>
        <v>844.84557314525637</v>
      </c>
      <c r="W674">
        <f t="shared" si="192"/>
        <v>127.83401302314843</v>
      </c>
      <c r="AE674">
        <f t="shared" si="193"/>
        <v>0.73250729152652216</v>
      </c>
      <c r="AF674">
        <f t="shared" si="194"/>
        <v>0.70993295451901828</v>
      </c>
      <c r="AG674">
        <f t="shared" si="195"/>
        <v>0.71175773998668845</v>
      </c>
      <c r="AI674">
        <f t="shared" si="196"/>
        <v>0.26222719630959268</v>
      </c>
      <c r="AJ674">
        <f t="shared" si="197"/>
        <v>20.781013632168357</v>
      </c>
      <c r="AL674">
        <f t="shared" si="198"/>
        <v>0.27056545566823331</v>
      </c>
      <c r="AM674">
        <f t="shared" si="199"/>
        <v>22.123608214260571</v>
      </c>
      <c r="AO674">
        <f t="shared" si="200"/>
        <v>0.26987178718551874</v>
      </c>
      <c r="AP674">
        <f t="shared" si="201"/>
        <v>22.010313800563193</v>
      </c>
    </row>
    <row r="675" spans="1:42" x14ac:dyDescent="0.2">
      <c r="A675" s="3">
        <v>670</v>
      </c>
      <c r="B675" s="3">
        <v>4.6199999999999998E-7</v>
      </c>
      <c r="C675" s="2">
        <v>3.508E-2</v>
      </c>
      <c r="D675" s="3">
        <v>201000</v>
      </c>
      <c r="E675" s="3">
        <v>105000000000</v>
      </c>
      <c r="F675" s="3">
        <v>95400000000</v>
      </c>
      <c r="G675" s="3">
        <v>7630000000</v>
      </c>
      <c r="H675" s="3">
        <v>11400000000</v>
      </c>
      <c r="I675" s="2"/>
      <c r="J675" s="7">
        <f t="shared" si="185"/>
        <v>0.46199999999999997</v>
      </c>
      <c r="K675" s="7">
        <f t="shared" si="186"/>
        <v>35.08</v>
      </c>
      <c r="L675" s="7">
        <f t="shared" si="187"/>
        <v>105</v>
      </c>
      <c r="M675" s="7">
        <f t="shared" si="188"/>
        <v>201</v>
      </c>
      <c r="O675">
        <f t="shared" si="189"/>
        <v>0.33110447761194028</v>
      </c>
      <c r="P675">
        <f t="shared" si="190"/>
        <v>331.1044776119403</v>
      </c>
      <c r="V675">
        <f t="shared" si="191"/>
        <v>835.66921230479318</v>
      </c>
      <c r="W675">
        <f t="shared" si="192"/>
        <v>120.26289651478112</v>
      </c>
      <c r="AE675">
        <f t="shared" si="193"/>
        <v>0.68163872961495808</v>
      </c>
      <c r="AF675">
        <f t="shared" si="194"/>
        <v>0.66063205489964194</v>
      </c>
      <c r="AG675">
        <f t="shared" si="195"/>
        <v>0.66233011915427953</v>
      </c>
      <c r="AI675">
        <f t="shared" si="196"/>
        <v>0.28240766205984036</v>
      </c>
      <c r="AJ675">
        <f t="shared" si="197"/>
        <v>24.032644490727129</v>
      </c>
      <c r="AL675">
        <f t="shared" si="198"/>
        <v>0.29138761671085289</v>
      </c>
      <c r="AM675">
        <f t="shared" si="199"/>
        <v>25.585316504600975</v>
      </c>
      <c r="AO675">
        <f t="shared" si="200"/>
        <v>0.29064056492825763</v>
      </c>
      <c r="AP675">
        <f t="shared" si="201"/>
        <v>25.454294774122925</v>
      </c>
    </row>
    <row r="676" spans="1:42" x14ac:dyDescent="0.2">
      <c r="A676" s="3">
        <v>670</v>
      </c>
      <c r="B676" s="3">
        <v>4.63E-7</v>
      </c>
      <c r="C676" s="2">
        <v>3.5130000000000002E-2</v>
      </c>
      <c r="D676" s="3">
        <v>193000</v>
      </c>
      <c r="E676" s="3">
        <v>101000000000</v>
      </c>
      <c r="F676" s="3">
        <v>92300000000</v>
      </c>
      <c r="G676" s="2">
        <v>0</v>
      </c>
      <c r="H676" s="3">
        <v>11600000000</v>
      </c>
      <c r="I676" s="2"/>
      <c r="J676" s="7">
        <f t="shared" si="185"/>
        <v>0.46300000000000002</v>
      </c>
      <c r="K676" s="7">
        <f t="shared" si="186"/>
        <v>35.130000000000003</v>
      </c>
      <c r="L676" s="7">
        <f t="shared" si="187"/>
        <v>101</v>
      </c>
      <c r="M676" s="7">
        <f t="shared" si="188"/>
        <v>193</v>
      </c>
      <c r="O676">
        <f t="shared" si="189"/>
        <v>0.32648445595854925</v>
      </c>
      <c r="P676">
        <f t="shared" si="190"/>
        <v>326.48445595854923</v>
      </c>
      <c r="V676">
        <f t="shared" si="191"/>
        <v>830.48320268412033</v>
      </c>
      <c r="W676">
        <f t="shared" si="192"/>
        <v>116.19741337104972</v>
      </c>
      <c r="AE676">
        <f t="shared" si="193"/>
        <v>0.65450882992879067</v>
      </c>
      <c r="AF676">
        <f t="shared" si="194"/>
        <v>0.63433824176930798</v>
      </c>
      <c r="AG676">
        <f t="shared" si="195"/>
        <v>0.63596872137699478</v>
      </c>
      <c r="AI676">
        <f t="shared" si="196"/>
        <v>0.29475028883514937</v>
      </c>
      <c r="AJ676">
        <f t="shared" si="197"/>
        <v>26.10343279329074</v>
      </c>
      <c r="AL676">
        <f t="shared" si="198"/>
        <v>0.30412271240116306</v>
      </c>
      <c r="AM676">
        <f t="shared" si="199"/>
        <v>27.7898917920005</v>
      </c>
      <c r="AO676">
        <f t="shared" si="200"/>
        <v>0.30334301072066078</v>
      </c>
      <c r="AP676">
        <f t="shared" si="201"/>
        <v>27.647580489666957</v>
      </c>
    </row>
    <row r="677" spans="1:42" x14ac:dyDescent="0.2">
      <c r="A677" s="3">
        <v>680</v>
      </c>
      <c r="B677" s="3">
        <v>4.63E-7</v>
      </c>
      <c r="C677" s="2">
        <v>3.5180000000000003E-2</v>
      </c>
      <c r="D677" s="3">
        <v>188000</v>
      </c>
      <c r="E677" s="3">
        <v>98600000000</v>
      </c>
      <c r="F677" s="3">
        <v>90300000000</v>
      </c>
      <c r="G677" s="3">
        <v>7990000000</v>
      </c>
      <c r="H677" s="3">
        <v>11800000000</v>
      </c>
      <c r="I677" s="2"/>
      <c r="J677" s="7">
        <f t="shared" si="185"/>
        <v>0.46300000000000002</v>
      </c>
      <c r="K677" s="7">
        <f t="shared" si="186"/>
        <v>35.18</v>
      </c>
      <c r="L677" s="7">
        <f t="shared" si="187"/>
        <v>98.600000000000009</v>
      </c>
      <c r="M677" s="7">
        <f t="shared" si="188"/>
        <v>188</v>
      </c>
      <c r="O677">
        <f t="shared" si="189"/>
        <v>0.32265425531914893</v>
      </c>
      <c r="P677">
        <f t="shared" si="190"/>
        <v>322.65425531914894</v>
      </c>
      <c r="V677">
        <f t="shared" si="191"/>
        <v>826.15269844711588</v>
      </c>
      <c r="W677">
        <f t="shared" si="192"/>
        <v>113.78041877329433</v>
      </c>
      <c r="AE677">
        <f t="shared" si="193"/>
        <v>0.63755264262493594</v>
      </c>
      <c r="AF677">
        <f t="shared" si="194"/>
        <v>0.61790460856284923</v>
      </c>
      <c r="AG677">
        <f t="shared" si="195"/>
        <v>0.61949284776619185</v>
      </c>
      <c r="AI677">
        <f t="shared" si="196"/>
        <v>0.30258939226161613</v>
      </c>
      <c r="AJ677">
        <f t="shared" si="197"/>
        <v>27.549532202487175</v>
      </c>
      <c r="AL677">
        <f t="shared" si="198"/>
        <v>0.31221108241183226</v>
      </c>
      <c r="AM677">
        <f t="shared" si="199"/>
        <v>29.329419041932695</v>
      </c>
      <c r="AO677">
        <f t="shared" si="200"/>
        <v>0.31141064398450818</v>
      </c>
      <c r="AP677">
        <f t="shared" si="201"/>
        <v>29.179223861189126</v>
      </c>
    </row>
    <row r="678" spans="1:42" x14ac:dyDescent="0.2">
      <c r="A678" s="3">
        <v>680</v>
      </c>
      <c r="B678" s="3">
        <v>4.6400000000000003E-7</v>
      </c>
      <c r="C678" s="2">
        <v>3.524E-2</v>
      </c>
      <c r="D678" s="3">
        <v>179000</v>
      </c>
      <c r="E678" s="3">
        <v>94600000000</v>
      </c>
      <c r="F678" s="3">
        <v>86900000000</v>
      </c>
      <c r="G678" s="3">
        <v>6880000000</v>
      </c>
      <c r="H678" s="3">
        <v>12000000000</v>
      </c>
      <c r="I678" s="2"/>
      <c r="J678" s="7">
        <f t="shared" si="185"/>
        <v>0.46400000000000002</v>
      </c>
      <c r="K678" s="7">
        <f t="shared" si="186"/>
        <v>35.24</v>
      </c>
      <c r="L678" s="7">
        <f t="shared" si="187"/>
        <v>94.600000000000009</v>
      </c>
      <c r="M678" s="7">
        <f t="shared" si="188"/>
        <v>179</v>
      </c>
      <c r="O678">
        <f t="shared" si="189"/>
        <v>0.31634636871508381</v>
      </c>
      <c r="P678">
        <f t="shared" si="190"/>
        <v>316.34636871508383</v>
      </c>
      <c r="V678">
        <f t="shared" si="191"/>
        <v>818.95800334557714</v>
      </c>
      <c r="W678">
        <f t="shared" si="192"/>
        <v>109.28521320309208</v>
      </c>
      <c r="AE678">
        <f t="shared" si="193"/>
        <v>0.60703150547799756</v>
      </c>
      <c r="AF678">
        <f t="shared" si="194"/>
        <v>0.58832406879122345</v>
      </c>
      <c r="AG678">
        <f t="shared" si="195"/>
        <v>0.58983627526674642</v>
      </c>
      <c r="AI678">
        <f t="shared" si="196"/>
        <v>0.31848978444882531</v>
      </c>
      <c r="AJ678">
        <f t="shared" si="197"/>
        <v>30.44135151279956</v>
      </c>
      <c r="AL678">
        <f t="shared" si="198"/>
        <v>0.32861707278194136</v>
      </c>
      <c r="AM678">
        <f t="shared" si="199"/>
        <v>32.408069514917777</v>
      </c>
      <c r="AO678">
        <f t="shared" si="200"/>
        <v>0.32777457311505748</v>
      </c>
      <c r="AP678">
        <f t="shared" si="201"/>
        <v>32.242108646365146</v>
      </c>
    </row>
    <row r="679" spans="1:42" x14ac:dyDescent="0.2">
      <c r="A679" s="3">
        <v>680</v>
      </c>
      <c r="B679" s="3">
        <v>4.6499999999999999E-7</v>
      </c>
      <c r="C679" s="2">
        <v>3.5290000000000002E-2</v>
      </c>
      <c r="D679" s="3">
        <v>188000</v>
      </c>
      <c r="E679" s="3">
        <v>98400000000</v>
      </c>
      <c r="F679" s="3">
        <v>90200000000</v>
      </c>
      <c r="G679" s="2">
        <v>0</v>
      </c>
      <c r="H679" s="3">
        <v>11800000000</v>
      </c>
      <c r="I679" s="2"/>
      <c r="J679" s="7">
        <f t="shared" si="185"/>
        <v>0.46499999999999997</v>
      </c>
      <c r="K679" s="7">
        <f t="shared" si="186"/>
        <v>35.29</v>
      </c>
      <c r="L679" s="7">
        <f t="shared" si="187"/>
        <v>98.4</v>
      </c>
      <c r="M679" s="7">
        <f t="shared" si="188"/>
        <v>188</v>
      </c>
      <c r="O679">
        <f t="shared" si="189"/>
        <v>0.32421542553191485</v>
      </c>
      <c r="P679">
        <f t="shared" si="190"/>
        <v>324.21542553191483</v>
      </c>
      <c r="V679">
        <f t="shared" si="191"/>
        <v>827.92122826559626</v>
      </c>
      <c r="W679">
        <f t="shared" si="192"/>
        <v>113.53737141988695</v>
      </c>
      <c r="AE679">
        <f t="shared" si="193"/>
        <v>0.63755264262493594</v>
      </c>
      <c r="AF679">
        <f t="shared" si="194"/>
        <v>0.61790460856284923</v>
      </c>
      <c r="AG679">
        <f t="shared" si="195"/>
        <v>0.61949284776619185</v>
      </c>
      <c r="AI679">
        <f t="shared" si="196"/>
        <v>0.30389647386965762</v>
      </c>
      <c r="AJ679">
        <f t="shared" si="197"/>
        <v>27.635673434501776</v>
      </c>
      <c r="AL679">
        <f t="shared" si="198"/>
        <v>0.31355972639633256</v>
      </c>
      <c r="AM679">
        <f t="shared" si="199"/>
        <v>29.421125582427653</v>
      </c>
      <c r="AO679">
        <f t="shared" si="200"/>
        <v>0.31275583035161186</v>
      </c>
      <c r="AP679">
        <f t="shared" si="201"/>
        <v>29.270460774910866</v>
      </c>
    </row>
    <row r="680" spans="1:42" x14ac:dyDescent="0.2">
      <c r="A680" s="3">
        <v>680</v>
      </c>
      <c r="B680" s="3">
        <v>4.6499999999999999E-7</v>
      </c>
      <c r="C680" s="2">
        <v>3.5340000000000003E-2</v>
      </c>
      <c r="D680" s="3">
        <v>191000</v>
      </c>
      <c r="E680" s="3">
        <v>99500000000</v>
      </c>
      <c r="F680" s="3">
        <v>91100000000</v>
      </c>
      <c r="G680" s="2">
        <v>0</v>
      </c>
      <c r="H680" s="3">
        <v>11700000000</v>
      </c>
      <c r="I680" s="2"/>
      <c r="J680" s="7">
        <f t="shared" si="185"/>
        <v>0.46499999999999997</v>
      </c>
      <c r="K680" s="7">
        <f t="shared" si="186"/>
        <v>35.340000000000003</v>
      </c>
      <c r="L680" s="7">
        <f t="shared" si="187"/>
        <v>99.5</v>
      </c>
      <c r="M680" s="7">
        <f t="shared" si="188"/>
        <v>191</v>
      </c>
      <c r="O680">
        <f t="shared" si="189"/>
        <v>0.32623036649214654</v>
      </c>
      <c r="P680">
        <f t="shared" si="190"/>
        <v>326.23036649214652</v>
      </c>
      <c r="V680">
        <f t="shared" si="191"/>
        <v>830.19680302726749</v>
      </c>
      <c r="W680">
        <f t="shared" si="192"/>
        <v>115.03296525807428</v>
      </c>
      <c r="AE680">
        <f t="shared" si="193"/>
        <v>0.64772635500724873</v>
      </c>
      <c r="AF680">
        <f t="shared" si="194"/>
        <v>0.62776478848672446</v>
      </c>
      <c r="AG680">
        <f t="shared" si="195"/>
        <v>0.62937837193267354</v>
      </c>
      <c r="AI680">
        <f t="shared" si="196"/>
        <v>0.29912323082458442</v>
      </c>
      <c r="AJ680">
        <f t="shared" si="197"/>
        <v>26.81228968275132</v>
      </c>
      <c r="AL680">
        <f t="shared" si="198"/>
        <v>0.30863470451576192</v>
      </c>
      <c r="AM680">
        <f t="shared" si="199"/>
        <v>28.544545649602963</v>
      </c>
      <c r="AO680">
        <f t="shared" si="200"/>
        <v>0.30784343511048706</v>
      </c>
      <c r="AP680">
        <f t="shared" si="201"/>
        <v>28.398369784784247</v>
      </c>
    </row>
    <row r="681" spans="1:42" x14ac:dyDescent="0.2">
      <c r="A681" s="3">
        <v>680</v>
      </c>
      <c r="B681" s="3">
        <v>4.6600000000000002E-7</v>
      </c>
      <c r="C681" s="2">
        <v>3.5389999999999998E-2</v>
      </c>
      <c r="D681" s="3">
        <v>192000</v>
      </c>
      <c r="E681" s="3">
        <v>99800000000</v>
      </c>
      <c r="F681" s="3">
        <v>91300000000</v>
      </c>
      <c r="G681" s="3">
        <v>6400000000</v>
      </c>
      <c r="H681" s="3">
        <v>11700000000</v>
      </c>
      <c r="I681" s="2"/>
      <c r="J681" s="7">
        <f t="shared" si="185"/>
        <v>0.46600000000000003</v>
      </c>
      <c r="K681" s="7">
        <f t="shared" si="186"/>
        <v>35.39</v>
      </c>
      <c r="L681" s="7">
        <f t="shared" si="187"/>
        <v>99.800000000000011</v>
      </c>
      <c r="M681" s="7">
        <f t="shared" si="188"/>
        <v>192</v>
      </c>
      <c r="O681">
        <f t="shared" si="189"/>
        <v>0.32775781250000002</v>
      </c>
      <c r="P681">
        <f t="shared" si="190"/>
        <v>327.7578125</v>
      </c>
      <c r="V681">
        <f t="shared" si="191"/>
        <v>831.91661351059724</v>
      </c>
      <c r="W681">
        <f t="shared" si="192"/>
        <v>115.39618086828497</v>
      </c>
      <c r="AE681">
        <f t="shared" si="193"/>
        <v>0.6511175924680197</v>
      </c>
      <c r="AF681">
        <f t="shared" si="194"/>
        <v>0.63105151512801616</v>
      </c>
      <c r="AG681">
        <f t="shared" si="195"/>
        <v>0.63267354665483422</v>
      </c>
      <c r="AI681">
        <f t="shared" si="196"/>
        <v>0.29820522270131011</v>
      </c>
      <c r="AJ681">
        <f t="shared" si="197"/>
        <v>26.571262965599793</v>
      </c>
      <c r="AL681">
        <f t="shared" si="198"/>
        <v>0.3076875057138207</v>
      </c>
      <c r="AM681">
        <f t="shared" si="199"/>
        <v>28.287946969970932</v>
      </c>
      <c r="AO681">
        <f t="shared" si="200"/>
        <v>0.3068986647115145</v>
      </c>
      <c r="AP681">
        <f t="shared" si="201"/>
        <v>28.143085140217508</v>
      </c>
    </row>
    <row r="682" spans="1:42" x14ac:dyDescent="0.2">
      <c r="A682" s="3">
        <v>680</v>
      </c>
      <c r="B682" s="3">
        <v>4.6699999999999999E-7</v>
      </c>
      <c r="C682" s="2">
        <v>3.5439999999999999E-2</v>
      </c>
      <c r="D682" s="3">
        <v>215000</v>
      </c>
      <c r="E682" s="3">
        <v>110000000000</v>
      </c>
      <c r="F682" s="3">
        <v>100000000000</v>
      </c>
      <c r="G682" s="3">
        <v>3950000000</v>
      </c>
      <c r="H682" s="3">
        <v>11200000000</v>
      </c>
      <c r="I682" s="2"/>
      <c r="J682" s="7">
        <f t="shared" si="185"/>
        <v>0.46699999999999997</v>
      </c>
      <c r="K682" s="7">
        <f t="shared" si="186"/>
        <v>35.44</v>
      </c>
      <c r="L682" s="7">
        <f t="shared" si="187"/>
        <v>110</v>
      </c>
      <c r="M682" s="7">
        <f t="shared" si="188"/>
        <v>215</v>
      </c>
      <c r="O682">
        <f t="shared" si="189"/>
        <v>0.34337209302325578</v>
      </c>
      <c r="P682">
        <f t="shared" si="190"/>
        <v>343.37209302325579</v>
      </c>
      <c r="V682">
        <f t="shared" si="191"/>
        <v>849.24713895138564</v>
      </c>
      <c r="W682">
        <f t="shared" si="192"/>
        <v>126.58270492702094</v>
      </c>
      <c r="AE682">
        <f t="shared" si="193"/>
        <v>0.7291160540657512</v>
      </c>
      <c r="AF682">
        <f t="shared" si="194"/>
        <v>0.70664622787772646</v>
      </c>
      <c r="AG682">
        <f t="shared" si="195"/>
        <v>0.70846256526452789</v>
      </c>
      <c r="AI682">
        <f t="shared" si="196"/>
        <v>0.26687566711538346</v>
      </c>
      <c r="AJ682">
        <f t="shared" si="197"/>
        <v>21.220269032153393</v>
      </c>
      <c r="AL682">
        <f t="shared" si="198"/>
        <v>0.27536173782137952</v>
      </c>
      <c r="AM682">
        <f t="shared" si="199"/>
        <v>22.59124249559439</v>
      </c>
      <c r="AO682">
        <f t="shared" si="200"/>
        <v>0.2746557727586908</v>
      </c>
      <c r="AP682">
        <f t="shared" si="201"/>
        <v>22.47555333908582</v>
      </c>
    </row>
    <row r="683" spans="1:42" x14ac:dyDescent="0.2">
      <c r="A683" s="3">
        <v>680</v>
      </c>
      <c r="B683" s="3">
        <v>4.6699999999999999E-7</v>
      </c>
      <c r="C683" s="2">
        <v>3.5499999999999997E-2</v>
      </c>
      <c r="D683" s="3">
        <v>195000</v>
      </c>
      <c r="E683" s="3">
        <v>101000000000</v>
      </c>
      <c r="F683" s="3">
        <v>92700000000</v>
      </c>
      <c r="G683" s="3">
        <v>3440000000</v>
      </c>
      <c r="H683" s="3">
        <v>11600000000</v>
      </c>
      <c r="I683" s="2"/>
      <c r="J683" s="7">
        <f t="shared" si="185"/>
        <v>0.46699999999999997</v>
      </c>
      <c r="K683" s="7">
        <f t="shared" si="186"/>
        <v>35.5</v>
      </c>
      <c r="L683" s="7">
        <f t="shared" si="187"/>
        <v>101</v>
      </c>
      <c r="M683" s="7">
        <f t="shared" si="188"/>
        <v>195</v>
      </c>
      <c r="O683">
        <f t="shared" si="189"/>
        <v>0.33046153846153847</v>
      </c>
      <c r="P683">
        <f t="shared" si="190"/>
        <v>330.46153846153845</v>
      </c>
      <c r="V683">
        <f t="shared" si="191"/>
        <v>834.94993297354279</v>
      </c>
      <c r="W683">
        <f t="shared" si="192"/>
        <v>116.77346886270065</v>
      </c>
      <c r="AE683">
        <f t="shared" si="193"/>
        <v>0.6612913048503325</v>
      </c>
      <c r="AF683">
        <f t="shared" si="194"/>
        <v>0.64091169505189149</v>
      </c>
      <c r="AG683">
        <f t="shared" si="195"/>
        <v>0.64255907082131591</v>
      </c>
      <c r="AI683">
        <f t="shared" si="196"/>
        <v>0.29424753040926893</v>
      </c>
      <c r="AJ683">
        <f t="shared" si="197"/>
        <v>25.840042437033389</v>
      </c>
      <c r="AL683">
        <f t="shared" si="198"/>
        <v>0.30360396734152101</v>
      </c>
      <c r="AM683">
        <f t="shared" si="199"/>
        <v>27.509484630329045</v>
      </c>
      <c r="AO683">
        <f t="shared" si="200"/>
        <v>0.30282559560573608</v>
      </c>
      <c r="AP683">
        <f t="shared" si="201"/>
        <v>27.368609285668892</v>
      </c>
    </row>
    <row r="684" spans="1:42" x14ac:dyDescent="0.2">
      <c r="A684" s="3">
        <v>680</v>
      </c>
      <c r="B684" s="3">
        <v>4.6800000000000001E-7</v>
      </c>
      <c r="C684" s="2">
        <v>3.5549999999999998E-2</v>
      </c>
      <c r="D684" s="3">
        <v>190000</v>
      </c>
      <c r="E684" s="3">
        <v>98800000000</v>
      </c>
      <c r="F684" s="3">
        <v>90500000000</v>
      </c>
      <c r="G684" s="2">
        <v>0</v>
      </c>
      <c r="H684" s="3">
        <v>11700000000</v>
      </c>
      <c r="I684" s="2"/>
      <c r="J684" s="7">
        <f t="shared" si="185"/>
        <v>0.46800000000000003</v>
      </c>
      <c r="K684" s="7">
        <f t="shared" si="186"/>
        <v>35.549999999999997</v>
      </c>
      <c r="L684" s="7">
        <f t="shared" si="187"/>
        <v>98.800000000000011</v>
      </c>
      <c r="M684" s="7">
        <f t="shared" si="188"/>
        <v>190</v>
      </c>
      <c r="O684">
        <f t="shared" si="189"/>
        <v>0.32767105263157897</v>
      </c>
      <c r="P684">
        <f t="shared" si="190"/>
        <v>327.67105263157896</v>
      </c>
      <c r="V684">
        <f t="shared" si="191"/>
        <v>831.81904695326625</v>
      </c>
      <c r="W684">
        <f t="shared" si="192"/>
        <v>114.20753149132608</v>
      </c>
      <c r="AE684">
        <f t="shared" si="193"/>
        <v>0.64433511754647788</v>
      </c>
      <c r="AF684">
        <f t="shared" si="194"/>
        <v>0.62447806184543275</v>
      </c>
      <c r="AG684">
        <f t="shared" si="195"/>
        <v>0.62608319721051298</v>
      </c>
      <c r="AI684">
        <f t="shared" si="196"/>
        <v>0.30263754789980707</v>
      </c>
      <c r="AJ684">
        <f t="shared" si="197"/>
        <v>27.256274562759401</v>
      </c>
      <c r="AL684">
        <f t="shared" si="198"/>
        <v>0.31226076929547175</v>
      </c>
      <c r="AM684">
        <f t="shared" si="199"/>
        <v>29.017214967482111</v>
      </c>
      <c r="AO684">
        <f t="shared" si="200"/>
        <v>0.31146020348224357</v>
      </c>
      <c r="AP684">
        <f t="shared" si="201"/>
        <v>28.868618575562977</v>
      </c>
    </row>
    <row r="685" spans="1:42" x14ac:dyDescent="0.2">
      <c r="A685" s="3">
        <v>680</v>
      </c>
      <c r="B685" s="3">
        <v>4.6800000000000001E-7</v>
      </c>
      <c r="C685" s="2">
        <v>3.56E-2</v>
      </c>
      <c r="D685" s="3">
        <v>210000</v>
      </c>
      <c r="E685" s="3">
        <v>108000000000</v>
      </c>
      <c r="F685" s="3">
        <v>98100000000</v>
      </c>
      <c r="G685" s="3">
        <v>2160000000</v>
      </c>
      <c r="H685" s="3">
        <v>11300000000</v>
      </c>
      <c r="I685" s="2"/>
      <c r="J685" s="7">
        <f t="shared" si="185"/>
        <v>0.46800000000000003</v>
      </c>
      <c r="K685" s="7">
        <f t="shared" si="186"/>
        <v>35.6</v>
      </c>
      <c r="L685" s="7">
        <f t="shared" si="187"/>
        <v>108</v>
      </c>
      <c r="M685" s="7">
        <f t="shared" si="188"/>
        <v>210</v>
      </c>
      <c r="O685">
        <f t="shared" si="189"/>
        <v>0.34085714285714286</v>
      </c>
      <c r="P685">
        <f t="shared" si="190"/>
        <v>340.85714285714283</v>
      </c>
      <c r="V685">
        <f t="shared" si="191"/>
        <v>846.48586094607322</v>
      </c>
      <c r="W685">
        <f t="shared" si="192"/>
        <v>124.04223725916339</v>
      </c>
      <c r="AE685">
        <f t="shared" si="193"/>
        <v>0.71215986676189658</v>
      </c>
      <c r="AF685">
        <f t="shared" si="194"/>
        <v>0.69021259467126772</v>
      </c>
      <c r="AG685">
        <f t="shared" si="195"/>
        <v>0.69198669165372484</v>
      </c>
      <c r="AI685">
        <f t="shared" si="196"/>
        <v>0.27381492429030163</v>
      </c>
      <c r="AJ685">
        <f t="shared" si="197"/>
        <v>22.343206570590354</v>
      </c>
      <c r="AL685">
        <f t="shared" si="198"/>
        <v>0.28252164841018873</v>
      </c>
      <c r="AM685">
        <f t="shared" si="199"/>
        <v>23.78672942367227</v>
      </c>
      <c r="AO685">
        <f t="shared" si="200"/>
        <v>0.28179732696012516</v>
      </c>
      <c r="AP685">
        <f t="shared" si="201"/>
        <v>23.664918210160724</v>
      </c>
    </row>
    <row r="686" spans="1:42" x14ac:dyDescent="0.2">
      <c r="A686" s="3">
        <v>680</v>
      </c>
      <c r="B686" s="3">
        <v>4.6899999999999998E-7</v>
      </c>
      <c r="C686" s="2">
        <v>3.5650000000000001E-2</v>
      </c>
      <c r="D686" s="3">
        <v>222000</v>
      </c>
      <c r="E686" s="3">
        <v>113000000000</v>
      </c>
      <c r="F686" s="3">
        <v>103000000000</v>
      </c>
      <c r="G686" s="3">
        <v>938000000</v>
      </c>
      <c r="H686" s="3">
        <v>11000000000</v>
      </c>
      <c r="I686" s="2"/>
      <c r="J686" s="7">
        <f t="shared" si="185"/>
        <v>0.46899999999999997</v>
      </c>
      <c r="K686" s="7">
        <f t="shared" si="186"/>
        <v>35.65</v>
      </c>
      <c r="L686" s="7">
        <f t="shared" si="187"/>
        <v>113</v>
      </c>
      <c r="M686" s="7">
        <f t="shared" si="188"/>
        <v>222</v>
      </c>
      <c r="O686">
        <f t="shared" si="189"/>
        <v>0.34856081081081081</v>
      </c>
      <c r="P686">
        <f t="shared" si="190"/>
        <v>348.56081081081078</v>
      </c>
      <c r="V686">
        <f t="shared" si="191"/>
        <v>854.90868763842332</v>
      </c>
      <c r="W686">
        <f t="shared" si="192"/>
        <v>129.838427898801</v>
      </c>
      <c r="AE686">
        <f t="shared" si="193"/>
        <v>0.75285471629114775</v>
      </c>
      <c r="AF686">
        <f t="shared" si="194"/>
        <v>0.72965331436676872</v>
      </c>
      <c r="AG686">
        <f t="shared" si="195"/>
        <v>0.73152878831965207</v>
      </c>
      <c r="AI686">
        <f t="shared" si="196"/>
        <v>0.25956756654107771</v>
      </c>
      <c r="AJ686">
        <f t="shared" si="197"/>
        <v>20.021088138350272</v>
      </c>
      <c r="AL686">
        <f t="shared" si="198"/>
        <v>0.26782125540848045</v>
      </c>
      <c r="AM686">
        <f t="shared" si="199"/>
        <v>21.314586373707286</v>
      </c>
      <c r="AO686">
        <f t="shared" si="200"/>
        <v>0.2671346224330361</v>
      </c>
      <c r="AP686">
        <f t="shared" si="201"/>
        <v>21.20543493950068</v>
      </c>
    </row>
    <row r="687" spans="1:42" x14ac:dyDescent="0.2">
      <c r="A687" s="3">
        <v>690</v>
      </c>
      <c r="B687" s="3">
        <v>4.7E-7</v>
      </c>
      <c r="C687" s="2">
        <v>3.5709999999999999E-2</v>
      </c>
      <c r="D687" s="3">
        <v>204000</v>
      </c>
      <c r="E687" s="3">
        <v>105000000000</v>
      </c>
      <c r="F687" s="3">
        <v>95600000000</v>
      </c>
      <c r="G687" s="3">
        <v>3580000000</v>
      </c>
      <c r="H687" s="3">
        <v>11400000000</v>
      </c>
      <c r="I687" s="2"/>
      <c r="J687" s="7">
        <f t="shared" si="185"/>
        <v>0.47</v>
      </c>
      <c r="K687" s="7">
        <f t="shared" si="186"/>
        <v>35.71</v>
      </c>
      <c r="L687" s="7">
        <f t="shared" si="187"/>
        <v>105</v>
      </c>
      <c r="M687" s="7">
        <f t="shared" si="188"/>
        <v>204</v>
      </c>
      <c r="O687">
        <f t="shared" si="189"/>
        <v>0.33871323529411762</v>
      </c>
      <c r="P687">
        <f t="shared" si="190"/>
        <v>338.71323529411762</v>
      </c>
      <c r="V687">
        <f t="shared" si="191"/>
        <v>844.12299411229856</v>
      </c>
      <c r="W687">
        <f t="shared" si="192"/>
        <v>120.83547150290086</v>
      </c>
      <c r="AE687">
        <f t="shared" si="193"/>
        <v>0.69181244199727088</v>
      </c>
      <c r="AF687">
        <f t="shared" si="194"/>
        <v>0.67049223482351727</v>
      </c>
      <c r="AG687">
        <f t="shared" si="195"/>
        <v>0.67221564332076134</v>
      </c>
      <c r="AI687">
        <f t="shared" si="196"/>
        <v>0.28307286981997626</v>
      </c>
      <c r="AJ687">
        <f t="shared" si="197"/>
        <v>23.749999650791974</v>
      </c>
      <c r="AL687">
        <f t="shared" si="198"/>
        <v>0.29207397664326318</v>
      </c>
      <c r="AM687">
        <f t="shared" si="199"/>
        <v>25.284410888869687</v>
      </c>
      <c r="AO687">
        <f t="shared" si="200"/>
        <v>0.29132516518942048</v>
      </c>
      <c r="AP687">
        <f t="shared" si="201"/>
        <v>25.154930088107189</v>
      </c>
    </row>
    <row r="688" spans="1:42" x14ac:dyDescent="0.2">
      <c r="A688" s="3">
        <v>690</v>
      </c>
      <c r="B688" s="3">
        <v>4.7100000000000002E-7</v>
      </c>
      <c r="C688" s="2">
        <v>3.576E-2</v>
      </c>
      <c r="D688" s="3">
        <v>200000</v>
      </c>
      <c r="E688" s="3">
        <v>103000000000</v>
      </c>
      <c r="F688" s="3">
        <v>94100000000</v>
      </c>
      <c r="G688" s="3">
        <v>906000000</v>
      </c>
      <c r="H688" s="3">
        <v>11500000000</v>
      </c>
      <c r="I688" s="2"/>
      <c r="J688" s="7">
        <f t="shared" si="185"/>
        <v>0.47100000000000003</v>
      </c>
      <c r="K688" s="7">
        <f t="shared" si="186"/>
        <v>35.76</v>
      </c>
      <c r="L688" s="7">
        <f t="shared" si="187"/>
        <v>103</v>
      </c>
      <c r="M688" s="7">
        <f t="shared" si="188"/>
        <v>200</v>
      </c>
      <c r="O688">
        <f t="shared" si="189"/>
        <v>0.33690000000000003</v>
      </c>
      <c r="P688">
        <f t="shared" si="190"/>
        <v>336.90000000000003</v>
      </c>
      <c r="V688">
        <f t="shared" si="191"/>
        <v>842.11806120123902</v>
      </c>
      <c r="W688">
        <f t="shared" si="192"/>
        <v>118.74819530334622</v>
      </c>
      <c r="AE688">
        <f t="shared" si="193"/>
        <v>0.67824749215418723</v>
      </c>
      <c r="AF688">
        <f t="shared" si="194"/>
        <v>0.65734532825835024</v>
      </c>
      <c r="AG688">
        <f t="shared" si="195"/>
        <v>0.65903494443211896</v>
      </c>
      <c r="AI688">
        <f t="shared" si="196"/>
        <v>0.28934865557215528</v>
      </c>
      <c r="AJ688">
        <f t="shared" si="197"/>
        <v>24.744097087869463</v>
      </c>
      <c r="AL688">
        <f t="shared" si="198"/>
        <v>0.29854931884884367</v>
      </c>
      <c r="AM688">
        <f t="shared" si="199"/>
        <v>26.342733770226086</v>
      </c>
      <c r="AO688">
        <f t="shared" si="200"/>
        <v>0.29778390608574762</v>
      </c>
      <c r="AP688">
        <f t="shared" si="201"/>
        <v>26.207833325923321</v>
      </c>
    </row>
    <row r="689" spans="1:42" x14ac:dyDescent="0.2">
      <c r="A689" s="3">
        <v>690</v>
      </c>
      <c r="B689" s="3">
        <v>4.7100000000000002E-7</v>
      </c>
      <c r="C689" s="2">
        <v>3.5810000000000002E-2</v>
      </c>
      <c r="D689" s="3">
        <v>198000</v>
      </c>
      <c r="E689" s="3">
        <v>102000000000</v>
      </c>
      <c r="F689" s="3">
        <v>93500000000</v>
      </c>
      <c r="G689" s="3">
        <v>2770000000</v>
      </c>
      <c r="H689" s="3">
        <v>11500000000</v>
      </c>
      <c r="I689" s="2"/>
      <c r="J689" s="7">
        <f t="shared" si="185"/>
        <v>0.47100000000000003</v>
      </c>
      <c r="K689" s="7">
        <f t="shared" si="186"/>
        <v>35.81</v>
      </c>
      <c r="L689" s="7">
        <f t="shared" si="187"/>
        <v>102</v>
      </c>
      <c r="M689" s="7">
        <f t="shared" si="188"/>
        <v>198</v>
      </c>
      <c r="O689">
        <f t="shared" si="189"/>
        <v>0.3353560606060606</v>
      </c>
      <c r="P689">
        <f t="shared" si="190"/>
        <v>335.35606060606062</v>
      </c>
      <c r="V689">
        <f t="shared" si="191"/>
        <v>840.40615174252162</v>
      </c>
      <c r="W689">
        <f t="shared" si="192"/>
        <v>117.80018482103044</v>
      </c>
      <c r="AE689">
        <f t="shared" si="193"/>
        <v>0.67146501723264529</v>
      </c>
      <c r="AF689">
        <f t="shared" si="194"/>
        <v>0.65077187497576672</v>
      </c>
      <c r="AG689">
        <f t="shared" si="195"/>
        <v>0.65244459498779772</v>
      </c>
      <c r="AI689">
        <f t="shared" si="196"/>
        <v>0.29227136926480335</v>
      </c>
      <c r="AJ689">
        <f t="shared" si="197"/>
        <v>25.281802406953339</v>
      </c>
      <c r="AL689">
        <f t="shared" si="198"/>
        <v>0.30156496853418552</v>
      </c>
      <c r="AM689">
        <f t="shared" si="199"/>
        <v>26.915178503899764</v>
      </c>
      <c r="AO689">
        <f t="shared" si="200"/>
        <v>0.300791824329038</v>
      </c>
      <c r="AP689">
        <f t="shared" si="201"/>
        <v>26.777346585225928</v>
      </c>
    </row>
    <row r="690" spans="1:42" x14ac:dyDescent="0.2">
      <c r="A690" s="3">
        <v>690</v>
      </c>
      <c r="B690" s="3">
        <v>4.7100000000000002E-7</v>
      </c>
      <c r="C690" s="2">
        <v>3.5860000000000003E-2</v>
      </c>
      <c r="D690" s="3">
        <v>195000</v>
      </c>
      <c r="E690" s="3">
        <v>101000000000</v>
      </c>
      <c r="F690" s="3">
        <v>92200000000</v>
      </c>
      <c r="G690" s="2">
        <v>0</v>
      </c>
      <c r="H690" s="3">
        <v>11600000000</v>
      </c>
      <c r="I690" s="3"/>
      <c r="J690" s="7">
        <f t="shared" si="185"/>
        <v>0.47100000000000003</v>
      </c>
      <c r="K690" s="7">
        <f t="shared" si="186"/>
        <v>35.86</v>
      </c>
      <c r="L690" s="7">
        <f t="shared" si="187"/>
        <v>101</v>
      </c>
      <c r="M690" s="7">
        <f t="shared" si="188"/>
        <v>195</v>
      </c>
      <c r="O690">
        <f t="shared" si="189"/>
        <v>0.3330769230769231</v>
      </c>
      <c r="P690">
        <f t="shared" si="190"/>
        <v>333.07692307692309</v>
      </c>
      <c r="V690">
        <f t="shared" si="191"/>
        <v>837.8710170850826</v>
      </c>
      <c r="W690">
        <f t="shared" si="192"/>
        <v>116.36635951342288</v>
      </c>
      <c r="AE690">
        <f t="shared" si="193"/>
        <v>0.6612913048503325</v>
      </c>
      <c r="AF690">
        <f t="shared" si="194"/>
        <v>0.64091169505189149</v>
      </c>
      <c r="AG690">
        <f t="shared" si="195"/>
        <v>0.64255907082131591</v>
      </c>
      <c r="AI690">
        <f t="shared" si="196"/>
        <v>0.29676785186887727</v>
      </c>
      <c r="AJ690">
        <f t="shared" si="197"/>
        <v>26.10208230400049</v>
      </c>
      <c r="AL690">
        <f t="shared" si="198"/>
        <v>0.30620442958855765</v>
      </c>
      <c r="AM690">
        <f t="shared" si="199"/>
        <v>27.78845405193238</v>
      </c>
      <c r="AO690">
        <f t="shared" si="200"/>
        <v>0.30541939085717706</v>
      </c>
      <c r="AP690">
        <f t="shared" si="201"/>
        <v>27.646150112227787</v>
      </c>
    </row>
    <row r="691" spans="1:42" x14ac:dyDescent="0.2">
      <c r="A691" s="3">
        <v>690</v>
      </c>
      <c r="B691" s="3">
        <v>4.7199999999999999E-7</v>
      </c>
      <c r="C691" s="2">
        <v>3.5909999999999997E-2</v>
      </c>
      <c r="D691" s="3">
        <v>203000</v>
      </c>
      <c r="E691" s="3">
        <v>104000000000</v>
      </c>
      <c r="F691" s="3">
        <v>95100000000</v>
      </c>
      <c r="G691" s="3">
        <v>3490000000</v>
      </c>
      <c r="H691" s="3">
        <v>11400000000</v>
      </c>
      <c r="I691" s="2"/>
      <c r="J691" s="7">
        <f t="shared" si="185"/>
        <v>0.47199999999999998</v>
      </c>
      <c r="K691" s="7">
        <f t="shared" si="186"/>
        <v>35.909999999999997</v>
      </c>
      <c r="L691" s="7">
        <f t="shared" si="187"/>
        <v>104</v>
      </c>
      <c r="M691" s="7">
        <f t="shared" si="188"/>
        <v>203</v>
      </c>
      <c r="O691">
        <f t="shared" si="189"/>
        <v>0.33932758620689651</v>
      </c>
      <c r="P691">
        <f t="shared" si="190"/>
        <v>339.32758620689651</v>
      </c>
      <c r="V691">
        <f t="shared" si="191"/>
        <v>844.8009386792379</v>
      </c>
      <c r="W691">
        <f t="shared" si="192"/>
        <v>120.14664680496821</v>
      </c>
      <c r="AE691">
        <f t="shared" si="193"/>
        <v>0.68842120453650002</v>
      </c>
      <c r="AF691">
        <f t="shared" si="194"/>
        <v>0.66720550818222546</v>
      </c>
      <c r="AG691">
        <f t="shared" si="195"/>
        <v>0.66892046859860066</v>
      </c>
      <c r="AI691">
        <f t="shared" si="196"/>
        <v>0.28567781667776826</v>
      </c>
      <c r="AJ691">
        <f t="shared" si="197"/>
        <v>24.118895815405335</v>
      </c>
      <c r="AL691">
        <f t="shared" si="198"/>
        <v>0.294761755193654</v>
      </c>
      <c r="AM691">
        <f t="shared" si="199"/>
        <v>25.677140250493128</v>
      </c>
      <c r="AO691">
        <f t="shared" si="200"/>
        <v>0.29400605288501119</v>
      </c>
      <c r="AP691">
        <f t="shared" si="201"/>
        <v>25.545648293036123</v>
      </c>
    </row>
    <row r="692" spans="1:42" x14ac:dyDescent="0.2">
      <c r="A692" s="3">
        <v>690</v>
      </c>
      <c r="B692" s="3">
        <v>4.7300000000000001E-7</v>
      </c>
      <c r="C692" s="2">
        <v>3.5970000000000002E-2</v>
      </c>
      <c r="D692" s="3">
        <v>201000</v>
      </c>
      <c r="E692" s="3">
        <v>103000000000</v>
      </c>
      <c r="F692" s="3">
        <v>94200000000</v>
      </c>
      <c r="G692" s="3">
        <v>7250000000</v>
      </c>
      <c r="H692" s="3">
        <v>11500000000</v>
      </c>
      <c r="I692" s="2"/>
      <c r="J692" s="7">
        <f t="shared" si="185"/>
        <v>0.47300000000000003</v>
      </c>
      <c r="K692" s="7">
        <f t="shared" si="186"/>
        <v>35.97</v>
      </c>
      <c r="L692" s="7">
        <f t="shared" si="187"/>
        <v>103</v>
      </c>
      <c r="M692" s="7">
        <f t="shared" si="188"/>
        <v>201</v>
      </c>
      <c r="O692">
        <f t="shared" si="189"/>
        <v>0.33878358208955228</v>
      </c>
      <c r="P692">
        <f t="shared" si="190"/>
        <v>338.78358208955228</v>
      </c>
      <c r="V692">
        <f t="shared" si="191"/>
        <v>844.20065745831016</v>
      </c>
      <c r="W692">
        <f t="shared" si="192"/>
        <v>119.04752633406125</v>
      </c>
      <c r="AE692">
        <f t="shared" si="193"/>
        <v>0.68163872961495808</v>
      </c>
      <c r="AF692">
        <f t="shared" si="194"/>
        <v>0.66063205489964194</v>
      </c>
      <c r="AG692">
        <f t="shared" si="195"/>
        <v>0.66233011915427953</v>
      </c>
      <c r="AI692">
        <f t="shared" si="196"/>
        <v>0.28913165401364616</v>
      </c>
      <c r="AJ692">
        <f t="shared" si="197"/>
        <v>24.64236665711103</v>
      </c>
      <c r="AL692">
        <f t="shared" si="198"/>
        <v>0.2983254171087304</v>
      </c>
      <c r="AM692">
        <f t="shared" si="199"/>
        <v>26.234430862899004</v>
      </c>
      <c r="AO692">
        <f t="shared" si="200"/>
        <v>0.29756057837893046</v>
      </c>
      <c r="AP692">
        <f t="shared" si="201"/>
        <v>26.100085034925932</v>
      </c>
    </row>
    <row r="693" spans="1:42" x14ac:dyDescent="0.2">
      <c r="A693" s="3">
        <v>690</v>
      </c>
      <c r="B693" s="3">
        <v>4.7300000000000001E-7</v>
      </c>
      <c r="C693" s="2">
        <v>3.6020000000000003E-2</v>
      </c>
      <c r="D693" s="3">
        <v>199000</v>
      </c>
      <c r="E693" s="3">
        <v>102000000000</v>
      </c>
      <c r="F693" s="3">
        <v>93500000000</v>
      </c>
      <c r="G693" s="3">
        <v>2220000000</v>
      </c>
      <c r="H693" s="3">
        <v>11500000000</v>
      </c>
      <c r="I693" s="2"/>
      <c r="J693" s="7">
        <f t="shared" si="185"/>
        <v>0.47300000000000003</v>
      </c>
      <c r="K693" s="7">
        <f t="shared" si="186"/>
        <v>36.020000000000003</v>
      </c>
      <c r="L693" s="7">
        <f t="shared" si="187"/>
        <v>102</v>
      </c>
      <c r="M693" s="7">
        <f t="shared" si="188"/>
        <v>199</v>
      </c>
      <c r="O693">
        <f t="shared" si="189"/>
        <v>0.3372462311557789</v>
      </c>
      <c r="P693">
        <f t="shared" si="190"/>
        <v>337.2462311557789</v>
      </c>
      <c r="V693">
        <f t="shared" si="191"/>
        <v>842.50135977311527</v>
      </c>
      <c r="W693">
        <f t="shared" si="192"/>
        <v>118.10069959625376</v>
      </c>
      <c r="AE693">
        <f t="shared" si="193"/>
        <v>0.67485625469341626</v>
      </c>
      <c r="AF693">
        <f t="shared" si="194"/>
        <v>0.65405860161705842</v>
      </c>
      <c r="AG693">
        <f t="shared" si="195"/>
        <v>0.65573976970995829</v>
      </c>
      <c r="AI693">
        <f t="shared" si="196"/>
        <v>0.2920374997826275</v>
      </c>
      <c r="AJ693">
        <f t="shared" si="197"/>
        <v>25.175125713021458</v>
      </c>
      <c r="AL693">
        <f t="shared" si="198"/>
        <v>0.30132366250680809</v>
      </c>
      <c r="AM693">
        <f t="shared" si="199"/>
        <v>26.801609771213489</v>
      </c>
      <c r="AO693">
        <f t="shared" si="200"/>
        <v>0.30055113695560315</v>
      </c>
      <c r="AP693">
        <f t="shared" si="201"/>
        <v>26.664359435022018</v>
      </c>
    </row>
    <row r="694" spans="1:42" x14ac:dyDescent="0.2">
      <c r="A694" s="3">
        <v>690</v>
      </c>
      <c r="B694" s="3">
        <v>4.7399999999999998E-7</v>
      </c>
      <c r="C694" s="2">
        <v>3.6069999999999998E-2</v>
      </c>
      <c r="D694" s="3">
        <v>193000</v>
      </c>
      <c r="E694" s="3">
        <v>99700000000</v>
      </c>
      <c r="F694" s="3">
        <v>91200000000</v>
      </c>
      <c r="G694" s="2">
        <v>0</v>
      </c>
      <c r="H694" s="3">
        <v>11700000000</v>
      </c>
      <c r="I694" s="2"/>
      <c r="J694" s="7">
        <f t="shared" si="185"/>
        <v>0.47399999999999998</v>
      </c>
      <c r="K694" s="7">
        <f t="shared" si="186"/>
        <v>36.07</v>
      </c>
      <c r="L694" s="7">
        <f t="shared" si="187"/>
        <v>99.7</v>
      </c>
      <c r="M694" s="7">
        <f t="shared" si="188"/>
        <v>193</v>
      </c>
      <c r="O694">
        <f t="shared" si="189"/>
        <v>0.33383160621761654</v>
      </c>
      <c r="P694">
        <f t="shared" si="190"/>
        <v>333.83160621761652</v>
      </c>
      <c r="V694">
        <f t="shared" si="191"/>
        <v>838.71153466277292</v>
      </c>
      <c r="W694">
        <f t="shared" si="192"/>
        <v>115.05743752385673</v>
      </c>
      <c r="AE694">
        <f t="shared" si="193"/>
        <v>0.65450882992879067</v>
      </c>
      <c r="AF694">
        <f t="shared" si="194"/>
        <v>0.63433824176930798</v>
      </c>
      <c r="AG694">
        <f t="shared" si="195"/>
        <v>0.63596872137699478</v>
      </c>
      <c r="AI694">
        <f t="shared" si="196"/>
        <v>0.30175299548134077</v>
      </c>
      <c r="AJ694">
        <f t="shared" si="197"/>
        <v>26.801902102305633</v>
      </c>
      <c r="AL694">
        <f t="shared" si="198"/>
        <v>0.31134809001760533</v>
      </c>
      <c r="AM694">
        <f t="shared" si="199"/>
        <v>28.533486960929633</v>
      </c>
      <c r="AO694">
        <f t="shared" si="200"/>
        <v>0.31054986410711277</v>
      </c>
      <c r="AP694">
        <f t="shared" si="201"/>
        <v>28.38736772736371</v>
      </c>
    </row>
    <row r="695" spans="1:42" x14ac:dyDescent="0.2">
      <c r="A695" s="3">
        <v>690</v>
      </c>
      <c r="B695" s="3">
        <v>4.7399999999999998E-7</v>
      </c>
      <c r="C695" s="2">
        <v>3.6119999999999999E-2</v>
      </c>
      <c r="D695" s="3">
        <v>199000</v>
      </c>
      <c r="E695" s="3">
        <v>102000000000</v>
      </c>
      <c r="F695" s="3">
        <v>93300000000</v>
      </c>
      <c r="G695" s="3">
        <v>2550000000</v>
      </c>
      <c r="H695" s="3">
        <v>11500000000</v>
      </c>
      <c r="I695" s="2"/>
      <c r="J695" s="7">
        <f t="shared" si="185"/>
        <v>0.47399999999999998</v>
      </c>
      <c r="K695" s="7">
        <f t="shared" si="186"/>
        <v>36.119999999999997</v>
      </c>
      <c r="L695" s="7">
        <f t="shared" si="187"/>
        <v>102</v>
      </c>
      <c r="M695" s="7">
        <f t="shared" si="188"/>
        <v>199</v>
      </c>
      <c r="O695">
        <f t="shared" si="189"/>
        <v>0.33786934673366831</v>
      </c>
      <c r="P695">
        <f t="shared" si="190"/>
        <v>337.86934673366829</v>
      </c>
      <c r="V695">
        <f t="shared" si="191"/>
        <v>843.19063415204982</v>
      </c>
      <c r="W695">
        <f t="shared" si="192"/>
        <v>118.00415703153729</v>
      </c>
      <c r="AE695">
        <f t="shared" si="193"/>
        <v>0.67485625469341626</v>
      </c>
      <c r="AF695">
        <f t="shared" si="194"/>
        <v>0.65405860161705842</v>
      </c>
      <c r="AG695">
        <f t="shared" si="195"/>
        <v>0.65573976970995829</v>
      </c>
      <c r="AI695">
        <f t="shared" si="196"/>
        <v>0.29265491521557169</v>
      </c>
      <c r="AJ695">
        <f t="shared" si="197"/>
        <v>25.245017788848834</v>
      </c>
      <c r="AL695">
        <f t="shared" si="198"/>
        <v>0.30196071041908457</v>
      </c>
      <c r="AM695">
        <f t="shared" si="199"/>
        <v>26.87601734970103</v>
      </c>
      <c r="AO695">
        <f t="shared" si="200"/>
        <v>0.30118655162147123</v>
      </c>
      <c r="AP695">
        <f t="shared" si="201"/>
        <v>26.738385974264162</v>
      </c>
    </row>
    <row r="696" spans="1:42" x14ac:dyDescent="0.2">
      <c r="A696" s="3">
        <v>690</v>
      </c>
      <c r="B696" s="3">
        <v>4.7599999999999997E-7</v>
      </c>
      <c r="C696" s="2">
        <v>3.6170000000000001E-2</v>
      </c>
      <c r="D696" s="3">
        <v>199000</v>
      </c>
      <c r="E696" s="3">
        <v>102000000000</v>
      </c>
      <c r="F696" s="3">
        <v>93100000000</v>
      </c>
      <c r="G696" s="3">
        <v>11400000000</v>
      </c>
      <c r="H696" s="3">
        <v>11500000000</v>
      </c>
      <c r="I696" s="2"/>
      <c r="J696" s="7">
        <f t="shared" si="185"/>
        <v>0.47599999999999998</v>
      </c>
      <c r="K696" s="7">
        <f t="shared" si="186"/>
        <v>36.17</v>
      </c>
      <c r="L696" s="7">
        <f t="shared" si="187"/>
        <v>102</v>
      </c>
      <c r="M696" s="7">
        <f t="shared" si="188"/>
        <v>199</v>
      </c>
      <c r="O696">
        <f t="shared" si="189"/>
        <v>0.33968090452261301</v>
      </c>
      <c r="P696">
        <f t="shared" si="190"/>
        <v>339.68090452261299</v>
      </c>
      <c r="V696">
        <f t="shared" si="191"/>
        <v>845.19052062340552</v>
      </c>
      <c r="W696">
        <f t="shared" si="192"/>
        <v>117.7249360612914</v>
      </c>
      <c r="AE696">
        <f t="shared" si="193"/>
        <v>0.67485625469341626</v>
      </c>
      <c r="AF696">
        <f t="shared" si="194"/>
        <v>0.65405860161705842</v>
      </c>
      <c r="AG696">
        <f t="shared" si="195"/>
        <v>0.65573976970995829</v>
      </c>
      <c r="AI696">
        <f t="shared" si="196"/>
        <v>0.29388974608146018</v>
      </c>
      <c r="AJ696">
        <f t="shared" si="197"/>
        <v>25.279963826762526</v>
      </c>
      <c r="AL696">
        <f t="shared" si="198"/>
        <v>0.30323480624363769</v>
      </c>
      <c r="AM696">
        <f t="shared" si="199"/>
        <v>26.913221138944802</v>
      </c>
      <c r="AO696">
        <f t="shared" si="200"/>
        <v>0.3024573809532074</v>
      </c>
      <c r="AP696">
        <f t="shared" si="201"/>
        <v>26.775399243885239</v>
      </c>
    </row>
    <row r="697" spans="1:42" x14ac:dyDescent="0.2">
      <c r="A697" s="3">
        <v>700</v>
      </c>
      <c r="B697" s="3">
        <v>4.7599999999999997E-7</v>
      </c>
      <c r="C697" s="2">
        <v>3.6229999999999998E-2</v>
      </c>
      <c r="D697" s="3">
        <v>185000</v>
      </c>
      <c r="E697" s="3">
        <v>95700000000</v>
      </c>
      <c r="F697" s="3">
        <v>87900000000</v>
      </c>
      <c r="G697" s="3">
        <v>7260000000</v>
      </c>
      <c r="H697" s="3">
        <v>11900000000</v>
      </c>
      <c r="I697" s="2"/>
      <c r="J697" s="7">
        <f t="shared" si="185"/>
        <v>0.47599999999999998</v>
      </c>
      <c r="K697" s="7">
        <f t="shared" si="186"/>
        <v>36.229999999999997</v>
      </c>
      <c r="L697" s="7">
        <f t="shared" si="187"/>
        <v>95.7</v>
      </c>
      <c r="M697" s="7">
        <f t="shared" si="188"/>
        <v>185</v>
      </c>
      <c r="O697">
        <f t="shared" si="189"/>
        <v>0.32912162162162162</v>
      </c>
      <c r="P697">
        <f t="shared" si="190"/>
        <v>329.12162162162161</v>
      </c>
      <c r="V697">
        <f t="shared" si="191"/>
        <v>833.44841045720943</v>
      </c>
      <c r="W697">
        <f t="shared" si="192"/>
        <v>110.98467384352772</v>
      </c>
      <c r="AE697">
        <f t="shared" si="193"/>
        <v>0.62737893024262315</v>
      </c>
      <c r="AF697">
        <f t="shared" si="194"/>
        <v>0.6080444286389739</v>
      </c>
      <c r="AG697">
        <f t="shared" si="195"/>
        <v>0.60960732359971004</v>
      </c>
      <c r="AI697">
        <f t="shared" si="196"/>
        <v>0.31613005119032744</v>
      </c>
      <c r="AJ697">
        <f t="shared" si="197"/>
        <v>29.299416366998578</v>
      </c>
      <c r="AL697">
        <f t="shared" si="198"/>
        <v>0.32618230509450763</v>
      </c>
      <c r="AM697">
        <f t="shared" si="199"/>
        <v>31.192357605047899</v>
      </c>
      <c r="AO697">
        <f t="shared" si="200"/>
        <v>0.32534604761993652</v>
      </c>
      <c r="AP697">
        <f t="shared" si="201"/>
        <v>31.032622365096156</v>
      </c>
    </row>
    <row r="698" spans="1:42" x14ac:dyDescent="0.2">
      <c r="A698" s="3">
        <v>700</v>
      </c>
      <c r="B698" s="3">
        <v>4.7700000000000005E-7</v>
      </c>
      <c r="C698" s="2">
        <v>3.628E-2</v>
      </c>
      <c r="D698" s="3">
        <v>211000</v>
      </c>
      <c r="E698" s="3">
        <v>107000000000</v>
      </c>
      <c r="F698" s="3">
        <v>97600000000</v>
      </c>
      <c r="G698" s="3">
        <v>7310000000</v>
      </c>
      <c r="H698" s="3">
        <v>11300000000</v>
      </c>
      <c r="I698" s="2"/>
      <c r="J698" s="7">
        <f t="shared" si="185"/>
        <v>0.47700000000000004</v>
      </c>
      <c r="K698" s="7">
        <f t="shared" si="186"/>
        <v>36.28</v>
      </c>
      <c r="L698" s="7">
        <f t="shared" si="187"/>
        <v>107</v>
      </c>
      <c r="M698" s="7">
        <f t="shared" si="188"/>
        <v>211</v>
      </c>
      <c r="O698">
        <f t="shared" si="189"/>
        <v>0.34804265402843604</v>
      </c>
      <c r="P698">
        <f t="shared" si="190"/>
        <v>348.04265402843606</v>
      </c>
      <c r="V698">
        <f t="shared" si="191"/>
        <v>854.34543194622063</v>
      </c>
      <c r="W698">
        <f t="shared" si="192"/>
        <v>123.48635113512378</v>
      </c>
      <c r="AE698">
        <f t="shared" si="193"/>
        <v>0.71555110422266743</v>
      </c>
      <c r="AF698">
        <f t="shared" si="194"/>
        <v>0.69349932131255942</v>
      </c>
      <c r="AG698">
        <f t="shared" si="195"/>
        <v>0.69528186637588552</v>
      </c>
      <c r="AI698">
        <f t="shared" si="196"/>
        <v>0.27775793905860896</v>
      </c>
      <c r="AJ698">
        <f t="shared" si="197"/>
        <v>22.554669104646049</v>
      </c>
      <c r="AL698">
        <f t="shared" si="198"/>
        <v>0.28659004254515136</v>
      </c>
      <c r="AM698">
        <f t="shared" si="199"/>
        <v>24.011853873242</v>
      </c>
      <c r="AO698">
        <f t="shared" si="200"/>
        <v>0.28585529065495741</v>
      </c>
      <c r="AP698">
        <f t="shared" si="201"/>
        <v>23.888889803366506</v>
      </c>
    </row>
    <row r="699" spans="1:42" x14ac:dyDescent="0.2">
      <c r="A699" s="3">
        <v>700</v>
      </c>
      <c r="B699" s="3">
        <v>4.7700000000000005E-7</v>
      </c>
      <c r="C699" s="2">
        <v>3.6330000000000001E-2</v>
      </c>
      <c r="D699" s="3">
        <v>168000</v>
      </c>
      <c r="E699" s="3">
        <v>88600000000</v>
      </c>
      <c r="F699" s="3">
        <v>81800000000</v>
      </c>
      <c r="G699" s="2">
        <v>0</v>
      </c>
      <c r="H699" s="3">
        <v>12400000000</v>
      </c>
      <c r="I699" s="2"/>
      <c r="J699" s="7">
        <f t="shared" si="185"/>
        <v>0.47700000000000004</v>
      </c>
      <c r="K699" s="7">
        <f t="shared" si="186"/>
        <v>36.33</v>
      </c>
      <c r="L699" s="7">
        <f t="shared" si="187"/>
        <v>88.600000000000009</v>
      </c>
      <c r="M699" s="7">
        <f t="shared" si="188"/>
        <v>168</v>
      </c>
      <c r="O699">
        <f t="shared" si="189"/>
        <v>0.31481250000000005</v>
      </c>
      <c r="P699">
        <f t="shared" si="190"/>
        <v>314.81250000000006</v>
      </c>
      <c r="V699">
        <f t="shared" si="191"/>
        <v>817.19644181664944</v>
      </c>
      <c r="W699">
        <f t="shared" si="192"/>
        <v>102.79046224585336</v>
      </c>
      <c r="AE699">
        <f t="shared" si="193"/>
        <v>0.56972789340951724</v>
      </c>
      <c r="AF699">
        <f t="shared" si="194"/>
        <v>0.55217007573701415</v>
      </c>
      <c r="AG699">
        <f t="shared" si="195"/>
        <v>0.55358935332297987</v>
      </c>
      <c r="AI699">
        <f t="shared" si="196"/>
        <v>0.34885074488908624</v>
      </c>
      <c r="AJ699">
        <f t="shared" si="197"/>
        <v>35.627137232687303</v>
      </c>
      <c r="AL699">
        <f t="shared" si="198"/>
        <v>0.35994344629182706</v>
      </c>
      <c r="AM699">
        <f t="shared" si="199"/>
        <v>37.928892203388941</v>
      </c>
      <c r="AO699">
        <f t="shared" si="200"/>
        <v>0.35902063290592873</v>
      </c>
      <c r="AP699">
        <f t="shared" si="201"/>
        <v>37.734659347574571</v>
      </c>
    </row>
    <row r="700" spans="1:42" x14ac:dyDescent="0.2">
      <c r="A700" s="3">
        <v>700</v>
      </c>
      <c r="B700" s="3">
        <v>4.7800000000000002E-7</v>
      </c>
      <c r="C700" s="2">
        <v>3.6380000000000003E-2</v>
      </c>
      <c r="D700" s="3">
        <v>201000</v>
      </c>
      <c r="E700" s="3">
        <v>103000000000</v>
      </c>
      <c r="F700" s="3">
        <v>93600000000</v>
      </c>
      <c r="G700" s="3">
        <v>3830000000</v>
      </c>
      <c r="H700" s="3">
        <v>11500000000</v>
      </c>
      <c r="I700" s="2"/>
      <c r="J700" s="7">
        <f t="shared" si="185"/>
        <v>0.47800000000000004</v>
      </c>
      <c r="K700" s="7">
        <f t="shared" si="186"/>
        <v>36.380000000000003</v>
      </c>
      <c r="L700" s="7">
        <f t="shared" si="187"/>
        <v>103</v>
      </c>
      <c r="M700" s="7">
        <f t="shared" si="188"/>
        <v>201</v>
      </c>
      <c r="O700">
        <f t="shared" si="189"/>
        <v>0.34225373134328363</v>
      </c>
      <c r="P700">
        <f t="shared" si="190"/>
        <v>342.25373134328362</v>
      </c>
      <c r="V700">
        <f t="shared" si="191"/>
        <v>848.02063452960203</v>
      </c>
      <c r="W700">
        <f t="shared" si="192"/>
        <v>118.51126718838329</v>
      </c>
      <c r="AE700">
        <f t="shared" si="193"/>
        <v>0.68163872961495808</v>
      </c>
      <c r="AF700">
        <f t="shared" si="194"/>
        <v>0.66063205489964194</v>
      </c>
      <c r="AG700">
        <f t="shared" si="195"/>
        <v>0.66233011915427953</v>
      </c>
      <c r="AI700">
        <f t="shared" si="196"/>
        <v>0.29218801399264877</v>
      </c>
      <c r="AJ700">
        <f t="shared" si="197"/>
        <v>24.923249902299119</v>
      </c>
      <c r="AL700">
        <f t="shared" si="198"/>
        <v>0.30147896274412922</v>
      </c>
      <c r="AM700">
        <f t="shared" si="199"/>
        <v>26.533461072901471</v>
      </c>
      <c r="AO700">
        <f t="shared" si="200"/>
        <v>0.30070603903832721</v>
      </c>
      <c r="AP700">
        <f t="shared" si="201"/>
        <v>26.397583919116084</v>
      </c>
    </row>
    <row r="701" spans="1:42" x14ac:dyDescent="0.2">
      <c r="A701" s="3">
        <v>700</v>
      </c>
      <c r="B701" s="3">
        <v>4.7800000000000002E-7</v>
      </c>
      <c r="C701" s="2">
        <v>3.6429999999999997E-2</v>
      </c>
      <c r="D701" s="3">
        <v>179000</v>
      </c>
      <c r="E701" s="3">
        <v>93100000000</v>
      </c>
      <c r="F701" s="3">
        <v>85700000000</v>
      </c>
      <c r="G701" s="3">
        <v>8010000000</v>
      </c>
      <c r="H701" s="3">
        <v>12100000000</v>
      </c>
      <c r="I701" s="2"/>
      <c r="J701" s="7">
        <f t="shared" si="185"/>
        <v>0.47800000000000004</v>
      </c>
      <c r="K701" s="7">
        <f t="shared" si="186"/>
        <v>36.43</v>
      </c>
      <c r="L701" s="7">
        <f t="shared" si="187"/>
        <v>93.100000000000009</v>
      </c>
      <c r="M701" s="7">
        <f t="shared" si="188"/>
        <v>179</v>
      </c>
      <c r="O701">
        <f t="shared" si="189"/>
        <v>0.32536033519553076</v>
      </c>
      <c r="P701">
        <f t="shared" si="190"/>
        <v>325.36033519553075</v>
      </c>
      <c r="V701">
        <f t="shared" si="191"/>
        <v>829.21519576389426</v>
      </c>
      <c r="W701">
        <f t="shared" si="192"/>
        <v>107.93338141560504</v>
      </c>
      <c r="AE701">
        <f t="shared" si="193"/>
        <v>0.60703150547799756</v>
      </c>
      <c r="AF701">
        <f t="shared" si="194"/>
        <v>0.58832406879122345</v>
      </c>
      <c r="AG701">
        <f t="shared" si="195"/>
        <v>0.58983627526674642</v>
      </c>
      <c r="AI701">
        <f t="shared" si="196"/>
        <v>0.32809939001409161</v>
      </c>
      <c r="AJ701">
        <f t="shared" si="197"/>
        <v>31.469308615530302</v>
      </c>
      <c r="AL701">
        <f t="shared" si="198"/>
        <v>0.33853224308139651</v>
      </c>
      <c r="AM701">
        <f t="shared" si="199"/>
        <v>33.502439626233098</v>
      </c>
      <c r="AO701">
        <f t="shared" si="200"/>
        <v>0.33766432316594286</v>
      </c>
      <c r="AP701">
        <f t="shared" si="201"/>
        <v>33.33087451722708</v>
      </c>
    </row>
    <row r="702" spans="1:42" x14ac:dyDescent="0.2">
      <c r="A702" s="3">
        <v>700</v>
      </c>
      <c r="B702" s="3">
        <v>4.7899999999999999E-7</v>
      </c>
      <c r="C702" s="2">
        <v>3.6490000000000002E-2</v>
      </c>
      <c r="D702" s="3">
        <v>200000</v>
      </c>
      <c r="E702" s="3">
        <v>102000000000</v>
      </c>
      <c r="F702" s="3">
        <v>93400000000</v>
      </c>
      <c r="G702" s="3">
        <v>4110000000</v>
      </c>
      <c r="H702" s="3">
        <v>11500000000</v>
      </c>
      <c r="I702" s="2"/>
      <c r="J702" s="7">
        <f t="shared" si="185"/>
        <v>0.47899999999999998</v>
      </c>
      <c r="K702" s="7">
        <f t="shared" si="186"/>
        <v>36.49</v>
      </c>
      <c r="L702" s="7">
        <f t="shared" si="187"/>
        <v>102</v>
      </c>
      <c r="M702" s="7">
        <f t="shared" si="188"/>
        <v>200</v>
      </c>
      <c r="O702">
        <f t="shared" si="189"/>
        <v>0.34216249999999998</v>
      </c>
      <c r="P702">
        <f t="shared" si="190"/>
        <v>342.16249999999997</v>
      </c>
      <c r="V702">
        <f t="shared" si="191"/>
        <v>847.92048293388109</v>
      </c>
      <c r="W702">
        <f t="shared" si="192"/>
        <v>117.93558713665108</v>
      </c>
      <c r="AE702">
        <f t="shared" si="193"/>
        <v>0.67824749215418723</v>
      </c>
      <c r="AF702">
        <f t="shared" si="194"/>
        <v>0.65734532825835024</v>
      </c>
      <c r="AG702">
        <f t="shared" si="195"/>
        <v>0.65903494443211896</v>
      </c>
      <c r="AI702">
        <f t="shared" si="196"/>
        <v>0.29426328241839145</v>
      </c>
      <c r="AJ702">
        <f t="shared" si="197"/>
        <v>25.249219875177765</v>
      </c>
      <c r="AL702">
        <f t="shared" si="198"/>
        <v>0.30362022023056495</v>
      </c>
      <c r="AM702">
        <f t="shared" si="199"/>
        <v>26.880490919338648</v>
      </c>
      <c r="AO702">
        <f t="shared" si="200"/>
        <v>0.30284180682605755</v>
      </c>
      <c r="AP702">
        <f t="shared" si="201"/>
        <v>26.742836634869743</v>
      </c>
    </row>
    <row r="703" spans="1:42" x14ac:dyDescent="0.2">
      <c r="A703" s="3">
        <v>700</v>
      </c>
      <c r="B703" s="3">
        <v>4.8100000000000003E-7</v>
      </c>
      <c r="C703" s="2">
        <v>3.6540000000000003E-2</v>
      </c>
      <c r="D703" s="3">
        <v>184000</v>
      </c>
      <c r="E703" s="3">
        <v>94700000000</v>
      </c>
      <c r="F703" s="3">
        <v>87000000000</v>
      </c>
      <c r="G703" s="2">
        <v>0</v>
      </c>
      <c r="H703" s="3">
        <v>11900000000</v>
      </c>
      <c r="I703" s="2"/>
      <c r="J703" s="7">
        <f t="shared" si="185"/>
        <v>0.48100000000000004</v>
      </c>
      <c r="K703" s="7">
        <f t="shared" si="186"/>
        <v>36.540000000000006</v>
      </c>
      <c r="L703" s="7">
        <f t="shared" si="187"/>
        <v>94.7</v>
      </c>
      <c r="M703" s="7">
        <f t="shared" si="188"/>
        <v>184</v>
      </c>
      <c r="O703">
        <f t="shared" si="189"/>
        <v>0.33205978260869567</v>
      </c>
      <c r="P703">
        <f t="shared" si="190"/>
        <v>332.05978260869568</v>
      </c>
      <c r="V703">
        <f t="shared" si="191"/>
        <v>836.73651143611414</v>
      </c>
      <c r="W703">
        <f t="shared" si="192"/>
        <v>109.9509806762201</v>
      </c>
      <c r="AE703">
        <f t="shared" si="193"/>
        <v>0.62398769278185218</v>
      </c>
      <c r="AF703">
        <f t="shared" si="194"/>
        <v>0.6047577019976822</v>
      </c>
      <c r="AG703">
        <f t="shared" si="195"/>
        <v>0.60631214887754936</v>
      </c>
      <c r="AI703">
        <f t="shared" si="196"/>
        <v>0.3211868903586419</v>
      </c>
      <c r="AJ703">
        <f t="shared" si="197"/>
        <v>29.872184931903675</v>
      </c>
      <c r="AL703">
        <f t="shared" si="198"/>
        <v>0.33139994084347324</v>
      </c>
      <c r="AM703">
        <f t="shared" si="199"/>
        <v>31.802130908299524</v>
      </c>
      <c r="AO703">
        <f t="shared" si="200"/>
        <v>0.33055030653384249</v>
      </c>
      <c r="AP703">
        <f t="shared" si="201"/>
        <v>31.639273035357231</v>
      </c>
    </row>
    <row r="704" spans="1:42" x14ac:dyDescent="0.2">
      <c r="A704" s="3">
        <v>700</v>
      </c>
      <c r="B704" s="3">
        <v>4.82E-7</v>
      </c>
      <c r="C704" s="2">
        <v>3.6589999999999998E-2</v>
      </c>
      <c r="D704" s="3">
        <v>207000</v>
      </c>
      <c r="E704" s="3">
        <v>105000000000</v>
      </c>
      <c r="F704" s="3">
        <v>95500000000</v>
      </c>
      <c r="G704" s="2">
        <v>0</v>
      </c>
      <c r="H704" s="3">
        <v>11300000000</v>
      </c>
      <c r="I704" s="2"/>
      <c r="J704" s="7">
        <f t="shared" si="185"/>
        <v>0.48199999999999998</v>
      </c>
      <c r="K704" s="7">
        <f t="shared" si="186"/>
        <v>36.589999999999996</v>
      </c>
      <c r="L704" s="7">
        <f t="shared" si="187"/>
        <v>105</v>
      </c>
      <c r="M704" s="7">
        <f t="shared" si="188"/>
        <v>207</v>
      </c>
      <c r="O704">
        <f t="shared" si="189"/>
        <v>0.34942753623188405</v>
      </c>
      <c r="P704">
        <f t="shared" si="190"/>
        <v>349.42753623188406</v>
      </c>
      <c r="V704">
        <f t="shared" si="191"/>
        <v>855.84980888976258</v>
      </c>
      <c r="W704">
        <f t="shared" si="192"/>
        <v>120.93243338368413</v>
      </c>
      <c r="AE704">
        <f t="shared" si="193"/>
        <v>0.70198615437958378</v>
      </c>
      <c r="AF704">
        <f t="shared" si="194"/>
        <v>0.6803524147473925</v>
      </c>
      <c r="AG704">
        <f t="shared" si="195"/>
        <v>0.68210116748724314</v>
      </c>
      <c r="AI704">
        <f t="shared" si="196"/>
        <v>0.28609301206350729</v>
      </c>
      <c r="AJ704">
        <f t="shared" si="197"/>
        <v>23.635011111156626</v>
      </c>
      <c r="AL704">
        <f t="shared" si="198"/>
        <v>0.29519015289730482</v>
      </c>
      <c r="AM704">
        <f t="shared" si="199"/>
        <v>25.161993308810725</v>
      </c>
      <c r="AO704">
        <f t="shared" si="200"/>
        <v>0.29443335227408091</v>
      </c>
      <c r="AP704">
        <f t="shared" si="201"/>
        <v>25.03313940524442</v>
      </c>
    </row>
    <row r="705" spans="1:42" x14ac:dyDescent="0.2">
      <c r="A705" s="3">
        <v>700</v>
      </c>
      <c r="B705" s="3">
        <v>4.8299999999999997E-7</v>
      </c>
      <c r="C705" s="2">
        <v>3.6639999999999999E-2</v>
      </c>
      <c r="D705" s="3">
        <v>191000</v>
      </c>
      <c r="E705" s="3">
        <v>97800000000</v>
      </c>
      <c r="F705" s="3">
        <v>89600000000</v>
      </c>
      <c r="G705" s="2">
        <v>0</v>
      </c>
      <c r="H705" s="3">
        <v>11600000000</v>
      </c>
      <c r="I705" s="2"/>
      <c r="J705" s="7">
        <f t="shared" si="185"/>
        <v>0.48299999999999998</v>
      </c>
      <c r="K705" s="7">
        <f t="shared" si="186"/>
        <v>36.64</v>
      </c>
      <c r="L705" s="7">
        <f t="shared" si="187"/>
        <v>97.800000000000011</v>
      </c>
      <c r="M705" s="7">
        <f t="shared" si="188"/>
        <v>191</v>
      </c>
      <c r="O705">
        <f t="shared" si="189"/>
        <v>0.33912565445026177</v>
      </c>
      <c r="P705">
        <f t="shared" si="190"/>
        <v>339.12565445026178</v>
      </c>
      <c r="V705">
        <f t="shared" si="191"/>
        <v>844.57817972679163</v>
      </c>
      <c r="W705">
        <f t="shared" si="192"/>
        <v>113.07419762003894</v>
      </c>
      <c r="AE705">
        <f t="shared" si="193"/>
        <v>0.64772635500724873</v>
      </c>
      <c r="AF705">
        <f t="shared" si="194"/>
        <v>0.62776478848672446</v>
      </c>
      <c r="AG705">
        <f t="shared" si="195"/>
        <v>0.62937837193267354</v>
      </c>
      <c r="AI705">
        <f t="shared" si="196"/>
        <v>0.31070219459843934</v>
      </c>
      <c r="AJ705">
        <f t="shared" si="197"/>
        <v>27.798593491115117</v>
      </c>
      <c r="AL705">
        <f t="shared" si="198"/>
        <v>0.32058185436798498</v>
      </c>
      <c r="AM705">
        <f t="shared" si="199"/>
        <v>29.594571380912633</v>
      </c>
      <c r="AO705">
        <f t="shared" si="200"/>
        <v>0.31975995517928013</v>
      </c>
      <c r="AP705">
        <f t="shared" si="201"/>
        <v>29.443018362040032</v>
      </c>
    </row>
    <row r="706" spans="1:42" x14ac:dyDescent="0.2">
      <c r="A706" s="3">
        <v>700</v>
      </c>
      <c r="B706" s="3">
        <v>4.8400000000000005E-7</v>
      </c>
      <c r="C706" s="2">
        <v>3.669E-2</v>
      </c>
      <c r="D706" s="3">
        <v>193000</v>
      </c>
      <c r="E706" s="3">
        <v>98200000000</v>
      </c>
      <c r="F706" s="3">
        <v>90000000000</v>
      </c>
      <c r="G706" s="3">
        <v>8510000000</v>
      </c>
      <c r="H706" s="3">
        <v>11600000000</v>
      </c>
      <c r="I706" s="2"/>
      <c r="J706" s="7">
        <f t="shared" si="185"/>
        <v>0.48400000000000004</v>
      </c>
      <c r="K706" s="7">
        <f t="shared" si="186"/>
        <v>36.69</v>
      </c>
      <c r="L706" s="7">
        <f t="shared" si="187"/>
        <v>98.2</v>
      </c>
      <c r="M706" s="7">
        <f t="shared" si="188"/>
        <v>193</v>
      </c>
      <c r="O706">
        <f t="shared" si="189"/>
        <v>0.3414222797927462</v>
      </c>
      <c r="P706">
        <f t="shared" si="190"/>
        <v>341.42227979274622</v>
      </c>
      <c r="V706">
        <f t="shared" si="191"/>
        <v>847.10733633132998</v>
      </c>
      <c r="W706">
        <f t="shared" si="192"/>
        <v>113.91708684512662</v>
      </c>
      <c r="AE706">
        <f t="shared" si="193"/>
        <v>0.65450882992879067</v>
      </c>
      <c r="AF706">
        <f t="shared" si="194"/>
        <v>0.63433824176930798</v>
      </c>
      <c r="AG706">
        <f t="shared" si="195"/>
        <v>0.63596872137699478</v>
      </c>
      <c r="AI706">
        <f t="shared" si="196"/>
        <v>0.30811909243242397</v>
      </c>
      <c r="AJ706">
        <f t="shared" si="197"/>
        <v>27.262594625272904</v>
      </c>
      <c r="AL706">
        <f t="shared" si="198"/>
        <v>0.31791661512346203</v>
      </c>
      <c r="AM706">
        <f t="shared" si="199"/>
        <v>29.023943348946716</v>
      </c>
      <c r="AO706">
        <f t="shared" si="200"/>
        <v>0.31710154900388732</v>
      </c>
      <c r="AP706">
        <f t="shared" si="201"/>
        <v>28.875312501163695</v>
      </c>
    </row>
    <row r="707" spans="1:42" x14ac:dyDescent="0.2">
      <c r="A707" s="3">
        <v>710</v>
      </c>
      <c r="B707" s="3">
        <v>4.8500000000000002E-7</v>
      </c>
      <c r="C707" s="2">
        <v>3.6749999999999998E-2</v>
      </c>
      <c r="D707" s="3">
        <v>195000</v>
      </c>
      <c r="E707" s="3">
        <v>99100000000</v>
      </c>
      <c r="F707" s="3">
        <v>90700000000</v>
      </c>
      <c r="G707" s="2">
        <v>0</v>
      </c>
      <c r="H707" s="3">
        <v>11500000000</v>
      </c>
      <c r="I707" s="2"/>
      <c r="J707" s="7">
        <f t="shared" si="185"/>
        <v>0.48500000000000004</v>
      </c>
      <c r="K707" s="7">
        <f t="shared" si="186"/>
        <v>36.75</v>
      </c>
      <c r="L707" s="7">
        <f t="shared" si="187"/>
        <v>99.100000000000009</v>
      </c>
      <c r="M707" s="7">
        <f t="shared" si="188"/>
        <v>195</v>
      </c>
      <c r="O707">
        <f t="shared" si="189"/>
        <v>0.3436538461538462</v>
      </c>
      <c r="P707">
        <f t="shared" si="190"/>
        <v>343.65384615384619</v>
      </c>
      <c r="V707">
        <f t="shared" si="191"/>
        <v>849.55578588605783</v>
      </c>
      <c r="W707">
        <f t="shared" si="192"/>
        <v>114.76585954659917</v>
      </c>
      <c r="AE707">
        <f t="shared" si="193"/>
        <v>0.6612913048503325</v>
      </c>
      <c r="AF707">
        <f t="shared" si="194"/>
        <v>0.64091169505189149</v>
      </c>
      <c r="AG707">
        <f t="shared" si="195"/>
        <v>0.64255907082131591</v>
      </c>
      <c r="AI707">
        <f t="shared" si="196"/>
        <v>0.30558897697750631</v>
      </c>
      <c r="AJ707">
        <f t="shared" si="197"/>
        <v>26.749903086224705</v>
      </c>
      <c r="AL707">
        <f t="shared" si="198"/>
        <v>0.31530604745318569</v>
      </c>
      <c r="AM707">
        <f t="shared" si="199"/>
        <v>28.478128455340627</v>
      </c>
      <c r="AO707">
        <f t="shared" si="200"/>
        <v>0.31449767423722058</v>
      </c>
      <c r="AP707">
        <f t="shared" si="201"/>
        <v>28.332292711220614</v>
      </c>
    </row>
    <row r="708" spans="1:42" x14ac:dyDescent="0.2">
      <c r="A708" s="3">
        <v>710</v>
      </c>
      <c r="B708" s="3">
        <v>4.8599999999999998E-7</v>
      </c>
      <c r="C708" s="2">
        <v>3.6799999999999999E-2</v>
      </c>
      <c r="D708" s="3">
        <v>196000</v>
      </c>
      <c r="E708" s="3">
        <v>99300000000</v>
      </c>
      <c r="F708" s="3">
        <v>90900000000</v>
      </c>
      <c r="G708" s="3">
        <v>8070000000</v>
      </c>
      <c r="H708" s="3">
        <v>11500000000</v>
      </c>
      <c r="I708" s="2"/>
      <c r="J708" s="7">
        <f t="shared" si="185"/>
        <v>0.48599999999999999</v>
      </c>
      <c r="K708" s="7">
        <f t="shared" si="186"/>
        <v>36.799999999999997</v>
      </c>
      <c r="L708" s="7">
        <f t="shared" si="187"/>
        <v>99.300000000000011</v>
      </c>
      <c r="M708" s="7">
        <f t="shared" si="188"/>
        <v>196</v>
      </c>
      <c r="O708">
        <f t="shared" si="189"/>
        <v>0.34518367346938778</v>
      </c>
      <c r="P708">
        <f t="shared" si="190"/>
        <v>345.18367346938777</v>
      </c>
      <c r="V708">
        <f t="shared" si="191"/>
        <v>851.22918267941179</v>
      </c>
      <c r="W708">
        <f t="shared" si="192"/>
        <v>115.1276318928889</v>
      </c>
      <c r="AE708">
        <f t="shared" si="193"/>
        <v>0.66468254231110346</v>
      </c>
      <c r="AF708">
        <f t="shared" si="194"/>
        <v>0.6441984216931832</v>
      </c>
      <c r="AG708">
        <f t="shared" si="195"/>
        <v>0.64585424554347659</v>
      </c>
      <c r="AI708">
        <f t="shared" si="196"/>
        <v>0.30465671521311033</v>
      </c>
      <c r="AJ708">
        <f t="shared" si="197"/>
        <v>26.513665215043588</v>
      </c>
      <c r="AL708">
        <f t="shared" si="198"/>
        <v>0.31434414177507264</v>
      </c>
      <c r="AM708">
        <f t="shared" si="199"/>
        <v>28.226628013644579</v>
      </c>
      <c r="AO708">
        <f t="shared" si="200"/>
        <v>0.31353823466717218</v>
      </c>
      <c r="AP708">
        <f t="shared" si="201"/>
        <v>28.082080196647947</v>
      </c>
    </row>
    <row r="709" spans="1:42" x14ac:dyDescent="0.2">
      <c r="A709" s="3">
        <v>710</v>
      </c>
      <c r="B709" s="3">
        <v>4.8699999999999995E-7</v>
      </c>
      <c r="C709" s="2">
        <v>3.6850000000000001E-2</v>
      </c>
      <c r="D709" s="3">
        <v>198000</v>
      </c>
      <c r="E709" s="3">
        <v>100000000000</v>
      </c>
      <c r="F709" s="3">
        <v>91600000000</v>
      </c>
      <c r="G709" s="2">
        <v>0</v>
      </c>
      <c r="H709" s="3">
        <v>11400000000</v>
      </c>
      <c r="I709" s="2"/>
      <c r="J709" s="7">
        <f t="shared" ref="J709:J772" si="202">B709*(10^6)</f>
        <v>0.48699999999999993</v>
      </c>
      <c r="K709" s="7">
        <f t="shared" ref="K709:K772" si="203">C709*1000</f>
        <v>36.85</v>
      </c>
      <c r="L709" s="7">
        <f t="shared" ref="L709:L772" si="204">E709*(10^-9)</f>
        <v>100</v>
      </c>
      <c r="M709" s="7">
        <f t="shared" ref="M709:M772" si="205">D709*(10^-3)</f>
        <v>198</v>
      </c>
      <c r="O709">
        <f t="shared" ref="O709:O772" si="206">J709-(0.75*(K709/M709))</f>
        <v>0.3474166666666666</v>
      </c>
      <c r="P709">
        <f t="shared" ref="P709:P772" si="207">O709*1000</f>
        <v>347.41666666666657</v>
      </c>
      <c r="V709">
        <f t="shared" ref="V709:V772" si="208">$S$3*(P709^$S$4)</f>
        <v>853.66433707409851</v>
      </c>
      <c r="W709">
        <f t="shared" ref="W709:W772" si="209">M709/(2*(V709/1000))</f>
        <v>115.97064056736711</v>
      </c>
      <c r="AE709">
        <f t="shared" si="193"/>
        <v>0.67146501723264529</v>
      </c>
      <c r="AF709">
        <f t="shared" si="194"/>
        <v>0.65077187497576672</v>
      </c>
      <c r="AG709">
        <f t="shared" si="195"/>
        <v>0.65244459498779772</v>
      </c>
      <c r="AI709">
        <f t="shared" si="196"/>
        <v>0.30219990834810873</v>
      </c>
      <c r="AJ709">
        <f t="shared" si="197"/>
        <v>26.016040734326459</v>
      </c>
      <c r="AL709">
        <f t="shared" si="198"/>
        <v>0.3118092137497841</v>
      </c>
      <c r="AM709">
        <f t="shared" si="199"/>
        <v>27.696853612641895</v>
      </c>
      <c r="AO709">
        <f t="shared" si="200"/>
        <v>0.31100980562259339</v>
      </c>
      <c r="AP709">
        <f t="shared" si="201"/>
        <v>27.555018756369044</v>
      </c>
    </row>
    <row r="710" spans="1:42" x14ac:dyDescent="0.2">
      <c r="A710" s="3">
        <v>710</v>
      </c>
      <c r="B710" s="3">
        <v>4.8800000000000003E-7</v>
      </c>
      <c r="C710" s="2">
        <v>3.6900000000000002E-2</v>
      </c>
      <c r="D710" s="3">
        <v>204000</v>
      </c>
      <c r="E710" s="3">
        <v>103000000000</v>
      </c>
      <c r="F710" s="3">
        <v>93600000000</v>
      </c>
      <c r="G710" s="3">
        <v>2300000000</v>
      </c>
      <c r="H710" s="3">
        <v>11300000000</v>
      </c>
      <c r="I710" s="2"/>
      <c r="J710" s="7">
        <f t="shared" si="202"/>
        <v>0.48800000000000004</v>
      </c>
      <c r="K710" s="7">
        <f t="shared" si="203"/>
        <v>36.900000000000006</v>
      </c>
      <c r="L710" s="7">
        <f t="shared" si="204"/>
        <v>103</v>
      </c>
      <c r="M710" s="7">
        <f t="shared" si="205"/>
        <v>204</v>
      </c>
      <c r="O710">
        <f t="shared" si="206"/>
        <v>0.35233823529411767</v>
      </c>
      <c r="P710">
        <f t="shared" si="207"/>
        <v>352.33823529411768</v>
      </c>
      <c r="V710">
        <f t="shared" si="208"/>
        <v>859.00086958232214</v>
      </c>
      <c r="W710">
        <f t="shared" si="209"/>
        <v>118.74260389235246</v>
      </c>
      <c r="AE710">
        <f t="shared" si="193"/>
        <v>0.69181244199727088</v>
      </c>
      <c r="AF710">
        <f t="shared" si="194"/>
        <v>0.67049223482351727</v>
      </c>
      <c r="AG710">
        <f t="shared" si="195"/>
        <v>0.67221564332076134</v>
      </c>
      <c r="AI710">
        <f t="shared" si="196"/>
        <v>0.29391395845137963</v>
      </c>
      <c r="AJ710">
        <f t="shared" si="197"/>
        <v>24.541444612551775</v>
      </c>
      <c r="AL710">
        <f t="shared" si="198"/>
        <v>0.30325978851470736</v>
      </c>
      <c r="AM710">
        <f t="shared" si="199"/>
        <v>26.126988569008443</v>
      </c>
      <c r="AO710">
        <f t="shared" si="200"/>
        <v>0.30248229917539832</v>
      </c>
      <c r="AP710">
        <f t="shared" si="201"/>
        <v>25.993192950186376</v>
      </c>
    </row>
    <row r="711" spans="1:42" x14ac:dyDescent="0.2">
      <c r="A711" s="3">
        <v>710</v>
      </c>
      <c r="B711" s="3">
        <v>4.8800000000000003E-7</v>
      </c>
      <c r="C711" s="2">
        <v>3.696E-2</v>
      </c>
      <c r="D711" s="3">
        <v>212000</v>
      </c>
      <c r="E711" s="3">
        <v>106000000000</v>
      </c>
      <c r="F711" s="3">
        <v>96700000000</v>
      </c>
      <c r="G711" s="2">
        <v>0</v>
      </c>
      <c r="H711" s="3">
        <v>11200000000</v>
      </c>
      <c r="I711" s="2"/>
      <c r="J711" s="7">
        <f t="shared" si="202"/>
        <v>0.48800000000000004</v>
      </c>
      <c r="K711" s="7">
        <f t="shared" si="203"/>
        <v>36.96</v>
      </c>
      <c r="L711" s="7">
        <f t="shared" si="204"/>
        <v>106</v>
      </c>
      <c r="M711" s="7">
        <f t="shared" si="205"/>
        <v>212</v>
      </c>
      <c r="O711">
        <f t="shared" si="206"/>
        <v>0.35724528301886799</v>
      </c>
      <c r="P711">
        <f t="shared" si="207"/>
        <v>357.24528301886801</v>
      </c>
      <c r="V711">
        <f t="shared" si="208"/>
        <v>864.28047963670554</v>
      </c>
      <c r="W711">
        <f t="shared" si="209"/>
        <v>122.64537091541902</v>
      </c>
      <c r="AE711">
        <f t="shared" si="193"/>
        <v>0.7189423416834384</v>
      </c>
      <c r="AF711">
        <f t="shared" si="194"/>
        <v>0.69678604795385124</v>
      </c>
      <c r="AG711">
        <f t="shared" si="195"/>
        <v>0.69857704109804608</v>
      </c>
      <c r="AI711">
        <f t="shared" si="196"/>
        <v>0.28282286567962944</v>
      </c>
      <c r="AJ711">
        <f t="shared" si="197"/>
        <v>22.761156920898419</v>
      </c>
      <c r="AL711">
        <f t="shared" si="198"/>
        <v>0.29181602291037878</v>
      </c>
      <c r="AM711">
        <f t="shared" si="199"/>
        <v>24.231682204460363</v>
      </c>
      <c r="AO711">
        <f t="shared" si="200"/>
        <v>0.29106787279142099</v>
      </c>
      <c r="AP711">
        <f t="shared" si="201"/>
        <v>24.107592399503229</v>
      </c>
    </row>
    <row r="712" spans="1:42" x14ac:dyDescent="0.2">
      <c r="A712" s="3">
        <v>710</v>
      </c>
      <c r="B712" s="3">
        <v>4.8999999999999997E-7</v>
      </c>
      <c r="C712" s="2">
        <v>3.7010000000000001E-2</v>
      </c>
      <c r="D712" s="3">
        <v>194000</v>
      </c>
      <c r="E712" s="3">
        <v>98200000000</v>
      </c>
      <c r="F712" s="3">
        <v>90000000000</v>
      </c>
      <c r="G712" s="3">
        <v>6270000000</v>
      </c>
      <c r="H712" s="3">
        <v>11500000000</v>
      </c>
      <c r="I712" s="2"/>
      <c r="J712" s="7">
        <f t="shared" si="202"/>
        <v>0.49</v>
      </c>
      <c r="K712" s="7">
        <f t="shared" si="203"/>
        <v>37.01</v>
      </c>
      <c r="L712" s="7">
        <f t="shared" si="204"/>
        <v>98.2</v>
      </c>
      <c r="M712" s="7">
        <f t="shared" si="205"/>
        <v>194</v>
      </c>
      <c r="O712">
        <f t="shared" si="206"/>
        <v>0.34692010309278348</v>
      </c>
      <c r="P712">
        <f t="shared" si="207"/>
        <v>346.92010309278351</v>
      </c>
      <c r="V712">
        <f t="shared" si="208"/>
        <v>853.12357323367519</v>
      </c>
      <c r="W712">
        <f t="shared" si="209"/>
        <v>113.69982385122908</v>
      </c>
      <c r="AE712">
        <f t="shared" si="193"/>
        <v>0.65790006738956153</v>
      </c>
      <c r="AF712">
        <f t="shared" si="194"/>
        <v>0.63762496841059968</v>
      </c>
      <c r="AG712">
        <f t="shared" si="195"/>
        <v>0.63926389609915535</v>
      </c>
      <c r="AI712">
        <f t="shared" si="196"/>
        <v>0.31033081889893427</v>
      </c>
      <c r="AJ712">
        <f t="shared" si="197"/>
        <v>27.217593120955428</v>
      </c>
      <c r="AL712">
        <f t="shared" si="198"/>
        <v>0.32019866972209471</v>
      </c>
      <c r="AM712">
        <f t="shared" si="199"/>
        <v>28.976034441893646</v>
      </c>
      <c r="AO712">
        <f t="shared" si="200"/>
        <v>0.31937775293194198</v>
      </c>
      <c r="AP712">
        <f t="shared" si="201"/>
        <v>28.827648934359051</v>
      </c>
    </row>
    <row r="713" spans="1:42" x14ac:dyDescent="0.2">
      <c r="A713" s="3">
        <v>710</v>
      </c>
      <c r="B713" s="3">
        <v>4.8999999999999997E-7</v>
      </c>
      <c r="C713" s="2">
        <v>3.7060000000000003E-2</v>
      </c>
      <c r="D713" s="3">
        <v>219000</v>
      </c>
      <c r="E713" s="3">
        <v>109000000000</v>
      </c>
      <c r="F713" s="3">
        <v>99200000000</v>
      </c>
      <c r="G713" s="3">
        <v>1200000000</v>
      </c>
      <c r="H713" s="3">
        <v>11000000000</v>
      </c>
      <c r="I713" s="2"/>
      <c r="J713" s="7">
        <f t="shared" si="202"/>
        <v>0.49</v>
      </c>
      <c r="K713" s="7">
        <f t="shared" si="203"/>
        <v>37.06</v>
      </c>
      <c r="L713" s="7">
        <f t="shared" si="204"/>
        <v>109</v>
      </c>
      <c r="M713" s="7">
        <f t="shared" si="205"/>
        <v>219</v>
      </c>
      <c r="O713">
        <f t="shared" si="206"/>
        <v>0.36308219178082191</v>
      </c>
      <c r="P713">
        <f t="shared" si="207"/>
        <v>363.08219178082192</v>
      </c>
      <c r="V713">
        <f t="shared" si="208"/>
        <v>870.50821976490352</v>
      </c>
      <c r="W713">
        <f t="shared" si="209"/>
        <v>125.78858822214505</v>
      </c>
      <c r="AE713">
        <f t="shared" si="193"/>
        <v>0.74268100390883496</v>
      </c>
      <c r="AF713">
        <f t="shared" si="194"/>
        <v>0.7197931344428935</v>
      </c>
      <c r="AG713">
        <f t="shared" si="195"/>
        <v>0.72164326415317026</v>
      </c>
      <c r="AI713">
        <f t="shared" si="196"/>
        <v>0.27490492633056274</v>
      </c>
      <c r="AJ713">
        <f t="shared" si="197"/>
        <v>21.387069342751371</v>
      </c>
      <c r="AL713">
        <f t="shared" si="198"/>
        <v>0.28364631016477793</v>
      </c>
      <c r="AM713">
        <f t="shared" si="199"/>
        <v>22.768819238818036</v>
      </c>
      <c r="AO713">
        <f t="shared" si="200"/>
        <v>0.2829191053369714</v>
      </c>
      <c r="AP713">
        <f t="shared" si="201"/>
        <v>22.652220716494678</v>
      </c>
    </row>
    <row r="714" spans="1:42" x14ac:dyDescent="0.2">
      <c r="A714" s="3">
        <v>710</v>
      </c>
      <c r="B714" s="3">
        <v>4.9100000000000004E-7</v>
      </c>
      <c r="C714" s="2">
        <v>3.7109999999999997E-2</v>
      </c>
      <c r="D714" s="3">
        <v>208000</v>
      </c>
      <c r="E714" s="3">
        <v>104000000000</v>
      </c>
      <c r="F714" s="3">
        <v>95100000000</v>
      </c>
      <c r="G714" s="3">
        <v>9950000000</v>
      </c>
      <c r="H714" s="3">
        <v>11200000000</v>
      </c>
      <c r="I714" s="2"/>
      <c r="J714" s="7">
        <f t="shared" si="202"/>
        <v>0.49100000000000005</v>
      </c>
      <c r="K714" s="7">
        <f t="shared" si="203"/>
        <v>37.11</v>
      </c>
      <c r="L714" s="7">
        <f t="shared" si="204"/>
        <v>104</v>
      </c>
      <c r="M714" s="7">
        <f t="shared" si="205"/>
        <v>208</v>
      </c>
      <c r="O714">
        <f t="shared" si="206"/>
        <v>0.3571899038461539</v>
      </c>
      <c r="P714">
        <f t="shared" si="207"/>
        <v>357.18990384615392</v>
      </c>
      <c r="V714">
        <f t="shared" si="208"/>
        <v>864.22112198003333</v>
      </c>
      <c r="W714">
        <f t="shared" si="209"/>
        <v>120.33957207817791</v>
      </c>
      <c r="AE714">
        <f t="shared" si="193"/>
        <v>0.70537739184035464</v>
      </c>
      <c r="AF714">
        <f t="shared" si="194"/>
        <v>0.6836391413886842</v>
      </c>
      <c r="AG714">
        <f t="shared" si="195"/>
        <v>0.68539634220940371</v>
      </c>
      <c r="AI714">
        <f t="shared" si="196"/>
        <v>0.29003386796898634</v>
      </c>
      <c r="AJ714">
        <f t="shared" si="197"/>
        <v>23.740965486203738</v>
      </c>
      <c r="AL714">
        <f t="shared" si="198"/>
        <v>0.29925631952225679</v>
      </c>
      <c r="AM714">
        <f t="shared" si="199"/>
        <v>25.274793055907786</v>
      </c>
      <c r="AO714">
        <f t="shared" si="200"/>
        <v>0.29848909416973318</v>
      </c>
      <c r="AP714">
        <f t="shared" si="201"/>
        <v>25.145361507814016</v>
      </c>
    </row>
    <row r="715" spans="1:42" x14ac:dyDescent="0.2">
      <c r="A715" s="3">
        <v>710</v>
      </c>
      <c r="B715" s="3">
        <v>4.9100000000000004E-7</v>
      </c>
      <c r="C715" s="2">
        <v>3.7159999999999999E-2</v>
      </c>
      <c r="D715" s="3">
        <v>193000</v>
      </c>
      <c r="E715" s="3">
        <v>97700000000</v>
      </c>
      <c r="F715" s="3">
        <v>89500000000</v>
      </c>
      <c r="G715" s="2">
        <v>0</v>
      </c>
      <c r="H715" s="3">
        <v>11500000000</v>
      </c>
      <c r="I715" s="2"/>
      <c r="J715" s="7">
        <f t="shared" si="202"/>
        <v>0.49100000000000005</v>
      </c>
      <c r="K715" s="7">
        <f t="shared" si="203"/>
        <v>37.159999999999997</v>
      </c>
      <c r="L715" s="7">
        <f t="shared" si="204"/>
        <v>97.7</v>
      </c>
      <c r="M715" s="7">
        <f t="shared" si="205"/>
        <v>193</v>
      </c>
      <c r="O715">
        <f t="shared" si="206"/>
        <v>0.34659585492227984</v>
      </c>
      <c r="P715">
        <f t="shared" si="207"/>
        <v>346.59585492227984</v>
      </c>
      <c r="V715">
        <f t="shared" si="208"/>
        <v>852.7702302878447</v>
      </c>
      <c r="W715">
        <f t="shared" si="209"/>
        <v>113.16061064587974</v>
      </c>
      <c r="AE715">
        <f t="shared" si="193"/>
        <v>0.65450882992879067</v>
      </c>
      <c r="AF715">
        <f t="shared" si="194"/>
        <v>0.63433824176930798</v>
      </c>
      <c r="AG715">
        <f t="shared" si="195"/>
        <v>0.63596872137699478</v>
      </c>
      <c r="AI715">
        <f t="shared" si="196"/>
        <v>0.31257536029818217</v>
      </c>
      <c r="AJ715">
        <f t="shared" si="197"/>
        <v>27.611829279780348</v>
      </c>
      <c r="AL715">
        <f t="shared" si="198"/>
        <v>0.32251458269756172</v>
      </c>
      <c r="AM715">
        <f t="shared" si="199"/>
        <v>29.395740933411282</v>
      </c>
      <c r="AO715">
        <f t="shared" si="200"/>
        <v>0.32168772843162952</v>
      </c>
      <c r="AP715">
        <f t="shared" si="201"/>
        <v>29.245206120012071</v>
      </c>
    </row>
    <row r="716" spans="1:42" x14ac:dyDescent="0.2">
      <c r="A716" s="3">
        <v>710</v>
      </c>
      <c r="B716" s="3">
        <v>4.9200000000000001E-7</v>
      </c>
      <c r="C716" s="2">
        <v>3.7220000000000003E-2</v>
      </c>
      <c r="D716" s="3">
        <v>209000</v>
      </c>
      <c r="E716" s="3">
        <v>105000000000</v>
      </c>
      <c r="F716" s="3">
        <v>95200000000</v>
      </c>
      <c r="G716" s="3">
        <v>1750000000</v>
      </c>
      <c r="H716" s="3">
        <v>11200000000</v>
      </c>
      <c r="I716" s="2"/>
      <c r="J716" s="7">
        <f t="shared" si="202"/>
        <v>0.49199999999999999</v>
      </c>
      <c r="K716" s="7">
        <f t="shared" si="203"/>
        <v>37.220000000000006</v>
      </c>
      <c r="L716" s="7">
        <f t="shared" si="204"/>
        <v>105</v>
      </c>
      <c r="M716" s="7">
        <f t="shared" si="205"/>
        <v>209</v>
      </c>
      <c r="O716">
        <f t="shared" si="206"/>
        <v>0.35843540669856455</v>
      </c>
      <c r="P716">
        <f t="shared" si="207"/>
        <v>358.43540669856458</v>
      </c>
      <c r="V716">
        <f t="shared" si="208"/>
        <v>865.55486630152461</v>
      </c>
      <c r="W716">
        <f t="shared" si="209"/>
        <v>120.7318034575019</v>
      </c>
      <c r="AE716">
        <f t="shared" si="193"/>
        <v>0.70876862930112561</v>
      </c>
      <c r="AF716">
        <f t="shared" si="194"/>
        <v>0.68692586802997602</v>
      </c>
      <c r="AG716">
        <f t="shared" si="195"/>
        <v>0.68869151693156427</v>
      </c>
      <c r="AI716">
        <f t="shared" si="196"/>
        <v>0.28923402013734478</v>
      </c>
      <c r="AJ716">
        <f t="shared" si="197"/>
        <v>23.584022950469141</v>
      </c>
      <c r="AL716">
        <f t="shared" si="198"/>
        <v>0.29843103825441353</v>
      </c>
      <c r="AM716">
        <f t="shared" si="199"/>
        <v>25.107710966737212</v>
      </c>
      <c r="AO716">
        <f t="shared" si="200"/>
        <v>0.29766592873594372</v>
      </c>
      <c r="AP716">
        <f t="shared" si="201"/>
        <v>24.979135041611844</v>
      </c>
    </row>
    <row r="717" spans="1:42" x14ac:dyDescent="0.2">
      <c r="A717" s="3">
        <v>720</v>
      </c>
      <c r="B717" s="3">
        <v>4.9200000000000001E-7</v>
      </c>
      <c r="C717" s="2">
        <v>3.7269999999999998E-2</v>
      </c>
      <c r="D717" s="3">
        <v>163000</v>
      </c>
      <c r="E717" s="3">
        <v>84900000000</v>
      </c>
      <c r="F717" s="3">
        <v>78700000000</v>
      </c>
      <c r="G717" s="3">
        <v>13300000000</v>
      </c>
      <c r="H717" s="3">
        <v>12500000000</v>
      </c>
      <c r="I717" s="2"/>
      <c r="J717" s="7">
        <f t="shared" si="202"/>
        <v>0.49199999999999999</v>
      </c>
      <c r="K717" s="7">
        <f t="shared" si="203"/>
        <v>37.269999999999996</v>
      </c>
      <c r="L717" s="7">
        <f t="shared" si="204"/>
        <v>84.9</v>
      </c>
      <c r="M717" s="7">
        <f t="shared" si="205"/>
        <v>163</v>
      </c>
      <c r="O717">
        <f t="shared" si="206"/>
        <v>0.32051226993865034</v>
      </c>
      <c r="P717">
        <f t="shared" si="207"/>
        <v>320.51226993865032</v>
      </c>
      <c r="V717">
        <f t="shared" si="208"/>
        <v>823.71843422073891</v>
      </c>
      <c r="W717">
        <f t="shared" si="209"/>
        <v>98.941575924668143</v>
      </c>
      <c r="AE717">
        <f t="shared" si="193"/>
        <v>0.55277170610566251</v>
      </c>
      <c r="AF717">
        <f t="shared" si="194"/>
        <v>0.53573644253055541</v>
      </c>
      <c r="AG717">
        <f t="shared" si="195"/>
        <v>0.53711347971217693</v>
      </c>
      <c r="AI717">
        <f t="shared" si="196"/>
        <v>0.37085834483868135</v>
      </c>
      <c r="AJ717">
        <f t="shared" si="197"/>
        <v>38.825608963335561</v>
      </c>
      <c r="AL717">
        <f t="shared" si="198"/>
        <v>0.38265084046118059</v>
      </c>
      <c r="AM717">
        <f t="shared" si="199"/>
        <v>41.334006925209479</v>
      </c>
      <c r="AO717">
        <f t="shared" si="200"/>
        <v>0.38166981046510579</v>
      </c>
      <c r="AP717">
        <f t="shared" si="201"/>
        <v>41.122336566785009</v>
      </c>
    </row>
    <row r="718" spans="1:42" x14ac:dyDescent="0.2">
      <c r="A718" s="3">
        <v>720</v>
      </c>
      <c r="B718" s="3">
        <v>4.9299999999999998E-7</v>
      </c>
      <c r="C718" s="2">
        <v>3.7319999999999999E-2</v>
      </c>
      <c r="D718" s="3">
        <v>203000</v>
      </c>
      <c r="E718" s="3">
        <v>102000000000</v>
      </c>
      <c r="F718" s="3">
        <v>92900000000</v>
      </c>
      <c r="G718" s="3">
        <v>3380000000</v>
      </c>
      <c r="H718" s="3">
        <v>11300000000</v>
      </c>
      <c r="I718" s="2"/>
      <c r="J718" s="7">
        <f t="shared" si="202"/>
        <v>0.49299999999999999</v>
      </c>
      <c r="K718" s="7">
        <f t="shared" si="203"/>
        <v>37.32</v>
      </c>
      <c r="L718" s="7">
        <f t="shared" si="204"/>
        <v>102</v>
      </c>
      <c r="M718" s="7">
        <f t="shared" si="205"/>
        <v>203</v>
      </c>
      <c r="O718">
        <f t="shared" si="206"/>
        <v>0.35511822660098524</v>
      </c>
      <c r="P718">
        <f t="shared" si="207"/>
        <v>355.11822660098522</v>
      </c>
      <c r="V718">
        <f t="shared" si="208"/>
        <v>861.99692030828362</v>
      </c>
      <c r="W718">
        <f t="shared" si="209"/>
        <v>117.74984064177359</v>
      </c>
      <c r="AE718">
        <f t="shared" si="193"/>
        <v>0.68842120453650002</v>
      </c>
      <c r="AF718">
        <f t="shared" si="194"/>
        <v>0.66720550818222546</v>
      </c>
      <c r="AG718">
        <f t="shared" si="195"/>
        <v>0.66892046859860066</v>
      </c>
      <c r="AI718">
        <f t="shared" si="196"/>
        <v>0.29838805852148254</v>
      </c>
      <c r="AJ718">
        <f t="shared" si="197"/>
        <v>25.065920128959267</v>
      </c>
      <c r="AL718">
        <f t="shared" si="198"/>
        <v>0.30787615531879542</v>
      </c>
      <c r="AM718">
        <f t="shared" si="199"/>
        <v>26.685348764923521</v>
      </c>
      <c r="AO718">
        <f t="shared" si="200"/>
        <v>0.30708683066167486</v>
      </c>
      <c r="AP718">
        <f t="shared" si="201"/>
        <v>26.548693798276474</v>
      </c>
    </row>
    <row r="719" spans="1:42" x14ac:dyDescent="0.2">
      <c r="A719" s="3">
        <v>720</v>
      </c>
      <c r="B719" s="3">
        <v>4.9500000000000003E-7</v>
      </c>
      <c r="C719" s="2">
        <v>3.737E-2</v>
      </c>
      <c r="D719" s="3">
        <v>197000</v>
      </c>
      <c r="E719" s="3">
        <v>98700000000</v>
      </c>
      <c r="F719" s="3">
        <v>90400000000</v>
      </c>
      <c r="G719" s="2">
        <v>0</v>
      </c>
      <c r="H719" s="3">
        <v>11400000000</v>
      </c>
      <c r="I719" s="2"/>
      <c r="J719" s="7">
        <f t="shared" si="202"/>
        <v>0.49500000000000005</v>
      </c>
      <c r="K719" s="7">
        <f t="shared" si="203"/>
        <v>37.369999999999997</v>
      </c>
      <c r="L719" s="7">
        <f t="shared" si="204"/>
        <v>98.7</v>
      </c>
      <c r="M719" s="7">
        <f t="shared" si="205"/>
        <v>197</v>
      </c>
      <c r="O719">
        <f t="shared" si="206"/>
        <v>0.35272842639593915</v>
      </c>
      <c r="P719">
        <f t="shared" si="207"/>
        <v>352.72842639593915</v>
      </c>
      <c r="V719">
        <f t="shared" si="208"/>
        <v>859.42217848719383</v>
      </c>
      <c r="W719">
        <f t="shared" si="209"/>
        <v>114.6118897855133</v>
      </c>
      <c r="AE719">
        <f t="shared" si="193"/>
        <v>0.66807377977187432</v>
      </c>
      <c r="AF719">
        <f t="shared" si="194"/>
        <v>0.64748514833447501</v>
      </c>
      <c r="AG719">
        <f t="shared" si="195"/>
        <v>0.64914942026563716</v>
      </c>
      <c r="AI719">
        <f t="shared" si="196"/>
        <v>0.30872338691458262</v>
      </c>
      <c r="AJ719">
        <f t="shared" si="197"/>
        <v>26.651689057736668</v>
      </c>
      <c r="AL719">
        <f t="shared" si="198"/>
        <v>0.31854012486701289</v>
      </c>
      <c r="AM719">
        <f t="shared" si="199"/>
        <v>28.373569133746699</v>
      </c>
      <c r="AO719">
        <f t="shared" si="200"/>
        <v>0.31772346020982484</v>
      </c>
      <c r="AP719">
        <f t="shared" si="201"/>
        <v>28.228268835152647</v>
      </c>
    </row>
    <row r="720" spans="1:42" x14ac:dyDescent="0.2">
      <c r="A720" s="3">
        <v>720</v>
      </c>
      <c r="B720" s="3">
        <v>4.9599999999999999E-7</v>
      </c>
      <c r="C720" s="2">
        <v>3.7420000000000002E-2</v>
      </c>
      <c r="D720" s="3">
        <v>188000</v>
      </c>
      <c r="E720" s="3">
        <v>94700000000</v>
      </c>
      <c r="F720" s="3">
        <v>87000000000</v>
      </c>
      <c r="G720" s="3">
        <v>8300000000</v>
      </c>
      <c r="H720" s="3">
        <v>11700000000</v>
      </c>
      <c r="I720" s="2"/>
      <c r="J720" s="7">
        <f t="shared" si="202"/>
        <v>0.496</v>
      </c>
      <c r="K720" s="7">
        <f t="shared" si="203"/>
        <v>37.42</v>
      </c>
      <c r="L720" s="7">
        <f t="shared" si="204"/>
        <v>94.7</v>
      </c>
      <c r="M720" s="7">
        <f t="shared" si="205"/>
        <v>188</v>
      </c>
      <c r="O720">
        <f t="shared" si="206"/>
        <v>0.34671808510638297</v>
      </c>
      <c r="P720">
        <f t="shared" si="207"/>
        <v>346.71808510638294</v>
      </c>
      <c r="V720">
        <f t="shared" si="208"/>
        <v>852.90344979353836</v>
      </c>
      <c r="W720">
        <f t="shared" si="209"/>
        <v>110.21177135906122</v>
      </c>
      <c r="AE720">
        <f t="shared" ref="AE720:AE783" si="210">M720/(2*$Y$5)</f>
        <v>0.63755264262493594</v>
      </c>
      <c r="AF720">
        <f t="shared" ref="AF720:AF783" si="211">M720/(2*$Y$8)</f>
        <v>0.61790460856284923</v>
      </c>
      <c r="AG720">
        <f t="shared" ref="AG720:AG783" si="212">M720/(2*$Y$11)</f>
        <v>0.61949284776619185</v>
      </c>
      <c r="AI720">
        <f t="shared" ref="AI720:AI783" si="213">J720/(2.4*AE720)</f>
        <v>0.3241562387943015</v>
      </c>
      <c r="AJ720">
        <f t="shared" ref="AJ720:AJ783" si="214">K720/(3.14159*(AE720^2))</f>
        <v>29.3036809271481</v>
      </c>
      <c r="AL720">
        <f t="shared" ref="AL720:AL783" si="215">J720/(2.4*AF720)</f>
        <v>0.33446370815608811</v>
      </c>
      <c r="AM720">
        <f t="shared" ref="AM720:AM783" si="216">K720/(3.14159*(AF720^2))</f>
        <v>31.196897684739099</v>
      </c>
      <c r="AO720">
        <f t="shared" ref="AO720:AO783" si="217">J720/(2.4*AG720)</f>
        <v>0.33360621904171933</v>
      </c>
      <c r="AP720">
        <f t="shared" ref="AP720:AP783" si="218">K720/(3.14159*(AG720^2))</f>
        <v>31.037139195159099</v>
      </c>
    </row>
    <row r="721" spans="1:42" x14ac:dyDescent="0.2">
      <c r="A721" s="3">
        <v>720</v>
      </c>
      <c r="B721" s="3">
        <v>4.9699999999999996E-7</v>
      </c>
      <c r="C721" s="2">
        <v>3.7479999999999999E-2</v>
      </c>
      <c r="D721" s="3">
        <v>177000</v>
      </c>
      <c r="E721" s="3">
        <v>89900000000</v>
      </c>
      <c r="F721" s="3">
        <v>82900000000</v>
      </c>
      <c r="G721" s="3">
        <v>5760000000</v>
      </c>
      <c r="H721" s="3">
        <v>12000000000</v>
      </c>
      <c r="I721" s="2"/>
      <c r="J721" s="7">
        <f t="shared" si="202"/>
        <v>0.49699999999999994</v>
      </c>
      <c r="K721" s="7">
        <f t="shared" si="203"/>
        <v>37.479999999999997</v>
      </c>
      <c r="L721" s="7">
        <f t="shared" si="204"/>
        <v>89.9</v>
      </c>
      <c r="M721" s="7">
        <f t="shared" si="205"/>
        <v>177</v>
      </c>
      <c r="O721">
        <f t="shared" si="206"/>
        <v>0.33818644067796605</v>
      </c>
      <c r="P721">
        <f t="shared" si="207"/>
        <v>338.18644067796606</v>
      </c>
      <c r="V721">
        <f t="shared" si="208"/>
        <v>843.54112347577677</v>
      </c>
      <c r="W721">
        <f t="shared" si="209"/>
        <v>104.91486133520006</v>
      </c>
      <c r="AE721">
        <f t="shared" si="210"/>
        <v>0.60024903055645562</v>
      </c>
      <c r="AF721">
        <f t="shared" si="211"/>
        <v>0.58175061550863993</v>
      </c>
      <c r="AG721">
        <f t="shared" si="212"/>
        <v>0.58324592582242529</v>
      </c>
      <c r="AI721">
        <f t="shared" si="213"/>
        <v>0.34499569810443259</v>
      </c>
      <c r="AJ721">
        <f t="shared" si="214"/>
        <v>33.112131773948306</v>
      </c>
      <c r="AL721">
        <f t="shared" si="215"/>
        <v>0.35596581733269828</v>
      </c>
      <c r="AM721">
        <f t="shared" si="216"/>
        <v>35.251400315325405</v>
      </c>
      <c r="AO721">
        <f t="shared" si="217"/>
        <v>0.35505320168559867</v>
      </c>
      <c r="AP721">
        <f t="shared" si="218"/>
        <v>35.070878824795564</v>
      </c>
    </row>
    <row r="722" spans="1:42" x14ac:dyDescent="0.2">
      <c r="A722" s="3">
        <v>720</v>
      </c>
      <c r="B722" s="3">
        <v>4.9699999999999996E-7</v>
      </c>
      <c r="C722" s="2">
        <v>3.7530000000000001E-2</v>
      </c>
      <c r="D722" s="3">
        <v>215000</v>
      </c>
      <c r="E722" s="3">
        <v>107000000000</v>
      </c>
      <c r="F722" s="3">
        <v>97000000000</v>
      </c>
      <c r="G722" s="3">
        <v>13400000000</v>
      </c>
      <c r="H722" s="3">
        <v>11000000000</v>
      </c>
      <c r="I722" s="2"/>
      <c r="J722" s="7">
        <f t="shared" si="202"/>
        <v>0.49699999999999994</v>
      </c>
      <c r="K722" s="7">
        <f t="shared" si="203"/>
        <v>37.53</v>
      </c>
      <c r="L722" s="7">
        <f t="shared" si="204"/>
        <v>107</v>
      </c>
      <c r="M722" s="7">
        <f t="shared" si="205"/>
        <v>215</v>
      </c>
      <c r="O722">
        <f t="shared" si="206"/>
        <v>0.36608139534883716</v>
      </c>
      <c r="P722">
        <f t="shared" si="207"/>
        <v>366.08139534883713</v>
      </c>
      <c r="V722">
        <f t="shared" si="208"/>
        <v>873.68656637259573</v>
      </c>
      <c r="W722">
        <f t="shared" si="209"/>
        <v>123.0418368984686</v>
      </c>
      <c r="AE722">
        <f t="shared" si="210"/>
        <v>0.7291160540657512</v>
      </c>
      <c r="AF722">
        <f t="shared" si="211"/>
        <v>0.70664622787772646</v>
      </c>
      <c r="AG722">
        <f t="shared" si="212"/>
        <v>0.70846256526452789</v>
      </c>
      <c r="AI722">
        <f t="shared" si="213"/>
        <v>0.2840197142534166</v>
      </c>
      <c r="AJ722">
        <f t="shared" si="214"/>
        <v>22.471690089636482</v>
      </c>
      <c r="AL722">
        <f t="shared" si="215"/>
        <v>0.29305092868784927</v>
      </c>
      <c r="AM722">
        <f t="shared" si="216"/>
        <v>23.923513850441804</v>
      </c>
      <c r="AO722">
        <f t="shared" si="217"/>
        <v>0.29229961255046966</v>
      </c>
      <c r="AP722">
        <f t="shared" si="218"/>
        <v>23.80100216749128</v>
      </c>
    </row>
    <row r="723" spans="1:42" x14ac:dyDescent="0.2">
      <c r="A723" s="3">
        <v>720</v>
      </c>
      <c r="B723" s="3">
        <v>4.9800000000000004E-7</v>
      </c>
      <c r="C723" s="2">
        <v>3.7580000000000002E-2</v>
      </c>
      <c r="D723" s="3">
        <v>206000</v>
      </c>
      <c r="E723" s="3">
        <v>102000000000</v>
      </c>
      <c r="F723" s="3">
        <v>93400000000</v>
      </c>
      <c r="G723" s="3">
        <v>4610000000</v>
      </c>
      <c r="H723" s="3">
        <v>11200000000</v>
      </c>
      <c r="I723" s="2"/>
      <c r="J723" s="7">
        <f t="shared" si="202"/>
        <v>0.49800000000000005</v>
      </c>
      <c r="K723" s="7">
        <f t="shared" si="203"/>
        <v>37.580000000000005</v>
      </c>
      <c r="L723" s="7">
        <f t="shared" si="204"/>
        <v>102</v>
      </c>
      <c r="M723" s="7">
        <f t="shared" si="205"/>
        <v>206</v>
      </c>
      <c r="O723">
        <f t="shared" si="206"/>
        <v>0.36117961165048551</v>
      </c>
      <c r="P723">
        <f t="shared" si="207"/>
        <v>361.17961165048553</v>
      </c>
      <c r="V723">
        <f t="shared" si="208"/>
        <v>868.4844120240823</v>
      </c>
      <c r="W723">
        <f t="shared" si="209"/>
        <v>118.59740782214972</v>
      </c>
      <c r="AE723">
        <f t="shared" si="210"/>
        <v>0.69859491691881281</v>
      </c>
      <c r="AF723">
        <f t="shared" si="211"/>
        <v>0.67706568810610068</v>
      </c>
      <c r="AG723">
        <f t="shared" si="212"/>
        <v>0.67880599276508247</v>
      </c>
      <c r="AI723">
        <f t="shared" si="213"/>
        <v>0.29702477784291498</v>
      </c>
      <c r="AJ723">
        <f t="shared" si="214"/>
        <v>24.510740230956415</v>
      </c>
      <c r="AL723">
        <f t="shared" si="215"/>
        <v>0.30646952525451771</v>
      </c>
      <c r="AM723">
        <f t="shared" si="216"/>
        <v>26.094300475881688</v>
      </c>
      <c r="AO723">
        <f t="shared" si="217"/>
        <v>0.30568380687795504</v>
      </c>
      <c r="AP723">
        <f t="shared" si="218"/>
        <v>25.960672251921693</v>
      </c>
    </row>
    <row r="724" spans="1:42" x14ac:dyDescent="0.2">
      <c r="A724" s="3">
        <v>720</v>
      </c>
      <c r="B724" s="3">
        <v>4.9900000000000001E-7</v>
      </c>
      <c r="C724" s="2">
        <v>3.7629999999999997E-2</v>
      </c>
      <c r="D724" s="3">
        <v>198000</v>
      </c>
      <c r="E724" s="3">
        <v>98900000000</v>
      </c>
      <c r="F724" s="3">
        <v>90500000000</v>
      </c>
      <c r="G724" s="3">
        <v>3160000000</v>
      </c>
      <c r="H724" s="3">
        <v>11400000000</v>
      </c>
      <c r="I724" s="2"/>
      <c r="J724" s="7">
        <f t="shared" si="202"/>
        <v>0.499</v>
      </c>
      <c r="K724" s="7">
        <f t="shared" si="203"/>
        <v>37.629999999999995</v>
      </c>
      <c r="L724" s="7">
        <f t="shared" si="204"/>
        <v>98.9</v>
      </c>
      <c r="M724" s="7">
        <f t="shared" si="205"/>
        <v>198</v>
      </c>
      <c r="O724">
        <f t="shared" si="206"/>
        <v>0.35646212121212123</v>
      </c>
      <c r="P724">
        <f t="shared" si="207"/>
        <v>356.46212121212125</v>
      </c>
      <c r="V724">
        <f t="shared" si="208"/>
        <v>863.44057805966679</v>
      </c>
      <c r="W724">
        <f t="shared" si="209"/>
        <v>114.65757171440089</v>
      </c>
      <c r="AE724">
        <f t="shared" si="210"/>
        <v>0.67146501723264529</v>
      </c>
      <c r="AF724">
        <f t="shared" si="211"/>
        <v>0.65077187497576672</v>
      </c>
      <c r="AG724">
        <f t="shared" si="212"/>
        <v>0.65244459498779772</v>
      </c>
      <c r="AI724">
        <f t="shared" si="213"/>
        <v>0.30964631266058779</v>
      </c>
      <c r="AJ724">
        <f t="shared" si="214"/>
        <v>26.566719479856296</v>
      </c>
      <c r="AL724">
        <f t="shared" si="215"/>
        <v>0.31949239766148319</v>
      </c>
      <c r="AM724">
        <f t="shared" si="216"/>
        <v>28.28310994419849</v>
      </c>
      <c r="AO724">
        <f t="shared" si="217"/>
        <v>0.31867329159276003</v>
      </c>
      <c r="AP724">
        <f t="shared" si="218"/>
        <v>28.138272884726376</v>
      </c>
    </row>
    <row r="725" spans="1:42" x14ac:dyDescent="0.2">
      <c r="A725" s="3">
        <v>720</v>
      </c>
      <c r="B725" s="3">
        <v>4.9900000000000001E-7</v>
      </c>
      <c r="C725" s="2">
        <v>3.7690000000000001E-2</v>
      </c>
      <c r="D725" s="3">
        <v>184000</v>
      </c>
      <c r="E725" s="3">
        <v>92900000000</v>
      </c>
      <c r="F725" s="3">
        <v>85500000000</v>
      </c>
      <c r="G725" s="3">
        <v>8240000000</v>
      </c>
      <c r="H725" s="3">
        <v>11700000000</v>
      </c>
      <c r="I725" s="2"/>
      <c r="J725" s="7">
        <f t="shared" si="202"/>
        <v>0.499</v>
      </c>
      <c r="K725" s="7">
        <f t="shared" si="203"/>
        <v>37.69</v>
      </c>
      <c r="L725" s="7">
        <f t="shared" si="204"/>
        <v>92.9</v>
      </c>
      <c r="M725" s="7">
        <f t="shared" si="205"/>
        <v>184</v>
      </c>
      <c r="O725">
        <f t="shared" si="206"/>
        <v>0.34537228260869568</v>
      </c>
      <c r="P725">
        <f t="shared" si="207"/>
        <v>345.37228260869568</v>
      </c>
      <c r="V725">
        <f t="shared" si="208"/>
        <v>851.43520593804647</v>
      </c>
      <c r="W725">
        <f t="shared" si="209"/>
        <v>108.05284930477053</v>
      </c>
      <c r="AE725">
        <f t="shared" si="210"/>
        <v>0.62398769278185218</v>
      </c>
      <c r="AF725">
        <f t="shared" si="211"/>
        <v>0.6047577019976822</v>
      </c>
      <c r="AG725">
        <f t="shared" si="212"/>
        <v>0.60631214887754936</v>
      </c>
      <c r="AI725">
        <f t="shared" si="213"/>
        <v>0.33320635818911082</v>
      </c>
      <c r="AJ725">
        <f t="shared" si="214"/>
        <v>30.812333061944425</v>
      </c>
      <c r="AL725">
        <f t="shared" si="215"/>
        <v>0.34380160183137864</v>
      </c>
      <c r="AM725">
        <f t="shared" si="216"/>
        <v>32.803018991073039</v>
      </c>
      <c r="AO725">
        <f t="shared" si="217"/>
        <v>0.34292017247481787</v>
      </c>
      <c r="AP725">
        <f t="shared" si="218"/>
        <v>32.635035596677994</v>
      </c>
    </row>
    <row r="726" spans="1:42" x14ac:dyDescent="0.2">
      <c r="A726" s="3">
        <v>720</v>
      </c>
      <c r="B726" s="3">
        <v>4.9999999999999998E-7</v>
      </c>
      <c r="C726" s="2">
        <v>3.7740000000000003E-2</v>
      </c>
      <c r="D726" s="3">
        <v>205000</v>
      </c>
      <c r="E726" s="3">
        <v>102000000000</v>
      </c>
      <c r="F726" s="3">
        <v>92800000000</v>
      </c>
      <c r="G726" s="3">
        <v>4240000000</v>
      </c>
      <c r="H726" s="3">
        <v>11200000000</v>
      </c>
      <c r="I726" s="2"/>
      <c r="J726" s="7">
        <f t="shared" si="202"/>
        <v>0.5</v>
      </c>
      <c r="K726" s="7">
        <f t="shared" si="203"/>
        <v>37.74</v>
      </c>
      <c r="L726" s="7">
        <f t="shared" si="204"/>
        <v>102</v>
      </c>
      <c r="M726" s="7">
        <f t="shared" si="205"/>
        <v>205</v>
      </c>
      <c r="O726">
        <f t="shared" si="206"/>
        <v>0.36192682926829267</v>
      </c>
      <c r="P726">
        <f t="shared" si="207"/>
        <v>361.92682926829269</v>
      </c>
      <c r="V726">
        <f t="shared" si="208"/>
        <v>869.27994688565116</v>
      </c>
      <c r="W726">
        <f t="shared" si="209"/>
        <v>117.91368289033279</v>
      </c>
      <c r="AE726">
        <f t="shared" si="210"/>
        <v>0.69520367945804185</v>
      </c>
      <c r="AF726">
        <f t="shared" si="211"/>
        <v>0.67377896146480898</v>
      </c>
      <c r="AG726">
        <f t="shared" si="212"/>
        <v>0.6755108180429219</v>
      </c>
      <c r="AI726">
        <f t="shared" si="213"/>
        <v>0.29967236867293801</v>
      </c>
      <c r="AJ726">
        <f t="shared" si="214"/>
        <v>24.855829772578478</v>
      </c>
      <c r="AL726">
        <f t="shared" si="215"/>
        <v>0.30920130376349614</v>
      </c>
      <c r="AM726">
        <f t="shared" si="216"/>
        <v>26.46168514502347</v>
      </c>
      <c r="AO726">
        <f t="shared" si="217"/>
        <v>0.30840858172621571</v>
      </c>
      <c r="AP726">
        <f t="shared" si="218"/>
        <v>26.326175553870172</v>
      </c>
    </row>
    <row r="727" spans="1:42" x14ac:dyDescent="0.2">
      <c r="A727" s="3">
        <v>730</v>
      </c>
      <c r="B727" s="3">
        <v>5.0100000000000005E-7</v>
      </c>
      <c r="C727" s="2">
        <v>3.7789999999999997E-2</v>
      </c>
      <c r="D727" s="3">
        <v>204000</v>
      </c>
      <c r="E727" s="3">
        <v>101000000000</v>
      </c>
      <c r="F727" s="3">
        <v>92300000000</v>
      </c>
      <c r="G727" s="3">
        <v>12600000000</v>
      </c>
      <c r="H727" s="3">
        <v>11300000000</v>
      </c>
      <c r="I727" s="2"/>
      <c r="J727" s="7">
        <f t="shared" si="202"/>
        <v>0.501</v>
      </c>
      <c r="K727" s="7">
        <f t="shared" si="203"/>
        <v>37.79</v>
      </c>
      <c r="L727" s="7">
        <f t="shared" si="204"/>
        <v>101</v>
      </c>
      <c r="M727" s="7">
        <f t="shared" si="205"/>
        <v>204</v>
      </c>
      <c r="O727">
        <f t="shared" si="206"/>
        <v>0.36206617647058825</v>
      </c>
      <c r="P727">
        <f t="shared" si="207"/>
        <v>362.06617647058823</v>
      </c>
      <c r="V727">
        <f t="shared" si="208"/>
        <v>869.42820344261077</v>
      </c>
      <c r="W727">
        <f t="shared" si="209"/>
        <v>117.31848540928178</v>
      </c>
      <c r="AE727">
        <f t="shared" si="210"/>
        <v>0.69181244199727088</v>
      </c>
      <c r="AF727">
        <f t="shared" si="211"/>
        <v>0.67049223482351727</v>
      </c>
      <c r="AG727">
        <f t="shared" si="212"/>
        <v>0.67221564332076134</v>
      </c>
      <c r="AI727">
        <f t="shared" si="213"/>
        <v>0.30174363357405981</v>
      </c>
      <c r="AJ727">
        <f t="shared" si="214"/>
        <v>25.133365634372126</v>
      </c>
      <c r="AL727">
        <f t="shared" si="215"/>
        <v>0.31133843042186143</v>
      </c>
      <c r="AM727">
        <f t="shared" si="216"/>
        <v>26.757151707935741</v>
      </c>
      <c r="AO727">
        <f t="shared" si="217"/>
        <v>0.31054022927638225</v>
      </c>
      <c r="AP727">
        <f t="shared" si="218"/>
        <v>26.620129040312818</v>
      </c>
    </row>
    <row r="728" spans="1:42" x14ac:dyDescent="0.2">
      <c r="A728" s="3">
        <v>730</v>
      </c>
      <c r="B728" s="3">
        <v>5.0100000000000005E-7</v>
      </c>
      <c r="C728" s="2">
        <v>3.7839999999999999E-2</v>
      </c>
      <c r="D728" s="3">
        <v>206000</v>
      </c>
      <c r="E728" s="3">
        <v>102000000000</v>
      </c>
      <c r="F728" s="3">
        <v>93300000000</v>
      </c>
      <c r="G728" s="3">
        <v>3550000000</v>
      </c>
      <c r="H728" s="3">
        <v>11200000000</v>
      </c>
      <c r="I728" s="2"/>
      <c r="J728" s="7">
        <f t="shared" si="202"/>
        <v>0.501</v>
      </c>
      <c r="K728" s="7">
        <f t="shared" si="203"/>
        <v>37.839999999999996</v>
      </c>
      <c r="L728" s="7">
        <f t="shared" si="204"/>
        <v>102</v>
      </c>
      <c r="M728" s="7">
        <f t="shared" si="205"/>
        <v>206</v>
      </c>
      <c r="O728">
        <f t="shared" si="206"/>
        <v>0.36323300970873784</v>
      </c>
      <c r="P728">
        <f t="shared" si="207"/>
        <v>363.23300970873782</v>
      </c>
      <c r="V728">
        <f t="shared" si="208"/>
        <v>870.66839449437191</v>
      </c>
      <c r="W728">
        <f t="shared" si="209"/>
        <v>118.29991837456757</v>
      </c>
      <c r="AE728">
        <f t="shared" si="210"/>
        <v>0.69859491691881281</v>
      </c>
      <c r="AF728">
        <f t="shared" si="211"/>
        <v>0.67706568810610068</v>
      </c>
      <c r="AG728">
        <f t="shared" si="212"/>
        <v>0.67880599276508247</v>
      </c>
      <c r="AI728">
        <f t="shared" si="213"/>
        <v>0.29881408373353491</v>
      </c>
      <c r="AJ728">
        <f t="shared" si="214"/>
        <v>24.680319593916728</v>
      </c>
      <c r="AL728">
        <f t="shared" si="215"/>
        <v>0.30831572721388223</v>
      </c>
      <c r="AM728">
        <f t="shared" si="216"/>
        <v>26.274835817119822</v>
      </c>
      <c r="AO728">
        <f t="shared" si="217"/>
        <v>0.30752527559408727</v>
      </c>
      <c r="AP728">
        <f t="shared" si="218"/>
        <v>26.140283076442699</v>
      </c>
    </row>
    <row r="729" spans="1:42" x14ac:dyDescent="0.2">
      <c r="A729" s="3">
        <v>730</v>
      </c>
      <c r="B729" s="3">
        <v>5.0200000000000002E-7</v>
      </c>
      <c r="C729" s="2">
        <v>3.789E-2</v>
      </c>
      <c r="D729" s="3">
        <v>182000</v>
      </c>
      <c r="E729" s="3">
        <v>91600000000</v>
      </c>
      <c r="F729" s="3">
        <v>84400000000</v>
      </c>
      <c r="G729" s="3">
        <v>8370000000</v>
      </c>
      <c r="H729" s="3">
        <v>11800000000</v>
      </c>
      <c r="I729" s="2"/>
      <c r="J729" s="7">
        <f t="shared" si="202"/>
        <v>0.502</v>
      </c>
      <c r="K729" s="7">
        <f t="shared" si="203"/>
        <v>37.89</v>
      </c>
      <c r="L729" s="7">
        <f t="shared" si="204"/>
        <v>91.600000000000009</v>
      </c>
      <c r="M729" s="7">
        <f t="shared" si="205"/>
        <v>182</v>
      </c>
      <c r="O729">
        <f t="shared" si="206"/>
        <v>0.3458598901098901</v>
      </c>
      <c r="P729">
        <f t="shared" si="207"/>
        <v>345.8598901098901</v>
      </c>
      <c r="V729">
        <f t="shared" si="208"/>
        <v>851.96754357062207</v>
      </c>
      <c r="W729">
        <f t="shared" si="209"/>
        <v>106.81158066023995</v>
      </c>
      <c r="AE729">
        <f t="shared" si="210"/>
        <v>0.61720521786031035</v>
      </c>
      <c r="AF729">
        <f t="shared" si="211"/>
        <v>0.59818424871509868</v>
      </c>
      <c r="AG729">
        <f t="shared" si="212"/>
        <v>0.59972179943322823</v>
      </c>
      <c r="AI729">
        <f t="shared" si="213"/>
        <v>0.33889322483661594</v>
      </c>
      <c r="AJ729">
        <f t="shared" si="214"/>
        <v>31.660365304156208</v>
      </c>
      <c r="AL729">
        <f t="shared" si="215"/>
        <v>0.34966929857474049</v>
      </c>
      <c r="AM729">
        <f t="shared" si="216"/>
        <v>33.70583987420418</v>
      </c>
      <c r="AO729">
        <f t="shared" si="217"/>
        <v>0.34877282577411939</v>
      </c>
      <c r="AP729">
        <f t="shared" si="218"/>
        <v>33.533233157897193</v>
      </c>
    </row>
    <row r="730" spans="1:42" x14ac:dyDescent="0.2">
      <c r="A730" s="3">
        <v>730</v>
      </c>
      <c r="B730" s="3">
        <v>5.0200000000000002E-7</v>
      </c>
      <c r="C730" s="2">
        <v>3.7949999999999998E-2</v>
      </c>
      <c r="D730" s="3">
        <v>203000</v>
      </c>
      <c r="E730" s="3">
        <v>101000000000</v>
      </c>
      <c r="F730" s="3">
        <v>91900000000</v>
      </c>
      <c r="G730" s="3">
        <v>13000000000</v>
      </c>
      <c r="H730" s="3">
        <v>11300000000</v>
      </c>
      <c r="I730" s="2"/>
      <c r="J730" s="7">
        <f t="shared" si="202"/>
        <v>0.502</v>
      </c>
      <c r="K730" s="7">
        <f t="shared" si="203"/>
        <v>37.949999999999996</v>
      </c>
      <c r="L730" s="7">
        <f t="shared" si="204"/>
        <v>101</v>
      </c>
      <c r="M730" s="7">
        <f t="shared" si="205"/>
        <v>203</v>
      </c>
      <c r="O730">
        <f t="shared" si="206"/>
        <v>0.3617906403940887</v>
      </c>
      <c r="P730">
        <f t="shared" si="207"/>
        <v>361.79064039408871</v>
      </c>
      <c r="V730">
        <f t="shared" si="208"/>
        <v>869.13501986543099</v>
      </c>
      <c r="W730">
        <f t="shared" si="209"/>
        <v>116.78277561030201</v>
      </c>
      <c r="AE730">
        <f t="shared" si="210"/>
        <v>0.68842120453650002</v>
      </c>
      <c r="AF730">
        <f t="shared" si="211"/>
        <v>0.66720550818222546</v>
      </c>
      <c r="AG730">
        <f t="shared" si="212"/>
        <v>0.66892046859860066</v>
      </c>
      <c r="AI730">
        <f t="shared" si="213"/>
        <v>0.30383530502593148</v>
      </c>
      <c r="AJ730">
        <f t="shared" si="214"/>
        <v>25.489058652036547</v>
      </c>
      <c r="AL730">
        <f t="shared" si="215"/>
        <v>0.3134966125152846</v>
      </c>
      <c r="AM730">
        <f t="shared" si="216"/>
        <v>27.135824909669012</v>
      </c>
      <c r="AO730">
        <f t="shared" si="217"/>
        <v>0.312692878280245</v>
      </c>
      <c r="AP730">
        <f t="shared" si="218"/>
        <v>26.996863066575351</v>
      </c>
    </row>
    <row r="731" spans="1:42" x14ac:dyDescent="0.2">
      <c r="A731" s="3">
        <v>730</v>
      </c>
      <c r="B731" s="3">
        <v>5.0299999999999999E-7</v>
      </c>
      <c r="C731" s="2">
        <v>3.7999999999999999E-2</v>
      </c>
      <c r="D731" s="3">
        <v>202000</v>
      </c>
      <c r="E731" s="3">
        <v>100000000000</v>
      </c>
      <c r="F731" s="3">
        <v>91600000000</v>
      </c>
      <c r="G731" s="3">
        <v>7510000000</v>
      </c>
      <c r="H731" s="3">
        <v>11300000000</v>
      </c>
      <c r="I731" s="2"/>
      <c r="J731" s="7">
        <f t="shared" si="202"/>
        <v>0.503</v>
      </c>
      <c r="K731" s="7">
        <f t="shared" si="203"/>
        <v>38</v>
      </c>
      <c r="L731" s="7">
        <f t="shared" si="204"/>
        <v>100</v>
      </c>
      <c r="M731" s="7">
        <f t="shared" si="205"/>
        <v>202</v>
      </c>
      <c r="O731">
        <f t="shared" si="206"/>
        <v>0.3619108910891089</v>
      </c>
      <c r="P731">
        <f t="shared" si="207"/>
        <v>361.91089108910887</v>
      </c>
      <c r="V731">
        <f t="shared" si="208"/>
        <v>869.26298765108368</v>
      </c>
      <c r="W731">
        <f t="shared" si="209"/>
        <v>116.19038361787551</v>
      </c>
      <c r="AE731">
        <f t="shared" si="210"/>
        <v>0.68502996707572905</v>
      </c>
      <c r="AF731">
        <f t="shared" si="211"/>
        <v>0.66391878154093376</v>
      </c>
      <c r="AG731">
        <f t="shared" si="212"/>
        <v>0.66562529387644009</v>
      </c>
      <c r="AI731">
        <f t="shared" si="213"/>
        <v>0.30594768609613865</v>
      </c>
      <c r="AJ731">
        <f t="shared" si="214"/>
        <v>25.775965984687637</v>
      </c>
      <c r="AL731">
        <f t="shared" si="215"/>
        <v>0.31567616274824656</v>
      </c>
      <c r="AM731">
        <f t="shared" si="216"/>
        <v>27.441268404087658</v>
      </c>
      <c r="AO731">
        <f t="shared" si="217"/>
        <v>0.31486684064058157</v>
      </c>
      <c r="AP731">
        <f t="shared" si="218"/>
        <v>27.300742392921475</v>
      </c>
    </row>
    <row r="732" spans="1:42" x14ac:dyDescent="0.2">
      <c r="A732" s="3">
        <v>730</v>
      </c>
      <c r="B732" s="3">
        <v>5.0399999999999996E-7</v>
      </c>
      <c r="C732" s="2">
        <v>3.805E-2</v>
      </c>
      <c r="D732" s="3">
        <v>204000</v>
      </c>
      <c r="E732" s="3">
        <v>101000000000</v>
      </c>
      <c r="F732" s="3">
        <v>92100000000</v>
      </c>
      <c r="G732" s="3">
        <v>4310000000</v>
      </c>
      <c r="H732" s="3">
        <v>11300000000</v>
      </c>
      <c r="I732" s="2"/>
      <c r="J732" s="7">
        <f t="shared" si="202"/>
        <v>0.504</v>
      </c>
      <c r="K732" s="7">
        <f t="shared" si="203"/>
        <v>38.049999999999997</v>
      </c>
      <c r="L732" s="7">
        <f t="shared" si="204"/>
        <v>101</v>
      </c>
      <c r="M732" s="7">
        <f t="shared" si="205"/>
        <v>204</v>
      </c>
      <c r="O732">
        <f t="shared" si="206"/>
        <v>0.36411029411764706</v>
      </c>
      <c r="P732">
        <f t="shared" si="207"/>
        <v>364.11029411764707</v>
      </c>
      <c r="V732">
        <f t="shared" si="208"/>
        <v>871.59937239136173</v>
      </c>
      <c r="W732">
        <f t="shared" si="209"/>
        <v>117.02624305493465</v>
      </c>
      <c r="AE732">
        <f t="shared" si="210"/>
        <v>0.69181244199727088</v>
      </c>
      <c r="AF732">
        <f t="shared" si="211"/>
        <v>0.67049223482351727</v>
      </c>
      <c r="AG732">
        <f t="shared" si="212"/>
        <v>0.67221564332076134</v>
      </c>
      <c r="AI732">
        <f t="shared" si="213"/>
        <v>0.30355048167929366</v>
      </c>
      <c r="AJ732">
        <f t="shared" si="214"/>
        <v>25.306286382319644</v>
      </c>
      <c r="AL732">
        <f t="shared" si="215"/>
        <v>0.31320273240043545</v>
      </c>
      <c r="AM732">
        <f t="shared" si="216"/>
        <v>26.941244310318996</v>
      </c>
      <c r="AO732">
        <f t="shared" si="217"/>
        <v>0.31239975160737854</v>
      </c>
      <c r="AP732">
        <f t="shared" si="218"/>
        <v>26.80327890933852</v>
      </c>
    </row>
    <row r="733" spans="1:42" x14ac:dyDescent="0.2">
      <c r="A733" s="3">
        <v>730</v>
      </c>
      <c r="B733" s="3">
        <v>5.0399999999999996E-7</v>
      </c>
      <c r="C733" s="2">
        <v>3.8100000000000002E-2</v>
      </c>
      <c r="D733" s="3">
        <v>234000</v>
      </c>
      <c r="E733" s="3">
        <v>115000000000</v>
      </c>
      <c r="F733" s="3">
        <v>103000000000</v>
      </c>
      <c r="G733" s="2">
        <v>0</v>
      </c>
      <c r="H733" s="3">
        <v>10800000000</v>
      </c>
      <c r="I733" s="2"/>
      <c r="J733" s="7">
        <f t="shared" si="202"/>
        <v>0.504</v>
      </c>
      <c r="K733" s="7">
        <f t="shared" si="203"/>
        <v>38.1</v>
      </c>
      <c r="L733" s="7">
        <f t="shared" si="204"/>
        <v>115.00000000000001</v>
      </c>
      <c r="M733" s="7">
        <f t="shared" si="205"/>
        <v>234</v>
      </c>
      <c r="O733">
        <f t="shared" si="206"/>
        <v>0.38188461538461538</v>
      </c>
      <c r="P733">
        <f t="shared" si="207"/>
        <v>381.88461538461536</v>
      </c>
      <c r="V733">
        <f t="shared" si="208"/>
        <v>890.19893580348753</v>
      </c>
      <c r="W733">
        <f t="shared" si="209"/>
        <v>131.43129619043702</v>
      </c>
      <c r="AE733">
        <f t="shared" si="210"/>
        <v>0.79354956582039904</v>
      </c>
      <c r="AF733">
        <f t="shared" si="211"/>
        <v>0.76909403406226973</v>
      </c>
      <c r="AG733">
        <f t="shared" si="212"/>
        <v>0.77107088498557919</v>
      </c>
      <c r="AI733">
        <f t="shared" si="213"/>
        <v>0.2646337532588714</v>
      </c>
      <c r="AJ733">
        <f t="shared" si="214"/>
        <v>19.258717074549534</v>
      </c>
      <c r="AL733">
        <f t="shared" si="215"/>
        <v>0.27304853593884121</v>
      </c>
      <c r="AM733">
        <f t="shared" si="216"/>
        <v>20.502960962745242</v>
      </c>
      <c r="AO733">
        <f t="shared" si="217"/>
        <v>0.27234850140130434</v>
      </c>
      <c r="AP733">
        <f t="shared" si="218"/>
        <v>20.397965840844765</v>
      </c>
    </row>
    <row r="734" spans="1:42" x14ac:dyDescent="0.2">
      <c r="A734" s="3">
        <v>730</v>
      </c>
      <c r="B734" s="3">
        <v>5.0500000000000004E-7</v>
      </c>
      <c r="C734" s="2">
        <v>3.8150000000000003E-2</v>
      </c>
      <c r="D734" s="3">
        <v>204000</v>
      </c>
      <c r="E734" s="3">
        <v>101000000000</v>
      </c>
      <c r="F734" s="3">
        <v>92200000000</v>
      </c>
      <c r="G734" s="3">
        <v>2680000000</v>
      </c>
      <c r="H734" s="3">
        <v>11300000000</v>
      </c>
      <c r="I734" s="2"/>
      <c r="J734" s="7">
        <f t="shared" si="202"/>
        <v>0.505</v>
      </c>
      <c r="K734" s="7">
        <f t="shared" si="203"/>
        <v>38.150000000000006</v>
      </c>
      <c r="L734" s="7">
        <f t="shared" si="204"/>
        <v>101</v>
      </c>
      <c r="M734" s="7">
        <f t="shared" si="205"/>
        <v>204</v>
      </c>
      <c r="O734">
        <f t="shared" si="206"/>
        <v>0.36474264705882353</v>
      </c>
      <c r="P734">
        <f t="shared" si="207"/>
        <v>364.74264705882354</v>
      </c>
      <c r="V734">
        <f t="shared" si="208"/>
        <v>872.26965340300569</v>
      </c>
      <c r="W734">
        <f t="shared" si="209"/>
        <v>116.9363161977091</v>
      </c>
      <c r="AE734">
        <f t="shared" si="210"/>
        <v>0.69181244199727088</v>
      </c>
      <c r="AF734">
        <f t="shared" si="211"/>
        <v>0.67049223482351727</v>
      </c>
      <c r="AG734">
        <f t="shared" si="212"/>
        <v>0.67221564332076134</v>
      </c>
      <c r="AI734">
        <f t="shared" si="213"/>
        <v>0.30415276438103833</v>
      </c>
      <c r="AJ734">
        <f t="shared" si="214"/>
        <v>25.372794362299466</v>
      </c>
      <c r="AL734">
        <f t="shared" si="215"/>
        <v>0.31382416639329347</v>
      </c>
      <c r="AM734">
        <f t="shared" si="216"/>
        <v>27.012049157389487</v>
      </c>
      <c r="AO734">
        <f t="shared" si="217"/>
        <v>0.31301959238437732</v>
      </c>
      <c r="AP734">
        <f t="shared" si="218"/>
        <v>26.873721166656104</v>
      </c>
    </row>
    <row r="735" spans="1:42" x14ac:dyDescent="0.2">
      <c r="A735" s="3">
        <v>730</v>
      </c>
      <c r="B735" s="3">
        <v>5.0500000000000004E-7</v>
      </c>
      <c r="C735" s="2">
        <v>3.8210000000000001E-2</v>
      </c>
      <c r="D735" s="3">
        <v>201000</v>
      </c>
      <c r="E735" s="3">
        <v>99400000000</v>
      </c>
      <c r="F735" s="3">
        <v>91000000000</v>
      </c>
      <c r="G735" s="2">
        <v>0</v>
      </c>
      <c r="H735" s="3">
        <v>11400000000</v>
      </c>
      <c r="I735" s="2"/>
      <c r="J735" s="7">
        <f t="shared" si="202"/>
        <v>0.505</v>
      </c>
      <c r="K735" s="7">
        <f t="shared" si="203"/>
        <v>38.21</v>
      </c>
      <c r="L735" s="7">
        <f t="shared" si="204"/>
        <v>99.4</v>
      </c>
      <c r="M735" s="7">
        <f t="shared" si="205"/>
        <v>201</v>
      </c>
      <c r="O735">
        <f t="shared" si="206"/>
        <v>0.36242537313432838</v>
      </c>
      <c r="P735">
        <f t="shared" si="207"/>
        <v>362.42537313432837</v>
      </c>
      <c r="V735">
        <f t="shared" si="208"/>
        <v>869.81021935430863</v>
      </c>
      <c r="W735">
        <f t="shared" si="209"/>
        <v>115.54244565510481</v>
      </c>
      <c r="AE735">
        <f t="shared" si="210"/>
        <v>0.68163872961495808</v>
      </c>
      <c r="AF735">
        <f t="shared" si="211"/>
        <v>0.66063205489964194</v>
      </c>
      <c r="AG735">
        <f t="shared" si="212"/>
        <v>0.66233011915427953</v>
      </c>
      <c r="AI735">
        <f t="shared" si="213"/>
        <v>0.3086923578792628</v>
      </c>
      <c r="AJ735">
        <f t="shared" si="214"/>
        <v>26.176948289358144</v>
      </c>
      <c r="AL735">
        <f t="shared" si="215"/>
        <v>0.31850810917528294</v>
      </c>
      <c r="AM735">
        <f t="shared" si="216"/>
        <v>27.868156888278314</v>
      </c>
      <c r="AO735">
        <f t="shared" si="217"/>
        <v>0.31769152659906952</v>
      </c>
      <c r="AP735">
        <f t="shared" si="218"/>
        <v>27.725444792452596</v>
      </c>
    </row>
    <row r="736" spans="1:42" x14ac:dyDescent="0.2">
      <c r="A736" s="3">
        <v>730</v>
      </c>
      <c r="B736" s="3">
        <v>5.06E-7</v>
      </c>
      <c r="C736" s="2">
        <v>3.8260000000000002E-2</v>
      </c>
      <c r="D736" s="3">
        <v>196000</v>
      </c>
      <c r="E736" s="3">
        <v>97100000000</v>
      </c>
      <c r="F736" s="3">
        <v>89100000000</v>
      </c>
      <c r="G736" s="3">
        <v>9780000000</v>
      </c>
      <c r="H736" s="3">
        <v>11500000000</v>
      </c>
      <c r="I736" s="2"/>
      <c r="J736" s="7">
        <f t="shared" si="202"/>
        <v>0.50600000000000001</v>
      </c>
      <c r="K736" s="7">
        <f t="shared" si="203"/>
        <v>38.260000000000005</v>
      </c>
      <c r="L736" s="7">
        <f t="shared" si="204"/>
        <v>97.100000000000009</v>
      </c>
      <c r="M736" s="7">
        <f t="shared" si="205"/>
        <v>196</v>
      </c>
      <c r="O736">
        <f t="shared" si="206"/>
        <v>0.35959693877551019</v>
      </c>
      <c r="P736">
        <f t="shared" si="207"/>
        <v>359.59693877551018</v>
      </c>
      <c r="V736">
        <f t="shared" si="208"/>
        <v>866.79636647901987</v>
      </c>
      <c r="W736">
        <f t="shared" si="209"/>
        <v>113.06000323707173</v>
      </c>
      <c r="AE736">
        <f t="shared" si="210"/>
        <v>0.66468254231110346</v>
      </c>
      <c r="AF736">
        <f t="shared" si="211"/>
        <v>0.6441984216931832</v>
      </c>
      <c r="AG736">
        <f t="shared" si="212"/>
        <v>0.64585424554347659</v>
      </c>
      <c r="AI736">
        <f t="shared" si="213"/>
        <v>0.31719402859636586</v>
      </c>
      <c r="AJ736">
        <f t="shared" si="214"/>
        <v>27.565566063249126</v>
      </c>
      <c r="AL736">
        <f t="shared" si="215"/>
        <v>0.32728011468762708</v>
      </c>
      <c r="AM736">
        <f t="shared" si="216"/>
        <v>29.346488798968526</v>
      </c>
      <c r="AO736">
        <f t="shared" si="217"/>
        <v>0.32644104267816693</v>
      </c>
      <c r="AP736">
        <f t="shared" si="218"/>
        <v>29.196206204449748</v>
      </c>
    </row>
    <row r="737" spans="1:42" x14ac:dyDescent="0.2">
      <c r="A737" s="3">
        <v>740</v>
      </c>
      <c r="B737" s="3">
        <v>5.0699999999999997E-7</v>
      </c>
      <c r="C737" s="2">
        <v>3.8309999999999997E-2</v>
      </c>
      <c r="D737" s="3">
        <v>184000</v>
      </c>
      <c r="E737" s="3">
        <v>91900000000</v>
      </c>
      <c r="F737" s="3">
        <v>84600000000</v>
      </c>
      <c r="G737" s="2">
        <v>0</v>
      </c>
      <c r="H737" s="3">
        <v>11800000000</v>
      </c>
      <c r="I737" s="2"/>
      <c r="J737" s="7">
        <f t="shared" si="202"/>
        <v>0.50700000000000001</v>
      </c>
      <c r="K737" s="7">
        <f t="shared" si="203"/>
        <v>38.309999999999995</v>
      </c>
      <c r="L737" s="7">
        <f t="shared" si="204"/>
        <v>91.9</v>
      </c>
      <c r="M737" s="7">
        <f t="shared" si="205"/>
        <v>184</v>
      </c>
      <c r="O737">
        <f t="shared" si="206"/>
        <v>0.35084510869565222</v>
      </c>
      <c r="P737">
        <f t="shared" si="207"/>
        <v>350.84510869565224</v>
      </c>
      <c r="V737">
        <f t="shared" si="208"/>
        <v>857.38626134510559</v>
      </c>
      <c r="W737">
        <f t="shared" si="209"/>
        <v>107.3028623711165</v>
      </c>
      <c r="AE737">
        <f t="shared" si="210"/>
        <v>0.62398769278185218</v>
      </c>
      <c r="AF737">
        <f t="shared" si="211"/>
        <v>0.6047577019976822</v>
      </c>
      <c r="AG737">
        <f t="shared" si="212"/>
        <v>0.60631214887754936</v>
      </c>
      <c r="AI737">
        <f t="shared" si="213"/>
        <v>0.33854834389154143</v>
      </c>
      <c r="AJ737">
        <f t="shared" si="214"/>
        <v>31.319195532053349</v>
      </c>
      <c r="AL737">
        <f t="shared" si="215"/>
        <v>0.34931345115933665</v>
      </c>
      <c r="AM737">
        <f t="shared" si="216"/>
        <v>33.342628218307453</v>
      </c>
      <c r="AO737">
        <f t="shared" si="217"/>
        <v>0.34841789067080692</v>
      </c>
      <c r="AP737">
        <f t="shared" si="218"/>
        <v>33.171881499303097</v>
      </c>
    </row>
    <row r="738" spans="1:42" x14ac:dyDescent="0.2">
      <c r="A738" s="3">
        <v>740</v>
      </c>
      <c r="B738" s="3">
        <v>5.0800000000000005E-7</v>
      </c>
      <c r="C738" s="2">
        <v>3.8359999999999998E-2</v>
      </c>
      <c r="D738" s="3">
        <v>218000</v>
      </c>
      <c r="E738" s="3">
        <v>107000000000</v>
      </c>
      <c r="F738" s="3">
        <v>96900000000</v>
      </c>
      <c r="G738" s="3">
        <v>3040000000</v>
      </c>
      <c r="H738" s="3">
        <v>11000000000</v>
      </c>
      <c r="I738" s="2"/>
      <c r="J738" s="7">
        <f t="shared" si="202"/>
        <v>0.50800000000000001</v>
      </c>
      <c r="K738" s="7">
        <f t="shared" si="203"/>
        <v>38.36</v>
      </c>
      <c r="L738" s="7">
        <f t="shared" si="204"/>
        <v>107</v>
      </c>
      <c r="M738" s="7">
        <f t="shared" si="205"/>
        <v>218</v>
      </c>
      <c r="O738">
        <f t="shared" si="206"/>
        <v>0.37602752293577979</v>
      </c>
      <c r="P738">
        <f t="shared" si="207"/>
        <v>376.02752293577981</v>
      </c>
      <c r="V738">
        <f t="shared" si="208"/>
        <v>884.12421646668247</v>
      </c>
      <c r="W738">
        <f t="shared" si="209"/>
        <v>123.28584374219274</v>
      </c>
      <c r="AE738">
        <f t="shared" si="210"/>
        <v>0.73928976644806399</v>
      </c>
      <c r="AF738">
        <f t="shared" si="211"/>
        <v>0.71650640780160169</v>
      </c>
      <c r="AG738">
        <f t="shared" si="212"/>
        <v>0.71834808943100958</v>
      </c>
      <c r="AI738">
        <f t="shared" si="213"/>
        <v>0.28631083003302538</v>
      </c>
      <c r="AJ738">
        <f t="shared" si="214"/>
        <v>22.340850559309366</v>
      </c>
      <c r="AL738">
        <f t="shared" si="215"/>
        <v>0.29541489700853657</v>
      </c>
      <c r="AM738">
        <f t="shared" si="216"/>
        <v>23.784221198065399</v>
      </c>
      <c r="AO738">
        <f t="shared" si="217"/>
        <v>0.29465752019236796</v>
      </c>
      <c r="AP738">
        <f t="shared" si="218"/>
        <v>23.662422829110973</v>
      </c>
    </row>
    <row r="739" spans="1:42" x14ac:dyDescent="0.2">
      <c r="A739" s="3">
        <v>740</v>
      </c>
      <c r="B739" s="3">
        <v>5.0800000000000005E-7</v>
      </c>
      <c r="C739" s="2">
        <v>3.8420000000000003E-2</v>
      </c>
      <c r="D739" s="3">
        <v>204000</v>
      </c>
      <c r="E739" s="3">
        <v>100000000000</v>
      </c>
      <c r="F739" s="3">
        <v>91800000000</v>
      </c>
      <c r="G739" s="3">
        <v>11000000000</v>
      </c>
      <c r="H739" s="3">
        <v>11300000000</v>
      </c>
      <c r="I739" s="2"/>
      <c r="J739" s="7">
        <f t="shared" si="202"/>
        <v>0.50800000000000001</v>
      </c>
      <c r="K739" s="7">
        <f t="shared" si="203"/>
        <v>38.42</v>
      </c>
      <c r="L739" s="7">
        <f t="shared" si="204"/>
        <v>100</v>
      </c>
      <c r="M739" s="7">
        <f t="shared" si="205"/>
        <v>204</v>
      </c>
      <c r="O739">
        <f t="shared" si="206"/>
        <v>0.36675000000000002</v>
      </c>
      <c r="P739">
        <f t="shared" si="207"/>
        <v>366.75</v>
      </c>
      <c r="V739">
        <f t="shared" si="208"/>
        <v>874.39312789701921</v>
      </c>
      <c r="W739">
        <f t="shared" si="209"/>
        <v>116.65233491177776</v>
      </c>
      <c r="AE739">
        <f t="shared" si="210"/>
        <v>0.69181244199727088</v>
      </c>
      <c r="AF739">
        <f t="shared" si="211"/>
        <v>0.67049223482351727</v>
      </c>
      <c r="AG739">
        <f t="shared" si="212"/>
        <v>0.67221564332076134</v>
      </c>
      <c r="AI739">
        <f t="shared" si="213"/>
        <v>0.30595961248627218</v>
      </c>
      <c r="AJ739">
        <f t="shared" si="214"/>
        <v>25.552365908244962</v>
      </c>
      <c r="AL739">
        <f t="shared" si="215"/>
        <v>0.31568846837186748</v>
      </c>
      <c r="AM739">
        <f t="shared" si="216"/>
        <v>27.20322224447979</v>
      </c>
      <c r="AO739">
        <f t="shared" si="217"/>
        <v>0.31487911471537361</v>
      </c>
      <c r="AP739">
        <f t="shared" si="218"/>
        <v>27.063915261413563</v>
      </c>
    </row>
    <row r="740" spans="1:42" x14ac:dyDescent="0.2">
      <c r="A740" s="3">
        <v>740</v>
      </c>
      <c r="B740" s="3">
        <v>5.0900000000000002E-7</v>
      </c>
      <c r="C740" s="2">
        <v>3.8469999999999997E-2</v>
      </c>
      <c r="D740" s="3">
        <v>197000</v>
      </c>
      <c r="E740" s="3">
        <v>97500000000</v>
      </c>
      <c r="F740" s="3">
        <v>89400000000</v>
      </c>
      <c r="G740" s="3">
        <v>13100000000</v>
      </c>
      <c r="H740" s="3">
        <v>11500000000</v>
      </c>
      <c r="I740" s="2"/>
      <c r="J740" s="7">
        <f t="shared" si="202"/>
        <v>0.50900000000000001</v>
      </c>
      <c r="K740" s="7">
        <f t="shared" si="203"/>
        <v>38.47</v>
      </c>
      <c r="L740" s="7">
        <f t="shared" si="204"/>
        <v>97.5</v>
      </c>
      <c r="M740" s="7">
        <f t="shared" si="205"/>
        <v>197</v>
      </c>
      <c r="O740">
        <f t="shared" si="206"/>
        <v>0.36254060913705588</v>
      </c>
      <c r="P740">
        <f t="shared" si="207"/>
        <v>362.54060913705587</v>
      </c>
      <c r="V740">
        <f t="shared" si="208"/>
        <v>869.93273145249043</v>
      </c>
      <c r="W740">
        <f t="shared" si="209"/>
        <v>113.22714554668917</v>
      </c>
      <c r="AE740">
        <f t="shared" si="210"/>
        <v>0.66807377977187432</v>
      </c>
      <c r="AF740">
        <f t="shared" si="211"/>
        <v>0.64748514833447501</v>
      </c>
      <c r="AG740">
        <f t="shared" si="212"/>
        <v>0.64914942026563716</v>
      </c>
      <c r="AI740">
        <f t="shared" si="213"/>
        <v>0.31745495745358088</v>
      </c>
      <c r="AJ740">
        <f t="shared" si="214"/>
        <v>27.436191545387469</v>
      </c>
      <c r="AL740">
        <f t="shared" si="215"/>
        <v>0.32754934051981721</v>
      </c>
      <c r="AM740">
        <f t="shared" si="216"/>
        <v>29.208755808810157</v>
      </c>
      <c r="AO740">
        <f t="shared" si="217"/>
        <v>0.32670957827636526</v>
      </c>
      <c r="AP740">
        <f t="shared" si="218"/>
        <v>29.059178541298429</v>
      </c>
    </row>
    <row r="741" spans="1:42" x14ac:dyDescent="0.2">
      <c r="A741" s="3">
        <v>740</v>
      </c>
      <c r="B741" s="3">
        <v>5.0900000000000002E-7</v>
      </c>
      <c r="C741" s="2">
        <v>3.8519999999999999E-2</v>
      </c>
      <c r="D741" s="3">
        <v>205000</v>
      </c>
      <c r="E741" s="3">
        <v>101000000000</v>
      </c>
      <c r="F741" s="3">
        <v>92100000000</v>
      </c>
      <c r="G741" s="3">
        <v>3710000000</v>
      </c>
      <c r="H741" s="3">
        <v>11300000000</v>
      </c>
      <c r="I741" s="2"/>
      <c r="J741" s="7">
        <f t="shared" si="202"/>
        <v>0.50900000000000001</v>
      </c>
      <c r="K741" s="7">
        <f t="shared" si="203"/>
        <v>38.519999999999996</v>
      </c>
      <c r="L741" s="7">
        <f t="shared" si="204"/>
        <v>101</v>
      </c>
      <c r="M741" s="7">
        <f t="shared" si="205"/>
        <v>205</v>
      </c>
      <c r="O741">
        <f t="shared" si="206"/>
        <v>0.36807317073170731</v>
      </c>
      <c r="P741">
        <f t="shared" si="207"/>
        <v>368.07317073170731</v>
      </c>
      <c r="V741">
        <f t="shared" si="208"/>
        <v>875.78930359277922</v>
      </c>
      <c r="W741">
        <f t="shared" si="209"/>
        <v>117.03728234577756</v>
      </c>
      <c r="AE741">
        <f t="shared" si="210"/>
        <v>0.69520367945804185</v>
      </c>
      <c r="AF741">
        <f t="shared" si="211"/>
        <v>0.67377896146480898</v>
      </c>
      <c r="AG741">
        <f t="shared" si="212"/>
        <v>0.6755108180429219</v>
      </c>
      <c r="AI741">
        <f t="shared" si="213"/>
        <v>0.3050664713090509</v>
      </c>
      <c r="AJ741">
        <f t="shared" si="214"/>
        <v>25.369543265493448</v>
      </c>
      <c r="AL741">
        <f t="shared" si="215"/>
        <v>0.31476692723123906</v>
      </c>
      <c r="AM741">
        <f t="shared" si="216"/>
        <v>27.008588017655111</v>
      </c>
      <c r="AO741">
        <f t="shared" si="217"/>
        <v>0.31395993619728763</v>
      </c>
      <c r="AP741">
        <f t="shared" si="218"/>
        <v>26.870277751326945</v>
      </c>
    </row>
    <row r="742" spans="1:42" x14ac:dyDescent="0.2">
      <c r="A742" s="3">
        <v>740</v>
      </c>
      <c r="B742" s="3">
        <v>5.0999999999999999E-7</v>
      </c>
      <c r="C742" s="2">
        <v>3.857E-2</v>
      </c>
      <c r="D742" s="3">
        <v>177000</v>
      </c>
      <c r="E742" s="3">
        <v>88700000000</v>
      </c>
      <c r="F742" s="3">
        <v>81900000000</v>
      </c>
      <c r="G742" s="2">
        <v>0</v>
      </c>
      <c r="H742" s="3">
        <v>12000000000</v>
      </c>
      <c r="I742" s="2"/>
      <c r="J742" s="7">
        <f t="shared" si="202"/>
        <v>0.51</v>
      </c>
      <c r="K742" s="7">
        <f t="shared" si="203"/>
        <v>38.57</v>
      </c>
      <c r="L742" s="7">
        <f t="shared" si="204"/>
        <v>88.7</v>
      </c>
      <c r="M742" s="7">
        <f t="shared" si="205"/>
        <v>177</v>
      </c>
      <c r="O742">
        <f t="shared" si="206"/>
        <v>0.34656779661016951</v>
      </c>
      <c r="P742">
        <f t="shared" si="207"/>
        <v>346.56779661016952</v>
      </c>
      <c r="V742">
        <f t="shared" si="208"/>
        <v>852.73964565069468</v>
      </c>
      <c r="W742">
        <f t="shared" si="209"/>
        <v>103.78314231240985</v>
      </c>
      <c r="AE742">
        <f t="shared" si="210"/>
        <v>0.60024903055645562</v>
      </c>
      <c r="AF742">
        <f t="shared" si="211"/>
        <v>0.58175061550863993</v>
      </c>
      <c r="AG742">
        <f t="shared" si="212"/>
        <v>0.58324592582242529</v>
      </c>
      <c r="AI742">
        <f t="shared" si="213"/>
        <v>0.35401973044921659</v>
      </c>
      <c r="AJ742">
        <f t="shared" si="214"/>
        <v>34.075104656381704</v>
      </c>
      <c r="AL742">
        <f t="shared" si="215"/>
        <v>0.36527679444602845</v>
      </c>
      <c r="AM742">
        <f t="shared" si="216"/>
        <v>36.276587784474415</v>
      </c>
      <c r="AO742">
        <f t="shared" si="217"/>
        <v>0.36434030756469893</v>
      </c>
      <c r="AP742">
        <f t="shared" si="218"/>
        <v>36.090816335975589</v>
      </c>
    </row>
    <row r="743" spans="1:42" x14ac:dyDescent="0.2">
      <c r="A743" s="3">
        <v>740</v>
      </c>
      <c r="B743" s="3">
        <v>5.0999999999999999E-7</v>
      </c>
      <c r="C743" s="2">
        <v>3.8620000000000002E-2</v>
      </c>
      <c r="D743" s="3">
        <v>194000</v>
      </c>
      <c r="E743" s="3">
        <v>95800000000</v>
      </c>
      <c r="F743" s="3">
        <v>88000000000</v>
      </c>
      <c r="G743" s="3">
        <v>3030000000</v>
      </c>
      <c r="H743" s="3">
        <v>11500000000</v>
      </c>
      <c r="I743" s="2"/>
      <c r="J743" s="7">
        <f t="shared" si="202"/>
        <v>0.51</v>
      </c>
      <c r="K743" s="7">
        <f t="shared" si="203"/>
        <v>38.620000000000005</v>
      </c>
      <c r="L743" s="7">
        <f t="shared" si="204"/>
        <v>95.800000000000011</v>
      </c>
      <c r="M743" s="7">
        <f t="shared" si="205"/>
        <v>194</v>
      </c>
      <c r="O743">
        <f t="shared" si="206"/>
        <v>0.36069587628865979</v>
      </c>
      <c r="P743">
        <f t="shared" si="207"/>
        <v>360.6958762886598</v>
      </c>
      <c r="V743">
        <f t="shared" si="208"/>
        <v>867.96890802468204</v>
      </c>
      <c r="W743">
        <f t="shared" si="209"/>
        <v>111.75515517111317</v>
      </c>
      <c r="AE743">
        <f t="shared" si="210"/>
        <v>0.65790006738956153</v>
      </c>
      <c r="AF743">
        <f t="shared" si="211"/>
        <v>0.63762496841059968</v>
      </c>
      <c r="AG743">
        <f t="shared" si="212"/>
        <v>0.63926389609915535</v>
      </c>
      <c r="AI743">
        <f t="shared" si="213"/>
        <v>0.32299738293562547</v>
      </c>
      <c r="AJ743">
        <f t="shared" si="214"/>
        <v>28.401606223488212</v>
      </c>
      <c r="AL743">
        <f t="shared" si="215"/>
        <v>0.33326800318013938</v>
      </c>
      <c r="AM743">
        <f t="shared" si="216"/>
        <v>30.236542830206236</v>
      </c>
      <c r="AO743">
        <f t="shared" si="217"/>
        <v>0.33241357958222534</v>
      </c>
      <c r="AP743">
        <f t="shared" si="218"/>
        <v>30.08170229248708</v>
      </c>
    </row>
    <row r="744" spans="1:42" x14ac:dyDescent="0.2">
      <c r="A744" s="3">
        <v>740</v>
      </c>
      <c r="B744" s="3">
        <v>5.1099999999999996E-7</v>
      </c>
      <c r="C744" s="2">
        <v>3.8670000000000003E-2</v>
      </c>
      <c r="D744" s="3">
        <v>209000</v>
      </c>
      <c r="E744" s="3">
        <v>102000000000</v>
      </c>
      <c r="F744" s="3">
        <v>93500000000</v>
      </c>
      <c r="G744" s="3">
        <v>6130000000</v>
      </c>
      <c r="H744" s="3">
        <v>11200000000</v>
      </c>
      <c r="I744" s="2"/>
      <c r="J744" s="7">
        <f t="shared" si="202"/>
        <v>0.51100000000000001</v>
      </c>
      <c r="K744" s="7">
        <f t="shared" si="203"/>
        <v>38.67</v>
      </c>
      <c r="L744" s="7">
        <f t="shared" si="204"/>
        <v>102</v>
      </c>
      <c r="M744" s="7">
        <f t="shared" si="205"/>
        <v>209</v>
      </c>
      <c r="O744">
        <f t="shared" si="206"/>
        <v>0.37223205741626797</v>
      </c>
      <c r="P744">
        <f t="shared" si="207"/>
        <v>372.23205741626799</v>
      </c>
      <c r="V744">
        <f t="shared" si="208"/>
        <v>880.15954206352376</v>
      </c>
      <c r="W744">
        <f t="shared" si="209"/>
        <v>118.72847478878769</v>
      </c>
      <c r="AE744">
        <f t="shared" si="210"/>
        <v>0.70876862930112561</v>
      </c>
      <c r="AF744">
        <f t="shared" si="211"/>
        <v>0.68692586802997602</v>
      </c>
      <c r="AG744">
        <f t="shared" si="212"/>
        <v>0.68869151693156427</v>
      </c>
      <c r="AI744">
        <f t="shared" si="213"/>
        <v>0.3004036266060634</v>
      </c>
      <c r="AJ744">
        <f t="shared" si="214"/>
        <v>24.502798696793164</v>
      </c>
      <c r="AL744">
        <f t="shared" si="215"/>
        <v>0.30995581412196205</v>
      </c>
      <c r="AM744">
        <f t="shared" si="216"/>
        <v>26.085845864689091</v>
      </c>
      <c r="AO744">
        <f t="shared" si="217"/>
        <v>0.30916115769119357</v>
      </c>
      <c r="AP744">
        <f t="shared" si="218"/>
        <v>25.95226093656985</v>
      </c>
    </row>
    <row r="745" spans="1:42" x14ac:dyDescent="0.2">
      <c r="A745" s="3">
        <v>740</v>
      </c>
      <c r="B745" s="3">
        <v>5.1099999999999996E-7</v>
      </c>
      <c r="C745" s="2">
        <v>3.8730000000000001E-2</v>
      </c>
      <c r="D745" s="3">
        <v>215000</v>
      </c>
      <c r="E745" s="3">
        <v>105000000000</v>
      </c>
      <c r="F745" s="3">
        <v>95700000000</v>
      </c>
      <c r="G745" s="3">
        <v>3160000000</v>
      </c>
      <c r="H745" s="3">
        <v>11100000000</v>
      </c>
      <c r="I745" s="2"/>
      <c r="J745" s="7">
        <f t="shared" si="202"/>
        <v>0.51100000000000001</v>
      </c>
      <c r="K745" s="7">
        <f t="shared" si="203"/>
        <v>38.730000000000004</v>
      </c>
      <c r="L745" s="7">
        <f t="shared" si="204"/>
        <v>105</v>
      </c>
      <c r="M745" s="7">
        <f t="shared" si="205"/>
        <v>215</v>
      </c>
      <c r="O745">
        <f t="shared" si="206"/>
        <v>0.37589534883720932</v>
      </c>
      <c r="P745">
        <f t="shared" si="207"/>
        <v>375.89534883720933</v>
      </c>
      <c r="V745">
        <f t="shared" si="208"/>
        <v>883.98652536940108</v>
      </c>
      <c r="W745">
        <f t="shared" si="209"/>
        <v>121.60818849029154</v>
      </c>
      <c r="AE745">
        <f t="shared" si="210"/>
        <v>0.7291160540657512</v>
      </c>
      <c r="AF745">
        <f t="shared" si="211"/>
        <v>0.70664622787772646</v>
      </c>
      <c r="AG745">
        <f t="shared" si="212"/>
        <v>0.70846256526452789</v>
      </c>
      <c r="AI745">
        <f t="shared" si="213"/>
        <v>0.29202026958449884</v>
      </c>
      <c r="AJ745">
        <f t="shared" si="214"/>
        <v>23.190209357090886</v>
      </c>
      <c r="AL745">
        <f t="shared" si="215"/>
        <v>0.30130588442553524</v>
      </c>
      <c r="AM745">
        <f t="shared" si="216"/>
        <v>24.688454341263288</v>
      </c>
      <c r="AO745">
        <f t="shared" si="217"/>
        <v>0.30053340445329985</v>
      </c>
      <c r="AP745">
        <f t="shared" si="218"/>
        <v>24.562025418250393</v>
      </c>
    </row>
    <row r="746" spans="1:42" x14ac:dyDescent="0.2">
      <c r="A746" s="3">
        <v>740</v>
      </c>
      <c r="B746" s="3">
        <v>5.1200000000000003E-7</v>
      </c>
      <c r="C746" s="2">
        <v>3.8780000000000002E-2</v>
      </c>
      <c r="D746" s="3">
        <v>210000</v>
      </c>
      <c r="E746" s="3">
        <v>103000000000</v>
      </c>
      <c r="F746" s="3">
        <v>93600000000</v>
      </c>
      <c r="G746" s="3">
        <v>6870000000</v>
      </c>
      <c r="H746" s="3">
        <v>11200000000</v>
      </c>
      <c r="I746" s="2"/>
      <c r="J746" s="7">
        <f t="shared" si="202"/>
        <v>0.51200000000000001</v>
      </c>
      <c r="K746" s="7">
        <f t="shared" si="203"/>
        <v>38.78</v>
      </c>
      <c r="L746" s="7">
        <f t="shared" si="204"/>
        <v>103</v>
      </c>
      <c r="M746" s="7">
        <f t="shared" si="205"/>
        <v>210</v>
      </c>
      <c r="O746">
        <f t="shared" si="206"/>
        <v>0.3735</v>
      </c>
      <c r="P746">
        <f t="shared" si="207"/>
        <v>373.5</v>
      </c>
      <c r="V746">
        <f t="shared" si="208"/>
        <v>881.48650593262425</v>
      </c>
      <c r="W746">
        <f t="shared" si="209"/>
        <v>119.11696809120025</v>
      </c>
      <c r="AE746">
        <f t="shared" si="210"/>
        <v>0.71215986676189658</v>
      </c>
      <c r="AF746">
        <f t="shared" si="211"/>
        <v>0.69021259467126772</v>
      </c>
      <c r="AG746">
        <f t="shared" si="212"/>
        <v>0.69198669165372484</v>
      </c>
      <c r="AI746">
        <f t="shared" si="213"/>
        <v>0.29955820777058639</v>
      </c>
      <c r="AJ746">
        <f t="shared" si="214"/>
        <v>24.3390323260532</v>
      </c>
      <c r="AL746">
        <f t="shared" si="215"/>
        <v>0.30908351279063384</v>
      </c>
      <c r="AM746">
        <f t="shared" si="216"/>
        <v>25.911499074438503</v>
      </c>
      <c r="AO746">
        <f t="shared" si="217"/>
        <v>0.308291092742701</v>
      </c>
      <c r="AP746">
        <f t="shared" si="218"/>
        <v>25.778806971630136</v>
      </c>
    </row>
    <row r="747" spans="1:42" x14ac:dyDescent="0.2">
      <c r="A747" s="3">
        <v>750</v>
      </c>
      <c r="B747" s="3">
        <v>5.13E-7</v>
      </c>
      <c r="C747" s="2">
        <v>3.8830000000000003E-2</v>
      </c>
      <c r="D747" s="3">
        <v>213000</v>
      </c>
      <c r="E747" s="3">
        <v>104000000000</v>
      </c>
      <c r="F747" s="3">
        <v>94900000000</v>
      </c>
      <c r="G747" s="2">
        <v>0</v>
      </c>
      <c r="H747" s="3">
        <v>11100000000</v>
      </c>
      <c r="I747" s="2"/>
      <c r="J747" s="7">
        <f t="shared" si="202"/>
        <v>0.51300000000000001</v>
      </c>
      <c r="K747" s="7">
        <f t="shared" si="203"/>
        <v>38.830000000000005</v>
      </c>
      <c r="L747" s="7">
        <f t="shared" si="204"/>
        <v>104</v>
      </c>
      <c r="M747" s="7">
        <f t="shared" si="205"/>
        <v>213</v>
      </c>
      <c r="O747">
        <f t="shared" si="206"/>
        <v>0.37627464788732395</v>
      </c>
      <c r="P747">
        <f t="shared" si="207"/>
        <v>376.27464788732397</v>
      </c>
      <c r="V747">
        <f t="shared" si="208"/>
        <v>884.38158421093055</v>
      </c>
      <c r="W747">
        <f t="shared" si="209"/>
        <v>120.42313171301753</v>
      </c>
      <c r="AE747">
        <f t="shared" si="210"/>
        <v>0.72233357914420937</v>
      </c>
      <c r="AF747">
        <f t="shared" si="211"/>
        <v>0.70007277459514294</v>
      </c>
      <c r="AG747">
        <f t="shared" si="212"/>
        <v>0.70187221582020665</v>
      </c>
      <c r="AI747">
        <f t="shared" si="213"/>
        <v>0.29591591222055891</v>
      </c>
      <c r="AJ747">
        <f t="shared" si="214"/>
        <v>23.688757160756598</v>
      </c>
      <c r="AL747">
        <f t="shared" si="215"/>
        <v>0.30532540009660158</v>
      </c>
      <c r="AM747">
        <f t="shared" si="216"/>
        <v>25.21921171814633</v>
      </c>
      <c r="AO747">
        <f t="shared" si="217"/>
        <v>0.30454261499753504</v>
      </c>
      <c r="AP747">
        <f t="shared" si="218"/>
        <v>25.09006480061613</v>
      </c>
    </row>
    <row r="748" spans="1:42" x14ac:dyDescent="0.2">
      <c r="A748" s="3">
        <v>750</v>
      </c>
      <c r="B748" s="3">
        <v>5.1399999999999997E-7</v>
      </c>
      <c r="C748" s="2">
        <v>3.8879999999999998E-2</v>
      </c>
      <c r="D748" s="3">
        <v>207000</v>
      </c>
      <c r="E748" s="3">
        <v>101000000000</v>
      </c>
      <c r="F748" s="3">
        <v>92500000000</v>
      </c>
      <c r="G748" s="3">
        <v>5860000000</v>
      </c>
      <c r="H748" s="3">
        <v>11300000000</v>
      </c>
      <c r="I748" s="2"/>
      <c r="J748" s="7">
        <f t="shared" si="202"/>
        <v>0.51400000000000001</v>
      </c>
      <c r="K748" s="7">
        <f t="shared" si="203"/>
        <v>38.879999999999995</v>
      </c>
      <c r="L748" s="7">
        <f t="shared" si="204"/>
        <v>101</v>
      </c>
      <c r="M748" s="7">
        <f t="shared" si="205"/>
        <v>207</v>
      </c>
      <c r="O748">
        <f t="shared" si="206"/>
        <v>0.37313043478260871</v>
      </c>
      <c r="P748">
        <f t="shared" si="207"/>
        <v>373.13043478260869</v>
      </c>
      <c r="V748">
        <f t="shared" si="208"/>
        <v>881.09999729653236</v>
      </c>
      <c r="W748">
        <f t="shared" si="209"/>
        <v>117.46680322048316</v>
      </c>
      <c r="AE748">
        <f t="shared" si="210"/>
        <v>0.70198615437958378</v>
      </c>
      <c r="AF748">
        <f t="shared" si="211"/>
        <v>0.6803524147473925</v>
      </c>
      <c r="AG748">
        <f t="shared" si="212"/>
        <v>0.68210116748724314</v>
      </c>
      <c r="AI748">
        <f t="shared" si="213"/>
        <v>0.30508673900548289</v>
      </c>
      <c r="AJ748">
        <f t="shared" si="214"/>
        <v>25.114217873784355</v>
      </c>
      <c r="AL748">
        <f t="shared" si="215"/>
        <v>0.31478783939671096</v>
      </c>
      <c r="AM748">
        <f t="shared" si="216"/>
        <v>26.736766872002214</v>
      </c>
      <c r="AO748">
        <f t="shared" si="217"/>
        <v>0.31398079474870871</v>
      </c>
      <c r="AP748">
        <f t="shared" si="218"/>
        <v>26.599848594586035</v>
      </c>
    </row>
    <row r="749" spans="1:42" x14ac:dyDescent="0.2">
      <c r="A749" s="3">
        <v>750</v>
      </c>
      <c r="B749" s="3">
        <v>5.1399999999999997E-7</v>
      </c>
      <c r="C749" s="2">
        <v>3.8940000000000002E-2</v>
      </c>
      <c r="D749" s="3">
        <v>180000</v>
      </c>
      <c r="E749" s="3">
        <v>89700000000</v>
      </c>
      <c r="F749" s="3">
        <v>82800000000</v>
      </c>
      <c r="G749" s="3">
        <v>7520000000</v>
      </c>
      <c r="H749" s="3">
        <v>11900000000</v>
      </c>
      <c r="I749" s="2"/>
      <c r="J749" s="7">
        <f t="shared" si="202"/>
        <v>0.51400000000000001</v>
      </c>
      <c r="K749" s="7">
        <f t="shared" si="203"/>
        <v>38.940000000000005</v>
      </c>
      <c r="L749" s="7">
        <f t="shared" si="204"/>
        <v>89.7</v>
      </c>
      <c r="M749" s="7">
        <f t="shared" si="205"/>
        <v>180</v>
      </c>
      <c r="O749">
        <f t="shared" si="206"/>
        <v>0.35175000000000001</v>
      </c>
      <c r="P749">
        <f t="shared" si="207"/>
        <v>351.75</v>
      </c>
      <c r="V749">
        <f t="shared" si="208"/>
        <v>858.3652309406682</v>
      </c>
      <c r="W749">
        <f t="shared" si="209"/>
        <v>104.85047245141848</v>
      </c>
      <c r="AE749">
        <f t="shared" si="210"/>
        <v>0.61042274293876841</v>
      </c>
      <c r="AF749">
        <f t="shared" si="211"/>
        <v>0.59161079543251516</v>
      </c>
      <c r="AG749">
        <f t="shared" si="212"/>
        <v>0.59313144998890699</v>
      </c>
      <c r="AI749">
        <f t="shared" si="213"/>
        <v>0.35084974985630535</v>
      </c>
      <c r="AJ749">
        <f t="shared" si="214"/>
        <v>33.264808621317613</v>
      </c>
      <c r="AL749">
        <f t="shared" si="215"/>
        <v>0.36200601530621762</v>
      </c>
      <c r="AM749">
        <f t="shared" si="216"/>
        <v>35.413941123698606</v>
      </c>
      <c r="AO749">
        <f t="shared" si="217"/>
        <v>0.36107791396101507</v>
      </c>
      <c r="AP749">
        <f t="shared" si="218"/>
        <v>35.232587265979454</v>
      </c>
    </row>
    <row r="750" spans="1:42" x14ac:dyDescent="0.2">
      <c r="A750" s="3">
        <v>750</v>
      </c>
      <c r="B750" s="3">
        <v>5.1399999999999997E-7</v>
      </c>
      <c r="C750" s="2">
        <v>3.8989999999999997E-2</v>
      </c>
      <c r="D750" s="3">
        <v>207000</v>
      </c>
      <c r="E750" s="3">
        <v>101000000000</v>
      </c>
      <c r="F750" s="3">
        <v>92500000000</v>
      </c>
      <c r="G750" s="3">
        <v>3240000000</v>
      </c>
      <c r="H750" s="3">
        <v>11300000000</v>
      </c>
      <c r="I750" s="2"/>
      <c r="J750" s="7">
        <f t="shared" si="202"/>
        <v>0.51400000000000001</v>
      </c>
      <c r="K750" s="7">
        <f t="shared" si="203"/>
        <v>38.989999999999995</v>
      </c>
      <c r="L750" s="7">
        <f t="shared" si="204"/>
        <v>101</v>
      </c>
      <c r="M750" s="7">
        <f t="shared" si="205"/>
        <v>207</v>
      </c>
      <c r="O750">
        <f t="shared" si="206"/>
        <v>0.37273188405797103</v>
      </c>
      <c r="P750">
        <f t="shared" si="207"/>
        <v>372.73188405797106</v>
      </c>
      <c r="V750">
        <f t="shared" si="208"/>
        <v>880.6829352207734</v>
      </c>
      <c r="W750">
        <f t="shared" si="209"/>
        <v>117.52243158209278</v>
      </c>
      <c r="AE750">
        <f t="shared" si="210"/>
        <v>0.70198615437958378</v>
      </c>
      <c r="AF750">
        <f t="shared" si="211"/>
        <v>0.6803524147473925</v>
      </c>
      <c r="AG750">
        <f t="shared" si="212"/>
        <v>0.68210116748724314</v>
      </c>
      <c r="AI750">
        <f t="shared" si="213"/>
        <v>0.30508673900548289</v>
      </c>
      <c r="AJ750">
        <f t="shared" si="214"/>
        <v>25.185271473735906</v>
      </c>
      <c r="AL750">
        <f t="shared" si="215"/>
        <v>0.31478783939671096</v>
      </c>
      <c r="AM750">
        <f t="shared" si="216"/>
        <v>26.812411016959011</v>
      </c>
      <c r="AO750">
        <f t="shared" si="217"/>
        <v>0.31398079474870871</v>
      </c>
      <c r="AP750">
        <f t="shared" si="218"/>
        <v>26.675105367873186</v>
      </c>
    </row>
    <row r="751" spans="1:42" x14ac:dyDescent="0.2">
      <c r="A751" s="3">
        <v>750</v>
      </c>
      <c r="B751" s="3">
        <v>5.1500000000000005E-7</v>
      </c>
      <c r="C751" s="2">
        <v>3.9039999999999998E-2</v>
      </c>
      <c r="D751" s="3">
        <v>209000</v>
      </c>
      <c r="E751" s="3">
        <v>102000000000</v>
      </c>
      <c r="F751" s="3">
        <v>93200000000</v>
      </c>
      <c r="G751" s="3">
        <v>6210000000</v>
      </c>
      <c r="H751" s="3">
        <v>11200000000</v>
      </c>
      <c r="I751" s="2"/>
      <c r="J751" s="7">
        <f t="shared" si="202"/>
        <v>0.51500000000000001</v>
      </c>
      <c r="K751" s="7">
        <f t="shared" si="203"/>
        <v>39.04</v>
      </c>
      <c r="L751" s="7">
        <f t="shared" si="204"/>
        <v>102</v>
      </c>
      <c r="M751" s="7">
        <f t="shared" si="205"/>
        <v>209</v>
      </c>
      <c r="O751">
        <f t="shared" si="206"/>
        <v>0.37490430622009574</v>
      </c>
      <c r="P751">
        <f t="shared" si="207"/>
        <v>374.90430622009575</v>
      </c>
      <c r="V751">
        <f t="shared" si="208"/>
        <v>882.95325601168258</v>
      </c>
      <c r="W751">
        <f t="shared" si="209"/>
        <v>118.3528111918728</v>
      </c>
      <c r="AE751">
        <f t="shared" si="210"/>
        <v>0.70876862930112561</v>
      </c>
      <c r="AF751">
        <f t="shared" si="211"/>
        <v>0.68692586802997602</v>
      </c>
      <c r="AG751">
        <f t="shared" si="212"/>
        <v>0.68869151693156427</v>
      </c>
      <c r="AI751">
        <f t="shared" si="213"/>
        <v>0.30275512270474098</v>
      </c>
      <c r="AJ751">
        <f t="shared" si="214"/>
        <v>24.737244921717224</v>
      </c>
      <c r="AL751">
        <f t="shared" si="215"/>
        <v>0.31238208272565643</v>
      </c>
      <c r="AM751">
        <f t="shared" si="216"/>
        <v>26.335438907614741</v>
      </c>
      <c r="AO751">
        <f t="shared" si="217"/>
        <v>0.31158120589229882</v>
      </c>
      <c r="AP751">
        <f t="shared" si="218"/>
        <v>26.20057582011086</v>
      </c>
    </row>
    <row r="752" spans="1:42" x14ac:dyDescent="0.2">
      <c r="A752" s="3">
        <v>750</v>
      </c>
      <c r="B752" s="3">
        <v>5.1600000000000001E-7</v>
      </c>
      <c r="C752" s="2">
        <v>3.909E-2</v>
      </c>
      <c r="D752" s="3">
        <v>221000</v>
      </c>
      <c r="E752" s="3">
        <v>107000000000</v>
      </c>
      <c r="F752" s="3">
        <v>97400000000</v>
      </c>
      <c r="G752" s="3">
        <v>15700000000</v>
      </c>
      <c r="H752" s="3">
        <v>11000000000</v>
      </c>
      <c r="I752" s="2"/>
      <c r="J752" s="7">
        <f t="shared" si="202"/>
        <v>0.51600000000000001</v>
      </c>
      <c r="K752" s="7">
        <f t="shared" si="203"/>
        <v>39.089999999999996</v>
      </c>
      <c r="L752" s="7">
        <f t="shared" si="204"/>
        <v>107</v>
      </c>
      <c r="M752" s="7">
        <f t="shared" si="205"/>
        <v>221</v>
      </c>
      <c r="O752">
        <f t="shared" si="206"/>
        <v>0.38334162895927604</v>
      </c>
      <c r="P752">
        <f t="shared" si="207"/>
        <v>383.34162895927602</v>
      </c>
      <c r="V752">
        <f t="shared" si="208"/>
        <v>891.70201220096908</v>
      </c>
      <c r="W752">
        <f t="shared" si="209"/>
        <v>123.92032146171253</v>
      </c>
      <c r="AE752">
        <f t="shared" si="210"/>
        <v>0.74946347883037678</v>
      </c>
      <c r="AF752">
        <f t="shared" si="211"/>
        <v>0.72636658772547702</v>
      </c>
      <c r="AG752">
        <f t="shared" si="212"/>
        <v>0.72823361359749139</v>
      </c>
      <c r="AI752">
        <f t="shared" si="213"/>
        <v>0.28687188378482703</v>
      </c>
      <c r="AJ752">
        <f t="shared" si="214"/>
        <v>22.152115916401183</v>
      </c>
      <c r="AL752">
        <f t="shared" si="215"/>
        <v>0.29599379105975221</v>
      </c>
      <c r="AM752">
        <f t="shared" si="216"/>
        <v>23.583293015731904</v>
      </c>
      <c r="AO752">
        <f t="shared" si="217"/>
        <v>0.29523493009048962</v>
      </c>
      <c r="AP752">
        <f t="shared" si="218"/>
        <v>23.462523594695575</v>
      </c>
    </row>
    <row r="753" spans="1:42" x14ac:dyDescent="0.2">
      <c r="A753" s="3">
        <v>750</v>
      </c>
      <c r="B753" s="3">
        <v>5.1699999999999998E-7</v>
      </c>
      <c r="C753" s="2">
        <v>3.9140000000000001E-2</v>
      </c>
      <c r="D753" s="3">
        <v>221000</v>
      </c>
      <c r="E753" s="3">
        <v>107000000000</v>
      </c>
      <c r="F753" s="3">
        <v>97400000000</v>
      </c>
      <c r="G753" s="3">
        <v>10400000000</v>
      </c>
      <c r="H753" s="3">
        <v>11000000000</v>
      </c>
      <c r="I753" s="2"/>
      <c r="J753" s="7">
        <f t="shared" si="202"/>
        <v>0.51700000000000002</v>
      </c>
      <c r="K753" s="7">
        <f t="shared" si="203"/>
        <v>39.14</v>
      </c>
      <c r="L753" s="7">
        <f t="shared" si="204"/>
        <v>107</v>
      </c>
      <c r="M753" s="7">
        <f t="shared" si="205"/>
        <v>221</v>
      </c>
      <c r="O753">
        <f t="shared" si="206"/>
        <v>0.38417194570135749</v>
      </c>
      <c r="P753">
        <f t="shared" si="207"/>
        <v>384.17194570135746</v>
      </c>
      <c r="V753">
        <f t="shared" si="208"/>
        <v>892.55715596968616</v>
      </c>
      <c r="W753">
        <f t="shared" si="209"/>
        <v>123.80159551793778</v>
      </c>
      <c r="AE753">
        <f t="shared" si="210"/>
        <v>0.74946347883037678</v>
      </c>
      <c r="AF753">
        <f t="shared" si="211"/>
        <v>0.72636658772547702</v>
      </c>
      <c r="AG753">
        <f t="shared" si="212"/>
        <v>0.72823361359749139</v>
      </c>
      <c r="AI753">
        <f t="shared" si="213"/>
        <v>0.28742783704797592</v>
      </c>
      <c r="AJ753">
        <f t="shared" si="214"/>
        <v>22.180450677102645</v>
      </c>
      <c r="AL753">
        <f t="shared" si="215"/>
        <v>0.29656742243777495</v>
      </c>
      <c r="AM753">
        <f t="shared" si="216"/>
        <v>23.613458394365484</v>
      </c>
      <c r="AO753">
        <f t="shared" si="217"/>
        <v>0.29580709080771928</v>
      </c>
      <c r="AP753">
        <f t="shared" si="218"/>
        <v>23.49253449722141</v>
      </c>
    </row>
    <row r="754" spans="1:42" x14ac:dyDescent="0.2">
      <c r="A754" s="3">
        <v>750</v>
      </c>
      <c r="B754" s="3">
        <v>5.1699999999999998E-7</v>
      </c>
      <c r="C754" s="2">
        <v>3.9199999999999999E-2</v>
      </c>
      <c r="D754" s="3">
        <v>227000</v>
      </c>
      <c r="E754" s="3">
        <v>110000000000</v>
      </c>
      <c r="F754" s="3">
        <v>99500000000</v>
      </c>
      <c r="G754" s="2">
        <v>0</v>
      </c>
      <c r="H754" s="3">
        <v>10900000000</v>
      </c>
      <c r="I754" s="2"/>
      <c r="J754" s="7">
        <f t="shared" si="202"/>
        <v>0.51700000000000002</v>
      </c>
      <c r="K754" s="7">
        <f t="shared" si="203"/>
        <v>39.199999999999996</v>
      </c>
      <c r="L754" s="7">
        <f t="shared" si="204"/>
        <v>110</v>
      </c>
      <c r="M754" s="7">
        <f t="shared" si="205"/>
        <v>227</v>
      </c>
      <c r="O754">
        <f t="shared" si="206"/>
        <v>0.38748458149779741</v>
      </c>
      <c r="P754">
        <f t="shared" si="207"/>
        <v>387.48458149779742</v>
      </c>
      <c r="V754">
        <f t="shared" si="208"/>
        <v>895.95863589816452</v>
      </c>
      <c r="W754">
        <f t="shared" si="209"/>
        <v>126.67995536001565</v>
      </c>
      <c r="AE754">
        <f t="shared" si="210"/>
        <v>0.76981090359500248</v>
      </c>
      <c r="AF754">
        <f t="shared" si="211"/>
        <v>0.74608694757322747</v>
      </c>
      <c r="AG754">
        <f t="shared" si="212"/>
        <v>0.74800466193045501</v>
      </c>
      <c r="AI754">
        <f t="shared" si="213"/>
        <v>0.27983062549604698</v>
      </c>
      <c r="AJ754">
        <f t="shared" si="214"/>
        <v>21.055639914946418</v>
      </c>
      <c r="AL754">
        <f t="shared" si="215"/>
        <v>0.28872863594162235</v>
      </c>
      <c r="AM754">
        <f t="shared" si="216"/>
        <v>22.415977219597039</v>
      </c>
      <c r="AO754">
        <f t="shared" si="217"/>
        <v>0.28798840118284563</v>
      </c>
      <c r="AP754">
        <f t="shared" si="218"/>
        <v>22.301185591940605</v>
      </c>
    </row>
    <row r="755" spans="1:42" x14ac:dyDescent="0.2">
      <c r="A755" s="3">
        <v>750</v>
      </c>
      <c r="B755" s="3">
        <v>5.1799999999999995E-7</v>
      </c>
      <c r="C755" s="2">
        <v>3.925E-2</v>
      </c>
      <c r="D755" s="3">
        <v>201000</v>
      </c>
      <c r="E755" s="3">
        <v>98100000000</v>
      </c>
      <c r="F755" s="3">
        <v>89900000000</v>
      </c>
      <c r="G755" s="3">
        <v>3480000000</v>
      </c>
      <c r="H755" s="3">
        <v>11400000000</v>
      </c>
      <c r="I755" s="2"/>
      <c r="J755" s="7">
        <f t="shared" si="202"/>
        <v>0.5179999999999999</v>
      </c>
      <c r="K755" s="7">
        <f t="shared" si="203"/>
        <v>39.25</v>
      </c>
      <c r="L755" s="7">
        <f t="shared" si="204"/>
        <v>98.100000000000009</v>
      </c>
      <c r="M755" s="7">
        <f t="shared" si="205"/>
        <v>201</v>
      </c>
      <c r="O755">
        <f t="shared" si="206"/>
        <v>0.3715447761194029</v>
      </c>
      <c r="P755">
        <f t="shared" si="207"/>
        <v>371.54477611940291</v>
      </c>
      <c r="V755">
        <f t="shared" si="208"/>
        <v>879.43921628508747</v>
      </c>
      <c r="W755">
        <f t="shared" si="209"/>
        <v>114.27736919048303</v>
      </c>
      <c r="AE755">
        <f t="shared" si="210"/>
        <v>0.68163872961495808</v>
      </c>
      <c r="AF755">
        <f t="shared" si="211"/>
        <v>0.66063205489964194</v>
      </c>
      <c r="AG755">
        <f t="shared" si="212"/>
        <v>0.66233011915427953</v>
      </c>
      <c r="AI755">
        <f t="shared" si="213"/>
        <v>0.31663889382466948</v>
      </c>
      <c r="AJ755">
        <f t="shared" si="214"/>
        <v>26.889432618615732</v>
      </c>
      <c r="AL755">
        <f t="shared" si="215"/>
        <v>0.32670732782731987</v>
      </c>
      <c r="AM755">
        <f t="shared" si="216"/>
        <v>28.626672542918708</v>
      </c>
      <c r="AO755">
        <f t="shared" si="217"/>
        <v>0.32586972431350092</v>
      </c>
      <c r="AP755">
        <f t="shared" si="218"/>
        <v>28.480076108447118</v>
      </c>
    </row>
    <row r="756" spans="1:42" x14ac:dyDescent="0.2">
      <c r="A756" s="3">
        <v>750</v>
      </c>
      <c r="B756" s="3">
        <v>5.1799999999999995E-7</v>
      </c>
      <c r="C756" s="2">
        <v>3.9300000000000002E-2</v>
      </c>
      <c r="D756" s="3">
        <v>203000</v>
      </c>
      <c r="E756" s="3">
        <v>99100000000</v>
      </c>
      <c r="F756" s="3">
        <v>90700000000</v>
      </c>
      <c r="G756" s="3">
        <v>6190000000</v>
      </c>
      <c r="H756" s="3">
        <v>11400000000</v>
      </c>
      <c r="I756" s="2"/>
      <c r="J756" s="7">
        <f t="shared" si="202"/>
        <v>0.5179999999999999</v>
      </c>
      <c r="K756" s="7">
        <f t="shared" si="203"/>
        <v>39.300000000000004</v>
      </c>
      <c r="L756" s="7">
        <f t="shared" si="204"/>
        <v>99.100000000000009</v>
      </c>
      <c r="M756" s="7">
        <f t="shared" si="205"/>
        <v>203</v>
      </c>
      <c r="O756">
        <f t="shared" si="206"/>
        <v>0.37280295566502453</v>
      </c>
      <c r="P756">
        <f t="shared" si="207"/>
        <v>372.80295566502451</v>
      </c>
      <c r="V756">
        <f t="shared" si="208"/>
        <v>880.75732605774192</v>
      </c>
      <c r="W756">
        <f t="shared" si="209"/>
        <v>115.24173231043407</v>
      </c>
      <c r="AE756">
        <f t="shared" si="210"/>
        <v>0.68842120453650002</v>
      </c>
      <c r="AF756">
        <f t="shared" si="211"/>
        <v>0.66720550818222546</v>
      </c>
      <c r="AG756">
        <f t="shared" si="212"/>
        <v>0.66892046859860066</v>
      </c>
      <c r="AI756">
        <f t="shared" si="213"/>
        <v>0.3135192988116185</v>
      </c>
      <c r="AJ756">
        <f t="shared" si="214"/>
        <v>26.395784058630742</v>
      </c>
      <c r="AL756">
        <f t="shared" si="215"/>
        <v>0.32348853642015413</v>
      </c>
      <c r="AM756">
        <f t="shared" si="216"/>
        <v>28.101130934123649</v>
      </c>
      <c r="AO756">
        <f t="shared" si="217"/>
        <v>0.32265918515770292</v>
      </c>
      <c r="AP756">
        <f t="shared" si="218"/>
        <v>27.95722578435867</v>
      </c>
    </row>
    <row r="757" spans="1:42" x14ac:dyDescent="0.2">
      <c r="A757" s="3">
        <v>760</v>
      </c>
      <c r="B757" s="3">
        <v>5.1900000000000003E-7</v>
      </c>
      <c r="C757" s="2">
        <v>3.9350000000000003E-2</v>
      </c>
      <c r="D757" s="3">
        <v>196000</v>
      </c>
      <c r="E757" s="3">
        <v>95900000000</v>
      </c>
      <c r="F757" s="3">
        <v>88000000000</v>
      </c>
      <c r="G757" s="3">
        <v>5920000000</v>
      </c>
      <c r="H757" s="3">
        <v>11500000000</v>
      </c>
      <c r="I757" s="2"/>
      <c r="J757" s="7">
        <f t="shared" si="202"/>
        <v>0.51900000000000002</v>
      </c>
      <c r="K757" s="7">
        <f t="shared" si="203"/>
        <v>39.35</v>
      </c>
      <c r="L757" s="7">
        <f t="shared" si="204"/>
        <v>95.9</v>
      </c>
      <c r="M757" s="7">
        <f t="shared" si="205"/>
        <v>196</v>
      </c>
      <c r="O757">
        <f t="shared" si="206"/>
        <v>0.3684260204081633</v>
      </c>
      <c r="P757">
        <f t="shared" si="207"/>
        <v>368.42602040816331</v>
      </c>
      <c r="V757">
        <f t="shared" si="208"/>
        <v>876.16114917696677</v>
      </c>
      <c r="W757">
        <f t="shared" si="209"/>
        <v>111.85156987622375</v>
      </c>
      <c r="AE757">
        <f t="shared" si="210"/>
        <v>0.66468254231110346</v>
      </c>
      <c r="AF757">
        <f t="shared" si="211"/>
        <v>0.6441984216931832</v>
      </c>
      <c r="AG757">
        <f t="shared" si="212"/>
        <v>0.64585424554347659</v>
      </c>
      <c r="AI757">
        <f t="shared" si="213"/>
        <v>0.32534328229548204</v>
      </c>
      <c r="AJ757">
        <f t="shared" si="214"/>
        <v>28.350889299238187</v>
      </c>
      <c r="AL757">
        <f t="shared" si="215"/>
        <v>0.33568849708078746</v>
      </c>
      <c r="AM757">
        <f t="shared" si="216"/>
        <v>30.182549248285714</v>
      </c>
      <c r="AO757">
        <f t="shared" si="217"/>
        <v>0.33482786788531355</v>
      </c>
      <c r="AP757">
        <f t="shared" si="218"/>
        <v>30.02798521027437</v>
      </c>
    </row>
    <row r="758" spans="1:42" x14ac:dyDescent="0.2">
      <c r="A758" s="3">
        <v>760</v>
      </c>
      <c r="B758" s="3">
        <v>5.2E-7</v>
      </c>
      <c r="C758" s="2">
        <v>3.9410000000000001E-2</v>
      </c>
      <c r="D758" s="3">
        <v>209000</v>
      </c>
      <c r="E758" s="3">
        <v>101000000000</v>
      </c>
      <c r="F758" s="3">
        <v>92700000000</v>
      </c>
      <c r="G758" s="3">
        <v>2790000000</v>
      </c>
      <c r="H758" s="3">
        <v>11300000000</v>
      </c>
      <c r="I758" s="2"/>
      <c r="J758" s="7">
        <f t="shared" si="202"/>
        <v>0.52</v>
      </c>
      <c r="K758" s="7">
        <f t="shared" si="203"/>
        <v>39.410000000000004</v>
      </c>
      <c r="L758" s="7">
        <f t="shared" si="204"/>
        <v>101</v>
      </c>
      <c r="M758" s="7">
        <f t="shared" si="205"/>
        <v>209</v>
      </c>
      <c r="O758">
        <f t="shared" si="206"/>
        <v>0.37857655502392346</v>
      </c>
      <c r="P758">
        <f t="shared" si="207"/>
        <v>378.57655502392345</v>
      </c>
      <c r="V758">
        <f t="shared" si="208"/>
        <v>886.7743912153536</v>
      </c>
      <c r="W758">
        <f t="shared" si="209"/>
        <v>117.84282567833212</v>
      </c>
      <c r="AE758">
        <f t="shared" si="210"/>
        <v>0.70876862930112561</v>
      </c>
      <c r="AF758">
        <f t="shared" si="211"/>
        <v>0.68692586802997602</v>
      </c>
      <c r="AG758">
        <f t="shared" si="212"/>
        <v>0.68869151693156427</v>
      </c>
      <c r="AI758">
        <f t="shared" si="213"/>
        <v>0.30569449282808797</v>
      </c>
      <c r="AJ758">
        <f t="shared" si="214"/>
        <v>24.971691146641287</v>
      </c>
      <c r="AL758">
        <f t="shared" si="215"/>
        <v>0.31541491848027448</v>
      </c>
      <c r="AM758">
        <f t="shared" si="216"/>
        <v>26.585031950540394</v>
      </c>
      <c r="AO758">
        <f t="shared" si="217"/>
        <v>0.31460626614368037</v>
      </c>
      <c r="AP758">
        <f t="shared" si="218"/>
        <v>26.44889070365187</v>
      </c>
    </row>
    <row r="759" spans="1:42" x14ac:dyDescent="0.2">
      <c r="A759" s="3">
        <v>760</v>
      </c>
      <c r="B759" s="3">
        <v>5.2E-7</v>
      </c>
      <c r="C759" s="2">
        <v>3.9460000000000002E-2</v>
      </c>
      <c r="D759" s="3">
        <v>216000</v>
      </c>
      <c r="E759" s="3">
        <v>105000000000</v>
      </c>
      <c r="F759" s="3">
        <v>95300000000</v>
      </c>
      <c r="G759" s="3">
        <v>11600000000</v>
      </c>
      <c r="H759" s="3">
        <v>11100000000</v>
      </c>
      <c r="I759" s="2"/>
      <c r="J759" s="7">
        <f t="shared" si="202"/>
        <v>0.52</v>
      </c>
      <c r="K759" s="7">
        <f t="shared" si="203"/>
        <v>39.46</v>
      </c>
      <c r="L759" s="7">
        <f t="shared" si="204"/>
        <v>105</v>
      </c>
      <c r="M759" s="7">
        <f t="shared" si="205"/>
        <v>216</v>
      </c>
      <c r="O759">
        <f t="shared" si="206"/>
        <v>0.38298611111111114</v>
      </c>
      <c r="P759">
        <f t="shared" si="207"/>
        <v>382.98611111111114</v>
      </c>
      <c r="V759">
        <f t="shared" si="208"/>
        <v>891.3355487123232</v>
      </c>
      <c r="W759">
        <f t="shared" si="209"/>
        <v>121.1664901686276</v>
      </c>
      <c r="AE759">
        <f t="shared" si="210"/>
        <v>0.73250729152652216</v>
      </c>
      <c r="AF759">
        <f t="shared" si="211"/>
        <v>0.70993295451901828</v>
      </c>
      <c r="AG759">
        <f t="shared" si="212"/>
        <v>0.71175773998668845</v>
      </c>
      <c r="AI759">
        <f t="shared" si="213"/>
        <v>0.29578772685680738</v>
      </c>
      <c r="AJ759">
        <f t="shared" si="214"/>
        <v>23.409043617623844</v>
      </c>
      <c r="AL759">
        <f t="shared" si="215"/>
        <v>0.30519313871471004</v>
      </c>
      <c r="AM759">
        <f t="shared" si="216"/>
        <v>24.921426780894151</v>
      </c>
      <c r="AO759">
        <f t="shared" si="217"/>
        <v>0.30441069270383891</v>
      </c>
      <c r="AP759">
        <f t="shared" si="218"/>
        <v>24.793804812167387</v>
      </c>
    </row>
    <row r="760" spans="1:42" x14ac:dyDescent="0.2">
      <c r="A760" s="3">
        <v>760</v>
      </c>
      <c r="B760" s="3">
        <v>5.2099999999999997E-7</v>
      </c>
      <c r="C760" s="2">
        <v>3.9510000000000003E-2</v>
      </c>
      <c r="D760" s="3">
        <v>201000</v>
      </c>
      <c r="E760" s="3">
        <v>97700000000</v>
      </c>
      <c r="F760" s="3">
        <v>89600000000</v>
      </c>
      <c r="G760" s="3">
        <v>1380000000</v>
      </c>
      <c r="H760" s="3">
        <v>11400000000</v>
      </c>
      <c r="I760" s="2"/>
      <c r="J760" s="7">
        <f t="shared" si="202"/>
        <v>0.52100000000000002</v>
      </c>
      <c r="K760" s="7">
        <f t="shared" si="203"/>
        <v>39.510000000000005</v>
      </c>
      <c r="L760" s="7">
        <f t="shared" si="204"/>
        <v>97.7</v>
      </c>
      <c r="M760" s="7">
        <f t="shared" si="205"/>
        <v>201</v>
      </c>
      <c r="O760">
        <f t="shared" si="206"/>
        <v>0.37357462686567167</v>
      </c>
      <c r="P760">
        <f t="shared" si="207"/>
        <v>373.57462686567169</v>
      </c>
      <c r="V760">
        <f t="shared" si="208"/>
        <v>881.56452835553739</v>
      </c>
      <c r="W760">
        <f t="shared" si="209"/>
        <v>114.00186460255134</v>
      </c>
      <c r="AE760">
        <f t="shared" si="210"/>
        <v>0.68163872961495808</v>
      </c>
      <c r="AF760">
        <f t="shared" si="211"/>
        <v>0.66063205489964194</v>
      </c>
      <c r="AG760">
        <f t="shared" si="212"/>
        <v>0.66233011915427953</v>
      </c>
      <c r="AI760">
        <f t="shared" si="213"/>
        <v>0.3184727098120711</v>
      </c>
      <c r="AJ760">
        <f t="shared" si="214"/>
        <v>27.067553700930134</v>
      </c>
      <c r="AL760">
        <f t="shared" si="215"/>
        <v>0.32859945520855927</v>
      </c>
      <c r="AM760">
        <f t="shared" si="216"/>
        <v>28.81630145657881</v>
      </c>
      <c r="AO760">
        <f t="shared" si="217"/>
        <v>0.32775700070913905</v>
      </c>
      <c r="AP760">
        <f t="shared" si="218"/>
        <v>28.668733937445751</v>
      </c>
    </row>
    <row r="761" spans="1:42" x14ac:dyDescent="0.2">
      <c r="A761" s="3">
        <v>760</v>
      </c>
      <c r="B761" s="3">
        <v>5.2099999999999997E-7</v>
      </c>
      <c r="C761" s="2">
        <v>3.9559999999999998E-2</v>
      </c>
      <c r="D761" s="3">
        <v>203000</v>
      </c>
      <c r="E761" s="3">
        <v>98700000000</v>
      </c>
      <c r="F761" s="3">
        <v>90400000000</v>
      </c>
      <c r="G761" s="3">
        <v>1490000000</v>
      </c>
      <c r="H761" s="3">
        <v>11400000000</v>
      </c>
      <c r="I761" s="2"/>
      <c r="J761" s="7">
        <f t="shared" si="202"/>
        <v>0.52100000000000002</v>
      </c>
      <c r="K761" s="7">
        <f t="shared" si="203"/>
        <v>39.559999999999995</v>
      </c>
      <c r="L761" s="7">
        <f t="shared" si="204"/>
        <v>98.7</v>
      </c>
      <c r="M761" s="7">
        <f t="shared" si="205"/>
        <v>203</v>
      </c>
      <c r="O761">
        <f t="shared" si="206"/>
        <v>0.37484236453201975</v>
      </c>
      <c r="P761">
        <f t="shared" si="207"/>
        <v>374.84236453201976</v>
      </c>
      <c r="V761">
        <f t="shared" si="208"/>
        <v>882.88862460069163</v>
      </c>
      <c r="W761">
        <f t="shared" si="209"/>
        <v>114.96353806337227</v>
      </c>
      <c r="AE761">
        <f t="shared" si="210"/>
        <v>0.68842120453650002</v>
      </c>
      <c r="AF761">
        <f t="shared" si="211"/>
        <v>0.66720550818222546</v>
      </c>
      <c r="AG761">
        <f t="shared" si="212"/>
        <v>0.66892046859860066</v>
      </c>
      <c r="AI761">
        <f t="shared" si="213"/>
        <v>0.31533504764643489</v>
      </c>
      <c r="AJ761">
        <f t="shared" si="214"/>
        <v>26.570412655456281</v>
      </c>
      <c r="AL761">
        <f t="shared" si="215"/>
        <v>0.3253620221523173</v>
      </c>
      <c r="AM761">
        <f t="shared" si="216"/>
        <v>28.287041724018607</v>
      </c>
      <c r="AO761">
        <f t="shared" si="217"/>
        <v>0.32452786769722636</v>
      </c>
      <c r="AP761">
        <f t="shared" si="218"/>
        <v>28.142184530005821</v>
      </c>
    </row>
    <row r="762" spans="1:42" x14ac:dyDescent="0.2">
      <c r="A762" s="3">
        <v>760</v>
      </c>
      <c r="B762" s="3">
        <v>5.2200000000000004E-7</v>
      </c>
      <c r="C762" s="2">
        <v>3.9609999999999999E-2</v>
      </c>
      <c r="D762" s="3">
        <v>199000</v>
      </c>
      <c r="E762" s="3">
        <v>96900000000</v>
      </c>
      <c r="F762" s="3">
        <v>88900000000</v>
      </c>
      <c r="G762" s="2">
        <v>0</v>
      </c>
      <c r="H762" s="3">
        <v>11500000000</v>
      </c>
      <c r="I762" s="2"/>
      <c r="J762" s="7">
        <f t="shared" si="202"/>
        <v>0.52200000000000002</v>
      </c>
      <c r="K762" s="7">
        <f t="shared" si="203"/>
        <v>39.61</v>
      </c>
      <c r="L762" s="7">
        <f t="shared" si="204"/>
        <v>96.9</v>
      </c>
      <c r="M762" s="7">
        <f t="shared" si="205"/>
        <v>199</v>
      </c>
      <c r="O762">
        <f t="shared" si="206"/>
        <v>0.3727160804020101</v>
      </c>
      <c r="P762">
        <f t="shared" si="207"/>
        <v>372.71608040201011</v>
      </c>
      <c r="V762">
        <f t="shared" si="208"/>
        <v>880.66639241905727</v>
      </c>
      <c r="W762">
        <f t="shared" si="209"/>
        <v>112.98262413158353</v>
      </c>
      <c r="AE762">
        <f t="shared" si="210"/>
        <v>0.67485625469341626</v>
      </c>
      <c r="AF762">
        <f t="shared" si="211"/>
        <v>0.65405860161705842</v>
      </c>
      <c r="AG762">
        <f t="shared" si="212"/>
        <v>0.65573976970995829</v>
      </c>
      <c r="AI762">
        <f t="shared" si="213"/>
        <v>0.32229085599689544</v>
      </c>
      <c r="AJ762">
        <f t="shared" si="214"/>
        <v>27.684251235224316</v>
      </c>
      <c r="AL762">
        <f t="shared" si="215"/>
        <v>0.33253901020835902</v>
      </c>
      <c r="AM762">
        <f t="shared" si="216"/>
        <v>29.472841838916327</v>
      </c>
      <c r="AO762">
        <f t="shared" si="217"/>
        <v>0.33168645558313919</v>
      </c>
      <c r="AP762">
        <f t="shared" si="218"/>
        <v>29.321912193815159</v>
      </c>
    </row>
    <row r="763" spans="1:42" x14ac:dyDescent="0.2">
      <c r="A763" s="3">
        <v>760</v>
      </c>
      <c r="B763" s="3">
        <v>5.2300000000000001E-7</v>
      </c>
      <c r="C763" s="2">
        <v>3.9669999999999997E-2</v>
      </c>
      <c r="D763" s="3">
        <v>220000</v>
      </c>
      <c r="E763" s="3">
        <v>106000000000</v>
      </c>
      <c r="F763" s="3">
        <v>96600000000</v>
      </c>
      <c r="G763" s="3">
        <v>3250000000</v>
      </c>
      <c r="H763" s="3">
        <v>11100000000</v>
      </c>
      <c r="I763" s="2"/>
      <c r="J763" s="7">
        <f t="shared" si="202"/>
        <v>0.52300000000000002</v>
      </c>
      <c r="K763" s="7">
        <f t="shared" si="203"/>
        <v>39.669999999999995</v>
      </c>
      <c r="L763" s="7">
        <f t="shared" si="204"/>
        <v>106</v>
      </c>
      <c r="M763" s="7">
        <f t="shared" si="205"/>
        <v>220</v>
      </c>
      <c r="O763">
        <f t="shared" si="206"/>
        <v>0.38776136363636371</v>
      </c>
      <c r="P763">
        <f t="shared" si="207"/>
        <v>387.76136363636368</v>
      </c>
      <c r="V763">
        <f t="shared" si="208"/>
        <v>896.2421068472604</v>
      </c>
      <c r="W763">
        <f t="shared" si="209"/>
        <v>122.73469318123261</v>
      </c>
      <c r="AE763">
        <f t="shared" si="210"/>
        <v>0.74607224136960593</v>
      </c>
      <c r="AF763">
        <f t="shared" si="211"/>
        <v>0.7230798610841852</v>
      </c>
      <c r="AG763">
        <f t="shared" si="212"/>
        <v>0.72493843887533083</v>
      </c>
      <c r="AI763">
        <f t="shared" si="213"/>
        <v>0.29208520915699132</v>
      </c>
      <c r="AJ763">
        <f t="shared" si="214"/>
        <v>22.685634521136816</v>
      </c>
      <c r="AL763">
        <f t="shared" si="215"/>
        <v>0.30137288893639308</v>
      </c>
      <c r="AM763">
        <f t="shared" si="216"/>
        <v>24.15128054488299</v>
      </c>
      <c r="AO763">
        <f t="shared" si="217"/>
        <v>0.30060023717978385</v>
      </c>
      <c r="AP763">
        <f t="shared" si="218"/>
        <v>24.027602474702292</v>
      </c>
    </row>
    <row r="764" spans="1:42" x14ac:dyDescent="0.2">
      <c r="A764" s="3">
        <v>760</v>
      </c>
      <c r="B764" s="3">
        <v>5.2300000000000001E-7</v>
      </c>
      <c r="C764" s="2">
        <v>3.9719999999999998E-2</v>
      </c>
      <c r="D764" s="3">
        <v>194000</v>
      </c>
      <c r="E764" s="3">
        <v>94700000000</v>
      </c>
      <c r="F764" s="3">
        <v>87100000000</v>
      </c>
      <c r="G764" s="3">
        <v>5730000000</v>
      </c>
      <c r="H764" s="3">
        <v>11600000000</v>
      </c>
      <c r="I764" s="2"/>
      <c r="J764" s="7">
        <f t="shared" si="202"/>
        <v>0.52300000000000002</v>
      </c>
      <c r="K764" s="7">
        <f t="shared" si="203"/>
        <v>39.72</v>
      </c>
      <c r="L764" s="7">
        <f t="shared" si="204"/>
        <v>94.7</v>
      </c>
      <c r="M764" s="7">
        <f t="shared" si="205"/>
        <v>194</v>
      </c>
      <c r="O764">
        <f t="shared" si="206"/>
        <v>0.36944329896907219</v>
      </c>
      <c r="P764">
        <f t="shared" si="207"/>
        <v>369.4432989690722</v>
      </c>
      <c r="V764">
        <f t="shared" si="208"/>
        <v>877.23208468757321</v>
      </c>
      <c r="W764">
        <f t="shared" si="209"/>
        <v>110.57507094550311</v>
      </c>
      <c r="AE764">
        <f t="shared" si="210"/>
        <v>0.65790006738956153</v>
      </c>
      <c r="AF764">
        <f t="shared" si="211"/>
        <v>0.63762496841059968</v>
      </c>
      <c r="AG764">
        <f t="shared" si="212"/>
        <v>0.63926389609915535</v>
      </c>
      <c r="AI764">
        <f t="shared" si="213"/>
        <v>0.33123064955947479</v>
      </c>
      <c r="AJ764">
        <f t="shared" si="214"/>
        <v>29.210559274908121</v>
      </c>
      <c r="AL764">
        <f t="shared" si="215"/>
        <v>0.34176306992786842</v>
      </c>
      <c r="AM764">
        <f t="shared" si="216"/>
        <v>31.097759741475699</v>
      </c>
      <c r="AO764">
        <f t="shared" si="217"/>
        <v>0.34088686690490949</v>
      </c>
      <c r="AP764">
        <f t="shared" si="218"/>
        <v>30.938508934686343</v>
      </c>
    </row>
    <row r="765" spans="1:42" x14ac:dyDescent="0.2">
      <c r="A765" s="3">
        <v>760</v>
      </c>
      <c r="B765" s="3">
        <v>5.2399999999999998E-7</v>
      </c>
      <c r="C765" s="2">
        <v>3.977E-2</v>
      </c>
      <c r="D765" s="3">
        <v>210000</v>
      </c>
      <c r="E765" s="3">
        <v>101000000000</v>
      </c>
      <c r="F765" s="3">
        <v>92700000000</v>
      </c>
      <c r="G765" s="3">
        <v>9970000000</v>
      </c>
      <c r="H765" s="3">
        <v>11300000000</v>
      </c>
      <c r="I765" s="2"/>
      <c r="J765" s="7">
        <f t="shared" si="202"/>
        <v>0.52400000000000002</v>
      </c>
      <c r="K765" s="7">
        <f t="shared" si="203"/>
        <v>39.770000000000003</v>
      </c>
      <c r="L765" s="7">
        <f t="shared" si="204"/>
        <v>101</v>
      </c>
      <c r="M765" s="7">
        <f t="shared" si="205"/>
        <v>210</v>
      </c>
      <c r="O765">
        <f t="shared" si="206"/>
        <v>0.38196428571428576</v>
      </c>
      <c r="P765">
        <f t="shared" si="207"/>
        <v>381.96428571428578</v>
      </c>
      <c r="V765">
        <f t="shared" si="208"/>
        <v>890.28120734309539</v>
      </c>
      <c r="W765">
        <f t="shared" si="209"/>
        <v>117.94026329428657</v>
      </c>
      <c r="AE765">
        <f t="shared" si="210"/>
        <v>0.71215986676189658</v>
      </c>
      <c r="AF765">
        <f t="shared" si="211"/>
        <v>0.69021259467126772</v>
      </c>
      <c r="AG765">
        <f t="shared" si="212"/>
        <v>0.69198669165372484</v>
      </c>
      <c r="AI765">
        <f t="shared" si="213"/>
        <v>0.30657910326520948</v>
      </c>
      <c r="AJ765">
        <f t="shared" si="214"/>
        <v>24.960374306527484</v>
      </c>
      <c r="AL765">
        <f t="shared" si="215"/>
        <v>0.31632765762166432</v>
      </c>
      <c r="AM765">
        <f t="shared" si="216"/>
        <v>26.572983965714783</v>
      </c>
      <c r="AO765">
        <f t="shared" si="217"/>
        <v>0.31551666522885807</v>
      </c>
      <c r="AP765">
        <f t="shared" si="218"/>
        <v>26.436904416238541</v>
      </c>
    </row>
    <row r="766" spans="1:42" x14ac:dyDescent="0.2">
      <c r="A766" s="3">
        <v>760</v>
      </c>
      <c r="B766" s="3">
        <v>5.2399999999999998E-7</v>
      </c>
      <c r="C766" s="2">
        <v>3.9829999999999997E-2</v>
      </c>
      <c r="D766" s="3">
        <v>206000</v>
      </c>
      <c r="E766" s="3">
        <v>99900000000</v>
      </c>
      <c r="F766" s="3">
        <v>91400000000</v>
      </c>
      <c r="G766" s="2">
        <v>0</v>
      </c>
      <c r="H766" s="3">
        <v>11300000000</v>
      </c>
      <c r="I766" s="2"/>
      <c r="J766" s="7">
        <f t="shared" si="202"/>
        <v>0.52400000000000002</v>
      </c>
      <c r="K766" s="7">
        <f t="shared" si="203"/>
        <v>39.83</v>
      </c>
      <c r="L766" s="7">
        <f t="shared" si="204"/>
        <v>99.9</v>
      </c>
      <c r="M766" s="7">
        <f t="shared" si="205"/>
        <v>206</v>
      </c>
      <c r="O766">
        <f t="shared" si="206"/>
        <v>0.37898786407766993</v>
      </c>
      <c r="P766">
        <f t="shared" si="207"/>
        <v>378.98786407766994</v>
      </c>
      <c r="V766">
        <f t="shared" si="208"/>
        <v>887.20108830450317</v>
      </c>
      <c r="W766">
        <f t="shared" si="209"/>
        <v>116.09543919388044</v>
      </c>
      <c r="AE766">
        <f t="shared" si="210"/>
        <v>0.69859491691881281</v>
      </c>
      <c r="AF766">
        <f t="shared" si="211"/>
        <v>0.67706568810610068</v>
      </c>
      <c r="AG766">
        <f t="shared" si="212"/>
        <v>0.67880599276508247</v>
      </c>
      <c r="AI766">
        <f t="shared" si="213"/>
        <v>0.31253209556162137</v>
      </c>
      <c r="AJ766">
        <f t="shared" si="214"/>
        <v>25.978253948882223</v>
      </c>
      <c r="AL766">
        <f t="shared" si="215"/>
        <v>0.32246994223567726</v>
      </c>
      <c r="AM766">
        <f t="shared" si="216"/>
        <v>27.656625544288651</v>
      </c>
      <c r="AO766">
        <f t="shared" si="217"/>
        <v>0.32164320241776795</v>
      </c>
      <c r="AP766">
        <f t="shared" si="218"/>
        <v>27.514996694891984</v>
      </c>
    </row>
    <row r="767" spans="1:42" x14ac:dyDescent="0.2">
      <c r="A767" s="3">
        <v>770</v>
      </c>
      <c r="B767" s="3">
        <v>5.2499999999999995E-7</v>
      </c>
      <c r="C767" s="2">
        <v>3.9870000000000003E-2</v>
      </c>
      <c r="D767" s="3">
        <v>218000</v>
      </c>
      <c r="E767" s="3">
        <v>105000000000</v>
      </c>
      <c r="F767" s="3">
        <v>95600000000</v>
      </c>
      <c r="G767" s="2">
        <v>0</v>
      </c>
      <c r="H767" s="3">
        <v>11100000000</v>
      </c>
      <c r="I767" s="2"/>
      <c r="J767" s="7">
        <f t="shared" si="202"/>
        <v>0.52499999999999991</v>
      </c>
      <c r="K767" s="7">
        <f t="shared" si="203"/>
        <v>39.870000000000005</v>
      </c>
      <c r="L767" s="7">
        <f t="shared" si="204"/>
        <v>105</v>
      </c>
      <c r="M767" s="7">
        <f t="shared" si="205"/>
        <v>218</v>
      </c>
      <c r="O767">
        <f t="shared" si="206"/>
        <v>0.38783256880733935</v>
      </c>
      <c r="P767">
        <f t="shared" si="207"/>
        <v>387.83256880733933</v>
      </c>
      <c r="V767">
        <f t="shared" si="208"/>
        <v>896.31501455906198</v>
      </c>
      <c r="W767">
        <f t="shared" si="209"/>
        <v>121.60903056345882</v>
      </c>
      <c r="AE767">
        <f t="shared" si="210"/>
        <v>0.73928976644806399</v>
      </c>
      <c r="AF767">
        <f t="shared" si="211"/>
        <v>0.71650640780160169</v>
      </c>
      <c r="AG767">
        <f t="shared" si="212"/>
        <v>0.71834808943100958</v>
      </c>
      <c r="AI767">
        <f t="shared" si="213"/>
        <v>0.29589209796720134</v>
      </c>
      <c r="AJ767">
        <f t="shared" si="214"/>
        <v>23.220274030231089</v>
      </c>
      <c r="AL767">
        <f t="shared" si="215"/>
        <v>0.30530082860134189</v>
      </c>
      <c r="AM767">
        <f t="shared" si="216"/>
        <v>24.720461396425119</v>
      </c>
      <c r="AO767">
        <f t="shared" si="217"/>
        <v>0.30451810649801803</v>
      </c>
      <c r="AP767">
        <f t="shared" si="218"/>
        <v>24.593868566127597</v>
      </c>
    </row>
    <row r="768" spans="1:42" x14ac:dyDescent="0.2">
      <c r="A768" s="3">
        <v>770</v>
      </c>
      <c r="B768" s="3">
        <v>5.2499999999999995E-7</v>
      </c>
      <c r="C768" s="2">
        <v>3.993E-2</v>
      </c>
      <c r="D768" s="3">
        <v>187000</v>
      </c>
      <c r="E768" s="3">
        <v>91600000000</v>
      </c>
      <c r="F768" s="3">
        <v>84400000000</v>
      </c>
      <c r="G768" s="2">
        <v>0</v>
      </c>
      <c r="H768" s="3">
        <v>11800000000</v>
      </c>
      <c r="I768" s="2"/>
      <c r="J768" s="7">
        <f t="shared" si="202"/>
        <v>0.52499999999999991</v>
      </c>
      <c r="K768" s="7">
        <f t="shared" si="203"/>
        <v>39.93</v>
      </c>
      <c r="L768" s="7">
        <f t="shared" si="204"/>
        <v>91.600000000000009</v>
      </c>
      <c r="M768" s="7">
        <f t="shared" si="205"/>
        <v>187</v>
      </c>
      <c r="O768">
        <f t="shared" si="206"/>
        <v>0.36485294117647049</v>
      </c>
      <c r="P768">
        <f t="shared" si="207"/>
        <v>364.85294117647049</v>
      </c>
      <c r="V768">
        <f t="shared" si="208"/>
        <v>872.38649657342091</v>
      </c>
      <c r="W768">
        <f t="shared" si="209"/>
        <v>107.17726646073888</v>
      </c>
      <c r="AE768">
        <f t="shared" si="210"/>
        <v>0.63416140516416497</v>
      </c>
      <c r="AF768">
        <f t="shared" si="211"/>
        <v>0.61461788192155742</v>
      </c>
      <c r="AG768">
        <f t="shared" si="212"/>
        <v>0.61619767304403117</v>
      </c>
      <c r="AI768">
        <f t="shared" si="213"/>
        <v>0.34494372918101551</v>
      </c>
      <c r="AJ768">
        <f t="shared" si="214"/>
        <v>31.604592086408136</v>
      </c>
      <c r="AL768">
        <f t="shared" si="215"/>
        <v>0.35591219590958573</v>
      </c>
      <c r="AM768">
        <f t="shared" si="216"/>
        <v>33.646463327893805</v>
      </c>
      <c r="AO768">
        <f t="shared" si="217"/>
        <v>0.35499971773565742</v>
      </c>
      <c r="AP768">
        <f t="shared" si="218"/>
        <v>33.474160677313186</v>
      </c>
    </row>
    <row r="769" spans="1:42" x14ac:dyDescent="0.2">
      <c r="A769" s="3">
        <v>770</v>
      </c>
      <c r="B769" s="3">
        <v>5.2600000000000002E-7</v>
      </c>
      <c r="C769" s="2">
        <v>3.9980000000000002E-2</v>
      </c>
      <c r="D769" s="3">
        <v>213000</v>
      </c>
      <c r="E769" s="3">
        <v>103000000000</v>
      </c>
      <c r="F769" s="3">
        <v>93600000000</v>
      </c>
      <c r="G769" s="3">
        <v>2880000000</v>
      </c>
      <c r="H769" s="3">
        <v>11200000000</v>
      </c>
      <c r="I769" s="2"/>
      <c r="J769" s="7">
        <f t="shared" si="202"/>
        <v>0.52600000000000002</v>
      </c>
      <c r="K769" s="7">
        <f t="shared" si="203"/>
        <v>39.980000000000004</v>
      </c>
      <c r="L769" s="7">
        <f t="shared" si="204"/>
        <v>103</v>
      </c>
      <c r="M769" s="7">
        <f t="shared" si="205"/>
        <v>213</v>
      </c>
      <c r="O769">
        <f t="shared" si="206"/>
        <v>0.38522535211267606</v>
      </c>
      <c r="P769">
        <f t="shared" si="207"/>
        <v>385.22535211267603</v>
      </c>
      <c r="V769">
        <f t="shared" si="208"/>
        <v>893.64057980526638</v>
      </c>
      <c r="W769">
        <f t="shared" si="209"/>
        <v>119.17542959296618</v>
      </c>
      <c r="AE769">
        <f t="shared" si="210"/>
        <v>0.72233357914420937</v>
      </c>
      <c r="AF769">
        <f t="shared" si="211"/>
        <v>0.70007277459514294</v>
      </c>
      <c r="AG769">
        <f t="shared" si="212"/>
        <v>0.70187221582020665</v>
      </c>
      <c r="AI769">
        <f t="shared" si="213"/>
        <v>0.30341475600002726</v>
      </c>
      <c r="AJ769">
        <f t="shared" si="214"/>
        <v>24.390329932707928</v>
      </c>
      <c r="AL769">
        <f t="shared" si="215"/>
        <v>0.31306269093725625</v>
      </c>
      <c r="AM769">
        <f t="shared" si="216"/>
        <v>25.966110854789857</v>
      </c>
      <c r="AO769">
        <f t="shared" si="217"/>
        <v>0.31226006917875909</v>
      </c>
      <c r="AP769">
        <f t="shared" si="218"/>
        <v>25.833139086495823</v>
      </c>
    </row>
    <row r="770" spans="1:42" x14ac:dyDescent="0.2">
      <c r="A770" s="3">
        <v>770</v>
      </c>
      <c r="B770" s="3">
        <v>5.2699999999999999E-7</v>
      </c>
      <c r="C770" s="2">
        <v>4.0030000000000003E-2</v>
      </c>
      <c r="D770" s="3">
        <v>221000</v>
      </c>
      <c r="E770" s="3">
        <v>106000000000</v>
      </c>
      <c r="F770" s="3">
        <v>96600000000</v>
      </c>
      <c r="G770" s="3">
        <v>3590000000</v>
      </c>
      <c r="H770" s="3">
        <v>11000000000</v>
      </c>
      <c r="I770" s="2"/>
      <c r="J770" s="7">
        <f t="shared" si="202"/>
        <v>0.52700000000000002</v>
      </c>
      <c r="K770" s="7">
        <f t="shared" si="203"/>
        <v>40.03</v>
      </c>
      <c r="L770" s="7">
        <f t="shared" si="204"/>
        <v>106</v>
      </c>
      <c r="M770" s="7">
        <f t="shared" si="205"/>
        <v>221</v>
      </c>
      <c r="O770">
        <f t="shared" si="206"/>
        <v>0.39115158371040726</v>
      </c>
      <c r="P770">
        <f t="shared" si="207"/>
        <v>391.15158371040724</v>
      </c>
      <c r="V770">
        <f t="shared" si="208"/>
        <v>899.70515143879413</v>
      </c>
      <c r="W770">
        <f t="shared" si="209"/>
        <v>122.81801412750629</v>
      </c>
      <c r="AE770">
        <f t="shared" si="210"/>
        <v>0.74946347883037678</v>
      </c>
      <c r="AF770">
        <f t="shared" si="211"/>
        <v>0.72636658772547702</v>
      </c>
      <c r="AG770">
        <f t="shared" si="212"/>
        <v>0.72823361359749139</v>
      </c>
      <c r="AI770">
        <f t="shared" si="213"/>
        <v>0.29298736967946482</v>
      </c>
      <c r="AJ770">
        <f t="shared" si="214"/>
        <v>22.684809417588625</v>
      </c>
      <c r="AL770">
        <f t="shared" si="215"/>
        <v>0.30230373621800272</v>
      </c>
      <c r="AM770">
        <f t="shared" si="216"/>
        <v>24.150402134043187</v>
      </c>
      <c r="AO770">
        <f t="shared" si="217"/>
        <v>0.30152869798001558</v>
      </c>
      <c r="AP770">
        <f t="shared" si="218"/>
        <v>24.026728562181223</v>
      </c>
    </row>
    <row r="771" spans="1:42" x14ac:dyDescent="0.2">
      <c r="A771" s="3">
        <v>770</v>
      </c>
      <c r="B771" s="3">
        <v>5.2799999999999996E-7</v>
      </c>
      <c r="C771" s="2">
        <v>4.0079999999999998E-2</v>
      </c>
      <c r="D771" s="3">
        <v>206000</v>
      </c>
      <c r="E771" s="3">
        <v>99200000000</v>
      </c>
      <c r="F771" s="3">
        <v>90800000000</v>
      </c>
      <c r="G771" s="3">
        <v>6610000000</v>
      </c>
      <c r="H771" s="3">
        <v>11300000000</v>
      </c>
      <c r="I771" s="2"/>
      <c r="J771" s="7">
        <f t="shared" si="202"/>
        <v>0.52799999999999991</v>
      </c>
      <c r="K771" s="7">
        <f t="shared" si="203"/>
        <v>40.08</v>
      </c>
      <c r="L771" s="7">
        <f t="shared" si="204"/>
        <v>99.2</v>
      </c>
      <c r="M771" s="7">
        <f t="shared" si="205"/>
        <v>206</v>
      </c>
      <c r="O771">
        <f t="shared" si="206"/>
        <v>0.38207766990291253</v>
      </c>
      <c r="P771">
        <f t="shared" si="207"/>
        <v>382.07766990291253</v>
      </c>
      <c r="V771">
        <f t="shared" si="208"/>
        <v>890.39827700915282</v>
      </c>
      <c r="W771">
        <f t="shared" si="209"/>
        <v>115.67857065714112</v>
      </c>
      <c r="AE771">
        <f t="shared" si="210"/>
        <v>0.69859491691881281</v>
      </c>
      <c r="AF771">
        <f t="shared" si="211"/>
        <v>0.67706568810610068</v>
      </c>
      <c r="AG771">
        <f t="shared" si="212"/>
        <v>0.67880599276508247</v>
      </c>
      <c r="AI771">
        <f t="shared" si="213"/>
        <v>0.31491783674911461</v>
      </c>
      <c r="AJ771">
        <f t="shared" si="214"/>
        <v>26.141311028651756</v>
      </c>
      <c r="AL771">
        <f t="shared" si="215"/>
        <v>0.32493154484816328</v>
      </c>
      <c r="AM771">
        <f t="shared" si="216"/>
        <v>27.83021721855609</v>
      </c>
      <c r="AO771">
        <f t="shared" si="217"/>
        <v>0.32409849403927754</v>
      </c>
      <c r="AP771">
        <f t="shared" si="218"/>
        <v>27.687699410777576</v>
      </c>
    </row>
    <row r="772" spans="1:42" x14ac:dyDescent="0.2">
      <c r="A772" s="3">
        <v>770</v>
      </c>
      <c r="B772" s="3">
        <v>5.2799999999999996E-7</v>
      </c>
      <c r="C772" s="2">
        <v>4.0140000000000002E-2</v>
      </c>
      <c r="D772" s="3">
        <v>210000</v>
      </c>
      <c r="E772" s="3">
        <v>101000000000</v>
      </c>
      <c r="F772" s="3">
        <v>92500000000</v>
      </c>
      <c r="G772" s="3">
        <v>2570000000</v>
      </c>
      <c r="H772" s="3">
        <v>11300000000</v>
      </c>
      <c r="I772" s="2"/>
      <c r="J772" s="7">
        <f t="shared" si="202"/>
        <v>0.52799999999999991</v>
      </c>
      <c r="K772" s="7">
        <f t="shared" si="203"/>
        <v>40.14</v>
      </c>
      <c r="L772" s="7">
        <f t="shared" si="204"/>
        <v>101</v>
      </c>
      <c r="M772" s="7">
        <f t="shared" si="205"/>
        <v>210</v>
      </c>
      <c r="O772">
        <f t="shared" si="206"/>
        <v>0.38464285714285706</v>
      </c>
      <c r="P772">
        <f t="shared" si="207"/>
        <v>384.64285714285705</v>
      </c>
      <c r="V772">
        <f t="shared" si="208"/>
        <v>893.04169055174214</v>
      </c>
      <c r="W772">
        <f t="shared" si="209"/>
        <v>117.57569787713778</v>
      </c>
      <c r="AE772">
        <f t="shared" si="210"/>
        <v>0.71215986676189658</v>
      </c>
      <c r="AF772">
        <f t="shared" si="211"/>
        <v>0.69021259467126772</v>
      </c>
      <c r="AG772">
        <f t="shared" si="212"/>
        <v>0.69198669165372484</v>
      </c>
      <c r="AI772">
        <f t="shared" si="213"/>
        <v>0.30891940176341715</v>
      </c>
      <c r="AJ772">
        <f t="shared" si="214"/>
        <v>25.19259302650272</v>
      </c>
      <c r="AL772">
        <f t="shared" si="215"/>
        <v>0.31874237256534105</v>
      </c>
      <c r="AM772">
        <f t="shared" si="216"/>
        <v>26.820205591747328</v>
      </c>
      <c r="AO772">
        <f t="shared" si="217"/>
        <v>0.31792518939091036</v>
      </c>
      <c r="AP772">
        <f t="shared" si="218"/>
        <v>26.68286002684976</v>
      </c>
    </row>
    <row r="773" spans="1:42" x14ac:dyDescent="0.2">
      <c r="A773" s="3">
        <v>770</v>
      </c>
      <c r="B773" s="3">
        <v>5.2900000000000004E-7</v>
      </c>
      <c r="C773" s="2">
        <v>4.0189999999999997E-2</v>
      </c>
      <c r="D773" s="3">
        <v>216000</v>
      </c>
      <c r="E773" s="3">
        <v>104000000000</v>
      </c>
      <c r="F773" s="3">
        <v>94700000000</v>
      </c>
      <c r="G773" s="3">
        <v>5900000000</v>
      </c>
      <c r="H773" s="3">
        <v>11100000000</v>
      </c>
      <c r="I773" s="2"/>
      <c r="J773" s="7">
        <f t="shared" ref="J773:J836" si="219">B773*(10^6)</f>
        <v>0.52900000000000003</v>
      </c>
      <c r="K773" s="7">
        <f t="shared" ref="K773:K836" si="220">C773*1000</f>
        <v>40.19</v>
      </c>
      <c r="L773" s="7">
        <f t="shared" ref="L773:L836" si="221">E773*(10^-9)</f>
        <v>104</v>
      </c>
      <c r="M773" s="7">
        <f t="shared" ref="M773:M836" si="222">D773*(10^-3)</f>
        <v>216</v>
      </c>
      <c r="O773">
        <f t="shared" ref="O773:O836" si="223">J773-(0.75*(K773/M773))</f>
        <v>0.38945138888888892</v>
      </c>
      <c r="P773">
        <f t="shared" ref="P773:P836" si="224">O773*1000</f>
        <v>389.45138888888891</v>
      </c>
      <c r="V773">
        <f t="shared" ref="V773:V836" si="225">$S$3*(P773^$S$4)</f>
        <v>897.97053396334695</v>
      </c>
      <c r="W773">
        <f t="shared" ref="W773:W836" si="226">M773/(2*(V773/1000))</f>
        <v>120.27120703317901</v>
      </c>
      <c r="AE773">
        <f t="shared" si="210"/>
        <v>0.73250729152652216</v>
      </c>
      <c r="AF773">
        <f t="shared" si="211"/>
        <v>0.70993295451901828</v>
      </c>
      <c r="AG773">
        <f t="shared" si="212"/>
        <v>0.71175773998668845</v>
      </c>
      <c r="AI773">
        <f t="shared" si="213"/>
        <v>0.3009071298216367</v>
      </c>
      <c r="AJ773">
        <f t="shared" si="214"/>
        <v>23.842104992202287</v>
      </c>
      <c r="AL773">
        <f t="shared" si="215"/>
        <v>0.3104753276540031</v>
      </c>
      <c r="AM773">
        <f t="shared" si="216"/>
        <v>25.382466860723159</v>
      </c>
      <c r="AO773">
        <f t="shared" si="217"/>
        <v>0.30967933930832842</v>
      </c>
      <c r="AP773">
        <f t="shared" si="218"/>
        <v>25.252483917917061</v>
      </c>
    </row>
    <row r="774" spans="1:42" x14ac:dyDescent="0.2">
      <c r="A774" s="3">
        <v>770</v>
      </c>
      <c r="B774" s="3">
        <v>5.2900000000000004E-7</v>
      </c>
      <c r="C774" s="2">
        <v>4.0239999999999998E-2</v>
      </c>
      <c r="D774" s="3">
        <v>234000</v>
      </c>
      <c r="E774" s="3">
        <v>112000000000</v>
      </c>
      <c r="F774" s="3">
        <v>101000000000</v>
      </c>
      <c r="G774" s="3">
        <v>3160000000</v>
      </c>
      <c r="H774" s="3">
        <v>10900000000</v>
      </c>
      <c r="I774" s="2"/>
      <c r="J774" s="7">
        <f t="shared" si="219"/>
        <v>0.52900000000000003</v>
      </c>
      <c r="K774" s="7">
        <f t="shared" si="220"/>
        <v>40.239999999999995</v>
      </c>
      <c r="L774" s="7">
        <f t="shared" si="221"/>
        <v>112</v>
      </c>
      <c r="M774" s="7">
        <f t="shared" si="222"/>
        <v>234</v>
      </c>
      <c r="O774">
        <f t="shared" si="223"/>
        <v>0.40002564102564109</v>
      </c>
      <c r="P774">
        <f t="shared" si="224"/>
        <v>400.02564102564111</v>
      </c>
      <c r="V774">
        <f t="shared" si="225"/>
        <v>908.69143465867262</v>
      </c>
      <c r="W774">
        <f t="shared" si="226"/>
        <v>128.75657845718348</v>
      </c>
      <c r="AE774">
        <f t="shared" si="210"/>
        <v>0.79354956582039904</v>
      </c>
      <c r="AF774">
        <f t="shared" si="211"/>
        <v>0.76909403406226973</v>
      </c>
      <c r="AG774">
        <f t="shared" si="212"/>
        <v>0.77107088498557919</v>
      </c>
      <c r="AI774">
        <f t="shared" si="213"/>
        <v>0.27776042752766461</v>
      </c>
      <c r="AJ774">
        <f t="shared" si="214"/>
        <v>20.340440290810317</v>
      </c>
      <c r="AL774">
        <f t="shared" si="215"/>
        <v>0.28659261014215676</v>
      </c>
      <c r="AM774">
        <f t="shared" si="216"/>
        <v>21.654570843592346</v>
      </c>
      <c r="AO774">
        <f t="shared" si="217"/>
        <v>0.28585785166922623</v>
      </c>
      <c r="AP774">
        <f t="shared" si="218"/>
        <v>21.543678357889586</v>
      </c>
    </row>
    <row r="775" spans="1:42" x14ac:dyDescent="0.2">
      <c r="A775" s="3">
        <v>770</v>
      </c>
      <c r="B775" s="3">
        <v>5.3000000000000001E-7</v>
      </c>
      <c r="C775" s="2">
        <v>4.0289999999999999E-2</v>
      </c>
      <c r="D775" s="3">
        <v>192000</v>
      </c>
      <c r="E775" s="3">
        <v>93400000000</v>
      </c>
      <c r="F775" s="3">
        <v>85900000000</v>
      </c>
      <c r="G775" s="2">
        <v>0</v>
      </c>
      <c r="H775" s="3">
        <v>11700000000</v>
      </c>
      <c r="I775" s="2"/>
      <c r="J775" s="7">
        <f t="shared" si="219"/>
        <v>0.53</v>
      </c>
      <c r="K775" s="7">
        <f t="shared" si="220"/>
        <v>40.29</v>
      </c>
      <c r="L775" s="7">
        <f t="shared" si="221"/>
        <v>93.4</v>
      </c>
      <c r="M775" s="7">
        <f t="shared" si="222"/>
        <v>192</v>
      </c>
      <c r="O775">
        <f t="shared" si="223"/>
        <v>0.37261718750000006</v>
      </c>
      <c r="P775">
        <f t="shared" si="224"/>
        <v>372.61718750000006</v>
      </c>
      <c r="V775">
        <f t="shared" si="225"/>
        <v>880.56286536850826</v>
      </c>
      <c r="W775">
        <f t="shared" si="226"/>
        <v>109.02117699435894</v>
      </c>
      <c r="AE775">
        <f t="shared" si="210"/>
        <v>0.6511175924680197</v>
      </c>
      <c r="AF775">
        <f t="shared" si="211"/>
        <v>0.63105151512801616</v>
      </c>
      <c r="AG775">
        <f t="shared" si="212"/>
        <v>0.63267354665483422</v>
      </c>
      <c r="AI775">
        <f t="shared" si="213"/>
        <v>0.33916044641994497</v>
      </c>
      <c r="AJ775">
        <f t="shared" si="214"/>
        <v>30.25024540503011</v>
      </c>
      <c r="AL775">
        <f t="shared" si="215"/>
        <v>0.34994501722816518</v>
      </c>
      <c r="AM775">
        <f t="shared" si="216"/>
        <v>32.204616654990922</v>
      </c>
      <c r="AO775">
        <f t="shared" si="217"/>
        <v>0.34904783754743063</v>
      </c>
      <c r="AP775">
        <f t="shared" si="218"/>
        <v>32.0396976631637</v>
      </c>
    </row>
    <row r="776" spans="1:42" x14ac:dyDescent="0.2">
      <c r="A776" s="3">
        <v>770</v>
      </c>
      <c r="B776" s="3">
        <v>5.3099999999999998E-7</v>
      </c>
      <c r="C776" s="2">
        <v>4.0340000000000001E-2</v>
      </c>
      <c r="D776" s="3">
        <v>220000</v>
      </c>
      <c r="E776" s="3">
        <v>105000000000</v>
      </c>
      <c r="F776" s="3">
        <v>95900000000</v>
      </c>
      <c r="G776" s="2">
        <v>0</v>
      </c>
      <c r="H776" s="3">
        <v>11100000000</v>
      </c>
      <c r="I776" s="2"/>
      <c r="J776" s="7">
        <f t="shared" si="219"/>
        <v>0.53100000000000003</v>
      </c>
      <c r="K776" s="7">
        <f t="shared" si="220"/>
        <v>40.340000000000003</v>
      </c>
      <c r="L776" s="7">
        <f t="shared" si="221"/>
        <v>105</v>
      </c>
      <c r="M776" s="7">
        <f t="shared" si="222"/>
        <v>220</v>
      </c>
      <c r="O776">
        <f t="shared" si="223"/>
        <v>0.39347727272727273</v>
      </c>
      <c r="P776">
        <f t="shared" si="224"/>
        <v>393.47727272727275</v>
      </c>
      <c r="V776">
        <f t="shared" si="225"/>
        <v>902.07113971659896</v>
      </c>
      <c r="W776">
        <f t="shared" si="226"/>
        <v>121.94160211639004</v>
      </c>
      <c r="AE776">
        <f t="shared" si="210"/>
        <v>0.74607224136960593</v>
      </c>
      <c r="AF776">
        <f t="shared" si="211"/>
        <v>0.7230798610841852</v>
      </c>
      <c r="AG776">
        <f t="shared" si="212"/>
        <v>0.72493843887533083</v>
      </c>
      <c r="AI776">
        <f t="shared" si="213"/>
        <v>0.29655305174447877</v>
      </c>
      <c r="AJ776">
        <f t="shared" si="214"/>
        <v>23.068779848315081</v>
      </c>
      <c r="AL776">
        <f t="shared" si="215"/>
        <v>0.30598279928341249</v>
      </c>
      <c r="AM776">
        <f t="shared" si="216"/>
        <v>24.559179661723721</v>
      </c>
      <c r="AO776">
        <f t="shared" si="217"/>
        <v>0.3051983287618838</v>
      </c>
      <c r="AP776">
        <f t="shared" si="218"/>
        <v>24.433412750932462</v>
      </c>
    </row>
    <row r="777" spans="1:42" x14ac:dyDescent="0.2">
      <c r="A777" s="3">
        <v>780</v>
      </c>
      <c r="B777" s="3">
        <v>5.3099999999999998E-7</v>
      </c>
      <c r="C777" s="2">
        <v>4.0399999999999998E-2</v>
      </c>
      <c r="D777" s="3">
        <v>209000</v>
      </c>
      <c r="E777" s="3">
        <v>101000000000</v>
      </c>
      <c r="F777" s="3">
        <v>91900000000</v>
      </c>
      <c r="G777" s="3">
        <v>2780000000</v>
      </c>
      <c r="H777" s="3">
        <v>11300000000</v>
      </c>
      <c r="I777" s="2"/>
      <c r="J777" s="7">
        <f t="shared" si="219"/>
        <v>0.53100000000000003</v>
      </c>
      <c r="K777" s="7">
        <f t="shared" si="220"/>
        <v>40.4</v>
      </c>
      <c r="L777" s="7">
        <f t="shared" si="221"/>
        <v>101</v>
      </c>
      <c r="M777" s="7">
        <f t="shared" si="222"/>
        <v>209</v>
      </c>
      <c r="O777">
        <f t="shared" si="223"/>
        <v>0.3860239234449761</v>
      </c>
      <c r="P777">
        <f t="shared" si="224"/>
        <v>386.02392344497611</v>
      </c>
      <c r="V777">
        <f t="shared" si="225"/>
        <v>894.46080771733466</v>
      </c>
      <c r="W777">
        <f t="shared" si="226"/>
        <v>116.83016080568602</v>
      </c>
      <c r="AE777">
        <f t="shared" si="210"/>
        <v>0.70876862930112561</v>
      </c>
      <c r="AF777">
        <f t="shared" si="211"/>
        <v>0.68692586802997602</v>
      </c>
      <c r="AG777">
        <f t="shared" si="212"/>
        <v>0.68869151693156427</v>
      </c>
      <c r="AI777">
        <f t="shared" si="213"/>
        <v>0.31216110709945138</v>
      </c>
      <c r="AJ777">
        <f t="shared" si="214"/>
        <v>25.598993207924586</v>
      </c>
      <c r="AL777">
        <f t="shared" si="215"/>
        <v>0.32208715714043412</v>
      </c>
      <c r="AM777">
        <f t="shared" si="216"/>
        <v>27.252861984314432</v>
      </c>
      <c r="AO777">
        <f t="shared" si="217"/>
        <v>0.32126139869671977</v>
      </c>
      <c r="AP777">
        <f t="shared" si="218"/>
        <v>27.113300797450787</v>
      </c>
    </row>
    <row r="778" spans="1:42" x14ac:dyDescent="0.2">
      <c r="A778" s="3">
        <v>780</v>
      </c>
      <c r="B778" s="3">
        <v>5.3200000000000005E-7</v>
      </c>
      <c r="C778" s="2">
        <v>4.045E-2</v>
      </c>
      <c r="D778" s="3">
        <v>224000</v>
      </c>
      <c r="E778" s="3">
        <v>107000000000</v>
      </c>
      <c r="F778" s="3">
        <v>97000000000</v>
      </c>
      <c r="G778" s="3">
        <v>2720000000</v>
      </c>
      <c r="H778" s="3">
        <v>11000000000</v>
      </c>
      <c r="I778" s="2"/>
      <c r="J778" s="7">
        <f t="shared" si="219"/>
        <v>0.53200000000000003</v>
      </c>
      <c r="K778" s="7">
        <f t="shared" si="220"/>
        <v>40.450000000000003</v>
      </c>
      <c r="L778" s="7">
        <f t="shared" si="221"/>
        <v>107</v>
      </c>
      <c r="M778" s="7">
        <f t="shared" si="222"/>
        <v>224</v>
      </c>
      <c r="O778">
        <f t="shared" si="223"/>
        <v>0.39656473214285715</v>
      </c>
      <c r="P778">
        <f t="shared" si="224"/>
        <v>396.56473214285717</v>
      </c>
      <c r="V778">
        <f t="shared" si="225"/>
        <v>905.20009618707149</v>
      </c>
      <c r="W778">
        <f t="shared" si="226"/>
        <v>123.72954938004527</v>
      </c>
      <c r="AE778">
        <f t="shared" si="210"/>
        <v>0.75963719121268969</v>
      </c>
      <c r="AF778">
        <f t="shared" si="211"/>
        <v>0.73622676764935224</v>
      </c>
      <c r="AG778">
        <f t="shared" si="212"/>
        <v>0.7381191377639732</v>
      </c>
      <c r="AI778">
        <f t="shared" si="213"/>
        <v>0.29180596899527339</v>
      </c>
      <c r="AJ778">
        <f t="shared" si="214"/>
        <v>22.31292889753615</v>
      </c>
      <c r="AL778">
        <f t="shared" si="215"/>
        <v>0.30108476953970437</v>
      </c>
      <c r="AM778">
        <f t="shared" si="216"/>
        <v>23.754495607355739</v>
      </c>
      <c r="AO778">
        <f t="shared" si="217"/>
        <v>0.30031285645590261</v>
      </c>
      <c r="AP778">
        <f t="shared" si="218"/>
        <v>23.632849462366714</v>
      </c>
    </row>
    <row r="779" spans="1:42" x14ac:dyDescent="0.2">
      <c r="A779" s="3">
        <v>780</v>
      </c>
      <c r="B779" s="3">
        <v>5.3200000000000005E-7</v>
      </c>
      <c r="C779" s="2">
        <v>4.0500000000000001E-2</v>
      </c>
      <c r="D779" s="3">
        <v>185000</v>
      </c>
      <c r="E779" s="3">
        <v>90400000000</v>
      </c>
      <c r="F779" s="3">
        <v>83400000000</v>
      </c>
      <c r="G779" s="3">
        <v>7280000000</v>
      </c>
      <c r="H779" s="3">
        <v>11900000000</v>
      </c>
      <c r="I779" s="2"/>
      <c r="J779" s="7">
        <f t="shared" si="219"/>
        <v>0.53200000000000003</v>
      </c>
      <c r="K779" s="7">
        <f t="shared" si="220"/>
        <v>40.5</v>
      </c>
      <c r="L779" s="7">
        <f t="shared" si="221"/>
        <v>90.4</v>
      </c>
      <c r="M779" s="7">
        <f t="shared" si="222"/>
        <v>185</v>
      </c>
      <c r="O779">
        <f t="shared" si="223"/>
        <v>0.3678108108108108</v>
      </c>
      <c r="P779">
        <f t="shared" si="224"/>
        <v>367.81081081081078</v>
      </c>
      <c r="V779">
        <f t="shared" si="225"/>
        <v>875.51269062796564</v>
      </c>
      <c r="W779">
        <f t="shared" si="226"/>
        <v>105.65238058817164</v>
      </c>
      <c r="AE779">
        <f t="shared" si="210"/>
        <v>0.62737893024262315</v>
      </c>
      <c r="AF779">
        <f t="shared" si="211"/>
        <v>0.6080444286389739</v>
      </c>
      <c r="AG779">
        <f t="shared" si="212"/>
        <v>0.60960732359971004</v>
      </c>
      <c r="AI779">
        <f t="shared" si="213"/>
        <v>0.35332182191860129</v>
      </c>
      <c r="AJ779">
        <f t="shared" si="214"/>
        <v>32.752590749749999</v>
      </c>
      <c r="AL779">
        <f t="shared" si="215"/>
        <v>0.36455669392915557</v>
      </c>
      <c r="AM779">
        <f t="shared" si="216"/>
        <v>34.86863049970853</v>
      </c>
      <c r="AO779">
        <f t="shared" si="217"/>
        <v>0.36362205322228203</v>
      </c>
      <c r="AP779">
        <f t="shared" si="218"/>
        <v>34.690069163300976</v>
      </c>
    </row>
    <row r="780" spans="1:42" x14ac:dyDescent="0.2">
      <c r="A780" s="3">
        <v>780</v>
      </c>
      <c r="B780" s="3">
        <v>5.3300000000000002E-7</v>
      </c>
      <c r="C780" s="2">
        <v>4.0550000000000003E-2</v>
      </c>
      <c r="D780" s="3">
        <v>229000</v>
      </c>
      <c r="E780" s="3">
        <v>109000000000</v>
      </c>
      <c r="F780" s="3">
        <v>98700000000</v>
      </c>
      <c r="G780" s="3">
        <v>5570000000</v>
      </c>
      <c r="H780" s="3">
        <v>11000000000</v>
      </c>
      <c r="I780" s="2"/>
      <c r="J780" s="7">
        <f t="shared" si="219"/>
        <v>0.53300000000000003</v>
      </c>
      <c r="K780" s="7">
        <f t="shared" si="220"/>
        <v>40.550000000000004</v>
      </c>
      <c r="L780" s="7">
        <f t="shared" si="221"/>
        <v>109</v>
      </c>
      <c r="M780" s="7">
        <f t="shared" si="222"/>
        <v>229</v>
      </c>
      <c r="O780">
        <f t="shared" si="223"/>
        <v>0.40019432314410486</v>
      </c>
      <c r="P780">
        <f t="shared" si="224"/>
        <v>400.19432314410489</v>
      </c>
      <c r="V780">
        <f t="shared" si="225"/>
        <v>908.8611691063694</v>
      </c>
      <c r="W780">
        <f t="shared" si="226"/>
        <v>125.98183737190712</v>
      </c>
      <c r="AE780">
        <f t="shared" si="210"/>
        <v>0.77659337851654431</v>
      </c>
      <c r="AF780">
        <f t="shared" si="211"/>
        <v>0.75266040085581098</v>
      </c>
      <c r="AG780">
        <f t="shared" si="212"/>
        <v>0.75459501137477614</v>
      </c>
      <c r="AI780">
        <f t="shared" si="213"/>
        <v>0.2859711909436557</v>
      </c>
      <c r="AJ780">
        <f t="shared" si="214"/>
        <v>21.401981588024906</v>
      </c>
      <c r="AL780">
        <f t="shared" si="215"/>
        <v>0.29506445812854504</v>
      </c>
      <c r="AM780">
        <f t="shared" si="216"/>
        <v>22.784694916389213</v>
      </c>
      <c r="AO780">
        <f t="shared" si="217"/>
        <v>0.29430797975820933</v>
      </c>
      <c r="AP780">
        <f t="shared" si="218"/>
        <v>22.668015095140074</v>
      </c>
    </row>
    <row r="781" spans="1:42" x14ac:dyDescent="0.2">
      <c r="A781" s="3">
        <v>780</v>
      </c>
      <c r="B781" s="3">
        <v>5.3399999999999999E-7</v>
      </c>
      <c r="C781" s="2">
        <v>4.0599999999999997E-2</v>
      </c>
      <c r="D781" s="3">
        <v>219000</v>
      </c>
      <c r="E781" s="3">
        <v>105000000000</v>
      </c>
      <c r="F781" s="3">
        <v>95300000000</v>
      </c>
      <c r="G781" s="3">
        <v>1470000000</v>
      </c>
      <c r="H781" s="3">
        <v>11100000000</v>
      </c>
      <c r="I781" s="2"/>
      <c r="J781" s="7">
        <f t="shared" si="219"/>
        <v>0.53400000000000003</v>
      </c>
      <c r="K781" s="7">
        <f t="shared" si="220"/>
        <v>40.599999999999994</v>
      </c>
      <c r="L781" s="7">
        <f t="shared" si="221"/>
        <v>105</v>
      </c>
      <c r="M781" s="7">
        <f t="shared" si="222"/>
        <v>219</v>
      </c>
      <c r="O781">
        <f t="shared" si="223"/>
        <v>0.39495890410958912</v>
      </c>
      <c r="P781">
        <f t="shared" si="224"/>
        <v>394.95890410958913</v>
      </c>
      <c r="V781">
        <f t="shared" si="225"/>
        <v>903.57438504998902</v>
      </c>
      <c r="W781">
        <f t="shared" si="226"/>
        <v>121.18537423340311</v>
      </c>
      <c r="AE781">
        <f t="shared" si="210"/>
        <v>0.74268100390883496</v>
      </c>
      <c r="AF781">
        <f t="shared" si="211"/>
        <v>0.7197931344428935</v>
      </c>
      <c r="AG781">
        <f t="shared" si="212"/>
        <v>0.72164326415317026</v>
      </c>
      <c r="AI781">
        <f t="shared" si="213"/>
        <v>0.29959026665412353</v>
      </c>
      <c r="AJ781">
        <f t="shared" si="214"/>
        <v>23.429978826651524</v>
      </c>
      <c r="AL781">
        <f t="shared" si="215"/>
        <v>0.30911659107753353</v>
      </c>
      <c r="AM781">
        <f t="shared" si="216"/>
        <v>24.943714546573453</v>
      </c>
      <c r="AO781">
        <f t="shared" si="217"/>
        <v>0.30832408622437296</v>
      </c>
      <c r="AP781">
        <f t="shared" si="218"/>
        <v>24.815978442786935</v>
      </c>
    </row>
    <row r="782" spans="1:42" x14ac:dyDescent="0.2">
      <c r="A782" s="3">
        <v>780</v>
      </c>
      <c r="B782" s="3">
        <v>5.3399999999999999E-7</v>
      </c>
      <c r="C782" s="2">
        <v>4.0660000000000002E-2</v>
      </c>
      <c r="D782" s="3">
        <v>179000</v>
      </c>
      <c r="E782" s="3">
        <v>87700000000</v>
      </c>
      <c r="F782" s="3">
        <v>81100000000</v>
      </c>
      <c r="G782" s="3">
        <v>8700000000</v>
      </c>
      <c r="H782" s="3">
        <v>12000000000</v>
      </c>
      <c r="I782" s="2"/>
      <c r="J782" s="7">
        <f t="shared" si="219"/>
        <v>0.53400000000000003</v>
      </c>
      <c r="K782" s="7">
        <f t="shared" si="220"/>
        <v>40.660000000000004</v>
      </c>
      <c r="L782" s="7">
        <f t="shared" si="221"/>
        <v>87.7</v>
      </c>
      <c r="M782" s="7">
        <f t="shared" si="222"/>
        <v>179</v>
      </c>
      <c r="O782">
        <f t="shared" si="223"/>
        <v>0.36363687150837987</v>
      </c>
      <c r="P782">
        <f t="shared" si="224"/>
        <v>363.63687150837984</v>
      </c>
      <c r="V782">
        <f t="shared" si="225"/>
        <v>871.09712971395766</v>
      </c>
      <c r="W782">
        <f t="shared" si="226"/>
        <v>102.74399598743842</v>
      </c>
      <c r="AE782">
        <f t="shared" si="210"/>
        <v>0.60703150547799756</v>
      </c>
      <c r="AF782">
        <f t="shared" si="211"/>
        <v>0.58832406879122345</v>
      </c>
      <c r="AG782">
        <f t="shared" si="212"/>
        <v>0.58983627526674642</v>
      </c>
      <c r="AI782">
        <f t="shared" si="213"/>
        <v>0.36653781227515669</v>
      </c>
      <c r="AJ782">
        <f t="shared" si="214"/>
        <v>35.123307392463964</v>
      </c>
      <c r="AL782">
        <f t="shared" si="215"/>
        <v>0.37819292427921697</v>
      </c>
      <c r="AM782">
        <f t="shared" si="216"/>
        <v>37.392511534522043</v>
      </c>
      <c r="AO782">
        <f t="shared" si="217"/>
        <v>0.37722332336948428</v>
      </c>
      <c r="AP782">
        <f t="shared" si="218"/>
        <v>37.201025469954793</v>
      </c>
    </row>
    <row r="783" spans="1:42" x14ac:dyDescent="0.2">
      <c r="A783" s="3">
        <v>780</v>
      </c>
      <c r="B783" s="3">
        <v>5.3499999999999996E-7</v>
      </c>
      <c r="C783" s="2">
        <v>4.0710000000000003E-2</v>
      </c>
      <c r="D783" s="3">
        <v>222000</v>
      </c>
      <c r="E783" s="3">
        <v>105000000000</v>
      </c>
      <c r="F783" s="3">
        <v>96000000000</v>
      </c>
      <c r="G783" s="2">
        <v>0</v>
      </c>
      <c r="H783" s="3">
        <v>11100000000</v>
      </c>
      <c r="I783" s="2"/>
      <c r="J783" s="7">
        <f t="shared" si="219"/>
        <v>0.53499999999999992</v>
      </c>
      <c r="K783" s="7">
        <f t="shared" si="220"/>
        <v>40.71</v>
      </c>
      <c r="L783" s="7">
        <f t="shared" si="221"/>
        <v>105</v>
      </c>
      <c r="M783" s="7">
        <f t="shared" si="222"/>
        <v>222</v>
      </c>
      <c r="O783">
        <f t="shared" si="223"/>
        <v>0.39746621621621614</v>
      </c>
      <c r="P783">
        <f t="shared" si="224"/>
        <v>397.46621621621614</v>
      </c>
      <c r="V783">
        <f t="shared" si="225"/>
        <v>906.11113565399182</v>
      </c>
      <c r="W783">
        <f t="shared" si="226"/>
        <v>122.50152948389162</v>
      </c>
      <c r="AE783">
        <f t="shared" si="210"/>
        <v>0.75285471629114775</v>
      </c>
      <c r="AF783">
        <f t="shared" si="211"/>
        <v>0.72965331436676872</v>
      </c>
      <c r="AG783">
        <f t="shared" si="212"/>
        <v>0.73152878831965207</v>
      </c>
      <c r="AI783">
        <f t="shared" si="213"/>
        <v>0.29609519850634658</v>
      </c>
      <c r="AJ783">
        <f t="shared" si="214"/>
        <v>22.862790970890313</v>
      </c>
      <c r="AL783">
        <f t="shared" si="215"/>
        <v>0.30551038729965252</v>
      </c>
      <c r="AM783">
        <f t="shared" si="216"/>
        <v>24.339882504168965</v>
      </c>
      <c r="AO783">
        <f t="shared" si="217"/>
        <v>0.30472712793533968</v>
      </c>
      <c r="AP783">
        <f t="shared" si="218"/>
        <v>24.215238608333035</v>
      </c>
    </row>
    <row r="784" spans="1:42" x14ac:dyDescent="0.2">
      <c r="A784" s="3">
        <v>780</v>
      </c>
      <c r="B784" s="3">
        <v>5.3600000000000004E-7</v>
      </c>
      <c r="C784" s="2">
        <v>4.0759999999999998E-2</v>
      </c>
      <c r="D784" s="3">
        <v>206000</v>
      </c>
      <c r="E784" s="3">
        <v>98900000000</v>
      </c>
      <c r="F784" s="3">
        <v>90500000000</v>
      </c>
      <c r="G784" s="3">
        <v>5390000000</v>
      </c>
      <c r="H784" s="3">
        <v>11400000000</v>
      </c>
      <c r="I784" s="2"/>
      <c r="J784" s="7">
        <f t="shared" si="219"/>
        <v>0.53600000000000003</v>
      </c>
      <c r="K784" s="7">
        <f t="shared" si="220"/>
        <v>40.76</v>
      </c>
      <c r="L784" s="7">
        <f t="shared" si="221"/>
        <v>98.9</v>
      </c>
      <c r="M784" s="7">
        <f t="shared" si="222"/>
        <v>206</v>
      </c>
      <c r="O784">
        <f t="shared" si="223"/>
        <v>0.38760194174757284</v>
      </c>
      <c r="P784">
        <f t="shared" si="224"/>
        <v>387.60194174757282</v>
      </c>
      <c r="V784">
        <f t="shared" si="225"/>
        <v>896.07884608272218</v>
      </c>
      <c r="W784">
        <f t="shared" si="226"/>
        <v>114.9452422075049</v>
      </c>
      <c r="AE784">
        <f t="shared" ref="AE784:AE847" si="227">M784/(2*$Y$5)</f>
        <v>0.69859491691881281</v>
      </c>
      <c r="AF784">
        <f t="shared" ref="AF784:AF847" si="228">M784/(2*$Y$8)</f>
        <v>0.67706568810610068</v>
      </c>
      <c r="AG784">
        <f t="shared" ref="AG784:AG847" si="229">M784/(2*$Y$11)</f>
        <v>0.67880599276508247</v>
      </c>
      <c r="AI784">
        <f t="shared" ref="AI784:AI847" si="230">J784/(2.4*AE784)</f>
        <v>0.31968931912410126</v>
      </c>
      <c r="AJ784">
        <f t="shared" ref="AJ784:AJ847" si="231">K784/(3.14159*(AE784^2))</f>
        <v>26.584826285624889</v>
      </c>
      <c r="AL784">
        <f t="shared" ref="AL784:AL847" si="232">J784/(2.4*AF784)</f>
        <v>0.32985475007313553</v>
      </c>
      <c r="AM784">
        <f t="shared" ref="AM784:AM847" si="233">K784/(3.14159*(AF784^2))</f>
        <v>28.302386572563531</v>
      </c>
      <c r="AO784">
        <f t="shared" ref="AO784:AO847" si="234">J784/(2.4*AG784)</f>
        <v>0.329009077282297</v>
      </c>
      <c r="AP784">
        <f t="shared" ref="AP784:AP847" si="235">K784/(3.14159*(AG784^2))</f>
        <v>28.157450797986375</v>
      </c>
    </row>
    <row r="785" spans="1:42" x14ac:dyDescent="0.2">
      <c r="A785" s="3">
        <v>780</v>
      </c>
      <c r="B785" s="3">
        <v>5.3600000000000004E-7</v>
      </c>
      <c r="C785" s="2">
        <v>4.0809999999999999E-2</v>
      </c>
      <c r="D785" s="3">
        <v>201000</v>
      </c>
      <c r="E785" s="3">
        <v>96500000000</v>
      </c>
      <c r="F785" s="3">
        <v>88500000000</v>
      </c>
      <c r="G785" s="3">
        <v>7940000000</v>
      </c>
      <c r="H785" s="3">
        <v>11500000000</v>
      </c>
      <c r="I785" s="2"/>
      <c r="J785" s="7">
        <f t="shared" si="219"/>
        <v>0.53600000000000003</v>
      </c>
      <c r="K785" s="7">
        <f t="shared" si="220"/>
        <v>40.81</v>
      </c>
      <c r="L785" s="7">
        <f t="shared" si="221"/>
        <v>96.5</v>
      </c>
      <c r="M785" s="7">
        <f t="shared" si="222"/>
        <v>201</v>
      </c>
      <c r="O785">
        <f t="shared" si="223"/>
        <v>0.38372388059701495</v>
      </c>
      <c r="P785">
        <f t="shared" si="224"/>
        <v>383.72388059701495</v>
      </c>
      <c r="V785">
        <f t="shared" si="225"/>
        <v>892.09582143304885</v>
      </c>
      <c r="W785">
        <f t="shared" si="226"/>
        <v>112.65605956830777</v>
      </c>
      <c r="AE785">
        <f t="shared" si="227"/>
        <v>0.68163872961495808</v>
      </c>
      <c r="AF785">
        <f t="shared" si="228"/>
        <v>0.66063205489964194</v>
      </c>
      <c r="AG785">
        <f t="shared" si="229"/>
        <v>0.66233011915427953</v>
      </c>
      <c r="AI785">
        <f t="shared" si="230"/>
        <v>0.32764178974907893</v>
      </c>
      <c r="AJ785">
        <f t="shared" si="231"/>
        <v>27.95815911250212</v>
      </c>
      <c r="AL785">
        <f t="shared" si="232"/>
        <v>0.33806009211475579</v>
      </c>
      <c r="AM785">
        <f t="shared" si="233"/>
        <v>29.764446024879298</v>
      </c>
      <c r="AO785">
        <f t="shared" si="234"/>
        <v>0.33719338268732924</v>
      </c>
      <c r="AP785">
        <f t="shared" si="235"/>
        <v>29.612023082438903</v>
      </c>
    </row>
    <row r="786" spans="1:42" x14ac:dyDescent="0.2">
      <c r="A786" s="3">
        <v>780</v>
      </c>
      <c r="B786" s="3">
        <v>5.37E-7</v>
      </c>
      <c r="C786" s="2">
        <v>4.0869999999999997E-2</v>
      </c>
      <c r="D786" s="3">
        <v>193000</v>
      </c>
      <c r="E786" s="3">
        <v>93200000000</v>
      </c>
      <c r="F786" s="3">
        <v>85800000000</v>
      </c>
      <c r="G786" s="3">
        <v>4810000000</v>
      </c>
      <c r="H786" s="3">
        <v>11700000000</v>
      </c>
      <c r="I786" s="2"/>
      <c r="J786" s="7">
        <f t="shared" si="219"/>
        <v>0.53700000000000003</v>
      </c>
      <c r="K786" s="7">
        <f t="shared" si="220"/>
        <v>40.869999999999997</v>
      </c>
      <c r="L786" s="7">
        <f t="shared" si="221"/>
        <v>93.2</v>
      </c>
      <c r="M786" s="7">
        <f t="shared" si="222"/>
        <v>193</v>
      </c>
      <c r="O786">
        <f t="shared" si="223"/>
        <v>0.37817875647668397</v>
      </c>
      <c r="P786">
        <f t="shared" si="224"/>
        <v>378.17875647668399</v>
      </c>
      <c r="V786">
        <f t="shared" si="225"/>
        <v>886.36146439519291</v>
      </c>
      <c r="W786">
        <f t="shared" si="226"/>
        <v>108.87206165471848</v>
      </c>
      <c r="AE786">
        <f t="shared" si="227"/>
        <v>0.65450882992879067</v>
      </c>
      <c r="AF786">
        <f t="shared" si="228"/>
        <v>0.63433824176930798</v>
      </c>
      <c r="AG786">
        <f t="shared" si="229"/>
        <v>0.63596872137699478</v>
      </c>
      <c r="AI786">
        <f t="shared" si="230"/>
        <v>0.34185940627316458</v>
      </c>
      <c r="AJ786">
        <f t="shared" si="231"/>
        <v>30.368553893019993</v>
      </c>
      <c r="AL786">
        <f t="shared" si="232"/>
        <v>0.35272979818450229</v>
      </c>
      <c r="AM786">
        <f t="shared" si="233"/>
        <v>32.330568674610312</v>
      </c>
      <c r="AO786">
        <f t="shared" si="234"/>
        <v>0.35182547895679234</v>
      </c>
      <c r="AP786">
        <f t="shared" si="235"/>
        <v>32.165004685815212</v>
      </c>
    </row>
    <row r="787" spans="1:42" x14ac:dyDescent="0.2">
      <c r="A787" s="3">
        <v>790</v>
      </c>
      <c r="B787" s="3">
        <v>5.37E-7</v>
      </c>
      <c r="C787" s="2">
        <v>4.0919999999999998E-2</v>
      </c>
      <c r="D787" s="3">
        <v>209000</v>
      </c>
      <c r="E787" s="3">
        <v>99800000000</v>
      </c>
      <c r="F787" s="3">
        <v>91300000000</v>
      </c>
      <c r="G787" s="3">
        <v>883000000</v>
      </c>
      <c r="H787" s="3">
        <v>11300000000</v>
      </c>
      <c r="I787" s="2"/>
      <c r="J787" s="7">
        <f t="shared" si="219"/>
        <v>0.53700000000000003</v>
      </c>
      <c r="K787" s="7">
        <f t="shared" si="220"/>
        <v>40.919999999999995</v>
      </c>
      <c r="L787" s="7">
        <f t="shared" si="221"/>
        <v>99.800000000000011</v>
      </c>
      <c r="M787" s="7">
        <f t="shared" si="222"/>
        <v>209</v>
      </c>
      <c r="O787">
        <f t="shared" si="223"/>
        <v>0.39015789473684215</v>
      </c>
      <c r="P787">
        <f t="shared" si="224"/>
        <v>390.15789473684214</v>
      </c>
      <c r="V787">
        <f t="shared" si="225"/>
        <v>898.69185510882676</v>
      </c>
      <c r="W787">
        <f t="shared" si="226"/>
        <v>116.28012361071816</v>
      </c>
      <c r="AE787">
        <f t="shared" si="227"/>
        <v>0.70876862930112561</v>
      </c>
      <c r="AF787">
        <f t="shared" si="228"/>
        <v>0.68692586802997602</v>
      </c>
      <c r="AG787">
        <f t="shared" si="229"/>
        <v>0.68869151693156427</v>
      </c>
      <c r="AI787">
        <f t="shared" si="230"/>
        <v>0.3156883512474678</v>
      </c>
      <c r="AJ787">
        <f t="shared" si="231"/>
        <v>25.928485199709751</v>
      </c>
      <c r="AL787">
        <f t="shared" si="232"/>
        <v>0.32572656004597578</v>
      </c>
      <c r="AM787">
        <f t="shared" si="233"/>
        <v>27.603641395993726</v>
      </c>
      <c r="AO787">
        <f t="shared" si="234"/>
        <v>0.32489147099837762</v>
      </c>
      <c r="AP787">
        <f t="shared" si="235"/>
        <v>27.462283877021932</v>
      </c>
    </row>
    <row r="788" spans="1:42" x14ac:dyDescent="0.2">
      <c r="A788" s="3">
        <v>790</v>
      </c>
      <c r="B788" s="3">
        <v>5.3799999999999997E-7</v>
      </c>
      <c r="C788" s="2">
        <v>4.0969999999999999E-2</v>
      </c>
      <c r="D788" s="3">
        <v>223000</v>
      </c>
      <c r="E788" s="3">
        <v>106000000000</v>
      </c>
      <c r="F788" s="3">
        <v>96300000000</v>
      </c>
      <c r="G788" s="2">
        <v>0</v>
      </c>
      <c r="H788" s="3">
        <v>11100000000</v>
      </c>
      <c r="I788" s="2"/>
      <c r="J788" s="7">
        <f t="shared" si="219"/>
        <v>0.53799999999999992</v>
      </c>
      <c r="K788" s="7">
        <f t="shared" si="220"/>
        <v>40.97</v>
      </c>
      <c r="L788" s="7">
        <f t="shared" si="221"/>
        <v>106</v>
      </c>
      <c r="M788" s="7">
        <f t="shared" si="222"/>
        <v>223</v>
      </c>
      <c r="O788">
        <f t="shared" si="223"/>
        <v>0.40020852017937214</v>
      </c>
      <c r="P788">
        <f t="shared" si="224"/>
        <v>400.20852017937216</v>
      </c>
      <c r="V788">
        <f t="shared" si="225"/>
        <v>908.8754528921495</v>
      </c>
      <c r="W788">
        <f t="shared" si="226"/>
        <v>122.67907516392238</v>
      </c>
      <c r="AE788">
        <f t="shared" si="227"/>
        <v>0.75624595375191872</v>
      </c>
      <c r="AF788">
        <f t="shared" si="228"/>
        <v>0.73294004100806054</v>
      </c>
      <c r="AG788">
        <f t="shared" si="229"/>
        <v>0.73482396304181263</v>
      </c>
      <c r="AI788">
        <f t="shared" si="230"/>
        <v>0.29642031875281011</v>
      </c>
      <c r="AJ788">
        <f t="shared" si="231"/>
        <v>22.802912989522046</v>
      </c>
      <c r="AL788">
        <f t="shared" si="232"/>
        <v>0.30584584566884288</v>
      </c>
      <c r="AM788">
        <f t="shared" si="233"/>
        <v>24.27613599863751</v>
      </c>
      <c r="AO788">
        <f t="shared" si="234"/>
        <v>0.30506172626533029</v>
      </c>
      <c r="AP788">
        <f t="shared" si="235"/>
        <v>24.151818546973782</v>
      </c>
    </row>
    <row r="789" spans="1:42" x14ac:dyDescent="0.2">
      <c r="A789" s="3">
        <v>790</v>
      </c>
      <c r="B789" s="3">
        <v>5.3799999999999997E-7</v>
      </c>
      <c r="C789" s="2">
        <v>4.1020000000000001E-2</v>
      </c>
      <c r="D789" s="3">
        <v>190000</v>
      </c>
      <c r="E789" s="3">
        <v>91800000000</v>
      </c>
      <c r="F789" s="3">
        <v>84500000000</v>
      </c>
      <c r="G789" s="3">
        <v>5800000000</v>
      </c>
      <c r="H789" s="3">
        <v>11800000000</v>
      </c>
      <c r="I789" s="2"/>
      <c r="J789" s="7">
        <f t="shared" si="219"/>
        <v>0.53799999999999992</v>
      </c>
      <c r="K789" s="7">
        <f t="shared" si="220"/>
        <v>41.02</v>
      </c>
      <c r="L789" s="7">
        <f t="shared" si="221"/>
        <v>91.800000000000011</v>
      </c>
      <c r="M789" s="7">
        <f t="shared" si="222"/>
        <v>190</v>
      </c>
      <c r="O789">
        <f t="shared" si="223"/>
        <v>0.37607894736842096</v>
      </c>
      <c r="P789">
        <f t="shared" si="224"/>
        <v>376.07894736842098</v>
      </c>
      <c r="V789">
        <f t="shared" si="225"/>
        <v>884.17778009090489</v>
      </c>
      <c r="W789">
        <f t="shared" si="226"/>
        <v>107.44445533366918</v>
      </c>
      <c r="AE789">
        <f t="shared" si="227"/>
        <v>0.64433511754647788</v>
      </c>
      <c r="AF789">
        <f t="shared" si="228"/>
        <v>0.62447806184543275</v>
      </c>
      <c r="AG789">
        <f t="shared" si="229"/>
        <v>0.62608319721051298</v>
      </c>
      <c r="AI789">
        <f t="shared" si="230"/>
        <v>0.3479038477993508</v>
      </c>
      <c r="AJ789">
        <f t="shared" si="231"/>
        <v>31.450137343583428</v>
      </c>
      <c r="AL789">
        <f t="shared" si="232"/>
        <v>0.35896643991658927</v>
      </c>
      <c r="AM789">
        <f t="shared" si="233"/>
        <v>33.482029759947018</v>
      </c>
      <c r="AO789">
        <f t="shared" si="234"/>
        <v>0.35804613135351926</v>
      </c>
      <c r="AP789">
        <f t="shared" si="235"/>
        <v>33.310569169327522</v>
      </c>
    </row>
    <row r="790" spans="1:42" x14ac:dyDescent="0.2">
      <c r="A790" s="3">
        <v>790</v>
      </c>
      <c r="B790" s="3">
        <v>5.3900000000000005E-7</v>
      </c>
      <c r="C790" s="2">
        <v>4.1070000000000002E-2</v>
      </c>
      <c r="D790" s="3">
        <v>193000</v>
      </c>
      <c r="E790" s="3">
        <v>93000000000</v>
      </c>
      <c r="F790" s="3">
        <v>85600000000</v>
      </c>
      <c r="G790" s="3">
        <v>4840000000</v>
      </c>
      <c r="H790" s="3">
        <v>11700000000</v>
      </c>
      <c r="I790" s="2"/>
      <c r="J790" s="7">
        <f t="shared" si="219"/>
        <v>0.53900000000000003</v>
      </c>
      <c r="K790" s="7">
        <f t="shared" si="220"/>
        <v>41.07</v>
      </c>
      <c r="L790" s="7">
        <f t="shared" si="221"/>
        <v>93</v>
      </c>
      <c r="M790" s="7">
        <f t="shared" si="222"/>
        <v>193</v>
      </c>
      <c r="O790">
        <f t="shared" si="223"/>
        <v>0.37940155440414514</v>
      </c>
      <c r="P790">
        <f t="shared" si="224"/>
        <v>379.40155440414514</v>
      </c>
      <c r="V790">
        <f t="shared" si="225"/>
        <v>887.62999566029225</v>
      </c>
      <c r="W790">
        <f t="shared" si="226"/>
        <v>108.71647023173813</v>
      </c>
      <c r="AE790">
        <f t="shared" si="227"/>
        <v>0.65450882992879067</v>
      </c>
      <c r="AF790">
        <f t="shared" si="228"/>
        <v>0.63433824176930798</v>
      </c>
      <c r="AG790">
        <f t="shared" si="229"/>
        <v>0.63596872137699478</v>
      </c>
      <c r="AI790">
        <f t="shared" si="230"/>
        <v>0.34313262566338121</v>
      </c>
      <c r="AJ790">
        <f t="shared" si="231"/>
        <v>30.517164384299758</v>
      </c>
      <c r="AL790">
        <f t="shared" si="232"/>
        <v>0.35404350320567363</v>
      </c>
      <c r="AM790">
        <f t="shared" si="233"/>
        <v>32.488780412680342</v>
      </c>
      <c r="AO790">
        <f t="shared" si="234"/>
        <v>0.35313581593614723</v>
      </c>
      <c r="AP790">
        <f t="shared" si="235"/>
        <v>32.322406225750697</v>
      </c>
    </row>
    <row r="791" spans="1:42" x14ac:dyDescent="0.2">
      <c r="A791" s="3">
        <v>790</v>
      </c>
      <c r="B791" s="3">
        <v>5.4000000000000002E-7</v>
      </c>
      <c r="C791" s="2">
        <v>4.113E-2</v>
      </c>
      <c r="D791" s="3">
        <v>210000</v>
      </c>
      <c r="E791" s="3">
        <v>100000000000</v>
      </c>
      <c r="F791" s="3">
        <v>91500000000</v>
      </c>
      <c r="G791" s="3">
        <v>5760000000</v>
      </c>
      <c r="H791" s="3">
        <v>11300000000</v>
      </c>
      <c r="I791" s="2"/>
      <c r="J791" s="7">
        <f t="shared" si="219"/>
        <v>0.54</v>
      </c>
      <c r="K791" s="7">
        <f t="shared" si="220"/>
        <v>41.13</v>
      </c>
      <c r="L791" s="7">
        <f t="shared" si="221"/>
        <v>100</v>
      </c>
      <c r="M791" s="7">
        <f t="shared" si="222"/>
        <v>210</v>
      </c>
      <c r="O791">
        <f t="shared" si="223"/>
        <v>0.39310714285714288</v>
      </c>
      <c r="P791">
        <f t="shared" si="224"/>
        <v>393.10714285714289</v>
      </c>
      <c r="V791">
        <f t="shared" si="225"/>
        <v>901.69511844445117</v>
      </c>
      <c r="W791">
        <f t="shared" si="226"/>
        <v>116.44734218051389</v>
      </c>
      <c r="AE791">
        <f t="shared" si="227"/>
        <v>0.71215986676189658</v>
      </c>
      <c r="AF791">
        <f t="shared" si="228"/>
        <v>0.69021259467126772</v>
      </c>
      <c r="AG791">
        <f t="shared" si="229"/>
        <v>0.69198669165372484</v>
      </c>
      <c r="AI791">
        <f t="shared" si="230"/>
        <v>0.31594029725804035</v>
      </c>
      <c r="AJ791">
        <f t="shared" si="231"/>
        <v>25.813935006977005</v>
      </c>
      <c r="AL791">
        <f t="shared" si="232"/>
        <v>0.32598651739637163</v>
      </c>
      <c r="AM791">
        <f t="shared" si="233"/>
        <v>27.481690483023609</v>
      </c>
      <c r="AO791">
        <f t="shared" si="234"/>
        <v>0.32515076187706748</v>
      </c>
      <c r="AP791">
        <f t="shared" si="235"/>
        <v>27.340957471458161</v>
      </c>
    </row>
    <row r="792" spans="1:42" x14ac:dyDescent="0.2">
      <c r="A792" s="3">
        <v>790</v>
      </c>
      <c r="B792" s="3">
        <v>5.4000000000000002E-7</v>
      </c>
      <c r="C792" s="2">
        <v>4.1180000000000001E-2</v>
      </c>
      <c r="D792" s="3">
        <v>196000</v>
      </c>
      <c r="E792" s="3">
        <v>93900000000</v>
      </c>
      <c r="F792" s="3">
        <v>86300000000</v>
      </c>
      <c r="G792" s="3">
        <v>422000000</v>
      </c>
      <c r="H792" s="3">
        <v>11600000000</v>
      </c>
      <c r="I792" s="2"/>
      <c r="J792" s="7">
        <f t="shared" si="219"/>
        <v>0.54</v>
      </c>
      <c r="K792" s="7">
        <f t="shared" si="220"/>
        <v>41.18</v>
      </c>
      <c r="L792" s="7">
        <f t="shared" si="221"/>
        <v>93.9</v>
      </c>
      <c r="M792" s="7">
        <f t="shared" si="222"/>
        <v>196</v>
      </c>
      <c r="O792">
        <f t="shared" si="223"/>
        <v>0.38242346938775518</v>
      </c>
      <c r="P792">
        <f t="shared" si="224"/>
        <v>382.42346938775518</v>
      </c>
      <c r="V792">
        <f t="shared" si="225"/>
        <v>890.75519702520216</v>
      </c>
      <c r="W792">
        <f t="shared" si="226"/>
        <v>110.01900446641714</v>
      </c>
      <c r="AE792">
        <f t="shared" si="227"/>
        <v>0.66468254231110346</v>
      </c>
      <c r="AF792">
        <f t="shared" si="228"/>
        <v>0.6441984216931832</v>
      </c>
      <c r="AG792">
        <f t="shared" si="229"/>
        <v>0.64585424554347659</v>
      </c>
      <c r="AI792">
        <f t="shared" si="230"/>
        <v>0.33850746134790038</v>
      </c>
      <c r="AJ792">
        <f t="shared" si="231"/>
        <v>29.66936775966019</v>
      </c>
      <c r="AL792">
        <f t="shared" si="232"/>
        <v>0.34927126863896962</v>
      </c>
      <c r="AM792">
        <f t="shared" si="233"/>
        <v>31.586210369616406</v>
      </c>
      <c r="AO792">
        <f t="shared" si="234"/>
        <v>0.34837581629685804</v>
      </c>
      <c r="AP792">
        <f t="shared" si="235"/>
        <v>31.424458220053328</v>
      </c>
    </row>
    <row r="793" spans="1:42" x14ac:dyDescent="0.2">
      <c r="A793" s="3">
        <v>790</v>
      </c>
      <c r="B793" s="3">
        <v>5.4099999999999999E-7</v>
      </c>
      <c r="C793" s="2">
        <v>4.1230000000000003E-2</v>
      </c>
      <c r="D793" s="3">
        <v>197000</v>
      </c>
      <c r="E793" s="3">
        <v>94200000000</v>
      </c>
      <c r="F793" s="3">
        <v>86600000000</v>
      </c>
      <c r="G793" s="3">
        <v>7030000000</v>
      </c>
      <c r="H793" s="3">
        <v>11600000000</v>
      </c>
      <c r="I793" s="2"/>
      <c r="J793" s="7">
        <f t="shared" si="219"/>
        <v>0.54100000000000004</v>
      </c>
      <c r="K793" s="7">
        <f t="shared" si="220"/>
        <v>41.230000000000004</v>
      </c>
      <c r="L793" s="7">
        <f t="shared" si="221"/>
        <v>94.2</v>
      </c>
      <c r="M793" s="7">
        <f t="shared" si="222"/>
        <v>197</v>
      </c>
      <c r="O793">
        <f t="shared" si="223"/>
        <v>0.3840329949238579</v>
      </c>
      <c r="P793">
        <f t="shared" si="224"/>
        <v>384.03299492385787</v>
      </c>
      <c r="V793">
        <f t="shared" si="225"/>
        <v>892.41412224300518</v>
      </c>
      <c r="W793">
        <f t="shared" si="226"/>
        <v>110.37476609225862</v>
      </c>
      <c r="AE793">
        <f t="shared" si="227"/>
        <v>0.66807377977187432</v>
      </c>
      <c r="AF793">
        <f t="shared" si="228"/>
        <v>0.64748514833447501</v>
      </c>
      <c r="AG793">
        <f t="shared" si="229"/>
        <v>0.64914942026563716</v>
      </c>
      <c r="AI793">
        <f t="shared" si="230"/>
        <v>0.33741283297129132</v>
      </c>
      <c r="AJ793">
        <f t="shared" si="231"/>
        <v>29.404579605311294</v>
      </c>
      <c r="AL793">
        <f t="shared" si="232"/>
        <v>0.34814183344051303</v>
      </c>
      <c r="AM793">
        <f t="shared" si="233"/>
        <v>31.304315102605745</v>
      </c>
      <c r="AO793">
        <f t="shared" si="234"/>
        <v>0.34724927671417216</v>
      </c>
      <c r="AP793">
        <f t="shared" si="235"/>
        <v>31.144006531264218</v>
      </c>
    </row>
    <row r="794" spans="1:42" x14ac:dyDescent="0.2">
      <c r="A794" s="3">
        <v>790</v>
      </c>
      <c r="B794" s="3">
        <v>5.4199999999999996E-7</v>
      </c>
      <c r="C794" s="2">
        <v>4.1279999999999997E-2</v>
      </c>
      <c r="D794" s="3">
        <v>206000</v>
      </c>
      <c r="E794" s="3">
        <v>98100000000</v>
      </c>
      <c r="F794" s="3">
        <v>89900000000</v>
      </c>
      <c r="G794" s="2">
        <v>0</v>
      </c>
      <c r="H794" s="3">
        <v>11400000000</v>
      </c>
      <c r="I794" s="2"/>
      <c r="J794" s="7">
        <f t="shared" si="219"/>
        <v>0.54199999999999993</v>
      </c>
      <c r="K794" s="7">
        <f t="shared" si="220"/>
        <v>41.279999999999994</v>
      </c>
      <c r="L794" s="7">
        <f t="shared" si="221"/>
        <v>98.100000000000009</v>
      </c>
      <c r="M794" s="7">
        <f t="shared" si="222"/>
        <v>206</v>
      </c>
      <c r="O794">
        <f t="shared" si="223"/>
        <v>0.39170873786407762</v>
      </c>
      <c r="P794">
        <f t="shared" si="224"/>
        <v>391.70873786407759</v>
      </c>
      <c r="V794">
        <f t="shared" si="225"/>
        <v>900.27267204737882</v>
      </c>
      <c r="W794">
        <f t="shared" si="226"/>
        <v>114.40978183394131</v>
      </c>
      <c r="AE794">
        <f t="shared" si="227"/>
        <v>0.69859491691881281</v>
      </c>
      <c r="AF794">
        <f t="shared" si="228"/>
        <v>0.67706568810610068</v>
      </c>
      <c r="AG794">
        <f t="shared" si="229"/>
        <v>0.67880599276508247</v>
      </c>
      <c r="AI794">
        <f t="shared" si="230"/>
        <v>0.32326793090534112</v>
      </c>
      <c r="AJ794">
        <f t="shared" si="231"/>
        <v>26.923985011545518</v>
      </c>
      <c r="AL794">
        <f t="shared" si="232"/>
        <v>0.33354715399186458</v>
      </c>
      <c r="AM794">
        <f t="shared" si="233"/>
        <v>28.663457255039802</v>
      </c>
      <c r="AO794">
        <f t="shared" si="234"/>
        <v>0.33269201471456145</v>
      </c>
      <c r="AP794">
        <f t="shared" si="235"/>
        <v>28.516672447028398</v>
      </c>
    </row>
    <row r="795" spans="1:42" x14ac:dyDescent="0.2">
      <c r="A795" s="3">
        <v>790</v>
      </c>
      <c r="B795" s="3">
        <v>5.4199999999999996E-7</v>
      </c>
      <c r="C795" s="2">
        <v>4.1329999999999999E-2</v>
      </c>
      <c r="D795" s="3">
        <v>234000</v>
      </c>
      <c r="E795" s="3">
        <v>110000000000</v>
      </c>
      <c r="F795" s="3">
        <v>99800000000</v>
      </c>
      <c r="G795" s="3">
        <v>4050000000</v>
      </c>
      <c r="H795" s="3">
        <v>10900000000</v>
      </c>
      <c r="I795" s="2"/>
      <c r="J795" s="7">
        <f t="shared" si="219"/>
        <v>0.54199999999999993</v>
      </c>
      <c r="K795" s="7">
        <f t="shared" si="220"/>
        <v>41.33</v>
      </c>
      <c r="L795" s="7">
        <f t="shared" si="221"/>
        <v>110</v>
      </c>
      <c r="M795" s="7">
        <f t="shared" si="222"/>
        <v>234</v>
      </c>
      <c r="O795">
        <f t="shared" si="223"/>
        <v>0.40953205128205122</v>
      </c>
      <c r="P795">
        <f t="shared" si="224"/>
        <v>409.53205128205121</v>
      </c>
      <c r="V795">
        <f t="shared" si="225"/>
        <v>918.19572841029321</v>
      </c>
      <c r="W795">
        <f t="shared" si="226"/>
        <v>127.42381213487728</v>
      </c>
      <c r="AE795">
        <f t="shared" si="227"/>
        <v>0.79354956582039904</v>
      </c>
      <c r="AF795">
        <f t="shared" si="228"/>
        <v>0.76909403406226973</v>
      </c>
      <c r="AG795">
        <f t="shared" si="229"/>
        <v>0.77107088498557919</v>
      </c>
      <c r="AI795">
        <f t="shared" si="230"/>
        <v>0.28458629814743708</v>
      </c>
      <c r="AJ795">
        <f t="shared" si="231"/>
        <v>20.891411461709506</v>
      </c>
      <c r="AL795">
        <f t="shared" si="232"/>
        <v>0.29363552872788079</v>
      </c>
      <c r="AM795">
        <f t="shared" si="233"/>
        <v>22.241138493182699</v>
      </c>
      <c r="AO795">
        <f t="shared" si="234"/>
        <v>0.29288271380854553</v>
      </c>
      <c r="AP795">
        <f t="shared" si="235"/>
        <v>22.127242210029241</v>
      </c>
    </row>
    <row r="796" spans="1:42" x14ac:dyDescent="0.2">
      <c r="A796" s="3">
        <v>790</v>
      </c>
      <c r="B796" s="3">
        <v>5.4300000000000003E-7</v>
      </c>
      <c r="C796" s="2">
        <v>4.138E-2</v>
      </c>
      <c r="D796" s="3">
        <v>204000</v>
      </c>
      <c r="E796" s="3">
        <v>97300000000</v>
      </c>
      <c r="F796" s="3">
        <v>89200000000</v>
      </c>
      <c r="G796" s="3">
        <v>7520000000</v>
      </c>
      <c r="H796" s="3">
        <v>11400000000</v>
      </c>
      <c r="I796" s="2"/>
      <c r="J796" s="7">
        <f t="shared" si="219"/>
        <v>0.54300000000000004</v>
      </c>
      <c r="K796" s="7">
        <f t="shared" si="220"/>
        <v>41.38</v>
      </c>
      <c r="L796" s="7">
        <f t="shared" si="221"/>
        <v>97.300000000000011</v>
      </c>
      <c r="M796" s="7">
        <f t="shared" si="222"/>
        <v>204</v>
      </c>
      <c r="O796">
        <f t="shared" si="223"/>
        <v>0.3908676470588236</v>
      </c>
      <c r="P796">
        <f t="shared" si="224"/>
        <v>390.86764705882359</v>
      </c>
      <c r="V796">
        <f t="shared" si="225"/>
        <v>899.41575863821151</v>
      </c>
      <c r="W796">
        <f t="shared" si="226"/>
        <v>113.40695225802612</v>
      </c>
      <c r="AE796">
        <f t="shared" si="227"/>
        <v>0.69181244199727088</v>
      </c>
      <c r="AF796">
        <f t="shared" si="228"/>
        <v>0.67049223482351727</v>
      </c>
      <c r="AG796">
        <f t="shared" si="229"/>
        <v>0.67221564332076134</v>
      </c>
      <c r="AI796">
        <f t="shared" si="230"/>
        <v>0.32703950704733431</v>
      </c>
      <c r="AJ796">
        <f t="shared" si="231"/>
        <v>27.521002115647491</v>
      </c>
      <c r="AL796">
        <f t="shared" si="232"/>
        <v>0.33743865812189777</v>
      </c>
      <c r="AM796">
        <f t="shared" si="233"/>
        <v>29.299045717766106</v>
      </c>
      <c r="AO796">
        <f t="shared" si="234"/>
        <v>0.33657354191033051</v>
      </c>
      <c r="AP796">
        <f t="shared" si="235"/>
        <v>29.14900607801388</v>
      </c>
    </row>
    <row r="797" spans="1:42" x14ac:dyDescent="0.2">
      <c r="A797" s="3">
        <v>800</v>
      </c>
      <c r="B797" s="3">
        <v>5.44E-7</v>
      </c>
      <c r="C797" s="2">
        <v>4.1439999999999998E-2</v>
      </c>
      <c r="D797" s="3">
        <v>208000</v>
      </c>
      <c r="E797" s="3">
        <v>98900000000</v>
      </c>
      <c r="F797" s="3">
        <v>90500000000</v>
      </c>
      <c r="G797" s="2">
        <v>0</v>
      </c>
      <c r="H797" s="3">
        <v>11300000000</v>
      </c>
      <c r="I797" s="2"/>
      <c r="J797" s="7">
        <f t="shared" si="219"/>
        <v>0.54400000000000004</v>
      </c>
      <c r="K797" s="7">
        <f t="shared" si="220"/>
        <v>41.44</v>
      </c>
      <c r="L797" s="7">
        <f t="shared" si="221"/>
        <v>98.9</v>
      </c>
      <c r="M797" s="7">
        <f t="shared" si="222"/>
        <v>208</v>
      </c>
      <c r="O797">
        <f t="shared" si="223"/>
        <v>0.39457692307692316</v>
      </c>
      <c r="P797">
        <f t="shared" si="224"/>
        <v>394.57692307692315</v>
      </c>
      <c r="V797">
        <f t="shared" si="225"/>
        <v>903.18713262287781</v>
      </c>
      <c r="W797">
        <f t="shared" si="226"/>
        <v>115.14778747786343</v>
      </c>
      <c r="AE797">
        <f t="shared" si="227"/>
        <v>0.70537739184035464</v>
      </c>
      <c r="AF797">
        <f t="shared" si="228"/>
        <v>0.6836391413886842</v>
      </c>
      <c r="AG797">
        <f t="shared" si="229"/>
        <v>0.68539634220940371</v>
      </c>
      <c r="AI797">
        <f t="shared" si="230"/>
        <v>0.32134098610005818</v>
      </c>
      <c r="AJ797">
        <f t="shared" si="231"/>
        <v>26.51106466581199</v>
      </c>
      <c r="AL797">
        <f t="shared" si="232"/>
        <v>0.33155893649716434</v>
      </c>
      <c r="AM797">
        <f t="shared" si="233"/>
        <v>28.223859451275089</v>
      </c>
      <c r="AO797">
        <f t="shared" si="234"/>
        <v>0.33070889455872676</v>
      </c>
      <c r="AP797">
        <f t="shared" si="235"/>
        <v>28.079325812013277</v>
      </c>
    </row>
    <row r="798" spans="1:42" x14ac:dyDescent="0.2">
      <c r="A798" s="3">
        <v>800</v>
      </c>
      <c r="B798" s="3">
        <v>5.4499999999999997E-7</v>
      </c>
      <c r="C798" s="2">
        <v>4.1489999999999999E-2</v>
      </c>
      <c r="D798" s="3">
        <v>199000</v>
      </c>
      <c r="E798" s="3">
        <v>95000000000</v>
      </c>
      <c r="F798" s="3">
        <v>87300000000</v>
      </c>
      <c r="G798" s="3">
        <v>3560000000</v>
      </c>
      <c r="H798" s="3">
        <v>11500000000</v>
      </c>
      <c r="I798" s="2"/>
      <c r="J798" s="7">
        <f t="shared" si="219"/>
        <v>0.54499999999999993</v>
      </c>
      <c r="K798" s="7">
        <f t="shared" si="220"/>
        <v>41.49</v>
      </c>
      <c r="L798" s="7">
        <f t="shared" si="221"/>
        <v>95</v>
      </c>
      <c r="M798" s="7">
        <f t="shared" si="222"/>
        <v>199</v>
      </c>
      <c r="O798">
        <f t="shared" si="223"/>
        <v>0.38863065326633162</v>
      </c>
      <c r="P798">
        <f t="shared" si="224"/>
        <v>388.63065326633159</v>
      </c>
      <c r="V798">
        <f t="shared" si="225"/>
        <v>897.1316719386067</v>
      </c>
      <c r="W798">
        <f t="shared" si="226"/>
        <v>110.90902607974036</v>
      </c>
      <c r="AE798">
        <f t="shared" si="227"/>
        <v>0.67485625469341626</v>
      </c>
      <c r="AF798">
        <f t="shared" si="228"/>
        <v>0.65405860161705842</v>
      </c>
      <c r="AG798">
        <f t="shared" si="229"/>
        <v>0.65573976970995829</v>
      </c>
      <c r="AI798">
        <f t="shared" si="230"/>
        <v>0.33649141095461299</v>
      </c>
      <c r="AJ798">
        <f t="shared" si="231"/>
        <v>28.99822226077902</v>
      </c>
      <c r="AL798">
        <f t="shared" si="232"/>
        <v>0.34719111219071958</v>
      </c>
      <c r="AM798">
        <f t="shared" si="233"/>
        <v>30.871704314482166</v>
      </c>
      <c r="AO798">
        <f t="shared" si="234"/>
        <v>0.34630099289810506</v>
      </c>
      <c r="AP798">
        <f t="shared" si="235"/>
        <v>30.713611131567557</v>
      </c>
    </row>
    <row r="799" spans="1:42" x14ac:dyDescent="0.2">
      <c r="A799" s="3">
        <v>800</v>
      </c>
      <c r="B799" s="3">
        <v>5.4600000000000005E-7</v>
      </c>
      <c r="C799" s="2">
        <v>4.1540000000000001E-2</v>
      </c>
      <c r="D799" s="3">
        <v>210000</v>
      </c>
      <c r="E799" s="3">
        <v>99400000000</v>
      </c>
      <c r="F799" s="3">
        <v>91000000000</v>
      </c>
      <c r="G799" s="3">
        <v>7470000000</v>
      </c>
      <c r="H799" s="3">
        <v>11300000000</v>
      </c>
      <c r="I799" s="2"/>
      <c r="J799" s="7">
        <f t="shared" si="219"/>
        <v>0.54600000000000004</v>
      </c>
      <c r="K799" s="7">
        <f t="shared" si="220"/>
        <v>41.54</v>
      </c>
      <c r="L799" s="7">
        <f t="shared" si="221"/>
        <v>99.4</v>
      </c>
      <c r="M799" s="7">
        <f t="shared" si="222"/>
        <v>210</v>
      </c>
      <c r="O799">
        <f t="shared" si="223"/>
        <v>0.39764285714285719</v>
      </c>
      <c r="P799">
        <f t="shared" si="224"/>
        <v>397.64285714285717</v>
      </c>
      <c r="V799">
        <f t="shared" si="225"/>
        <v>906.28951401639495</v>
      </c>
      <c r="W799">
        <f t="shared" si="226"/>
        <v>115.85701740569905</v>
      </c>
      <c r="AE799">
        <f t="shared" si="227"/>
        <v>0.71215986676189658</v>
      </c>
      <c r="AF799">
        <f t="shared" si="228"/>
        <v>0.69021259467126772</v>
      </c>
      <c r="AG799">
        <f t="shared" si="229"/>
        <v>0.69198669165372484</v>
      </c>
      <c r="AI799">
        <f t="shared" si="230"/>
        <v>0.31945074500535192</v>
      </c>
      <c r="AJ799">
        <f t="shared" si="231"/>
        <v>26.071258453436048</v>
      </c>
      <c r="AL799">
        <f t="shared" si="232"/>
        <v>0.32960858981188684</v>
      </c>
      <c r="AM799">
        <f t="shared" si="233"/>
        <v>27.755638771329945</v>
      </c>
      <c r="AO799">
        <f t="shared" si="234"/>
        <v>0.32876354812014602</v>
      </c>
      <c r="AP799">
        <f t="shared" si="235"/>
        <v>27.613502877811133</v>
      </c>
    </row>
    <row r="800" spans="1:42" x14ac:dyDescent="0.2">
      <c r="A800" s="3">
        <v>800</v>
      </c>
      <c r="B800" s="3">
        <v>5.4700000000000001E-7</v>
      </c>
      <c r="C800" s="2">
        <v>4.1590000000000002E-2</v>
      </c>
      <c r="D800" s="3">
        <v>218000</v>
      </c>
      <c r="E800" s="3">
        <v>103000000000</v>
      </c>
      <c r="F800" s="3">
        <v>93700000000</v>
      </c>
      <c r="G800" s="3">
        <v>6290000000</v>
      </c>
      <c r="H800" s="3">
        <v>11100000000</v>
      </c>
      <c r="I800" s="2"/>
      <c r="J800" s="7">
        <f t="shared" si="219"/>
        <v>0.54700000000000004</v>
      </c>
      <c r="K800" s="7">
        <f t="shared" si="220"/>
        <v>41.59</v>
      </c>
      <c r="L800" s="7">
        <f t="shared" si="221"/>
        <v>103</v>
      </c>
      <c r="M800" s="7">
        <f t="shared" si="222"/>
        <v>218</v>
      </c>
      <c r="O800">
        <f t="shared" si="223"/>
        <v>0.4039151376146789</v>
      </c>
      <c r="P800">
        <f t="shared" si="224"/>
        <v>403.91513761467888</v>
      </c>
      <c r="V800">
        <f t="shared" si="225"/>
        <v>912.59510982707434</v>
      </c>
      <c r="W800">
        <f t="shared" si="226"/>
        <v>119.43960561070087</v>
      </c>
      <c r="AE800">
        <f t="shared" si="227"/>
        <v>0.73928976644806399</v>
      </c>
      <c r="AF800">
        <f t="shared" si="228"/>
        <v>0.71650640780160169</v>
      </c>
      <c r="AG800">
        <f t="shared" si="229"/>
        <v>0.71834808943100958</v>
      </c>
      <c r="AI800">
        <f t="shared" si="230"/>
        <v>0.30829138588201749</v>
      </c>
      <c r="AJ800">
        <f t="shared" si="231"/>
        <v>24.222001427572383</v>
      </c>
      <c r="AL800">
        <f t="shared" si="232"/>
        <v>0.3180943871332077</v>
      </c>
      <c r="AM800">
        <f t="shared" si="233"/>
        <v>25.786907185285195</v>
      </c>
      <c r="AO800">
        <f t="shared" si="234"/>
        <v>0.3172788652465065</v>
      </c>
      <c r="AP800">
        <f t="shared" si="235"/>
        <v>25.654853114252489</v>
      </c>
    </row>
    <row r="801" spans="1:42" x14ac:dyDescent="0.2">
      <c r="A801" s="3">
        <v>800</v>
      </c>
      <c r="B801" s="3">
        <v>5.4799999999999998E-7</v>
      </c>
      <c r="C801" s="2">
        <v>4.1640000000000003E-2</v>
      </c>
      <c r="D801" s="3">
        <v>201000</v>
      </c>
      <c r="E801" s="3">
        <v>95300000000</v>
      </c>
      <c r="F801" s="3">
        <v>87500000000</v>
      </c>
      <c r="G801" s="3">
        <v>5500000000</v>
      </c>
      <c r="H801" s="3">
        <v>11500000000</v>
      </c>
      <c r="I801" s="2"/>
      <c r="J801" s="7">
        <f t="shared" si="219"/>
        <v>0.54799999999999993</v>
      </c>
      <c r="K801" s="7">
        <f t="shared" si="220"/>
        <v>41.64</v>
      </c>
      <c r="L801" s="7">
        <f t="shared" si="221"/>
        <v>95.300000000000011</v>
      </c>
      <c r="M801" s="7">
        <f t="shared" si="222"/>
        <v>201</v>
      </c>
      <c r="O801">
        <f t="shared" si="223"/>
        <v>0.39262686567164173</v>
      </c>
      <c r="P801">
        <f t="shared" si="224"/>
        <v>392.62686567164172</v>
      </c>
      <c r="V801">
        <f t="shared" si="225"/>
        <v>901.20690255726652</v>
      </c>
      <c r="W801">
        <f t="shared" si="226"/>
        <v>111.51712188934749</v>
      </c>
      <c r="AE801">
        <f t="shared" si="227"/>
        <v>0.68163872961495808</v>
      </c>
      <c r="AF801">
        <f t="shared" si="228"/>
        <v>0.66063205489964194</v>
      </c>
      <c r="AG801">
        <f t="shared" si="229"/>
        <v>0.66233011915427953</v>
      </c>
      <c r="AI801">
        <f t="shared" si="230"/>
        <v>0.33497705369868513</v>
      </c>
      <c r="AJ801">
        <f t="shared" si="231"/>
        <v>28.526776413736538</v>
      </c>
      <c r="AL801">
        <f t="shared" si="232"/>
        <v>0.34562860163971293</v>
      </c>
      <c r="AM801">
        <f t="shared" si="233"/>
        <v>30.369799864640381</v>
      </c>
      <c r="AO801">
        <f t="shared" si="234"/>
        <v>0.3447424882698813</v>
      </c>
      <c r="AP801">
        <f t="shared" si="235"/>
        <v>30.2142769211653</v>
      </c>
    </row>
    <row r="802" spans="1:42" x14ac:dyDescent="0.2">
      <c r="A802" s="3">
        <v>800</v>
      </c>
      <c r="B802" s="3">
        <v>5.4899999999999995E-7</v>
      </c>
      <c r="C802" s="2">
        <v>4.1700000000000001E-2</v>
      </c>
      <c r="D802" s="3">
        <v>205000</v>
      </c>
      <c r="E802" s="3">
        <v>96900000000</v>
      </c>
      <c r="F802" s="3">
        <v>88900000000</v>
      </c>
      <c r="G802" s="3">
        <v>4310000000</v>
      </c>
      <c r="H802" s="3">
        <v>11400000000</v>
      </c>
      <c r="I802" s="2"/>
      <c r="J802" s="7">
        <f t="shared" si="219"/>
        <v>0.54899999999999993</v>
      </c>
      <c r="K802" s="7">
        <f t="shared" si="220"/>
        <v>41.7</v>
      </c>
      <c r="L802" s="7">
        <f t="shared" si="221"/>
        <v>96.9</v>
      </c>
      <c r="M802" s="7">
        <f t="shared" si="222"/>
        <v>205</v>
      </c>
      <c r="O802">
        <f t="shared" si="223"/>
        <v>0.39643902439024381</v>
      </c>
      <c r="P802">
        <f t="shared" si="224"/>
        <v>396.43902439024379</v>
      </c>
      <c r="V802">
        <f t="shared" si="225"/>
        <v>905.07296437366506</v>
      </c>
      <c r="W802">
        <f t="shared" si="226"/>
        <v>113.25053784026437</v>
      </c>
      <c r="AE802">
        <f t="shared" si="227"/>
        <v>0.69520367945804185</v>
      </c>
      <c r="AF802">
        <f t="shared" si="228"/>
        <v>0.67377896146480898</v>
      </c>
      <c r="AG802">
        <f t="shared" si="229"/>
        <v>0.6755108180429219</v>
      </c>
      <c r="AI802">
        <f t="shared" si="230"/>
        <v>0.3290402608028859</v>
      </c>
      <c r="AJ802">
        <f t="shared" si="231"/>
        <v>27.463913659685279</v>
      </c>
      <c r="AL802">
        <f t="shared" si="232"/>
        <v>0.3395030315323187</v>
      </c>
      <c r="AM802">
        <f t="shared" si="233"/>
        <v>29.238268959922596</v>
      </c>
      <c r="AO802">
        <f t="shared" si="234"/>
        <v>0.33863262273538486</v>
      </c>
      <c r="AP802">
        <f t="shared" si="235"/>
        <v>29.088540556343037</v>
      </c>
    </row>
    <row r="803" spans="1:42" x14ac:dyDescent="0.2">
      <c r="A803" s="3">
        <v>800</v>
      </c>
      <c r="B803" s="3">
        <v>5.4899999999999995E-7</v>
      </c>
      <c r="C803" s="2">
        <v>4.1750000000000002E-2</v>
      </c>
      <c r="D803" s="3">
        <v>210000</v>
      </c>
      <c r="E803" s="3">
        <v>99200000000</v>
      </c>
      <c r="F803" s="3">
        <v>90800000000</v>
      </c>
      <c r="G803" s="3">
        <v>5220000000</v>
      </c>
      <c r="H803" s="3">
        <v>11300000000</v>
      </c>
      <c r="I803" s="2"/>
      <c r="J803" s="7">
        <f t="shared" si="219"/>
        <v>0.54899999999999993</v>
      </c>
      <c r="K803" s="7">
        <f t="shared" si="220"/>
        <v>41.75</v>
      </c>
      <c r="L803" s="7">
        <f t="shared" si="221"/>
        <v>99.2</v>
      </c>
      <c r="M803" s="7">
        <f t="shared" si="222"/>
        <v>210</v>
      </c>
      <c r="O803">
        <f t="shared" si="223"/>
        <v>0.39989285714285705</v>
      </c>
      <c r="P803">
        <f t="shared" si="224"/>
        <v>399.89285714285705</v>
      </c>
      <c r="V803">
        <f t="shared" si="225"/>
        <v>908.55779435521845</v>
      </c>
      <c r="W803">
        <f t="shared" si="226"/>
        <v>115.56777197042921</v>
      </c>
      <c r="AE803">
        <f t="shared" si="227"/>
        <v>0.71215986676189658</v>
      </c>
      <c r="AF803">
        <f t="shared" si="228"/>
        <v>0.69021259467126772</v>
      </c>
      <c r="AG803">
        <f t="shared" si="229"/>
        <v>0.69198669165372484</v>
      </c>
      <c r="AI803">
        <f t="shared" si="230"/>
        <v>0.3212059688790076</v>
      </c>
      <c r="AJ803">
        <f t="shared" si="231"/>
        <v>26.203058267476049</v>
      </c>
      <c r="AL803">
        <f t="shared" si="232"/>
        <v>0.33141962601964442</v>
      </c>
      <c r="AM803">
        <f t="shared" si="233"/>
        <v>27.895953748267338</v>
      </c>
      <c r="AO803">
        <f t="shared" si="234"/>
        <v>0.33056994124168521</v>
      </c>
      <c r="AP803">
        <f t="shared" si="235"/>
        <v>27.75309930545534</v>
      </c>
    </row>
    <row r="804" spans="1:42" x14ac:dyDescent="0.2">
      <c r="A804" s="3">
        <v>800</v>
      </c>
      <c r="B804" s="3">
        <v>5.5000000000000003E-7</v>
      </c>
      <c r="C804" s="2">
        <v>4.1799999999999997E-2</v>
      </c>
      <c r="D804" s="3">
        <v>209000</v>
      </c>
      <c r="E804" s="3">
        <v>98600000000</v>
      </c>
      <c r="F804" s="3">
        <v>90300000000</v>
      </c>
      <c r="G804" s="3">
        <v>1700000000</v>
      </c>
      <c r="H804" s="3">
        <v>11300000000</v>
      </c>
      <c r="I804" s="2"/>
      <c r="J804" s="7">
        <f t="shared" si="219"/>
        <v>0.55000000000000004</v>
      </c>
      <c r="K804" s="7">
        <f t="shared" si="220"/>
        <v>41.8</v>
      </c>
      <c r="L804" s="7">
        <f t="shared" si="221"/>
        <v>98.600000000000009</v>
      </c>
      <c r="M804" s="7">
        <f t="shared" si="222"/>
        <v>209</v>
      </c>
      <c r="O804">
        <f t="shared" si="223"/>
        <v>0.4</v>
      </c>
      <c r="P804">
        <f t="shared" si="224"/>
        <v>400</v>
      </c>
      <c r="V804">
        <f t="shared" si="225"/>
        <v>908.66563018038369</v>
      </c>
      <c r="W804">
        <f t="shared" si="226"/>
        <v>115.00379955964131</v>
      </c>
      <c r="AE804">
        <f t="shared" si="227"/>
        <v>0.70876862930112561</v>
      </c>
      <c r="AF804">
        <f t="shared" si="228"/>
        <v>0.68692586802997602</v>
      </c>
      <c r="AG804">
        <f t="shared" si="229"/>
        <v>0.68869151693156427</v>
      </c>
      <c r="AI804">
        <f t="shared" si="230"/>
        <v>0.32333071356817</v>
      </c>
      <c r="AJ804">
        <f t="shared" si="231"/>
        <v>26.486087031961574</v>
      </c>
      <c r="AL804">
        <f t="shared" si="232"/>
        <v>0.33361193300798264</v>
      </c>
      <c r="AM804">
        <f t="shared" si="233"/>
        <v>28.197268092681764</v>
      </c>
      <c r="AO804">
        <f t="shared" si="234"/>
        <v>0.33275662765196962</v>
      </c>
      <c r="AP804">
        <f t="shared" si="235"/>
        <v>28.052870627065417</v>
      </c>
    </row>
    <row r="805" spans="1:42" x14ac:dyDescent="0.2">
      <c r="A805" s="3">
        <v>800</v>
      </c>
      <c r="B805" s="3">
        <v>5.51E-7</v>
      </c>
      <c r="C805" s="2">
        <v>4.1860000000000001E-2</v>
      </c>
      <c r="D805" s="3">
        <v>193000</v>
      </c>
      <c r="E805" s="3">
        <v>91700000000</v>
      </c>
      <c r="F805" s="3">
        <v>84500000000</v>
      </c>
      <c r="G805" s="3">
        <v>1780000000</v>
      </c>
      <c r="H805" s="3">
        <v>11700000000</v>
      </c>
      <c r="I805" s="2"/>
      <c r="J805" s="7">
        <f t="shared" si="219"/>
        <v>0.55100000000000005</v>
      </c>
      <c r="K805" s="7">
        <f t="shared" si="220"/>
        <v>41.86</v>
      </c>
      <c r="L805" s="7">
        <f t="shared" si="221"/>
        <v>91.7</v>
      </c>
      <c r="M805" s="7">
        <f t="shared" si="222"/>
        <v>193</v>
      </c>
      <c r="O805">
        <f t="shared" si="223"/>
        <v>0.38833160621761664</v>
      </c>
      <c r="P805">
        <f t="shared" si="224"/>
        <v>388.33160621761664</v>
      </c>
      <c r="V805">
        <f t="shared" si="225"/>
        <v>896.82577503262178</v>
      </c>
      <c r="W805">
        <f t="shared" si="226"/>
        <v>107.60172453394289</v>
      </c>
      <c r="AE805">
        <f t="shared" si="227"/>
        <v>0.65450882992879067</v>
      </c>
      <c r="AF805">
        <f t="shared" si="228"/>
        <v>0.63433824176930798</v>
      </c>
      <c r="AG805">
        <f t="shared" si="229"/>
        <v>0.63596872137699478</v>
      </c>
      <c r="AI805">
        <f t="shared" si="230"/>
        <v>0.35077194200468098</v>
      </c>
      <c r="AJ805">
        <f t="shared" si="231"/>
        <v>31.104175824854831</v>
      </c>
      <c r="AL805">
        <f t="shared" si="232"/>
        <v>0.36192573333270162</v>
      </c>
      <c r="AM805">
        <f t="shared" si="233"/>
        <v>33.113716778056954</v>
      </c>
      <c r="AO805">
        <f t="shared" si="234"/>
        <v>0.36099783781227668</v>
      </c>
      <c r="AP805">
        <f t="shared" si="235"/>
        <v>32.944142308495834</v>
      </c>
    </row>
    <row r="806" spans="1:42" x14ac:dyDescent="0.2">
      <c r="A806" s="3">
        <v>800</v>
      </c>
      <c r="B806" s="3">
        <v>5.5199999999999997E-7</v>
      </c>
      <c r="C806" s="2">
        <v>4.1910000000000003E-2</v>
      </c>
      <c r="D806" s="3">
        <v>209000</v>
      </c>
      <c r="E806" s="3">
        <v>98300000000</v>
      </c>
      <c r="F806" s="3">
        <v>90100000000</v>
      </c>
      <c r="G806" s="2">
        <v>0</v>
      </c>
      <c r="H806" s="3">
        <v>11300000000</v>
      </c>
      <c r="I806" s="2"/>
      <c r="J806" s="7">
        <f t="shared" si="219"/>
        <v>0.55199999999999994</v>
      </c>
      <c r="K806" s="7">
        <f t="shared" si="220"/>
        <v>41.910000000000004</v>
      </c>
      <c r="L806" s="7">
        <f t="shared" si="221"/>
        <v>98.300000000000011</v>
      </c>
      <c r="M806" s="7">
        <f t="shared" si="222"/>
        <v>209</v>
      </c>
      <c r="O806">
        <f t="shared" si="223"/>
        <v>0.40160526315789469</v>
      </c>
      <c r="P806">
        <f t="shared" si="224"/>
        <v>401.60526315789468</v>
      </c>
      <c r="V806">
        <f t="shared" si="225"/>
        <v>910.27935337449628</v>
      </c>
      <c r="W806">
        <f t="shared" si="226"/>
        <v>114.79992335606435</v>
      </c>
      <c r="AE806">
        <f t="shared" si="227"/>
        <v>0.70876862930112561</v>
      </c>
      <c r="AF806">
        <f t="shared" si="228"/>
        <v>0.68692586802997602</v>
      </c>
      <c r="AG806">
        <f t="shared" si="229"/>
        <v>0.68869151693156427</v>
      </c>
      <c r="AI806">
        <f t="shared" si="230"/>
        <v>0.32450646161750873</v>
      </c>
      <c r="AJ806">
        <f t="shared" si="231"/>
        <v>26.555787260993057</v>
      </c>
      <c r="AL806">
        <f t="shared" si="232"/>
        <v>0.3348250673098298</v>
      </c>
      <c r="AM806">
        <f t="shared" si="233"/>
        <v>28.271471429767772</v>
      </c>
      <c r="AO806">
        <f t="shared" si="234"/>
        <v>0.33396665175252221</v>
      </c>
      <c r="AP806">
        <f t="shared" si="235"/>
        <v>28.126693970820856</v>
      </c>
    </row>
    <row r="807" spans="1:42" x14ac:dyDescent="0.2">
      <c r="A807" s="3">
        <v>810</v>
      </c>
      <c r="B807" s="3">
        <v>5.5300000000000004E-7</v>
      </c>
      <c r="C807" s="2">
        <v>4.1959999999999997E-2</v>
      </c>
      <c r="D807" s="3">
        <v>197000</v>
      </c>
      <c r="E807" s="3">
        <v>93100000000</v>
      </c>
      <c r="F807" s="3">
        <v>85700000000</v>
      </c>
      <c r="G807" s="2">
        <v>0</v>
      </c>
      <c r="H807" s="3">
        <v>11500000000</v>
      </c>
      <c r="I807" s="2"/>
      <c r="J807" s="7">
        <f t="shared" si="219"/>
        <v>0.55300000000000005</v>
      </c>
      <c r="K807" s="7">
        <f t="shared" si="220"/>
        <v>41.959999999999994</v>
      </c>
      <c r="L807" s="7">
        <f t="shared" si="221"/>
        <v>93.100000000000009</v>
      </c>
      <c r="M807" s="7">
        <f t="shared" si="222"/>
        <v>197</v>
      </c>
      <c r="O807">
        <f t="shared" si="223"/>
        <v>0.39325380710659907</v>
      </c>
      <c r="P807">
        <f t="shared" si="224"/>
        <v>393.25380710659908</v>
      </c>
      <c r="V807">
        <f t="shared" si="225"/>
        <v>901.84414074468839</v>
      </c>
      <c r="W807">
        <f t="shared" si="226"/>
        <v>109.22064639535679</v>
      </c>
      <c r="AE807">
        <f t="shared" si="227"/>
        <v>0.66807377977187432</v>
      </c>
      <c r="AF807">
        <f t="shared" si="228"/>
        <v>0.64748514833447501</v>
      </c>
      <c r="AG807">
        <f t="shared" si="229"/>
        <v>0.64914942026563716</v>
      </c>
      <c r="AI807">
        <f t="shared" si="230"/>
        <v>0.34489703629043272</v>
      </c>
      <c r="AJ807">
        <f t="shared" si="231"/>
        <v>29.925203983479545</v>
      </c>
      <c r="AL807">
        <f t="shared" si="232"/>
        <v>0.35586401828577396</v>
      </c>
      <c r="AM807">
        <f t="shared" si="233"/>
        <v>31.858575350602393</v>
      </c>
      <c r="AO807">
        <f t="shared" si="234"/>
        <v>0.35495166362834973</v>
      </c>
      <c r="AP807">
        <f t="shared" si="235"/>
        <v>31.695428427160955</v>
      </c>
    </row>
    <row r="808" spans="1:42" x14ac:dyDescent="0.2">
      <c r="A808" s="3">
        <v>810</v>
      </c>
      <c r="B808" s="3">
        <v>5.5400000000000001E-7</v>
      </c>
      <c r="C808" s="2">
        <v>4.2009999999999999E-2</v>
      </c>
      <c r="D808" s="3">
        <v>201000</v>
      </c>
      <c r="E808" s="3">
        <v>94900000000</v>
      </c>
      <c r="F808" s="3">
        <v>87200000000</v>
      </c>
      <c r="G808" s="3">
        <v>11400000000</v>
      </c>
      <c r="H808" s="3">
        <v>11400000000</v>
      </c>
      <c r="I808" s="2"/>
      <c r="J808" s="7">
        <f t="shared" si="219"/>
        <v>0.55400000000000005</v>
      </c>
      <c r="K808" s="7">
        <f t="shared" si="220"/>
        <v>42.01</v>
      </c>
      <c r="L808" s="7">
        <f t="shared" si="221"/>
        <v>94.9</v>
      </c>
      <c r="M808" s="7">
        <f t="shared" si="222"/>
        <v>201</v>
      </c>
      <c r="O808">
        <f t="shared" si="223"/>
        <v>0.39724626865671647</v>
      </c>
      <c r="P808">
        <f t="shared" si="224"/>
        <v>397.2462686567165</v>
      </c>
      <c r="V808">
        <f t="shared" si="225"/>
        <v>905.88896296554822</v>
      </c>
      <c r="W808">
        <f t="shared" si="226"/>
        <v>110.94074893130374</v>
      </c>
      <c r="AE808">
        <f t="shared" si="227"/>
        <v>0.68163872961495808</v>
      </c>
      <c r="AF808">
        <f t="shared" si="228"/>
        <v>0.66063205489964194</v>
      </c>
      <c r="AG808">
        <f t="shared" si="229"/>
        <v>0.66233011915427953</v>
      </c>
      <c r="AI808">
        <f t="shared" si="230"/>
        <v>0.33864468567348832</v>
      </c>
      <c r="AJ808">
        <f t="shared" si="231"/>
        <v>28.780256415491642</v>
      </c>
      <c r="AL808">
        <f t="shared" si="232"/>
        <v>0.34941285640219161</v>
      </c>
      <c r="AM808">
        <f t="shared" si="233"/>
        <v>30.639656395618214</v>
      </c>
      <c r="AO808">
        <f t="shared" si="234"/>
        <v>0.34851704106115744</v>
      </c>
      <c r="AP808">
        <f t="shared" si="235"/>
        <v>30.482751523971043</v>
      </c>
    </row>
    <row r="809" spans="1:42" x14ac:dyDescent="0.2">
      <c r="A809" s="3">
        <v>810</v>
      </c>
      <c r="B809" s="3">
        <v>5.5400000000000001E-7</v>
      </c>
      <c r="C809" s="2">
        <v>4.206E-2</v>
      </c>
      <c r="D809" s="3">
        <v>229000</v>
      </c>
      <c r="E809" s="3">
        <v>107000000000</v>
      </c>
      <c r="F809" s="3">
        <v>97000000000</v>
      </c>
      <c r="G809" s="3">
        <v>7230000000</v>
      </c>
      <c r="H809" s="3">
        <v>10900000000</v>
      </c>
      <c r="I809" s="2"/>
      <c r="J809" s="7">
        <f t="shared" si="219"/>
        <v>0.55400000000000005</v>
      </c>
      <c r="K809" s="7">
        <f t="shared" si="220"/>
        <v>42.06</v>
      </c>
      <c r="L809" s="7">
        <f t="shared" si="221"/>
        <v>107</v>
      </c>
      <c r="M809" s="7">
        <f t="shared" si="222"/>
        <v>229</v>
      </c>
      <c r="O809">
        <f t="shared" si="223"/>
        <v>0.41624890829694328</v>
      </c>
      <c r="P809">
        <f t="shared" si="224"/>
        <v>416.24890829694328</v>
      </c>
      <c r="V809">
        <f t="shared" si="225"/>
        <v>924.83721603477056</v>
      </c>
      <c r="W809">
        <f t="shared" si="226"/>
        <v>123.80557141819779</v>
      </c>
      <c r="AE809">
        <f t="shared" si="227"/>
        <v>0.77659337851654431</v>
      </c>
      <c r="AF809">
        <f t="shared" si="228"/>
        <v>0.75266040085581098</v>
      </c>
      <c r="AG809">
        <f t="shared" si="229"/>
        <v>0.75459501137477614</v>
      </c>
      <c r="AI809">
        <f t="shared" si="230"/>
        <v>0.29723834856057268</v>
      </c>
      <c r="AJ809">
        <f t="shared" si="231"/>
        <v>22.19894810338662</v>
      </c>
      <c r="AL809">
        <f t="shared" si="232"/>
        <v>0.30668988706043893</v>
      </c>
      <c r="AM809">
        <f t="shared" si="233"/>
        <v>23.633150879983486</v>
      </c>
      <c r="AO809">
        <f t="shared" si="234"/>
        <v>0.30590360372616882</v>
      </c>
      <c r="AP809">
        <f t="shared" si="235"/>
        <v>23.512126138140356</v>
      </c>
    </row>
    <row r="810" spans="1:42" x14ac:dyDescent="0.2">
      <c r="A810" s="3">
        <v>810</v>
      </c>
      <c r="B810" s="3">
        <v>5.5499999999999998E-7</v>
      </c>
      <c r="C810" s="2">
        <v>4.2119999999999998E-2</v>
      </c>
      <c r="D810" s="3">
        <v>195000</v>
      </c>
      <c r="E810" s="3">
        <v>92400000000</v>
      </c>
      <c r="F810" s="3">
        <v>85100000000</v>
      </c>
      <c r="G810" s="3">
        <v>6460000000</v>
      </c>
      <c r="H810" s="3">
        <v>11600000000</v>
      </c>
      <c r="I810" s="2"/>
      <c r="J810" s="7">
        <f t="shared" si="219"/>
        <v>0.55499999999999994</v>
      </c>
      <c r="K810" s="7">
        <f t="shared" si="220"/>
        <v>42.12</v>
      </c>
      <c r="L810" s="7">
        <f t="shared" si="221"/>
        <v>92.4</v>
      </c>
      <c r="M810" s="7">
        <f t="shared" si="222"/>
        <v>195</v>
      </c>
      <c r="O810">
        <f t="shared" si="223"/>
        <v>0.3929999999999999</v>
      </c>
      <c r="P810">
        <f t="shared" si="224"/>
        <v>392.99999999999989</v>
      </c>
      <c r="V810">
        <f t="shared" si="225"/>
        <v>901.58623338128336</v>
      </c>
      <c r="W810">
        <f t="shared" si="226"/>
        <v>108.14273376195949</v>
      </c>
      <c r="AE810">
        <f t="shared" si="227"/>
        <v>0.6612913048503325</v>
      </c>
      <c r="AF810">
        <f t="shared" si="228"/>
        <v>0.64091169505189149</v>
      </c>
      <c r="AG810">
        <f t="shared" si="229"/>
        <v>0.64255907082131591</v>
      </c>
      <c r="AI810">
        <f t="shared" si="230"/>
        <v>0.34969460252065149</v>
      </c>
      <c r="AJ810">
        <f t="shared" si="231"/>
        <v>30.658664435150602</v>
      </c>
      <c r="AL810">
        <f t="shared" si="232"/>
        <v>0.36081413677632579</v>
      </c>
      <c r="AM810">
        <f t="shared" si="233"/>
        <v>32.639422327590403</v>
      </c>
      <c r="AO810">
        <f t="shared" si="234"/>
        <v>0.35988909113743789</v>
      </c>
      <c r="AP810">
        <f t="shared" si="235"/>
        <v>32.472276707390805</v>
      </c>
    </row>
    <row r="811" spans="1:42" x14ac:dyDescent="0.2">
      <c r="A811" s="3">
        <v>810</v>
      </c>
      <c r="B811" s="3">
        <v>5.5599999999999995E-7</v>
      </c>
      <c r="C811" s="2">
        <v>4.2169999999999999E-2</v>
      </c>
      <c r="D811" s="3">
        <v>190000</v>
      </c>
      <c r="E811" s="3">
        <v>90000000000</v>
      </c>
      <c r="F811" s="3">
        <v>83100000000</v>
      </c>
      <c r="G811" s="2">
        <v>0</v>
      </c>
      <c r="H811" s="3">
        <v>11700000000</v>
      </c>
      <c r="I811" s="2"/>
      <c r="J811" s="7">
        <f t="shared" si="219"/>
        <v>0.55599999999999994</v>
      </c>
      <c r="K811" s="7">
        <f t="shared" si="220"/>
        <v>42.17</v>
      </c>
      <c r="L811" s="7">
        <f t="shared" si="221"/>
        <v>90</v>
      </c>
      <c r="M811" s="7">
        <f t="shared" si="222"/>
        <v>190</v>
      </c>
      <c r="O811">
        <f t="shared" si="223"/>
        <v>0.38953947368421049</v>
      </c>
      <c r="P811">
        <f t="shared" si="224"/>
        <v>389.53947368421046</v>
      </c>
      <c r="V811">
        <f t="shared" si="225"/>
        <v>898.06050562850226</v>
      </c>
      <c r="W811">
        <f t="shared" si="226"/>
        <v>105.7835183760974</v>
      </c>
      <c r="AE811">
        <f t="shared" si="227"/>
        <v>0.64433511754647788</v>
      </c>
      <c r="AF811">
        <f t="shared" si="228"/>
        <v>0.62447806184543275</v>
      </c>
      <c r="AG811">
        <f t="shared" si="229"/>
        <v>0.62608319721051298</v>
      </c>
      <c r="AI811">
        <f t="shared" si="230"/>
        <v>0.35954375348780493</v>
      </c>
      <c r="AJ811">
        <f t="shared" si="231"/>
        <v>32.331845240831619</v>
      </c>
      <c r="AL811">
        <f t="shared" si="232"/>
        <v>0.37097646950487662</v>
      </c>
      <c r="AM811">
        <f t="shared" si="233"/>
        <v>34.420701974084977</v>
      </c>
      <c r="AO811">
        <f t="shared" si="234"/>
        <v>0.37002536994899016</v>
      </c>
      <c r="AP811">
        <f t="shared" si="235"/>
        <v>34.244434467833777</v>
      </c>
    </row>
    <row r="812" spans="1:42" x14ac:dyDescent="0.2">
      <c r="A812" s="3">
        <v>810</v>
      </c>
      <c r="B812" s="3">
        <v>5.5700000000000002E-7</v>
      </c>
      <c r="C812" s="2">
        <v>4.2220000000000001E-2</v>
      </c>
      <c r="D812" s="3">
        <v>225000</v>
      </c>
      <c r="E812" s="3">
        <v>104000000000</v>
      </c>
      <c r="F812" s="3">
        <v>95200000000</v>
      </c>
      <c r="G812" s="3">
        <v>3530000000</v>
      </c>
      <c r="H812" s="3">
        <v>11000000000</v>
      </c>
      <c r="I812" s="2"/>
      <c r="J812" s="7">
        <f t="shared" si="219"/>
        <v>0.55700000000000005</v>
      </c>
      <c r="K812" s="7">
        <f t="shared" si="220"/>
        <v>42.22</v>
      </c>
      <c r="L812" s="7">
        <f t="shared" si="221"/>
        <v>104</v>
      </c>
      <c r="M812" s="7">
        <f t="shared" si="222"/>
        <v>225</v>
      </c>
      <c r="O812">
        <f t="shared" si="223"/>
        <v>0.41626666666666673</v>
      </c>
      <c r="P812">
        <f t="shared" si="224"/>
        <v>416.26666666666671</v>
      </c>
      <c r="V812">
        <f t="shared" si="225"/>
        <v>924.85469571392537</v>
      </c>
      <c r="W812">
        <f t="shared" si="226"/>
        <v>121.64072964257116</v>
      </c>
      <c r="AE812">
        <f t="shared" si="227"/>
        <v>0.76302842867346055</v>
      </c>
      <c r="AF812">
        <f t="shared" si="228"/>
        <v>0.73951349429064395</v>
      </c>
      <c r="AG812">
        <f t="shared" si="229"/>
        <v>0.74141431248613376</v>
      </c>
      <c r="AI812">
        <f t="shared" si="230"/>
        <v>0.30416079481706165</v>
      </c>
      <c r="AJ812">
        <f t="shared" si="231"/>
        <v>23.082736024522308</v>
      </c>
      <c r="AL812">
        <f t="shared" si="232"/>
        <v>0.31383245217986494</v>
      </c>
      <c r="AM812">
        <f t="shared" si="233"/>
        <v>24.574037501675271</v>
      </c>
      <c r="AO812">
        <f t="shared" si="234"/>
        <v>0.31302785692807067</v>
      </c>
      <c r="AP812">
        <f t="shared" si="235"/>
        <v>24.448194504277797</v>
      </c>
    </row>
    <row r="813" spans="1:42" x14ac:dyDescent="0.2">
      <c r="A813" s="3">
        <v>810</v>
      </c>
      <c r="B813" s="3">
        <v>5.5700000000000002E-7</v>
      </c>
      <c r="C813" s="2">
        <v>4.2270000000000002E-2</v>
      </c>
      <c r="D813" s="3">
        <v>200000</v>
      </c>
      <c r="E813" s="3">
        <v>94000000000</v>
      </c>
      <c r="F813" s="3">
        <v>86400000000</v>
      </c>
      <c r="G813" s="3">
        <v>7180000000</v>
      </c>
      <c r="H813" s="3">
        <v>11500000000</v>
      </c>
      <c r="I813" s="2"/>
      <c r="J813" s="7">
        <f t="shared" si="219"/>
        <v>0.55700000000000005</v>
      </c>
      <c r="K813" s="7">
        <f t="shared" si="220"/>
        <v>42.27</v>
      </c>
      <c r="L813" s="7">
        <f t="shared" si="221"/>
        <v>94</v>
      </c>
      <c r="M813" s="7">
        <f t="shared" si="222"/>
        <v>200</v>
      </c>
      <c r="O813">
        <f t="shared" si="223"/>
        <v>0.39848750000000005</v>
      </c>
      <c r="P813">
        <f t="shared" si="224"/>
        <v>398.48750000000007</v>
      </c>
      <c r="V813">
        <f t="shared" si="225"/>
        <v>907.14185528620931</v>
      </c>
      <c r="W813">
        <f t="shared" si="226"/>
        <v>110.23634221843874</v>
      </c>
      <c r="AE813">
        <f t="shared" si="227"/>
        <v>0.67824749215418723</v>
      </c>
      <c r="AF813">
        <f t="shared" si="228"/>
        <v>0.65734532825835024</v>
      </c>
      <c r="AG813">
        <f t="shared" si="229"/>
        <v>0.65903494443211896</v>
      </c>
      <c r="AI813">
        <f t="shared" si="230"/>
        <v>0.34218089416919428</v>
      </c>
      <c r="AJ813">
        <f t="shared" si="231"/>
        <v>29.248685232221543</v>
      </c>
      <c r="AL813">
        <f t="shared" si="232"/>
        <v>0.35306150870234804</v>
      </c>
      <c r="AM813">
        <f t="shared" si="233"/>
        <v>31.138348894503824</v>
      </c>
      <c r="AO813">
        <f t="shared" si="234"/>
        <v>0.3521563390440795</v>
      </c>
      <c r="AP813">
        <f t="shared" si="235"/>
        <v>30.978890231733189</v>
      </c>
    </row>
    <row r="814" spans="1:42" x14ac:dyDescent="0.2">
      <c r="A814" s="3">
        <v>810</v>
      </c>
      <c r="B814" s="3">
        <v>5.5799999999999999E-7</v>
      </c>
      <c r="C814" s="2">
        <v>4.233E-2</v>
      </c>
      <c r="D814" s="3">
        <v>223000</v>
      </c>
      <c r="E814" s="3">
        <v>104000000000</v>
      </c>
      <c r="F814" s="3">
        <v>94600000000</v>
      </c>
      <c r="G814" s="3">
        <v>165000000</v>
      </c>
      <c r="H814" s="3">
        <v>11000000000</v>
      </c>
      <c r="I814" s="2"/>
      <c r="J814" s="7">
        <f t="shared" si="219"/>
        <v>0.55799999999999994</v>
      </c>
      <c r="K814" s="7">
        <f t="shared" si="220"/>
        <v>42.33</v>
      </c>
      <c r="L814" s="7">
        <f t="shared" si="221"/>
        <v>104</v>
      </c>
      <c r="M814" s="7">
        <f t="shared" si="222"/>
        <v>223</v>
      </c>
      <c r="O814">
        <f t="shared" si="223"/>
        <v>0.41563452914798205</v>
      </c>
      <c r="P814">
        <f t="shared" si="224"/>
        <v>415.63452914798205</v>
      </c>
      <c r="V814">
        <f t="shared" si="225"/>
        <v>924.23222267610424</v>
      </c>
      <c r="W814">
        <f t="shared" si="226"/>
        <v>120.64067586515537</v>
      </c>
      <c r="AE814">
        <f t="shared" si="227"/>
        <v>0.75624595375191872</v>
      </c>
      <c r="AF814">
        <f t="shared" si="228"/>
        <v>0.73294004100806054</v>
      </c>
      <c r="AG814">
        <f t="shared" si="229"/>
        <v>0.73482396304181263</v>
      </c>
      <c r="AI814">
        <f t="shared" si="230"/>
        <v>0.30743966145737556</v>
      </c>
      <c r="AJ814">
        <f t="shared" si="231"/>
        <v>23.559856159298711</v>
      </c>
      <c r="AL814">
        <f t="shared" si="232"/>
        <v>0.31721557970857678</v>
      </c>
      <c r="AM814">
        <f t="shared" si="233"/>
        <v>25.081982836766556</v>
      </c>
      <c r="AO814">
        <f t="shared" si="234"/>
        <v>0.31640231088485932</v>
      </c>
      <c r="AP814">
        <f t="shared" si="235"/>
        <v>24.953538664715648</v>
      </c>
    </row>
    <row r="815" spans="1:42" x14ac:dyDescent="0.2">
      <c r="A815" s="3">
        <v>810</v>
      </c>
      <c r="B815" s="3">
        <v>5.5899999999999996E-7</v>
      </c>
      <c r="C815" s="2">
        <v>4.2380000000000001E-2</v>
      </c>
      <c r="D815" s="3">
        <v>215000</v>
      </c>
      <c r="E815" s="3">
        <v>100000000000</v>
      </c>
      <c r="F815" s="3">
        <v>91700000000</v>
      </c>
      <c r="G815" s="3">
        <v>13100000000</v>
      </c>
      <c r="H815" s="3">
        <v>11100000000</v>
      </c>
      <c r="I815" s="2"/>
      <c r="J815" s="7">
        <f t="shared" si="219"/>
        <v>0.55899999999999994</v>
      </c>
      <c r="K815" s="7">
        <f t="shared" si="220"/>
        <v>42.38</v>
      </c>
      <c r="L815" s="7">
        <f t="shared" si="221"/>
        <v>100</v>
      </c>
      <c r="M815" s="7">
        <f t="shared" si="222"/>
        <v>215</v>
      </c>
      <c r="O815">
        <f t="shared" si="223"/>
        <v>0.41116279069767436</v>
      </c>
      <c r="P815">
        <f t="shared" si="224"/>
        <v>411.16279069767438</v>
      </c>
      <c r="V815">
        <f t="shared" si="225"/>
        <v>919.81371305085054</v>
      </c>
      <c r="W815">
        <f t="shared" si="226"/>
        <v>116.87149090596023</v>
      </c>
      <c r="AE815">
        <f t="shared" si="227"/>
        <v>0.7291160540657512</v>
      </c>
      <c r="AF815">
        <f t="shared" si="228"/>
        <v>0.70664622787772646</v>
      </c>
      <c r="AG815">
        <f t="shared" si="229"/>
        <v>0.70846256526452789</v>
      </c>
      <c r="AI815">
        <f t="shared" si="230"/>
        <v>0.31945074500535192</v>
      </c>
      <c r="AJ815">
        <f t="shared" si="231"/>
        <v>25.375705462264698</v>
      </c>
      <c r="AL815">
        <f t="shared" si="232"/>
        <v>0.32960858981188684</v>
      </c>
      <c r="AM815">
        <f t="shared" si="233"/>
        <v>27.015148334178622</v>
      </c>
      <c r="AO815">
        <f t="shared" si="234"/>
        <v>0.32876354812014597</v>
      </c>
      <c r="AP815">
        <f t="shared" si="235"/>
        <v>26.876804472642696</v>
      </c>
    </row>
    <row r="816" spans="1:42" x14ac:dyDescent="0.2">
      <c r="A816" s="3">
        <v>810</v>
      </c>
      <c r="B816" s="3">
        <v>5.6000000000000004E-7</v>
      </c>
      <c r="C816" s="2">
        <v>4.2430000000000002E-2</v>
      </c>
      <c r="D816" s="3">
        <v>213000</v>
      </c>
      <c r="E816" s="3">
        <v>99000000000</v>
      </c>
      <c r="F816" s="3">
        <v>90700000000</v>
      </c>
      <c r="G816" s="3">
        <v>4550000000</v>
      </c>
      <c r="H816" s="3">
        <v>11200000000</v>
      </c>
      <c r="I816" s="2"/>
      <c r="J816" s="7">
        <f t="shared" si="219"/>
        <v>0.56000000000000005</v>
      </c>
      <c r="K816" s="7">
        <f t="shared" si="220"/>
        <v>42.43</v>
      </c>
      <c r="L816" s="7">
        <f t="shared" si="221"/>
        <v>99</v>
      </c>
      <c r="M816" s="7">
        <f t="shared" si="222"/>
        <v>213</v>
      </c>
      <c r="O816">
        <f t="shared" si="223"/>
        <v>0.41059859154929584</v>
      </c>
      <c r="P816">
        <f t="shared" si="224"/>
        <v>410.59859154929586</v>
      </c>
      <c r="V816">
        <f t="shared" si="225"/>
        <v>919.25433182808786</v>
      </c>
      <c r="W816">
        <f t="shared" si="226"/>
        <v>115.8547708861021</v>
      </c>
      <c r="AE816">
        <f t="shared" si="227"/>
        <v>0.72233357914420937</v>
      </c>
      <c r="AF816">
        <f t="shared" si="228"/>
        <v>0.70007277459514294</v>
      </c>
      <c r="AG816">
        <f t="shared" si="229"/>
        <v>0.70187221582020665</v>
      </c>
      <c r="AI816">
        <f t="shared" si="230"/>
        <v>0.32302711665402145</v>
      </c>
      <c r="AJ816">
        <f t="shared" si="231"/>
        <v>25.884984968604233</v>
      </c>
      <c r="AL816">
        <f t="shared" si="232"/>
        <v>0.33329868236666066</v>
      </c>
      <c r="AM816">
        <f t="shared" si="233"/>
        <v>27.557330754595636</v>
      </c>
      <c r="AO816">
        <f t="shared" si="234"/>
        <v>0.3324441801142683</v>
      </c>
      <c r="AP816">
        <f t="shared" si="235"/>
        <v>27.416210391196039</v>
      </c>
    </row>
    <row r="817" spans="1:42" x14ac:dyDescent="0.2">
      <c r="A817" s="3">
        <v>820</v>
      </c>
      <c r="B817" s="3">
        <v>5.6100000000000001E-7</v>
      </c>
      <c r="C817" s="2">
        <v>4.2479999999999997E-2</v>
      </c>
      <c r="D817" s="3">
        <v>203000</v>
      </c>
      <c r="E817" s="3">
        <v>94900000000</v>
      </c>
      <c r="F817" s="3">
        <v>87200000000</v>
      </c>
      <c r="G817" s="3">
        <v>9730000000</v>
      </c>
      <c r="H817" s="3">
        <v>11400000000</v>
      </c>
      <c r="I817" s="2"/>
      <c r="J817" s="7">
        <f t="shared" si="219"/>
        <v>0.56100000000000005</v>
      </c>
      <c r="K817" s="7">
        <f t="shared" si="220"/>
        <v>42.48</v>
      </c>
      <c r="L817" s="7">
        <f t="shared" si="221"/>
        <v>94.9</v>
      </c>
      <c r="M817" s="7">
        <f t="shared" si="222"/>
        <v>203</v>
      </c>
      <c r="O817">
        <f t="shared" si="223"/>
        <v>0.40405418719211827</v>
      </c>
      <c r="P817">
        <f t="shared" si="224"/>
        <v>404.05418719211826</v>
      </c>
      <c r="V817">
        <f t="shared" si="225"/>
        <v>912.73427782606097</v>
      </c>
      <c r="W817">
        <f t="shared" si="226"/>
        <v>111.20432579978416</v>
      </c>
      <c r="AE817">
        <f t="shared" si="227"/>
        <v>0.68842120453650002</v>
      </c>
      <c r="AF817">
        <f t="shared" si="228"/>
        <v>0.66720550818222546</v>
      </c>
      <c r="AG817">
        <f t="shared" si="229"/>
        <v>0.66892046859860066</v>
      </c>
      <c r="AI817">
        <f t="shared" si="230"/>
        <v>0.33954503211065257</v>
      </c>
      <c r="AJ817">
        <f t="shared" si="231"/>
        <v>28.531626127497038</v>
      </c>
      <c r="AL817">
        <f t="shared" si="232"/>
        <v>0.35034183191449136</v>
      </c>
      <c r="AM817">
        <f t="shared" si="233"/>
        <v>30.374962902838991</v>
      </c>
      <c r="AO817">
        <f t="shared" si="234"/>
        <v>0.34944363489087144</v>
      </c>
      <c r="AP817">
        <f t="shared" si="235"/>
        <v>30.219413519581583</v>
      </c>
    </row>
    <row r="818" spans="1:42" x14ac:dyDescent="0.2">
      <c r="A818" s="3">
        <v>820</v>
      </c>
      <c r="B818" s="3">
        <v>5.6100000000000001E-7</v>
      </c>
      <c r="C818" s="2">
        <v>4.2529999999999998E-2</v>
      </c>
      <c r="D818" s="3">
        <v>189000</v>
      </c>
      <c r="E818" s="3">
        <v>89100000000</v>
      </c>
      <c r="F818" s="3">
        <v>82200000000</v>
      </c>
      <c r="G818" s="3">
        <v>12500000000</v>
      </c>
      <c r="H818" s="3">
        <v>11700000000</v>
      </c>
      <c r="I818" s="2"/>
      <c r="J818" s="7">
        <f t="shared" si="219"/>
        <v>0.56100000000000005</v>
      </c>
      <c r="K818" s="7">
        <f t="shared" si="220"/>
        <v>42.53</v>
      </c>
      <c r="L818" s="7">
        <f t="shared" si="221"/>
        <v>89.100000000000009</v>
      </c>
      <c r="M818" s="7">
        <f t="shared" si="222"/>
        <v>189</v>
      </c>
      <c r="O818">
        <f t="shared" si="223"/>
        <v>0.39223015873015876</v>
      </c>
      <c r="P818">
        <f t="shared" si="224"/>
        <v>392.23015873015873</v>
      </c>
      <c r="V818">
        <f t="shared" si="225"/>
        <v>900.80338737541285</v>
      </c>
      <c r="W818">
        <f t="shared" si="226"/>
        <v>104.90635506526665</v>
      </c>
      <c r="AE818">
        <f t="shared" si="227"/>
        <v>0.64094388008570691</v>
      </c>
      <c r="AF818">
        <f t="shared" si="228"/>
        <v>0.62119133520414094</v>
      </c>
      <c r="AG818">
        <f t="shared" si="229"/>
        <v>0.62278802248835241</v>
      </c>
      <c r="AI818">
        <f t="shared" si="230"/>
        <v>0.36469651597070091</v>
      </c>
      <c r="AJ818">
        <f t="shared" si="231"/>
        <v>32.953827696185591</v>
      </c>
      <c r="AL818">
        <f t="shared" si="232"/>
        <v>0.37629307872297219</v>
      </c>
      <c r="AM818">
        <f t="shared" si="233"/>
        <v>35.082868719266948</v>
      </c>
      <c r="AO818">
        <f t="shared" si="234"/>
        <v>0.37532834858649144</v>
      </c>
      <c r="AP818">
        <f t="shared" si="235"/>
        <v>34.903210274592013</v>
      </c>
    </row>
    <row r="819" spans="1:42" x14ac:dyDescent="0.2">
      <c r="A819" s="3">
        <v>820</v>
      </c>
      <c r="B819" s="3">
        <v>5.6199999999999998E-7</v>
      </c>
      <c r="C819" s="2">
        <v>4.258E-2</v>
      </c>
      <c r="D819" s="3">
        <v>220000</v>
      </c>
      <c r="E819" s="3">
        <v>102000000000</v>
      </c>
      <c r="F819" s="3">
        <v>93000000000</v>
      </c>
      <c r="G819" s="3">
        <v>3950000000</v>
      </c>
      <c r="H819" s="3">
        <v>11100000000</v>
      </c>
      <c r="I819" s="2"/>
      <c r="J819" s="7">
        <f t="shared" si="219"/>
        <v>0.56199999999999994</v>
      </c>
      <c r="K819" s="7">
        <f t="shared" si="220"/>
        <v>42.58</v>
      </c>
      <c r="L819" s="7">
        <f t="shared" si="221"/>
        <v>102</v>
      </c>
      <c r="M819" s="7">
        <f t="shared" si="222"/>
        <v>220</v>
      </c>
      <c r="O819">
        <f t="shared" si="223"/>
        <v>0.41684090909090904</v>
      </c>
      <c r="P819">
        <f t="shared" si="224"/>
        <v>416.84090909090907</v>
      </c>
      <c r="V819">
        <f t="shared" si="225"/>
        <v>925.4197025708238</v>
      </c>
      <c r="W819">
        <f t="shared" si="226"/>
        <v>118.86498601058423</v>
      </c>
      <c r="AE819">
        <f t="shared" si="227"/>
        <v>0.74607224136960593</v>
      </c>
      <c r="AF819">
        <f t="shared" si="228"/>
        <v>0.7230798610841852</v>
      </c>
      <c r="AG819">
        <f t="shared" si="229"/>
        <v>0.72493843887533083</v>
      </c>
      <c r="AI819">
        <f t="shared" si="230"/>
        <v>0.31386594177099258</v>
      </c>
      <c r="AJ819">
        <f t="shared" si="231"/>
        <v>24.349743330224495</v>
      </c>
      <c r="AL819">
        <f t="shared" si="232"/>
        <v>0.32384620187811258</v>
      </c>
      <c r="AM819">
        <f t="shared" si="233"/>
        <v>25.922902082206146</v>
      </c>
      <c r="AO819">
        <f t="shared" si="234"/>
        <v>0.32301593364252107</v>
      </c>
      <c r="AP819">
        <f t="shared" si="235"/>
        <v>25.790151584895984</v>
      </c>
    </row>
    <row r="820" spans="1:42" x14ac:dyDescent="0.2">
      <c r="A820" s="3">
        <v>820</v>
      </c>
      <c r="B820" s="3">
        <v>5.6300000000000005E-7</v>
      </c>
      <c r="C820" s="2">
        <v>4.2639999999999997E-2</v>
      </c>
      <c r="D820" s="3">
        <v>214000</v>
      </c>
      <c r="E820" s="3">
        <v>99100000000</v>
      </c>
      <c r="F820" s="3">
        <v>90800000000</v>
      </c>
      <c r="G820" s="2">
        <v>0</v>
      </c>
      <c r="H820" s="3">
        <v>11200000000</v>
      </c>
      <c r="I820" s="2"/>
      <c r="J820" s="7">
        <f t="shared" si="219"/>
        <v>0.56300000000000006</v>
      </c>
      <c r="K820" s="7">
        <f t="shared" si="220"/>
        <v>42.64</v>
      </c>
      <c r="L820" s="7">
        <f t="shared" si="221"/>
        <v>99.100000000000009</v>
      </c>
      <c r="M820" s="7">
        <f t="shared" si="222"/>
        <v>214</v>
      </c>
      <c r="O820">
        <f t="shared" si="223"/>
        <v>0.41356074766355144</v>
      </c>
      <c r="P820">
        <f t="shared" si="224"/>
        <v>413.56074766355147</v>
      </c>
      <c r="V820">
        <f t="shared" si="225"/>
        <v>922.18643568061736</v>
      </c>
      <c r="W820">
        <f t="shared" si="226"/>
        <v>116.02859883861655</v>
      </c>
      <c r="AE820">
        <f t="shared" si="227"/>
        <v>0.72572481660498034</v>
      </c>
      <c r="AF820">
        <f t="shared" si="228"/>
        <v>0.70335950123643476</v>
      </c>
      <c r="AG820">
        <f t="shared" si="229"/>
        <v>0.70516739054236721</v>
      </c>
      <c r="AI820">
        <f t="shared" si="230"/>
        <v>0.32324006009707607</v>
      </c>
      <c r="AJ820">
        <f t="shared" si="231"/>
        <v>25.770553210755732</v>
      </c>
      <c r="AL820">
        <f t="shared" si="232"/>
        <v>0.33351839695199914</v>
      </c>
      <c r="AM820">
        <f t="shared" si="233"/>
        <v>27.435505928207451</v>
      </c>
      <c r="AO820">
        <f t="shared" si="234"/>
        <v>0.33266333140122611</v>
      </c>
      <c r="AP820">
        <f t="shared" si="235"/>
        <v>27.295009426528143</v>
      </c>
    </row>
    <row r="821" spans="1:42" x14ac:dyDescent="0.2">
      <c r="A821" s="3">
        <v>820</v>
      </c>
      <c r="B821" s="3">
        <v>5.6400000000000002E-7</v>
      </c>
      <c r="C821" s="2">
        <v>4.2689999999999999E-2</v>
      </c>
      <c r="D821" s="3">
        <v>209000</v>
      </c>
      <c r="E821" s="3">
        <v>97100000000</v>
      </c>
      <c r="F821" s="3">
        <v>89000000000</v>
      </c>
      <c r="G821" s="3">
        <v>12300000000</v>
      </c>
      <c r="H821" s="3">
        <v>11200000000</v>
      </c>
      <c r="I821" s="2"/>
      <c r="J821" s="7">
        <f t="shared" si="219"/>
        <v>0.56400000000000006</v>
      </c>
      <c r="K821" s="7">
        <f t="shared" si="220"/>
        <v>42.69</v>
      </c>
      <c r="L821" s="7">
        <f t="shared" si="221"/>
        <v>97.100000000000009</v>
      </c>
      <c r="M821" s="7">
        <f t="shared" si="222"/>
        <v>209</v>
      </c>
      <c r="O821">
        <f t="shared" si="223"/>
        <v>0.41080622009569384</v>
      </c>
      <c r="P821">
        <f t="shared" si="224"/>
        <v>410.80622009569385</v>
      </c>
      <c r="V821">
        <f t="shared" si="225"/>
        <v>919.46023710572047</v>
      </c>
      <c r="W821">
        <f t="shared" si="226"/>
        <v>113.65363697395485</v>
      </c>
      <c r="AE821">
        <f t="shared" si="227"/>
        <v>0.70876862930112561</v>
      </c>
      <c r="AF821">
        <f t="shared" si="228"/>
        <v>0.68692586802997602</v>
      </c>
      <c r="AG821">
        <f t="shared" si="229"/>
        <v>0.68869151693156427</v>
      </c>
      <c r="AI821">
        <f t="shared" si="230"/>
        <v>0.33156094991354162</v>
      </c>
      <c r="AJ821">
        <f t="shared" si="231"/>
        <v>27.050025248670806</v>
      </c>
      <c r="AL821">
        <f t="shared" si="232"/>
        <v>0.34210387312091312</v>
      </c>
      <c r="AM821">
        <f t="shared" si="233"/>
        <v>28.797640547286711</v>
      </c>
      <c r="AO821">
        <f t="shared" si="234"/>
        <v>0.34122679635583797</v>
      </c>
      <c r="AP821">
        <f t="shared" si="235"/>
        <v>28.650168590177575</v>
      </c>
    </row>
    <row r="822" spans="1:42" x14ac:dyDescent="0.2">
      <c r="A822" s="3">
        <v>820</v>
      </c>
      <c r="B822" s="3">
        <v>5.6400000000000002E-7</v>
      </c>
      <c r="C822" s="2">
        <v>4.274E-2</v>
      </c>
      <c r="D822" s="3">
        <v>202000</v>
      </c>
      <c r="E822" s="3">
        <v>94300000000</v>
      </c>
      <c r="F822" s="3">
        <v>86700000000</v>
      </c>
      <c r="G822" s="2">
        <v>0</v>
      </c>
      <c r="H822" s="3">
        <v>11400000000</v>
      </c>
      <c r="I822" s="2"/>
      <c r="J822" s="7">
        <f t="shared" si="219"/>
        <v>0.56400000000000006</v>
      </c>
      <c r="K822" s="7">
        <f t="shared" si="220"/>
        <v>42.74</v>
      </c>
      <c r="L822" s="7">
        <f t="shared" si="221"/>
        <v>94.300000000000011</v>
      </c>
      <c r="M822" s="7">
        <f t="shared" si="222"/>
        <v>202</v>
      </c>
      <c r="O822">
        <f t="shared" si="223"/>
        <v>0.40531188118811884</v>
      </c>
      <c r="P822">
        <f t="shared" si="224"/>
        <v>405.31188118811883</v>
      </c>
      <c r="V822">
        <f t="shared" si="225"/>
        <v>913.99183298940318</v>
      </c>
      <c r="W822">
        <f t="shared" si="226"/>
        <v>110.50426968221169</v>
      </c>
      <c r="AE822">
        <f t="shared" si="227"/>
        <v>0.68502996707572905</v>
      </c>
      <c r="AF822">
        <f t="shared" si="228"/>
        <v>0.66391878154093376</v>
      </c>
      <c r="AG822">
        <f t="shared" si="229"/>
        <v>0.66562529387644009</v>
      </c>
      <c r="AI822">
        <f t="shared" si="230"/>
        <v>0.34305068580163461</v>
      </c>
      <c r="AJ822">
        <f t="shared" si="231"/>
        <v>28.991178583830255</v>
      </c>
      <c r="AL822">
        <f t="shared" si="232"/>
        <v>0.353958957833024</v>
      </c>
      <c r="AM822">
        <f t="shared" si="233"/>
        <v>30.864205568176487</v>
      </c>
      <c r="AO822">
        <f t="shared" si="234"/>
        <v>0.35305148731866404</v>
      </c>
      <c r="AP822">
        <f t="shared" si="235"/>
        <v>30.706150786143787</v>
      </c>
    </row>
    <row r="823" spans="1:42" x14ac:dyDescent="0.2">
      <c r="A823" s="3">
        <v>820</v>
      </c>
      <c r="B823" s="3">
        <v>5.6499999999999999E-7</v>
      </c>
      <c r="C823" s="2">
        <v>4.2790000000000002E-2</v>
      </c>
      <c r="D823" s="3">
        <v>207000</v>
      </c>
      <c r="E823" s="3">
        <v>96100000000</v>
      </c>
      <c r="F823" s="3">
        <v>88200000000</v>
      </c>
      <c r="G823" s="3">
        <v>9520000000</v>
      </c>
      <c r="H823" s="3">
        <v>11300000000</v>
      </c>
      <c r="I823" s="2"/>
      <c r="J823" s="7">
        <f t="shared" si="219"/>
        <v>0.56499999999999995</v>
      </c>
      <c r="K823" s="7">
        <f t="shared" si="220"/>
        <v>42.79</v>
      </c>
      <c r="L823" s="7">
        <f t="shared" si="221"/>
        <v>96.100000000000009</v>
      </c>
      <c r="M823" s="7">
        <f t="shared" si="222"/>
        <v>207</v>
      </c>
      <c r="O823">
        <f t="shared" si="223"/>
        <v>0.40996376811594198</v>
      </c>
      <c r="P823">
        <f t="shared" si="224"/>
        <v>409.963768115942</v>
      </c>
      <c r="V823">
        <f t="shared" si="225"/>
        <v>918.62441731176943</v>
      </c>
      <c r="W823">
        <f t="shared" si="226"/>
        <v>112.66846172332193</v>
      </c>
      <c r="AE823">
        <f t="shared" si="227"/>
        <v>0.70198615437958378</v>
      </c>
      <c r="AF823">
        <f t="shared" si="228"/>
        <v>0.6803524147473925</v>
      </c>
      <c r="AG823">
        <f t="shared" si="229"/>
        <v>0.68210116748724314</v>
      </c>
      <c r="AI823">
        <f t="shared" si="230"/>
        <v>0.33535799131925642</v>
      </c>
      <c r="AJ823">
        <f t="shared" si="231"/>
        <v>27.639850381153106</v>
      </c>
      <c r="AL823">
        <f t="shared" si="232"/>
        <v>0.34602165225513948</v>
      </c>
      <c r="AM823">
        <f t="shared" si="233"/>
        <v>29.4255723881938</v>
      </c>
      <c r="AO823">
        <f t="shared" si="234"/>
        <v>0.3451345311926467</v>
      </c>
      <c r="AP823">
        <f t="shared" si="235"/>
        <v>29.274884808702073</v>
      </c>
    </row>
    <row r="824" spans="1:42" x14ac:dyDescent="0.2">
      <c r="A824" s="3">
        <v>820</v>
      </c>
      <c r="B824" s="3">
        <v>5.6599999999999996E-7</v>
      </c>
      <c r="C824" s="2">
        <v>4.2840000000000003E-2</v>
      </c>
      <c r="D824" s="3">
        <v>218000</v>
      </c>
      <c r="E824" s="3">
        <v>100000000000</v>
      </c>
      <c r="F824" s="3">
        <v>91800000000</v>
      </c>
      <c r="G824" s="3">
        <v>12600000000</v>
      </c>
      <c r="H824" s="3">
        <v>11100000000</v>
      </c>
      <c r="I824" s="2"/>
      <c r="J824" s="7">
        <f t="shared" si="219"/>
        <v>0.56599999999999995</v>
      </c>
      <c r="K824" s="7">
        <f t="shared" si="220"/>
        <v>42.84</v>
      </c>
      <c r="L824" s="7">
        <f t="shared" si="221"/>
        <v>100</v>
      </c>
      <c r="M824" s="7">
        <f t="shared" si="222"/>
        <v>218</v>
      </c>
      <c r="O824">
        <f t="shared" si="223"/>
        <v>0.41861467889908249</v>
      </c>
      <c r="P824">
        <f t="shared" si="224"/>
        <v>418.61467889908249</v>
      </c>
      <c r="V824">
        <f t="shared" si="225"/>
        <v>927.1622121229309</v>
      </c>
      <c r="W824">
        <f t="shared" si="226"/>
        <v>117.56303112313195</v>
      </c>
      <c r="AE824">
        <f t="shared" si="227"/>
        <v>0.73928976644806399</v>
      </c>
      <c r="AF824">
        <f t="shared" si="228"/>
        <v>0.71650640780160169</v>
      </c>
      <c r="AG824">
        <f t="shared" si="229"/>
        <v>0.71834808943100958</v>
      </c>
      <c r="AI824">
        <f t="shared" si="230"/>
        <v>0.31899986180844947</v>
      </c>
      <c r="AJ824">
        <f t="shared" si="231"/>
        <v>24.950000989593672</v>
      </c>
      <c r="AL824">
        <f t="shared" si="232"/>
        <v>0.3291433695016372</v>
      </c>
      <c r="AM824">
        <f t="shared" si="233"/>
        <v>26.561940462073039</v>
      </c>
      <c r="AO824">
        <f t="shared" si="234"/>
        <v>0.32829952052929184</v>
      </c>
      <c r="AP824">
        <f t="shared" si="235"/>
        <v>26.425917466087441</v>
      </c>
    </row>
    <row r="825" spans="1:42" x14ac:dyDescent="0.2">
      <c r="A825" s="3">
        <v>820</v>
      </c>
      <c r="B825" s="3">
        <v>5.6700000000000003E-7</v>
      </c>
      <c r="C825" s="2">
        <v>4.2900000000000001E-2</v>
      </c>
      <c r="D825" s="3">
        <v>198000</v>
      </c>
      <c r="E825" s="3">
        <v>92200000000</v>
      </c>
      <c r="F825" s="3">
        <v>84900000000</v>
      </c>
      <c r="G825" s="3">
        <v>7970000000</v>
      </c>
      <c r="H825" s="3">
        <v>11500000000</v>
      </c>
      <c r="I825" s="2"/>
      <c r="J825" s="7">
        <f t="shared" si="219"/>
        <v>0.56700000000000006</v>
      </c>
      <c r="K825" s="7">
        <f t="shared" si="220"/>
        <v>42.9</v>
      </c>
      <c r="L825" s="7">
        <f t="shared" si="221"/>
        <v>92.2</v>
      </c>
      <c r="M825" s="7">
        <f t="shared" si="222"/>
        <v>198</v>
      </c>
      <c r="O825">
        <f t="shared" si="223"/>
        <v>0.40450000000000008</v>
      </c>
      <c r="P825">
        <f t="shared" si="224"/>
        <v>404.50000000000006</v>
      </c>
      <c r="V825">
        <f t="shared" si="225"/>
        <v>913.18029053368741</v>
      </c>
      <c r="W825">
        <f t="shared" si="226"/>
        <v>108.41232670729424</v>
      </c>
      <c r="AE825">
        <f t="shared" si="227"/>
        <v>0.67146501723264529</v>
      </c>
      <c r="AF825">
        <f t="shared" si="228"/>
        <v>0.65077187497576672</v>
      </c>
      <c r="AG825">
        <f t="shared" si="229"/>
        <v>0.65244459498779772</v>
      </c>
      <c r="AI825">
        <f t="shared" si="230"/>
        <v>0.35184260376463589</v>
      </c>
      <c r="AJ825">
        <f t="shared" si="231"/>
        <v>30.287331004141251</v>
      </c>
      <c r="AL825">
        <f t="shared" si="232"/>
        <v>0.3630304398277775</v>
      </c>
      <c r="AM825">
        <f t="shared" si="233"/>
        <v>32.244098235612952</v>
      </c>
      <c r="AO825">
        <f t="shared" si="234"/>
        <v>0.36209971209037062</v>
      </c>
      <c r="AP825">
        <f t="shared" si="235"/>
        <v>32.078977059653511</v>
      </c>
    </row>
    <row r="826" spans="1:42" x14ac:dyDescent="0.2">
      <c r="A826" s="3">
        <v>820</v>
      </c>
      <c r="B826" s="3">
        <v>5.68E-7</v>
      </c>
      <c r="C826" s="2">
        <v>4.2950000000000002E-2</v>
      </c>
      <c r="D826" s="3">
        <v>204000</v>
      </c>
      <c r="E826" s="3">
        <v>94900000000</v>
      </c>
      <c r="F826" s="3">
        <v>87200000000</v>
      </c>
      <c r="G826" s="3">
        <v>3950000000</v>
      </c>
      <c r="H826" s="3">
        <v>11300000000</v>
      </c>
      <c r="I826" s="2"/>
      <c r="J826" s="7">
        <f t="shared" si="219"/>
        <v>0.56799999999999995</v>
      </c>
      <c r="K826" s="7">
        <f t="shared" si="220"/>
        <v>42.95</v>
      </c>
      <c r="L826" s="7">
        <f t="shared" si="221"/>
        <v>94.9</v>
      </c>
      <c r="M826" s="7">
        <f t="shared" si="222"/>
        <v>204</v>
      </c>
      <c r="O826">
        <f t="shared" si="223"/>
        <v>0.41009558823529407</v>
      </c>
      <c r="P826">
        <f t="shared" si="224"/>
        <v>410.09558823529409</v>
      </c>
      <c r="V826">
        <f t="shared" si="225"/>
        <v>918.75526277148981</v>
      </c>
      <c r="W826">
        <f t="shared" si="226"/>
        <v>111.01977222128757</v>
      </c>
      <c r="AE826">
        <f t="shared" si="227"/>
        <v>0.69181244199727088</v>
      </c>
      <c r="AF826">
        <f t="shared" si="228"/>
        <v>0.67049223482351727</v>
      </c>
      <c r="AG826">
        <f t="shared" si="229"/>
        <v>0.67221564332076134</v>
      </c>
      <c r="AI826">
        <f t="shared" si="230"/>
        <v>0.34209657459095</v>
      </c>
      <c r="AJ826">
        <f t="shared" si="231"/>
        <v>28.565177401330587</v>
      </c>
      <c r="AL826">
        <f t="shared" si="232"/>
        <v>0.35297450794334784</v>
      </c>
      <c r="AM826">
        <f t="shared" si="233"/>
        <v>30.410681816772698</v>
      </c>
      <c r="AO826">
        <f t="shared" si="234"/>
        <v>0.3520695613352996</v>
      </c>
      <c r="AP826">
        <f t="shared" si="235"/>
        <v>30.254949517899856</v>
      </c>
    </row>
    <row r="827" spans="1:42" x14ac:dyDescent="0.2">
      <c r="A827" s="3">
        <v>830</v>
      </c>
      <c r="B827" s="3">
        <v>5.6899999999999997E-7</v>
      </c>
      <c r="C827" s="2">
        <v>4.2999999999999997E-2</v>
      </c>
      <c r="D827" s="3">
        <v>206000</v>
      </c>
      <c r="E827" s="3">
        <v>95400000000</v>
      </c>
      <c r="F827" s="3">
        <v>87600000000</v>
      </c>
      <c r="G827" s="2">
        <v>0</v>
      </c>
      <c r="H827" s="3">
        <v>11300000000</v>
      </c>
      <c r="I827" s="2"/>
      <c r="J827" s="7">
        <f t="shared" si="219"/>
        <v>0.56899999999999995</v>
      </c>
      <c r="K827" s="7">
        <f t="shared" si="220"/>
        <v>43</v>
      </c>
      <c r="L827" s="7">
        <f t="shared" si="221"/>
        <v>95.4</v>
      </c>
      <c r="M827" s="7">
        <f t="shared" si="222"/>
        <v>206</v>
      </c>
      <c r="O827">
        <f t="shared" si="223"/>
        <v>0.41244660194174754</v>
      </c>
      <c r="P827">
        <f t="shared" si="224"/>
        <v>412.44660194174753</v>
      </c>
      <c r="V827">
        <f t="shared" si="225"/>
        <v>921.08497013722126</v>
      </c>
      <c r="W827">
        <f t="shared" si="226"/>
        <v>111.82464521666799</v>
      </c>
      <c r="AE827">
        <f t="shared" si="227"/>
        <v>0.69859491691881281</v>
      </c>
      <c r="AF827">
        <f t="shared" si="228"/>
        <v>0.67706568810610068</v>
      </c>
      <c r="AG827">
        <f t="shared" si="229"/>
        <v>0.67880599276508247</v>
      </c>
      <c r="AI827">
        <f t="shared" si="230"/>
        <v>0.33937168392092087</v>
      </c>
      <c r="AJ827">
        <f t="shared" si="231"/>
        <v>28.045817720359921</v>
      </c>
      <c r="AL827">
        <f t="shared" si="232"/>
        <v>0.35016297162614568</v>
      </c>
      <c r="AM827">
        <f t="shared" si="233"/>
        <v>29.857767973999799</v>
      </c>
      <c r="AO827">
        <f t="shared" si="234"/>
        <v>0.34926523315975178</v>
      </c>
      <c r="AP827">
        <f t="shared" si="235"/>
        <v>29.704867132321251</v>
      </c>
    </row>
    <row r="828" spans="1:42" x14ac:dyDescent="0.2">
      <c r="A828" s="3">
        <v>830</v>
      </c>
      <c r="B828" s="3">
        <v>5.6899999999999997E-7</v>
      </c>
      <c r="C828" s="2">
        <v>4.3049999999999998E-2</v>
      </c>
      <c r="D828" s="3">
        <v>210000</v>
      </c>
      <c r="E828" s="3">
        <v>97100000000</v>
      </c>
      <c r="F828" s="3">
        <v>89000000000</v>
      </c>
      <c r="G828" s="3">
        <v>9300000000</v>
      </c>
      <c r="H828" s="3">
        <v>11200000000</v>
      </c>
      <c r="I828" s="2"/>
      <c r="J828" s="7">
        <f t="shared" si="219"/>
        <v>0.56899999999999995</v>
      </c>
      <c r="K828" s="7">
        <f t="shared" si="220"/>
        <v>43.05</v>
      </c>
      <c r="L828" s="7">
        <f t="shared" si="221"/>
        <v>97.100000000000009</v>
      </c>
      <c r="M828" s="7">
        <f t="shared" si="222"/>
        <v>210</v>
      </c>
      <c r="O828">
        <f t="shared" si="223"/>
        <v>0.41524999999999995</v>
      </c>
      <c r="P828">
        <f t="shared" si="224"/>
        <v>415.24999999999994</v>
      </c>
      <c r="V828">
        <f t="shared" si="225"/>
        <v>923.85331446296027</v>
      </c>
      <c r="W828">
        <f t="shared" si="226"/>
        <v>113.65440633942731</v>
      </c>
      <c r="AE828">
        <f t="shared" si="227"/>
        <v>0.71215986676189658</v>
      </c>
      <c r="AF828">
        <f t="shared" si="228"/>
        <v>0.69021259467126772</v>
      </c>
      <c r="AG828">
        <f t="shared" si="229"/>
        <v>0.69198669165372484</v>
      </c>
      <c r="AI828">
        <f t="shared" si="230"/>
        <v>0.33290746137004618</v>
      </c>
      <c r="AJ828">
        <f t="shared" si="231"/>
        <v>27.01896187819985</v>
      </c>
      <c r="AL828">
        <f t="shared" si="232"/>
        <v>0.34349320073802858</v>
      </c>
      <c r="AM828">
        <f t="shared" si="233"/>
        <v>28.764570272165482</v>
      </c>
      <c r="AO828">
        <f t="shared" si="234"/>
        <v>0.34261256205194701</v>
      </c>
      <c r="AP828">
        <f t="shared" si="235"/>
        <v>28.617267667062332</v>
      </c>
    </row>
    <row r="829" spans="1:42" x14ac:dyDescent="0.2">
      <c r="A829" s="3">
        <v>830</v>
      </c>
      <c r="B829" s="3">
        <v>5.7000000000000005E-7</v>
      </c>
      <c r="C829" s="2">
        <v>4.3110000000000002E-2</v>
      </c>
      <c r="D829" s="3">
        <v>204000</v>
      </c>
      <c r="E829" s="3">
        <v>94400000000</v>
      </c>
      <c r="F829" s="3">
        <v>86700000000</v>
      </c>
      <c r="G829" s="3">
        <v>4030000000</v>
      </c>
      <c r="H829" s="3">
        <v>11300000000</v>
      </c>
      <c r="I829" s="2"/>
      <c r="J829" s="7">
        <f t="shared" si="219"/>
        <v>0.57000000000000006</v>
      </c>
      <c r="K829" s="7">
        <f t="shared" si="220"/>
        <v>43.11</v>
      </c>
      <c r="L829" s="7">
        <f t="shared" si="221"/>
        <v>94.4</v>
      </c>
      <c r="M829" s="7">
        <f t="shared" si="222"/>
        <v>204</v>
      </c>
      <c r="O829">
        <f t="shared" si="223"/>
        <v>0.41150735294117652</v>
      </c>
      <c r="P829">
        <f t="shared" si="224"/>
        <v>411.50735294117652</v>
      </c>
      <c r="V829">
        <f t="shared" si="225"/>
        <v>920.15512268388989</v>
      </c>
      <c r="W829">
        <f t="shared" si="226"/>
        <v>110.85087447265246</v>
      </c>
      <c r="AE829">
        <f t="shared" si="227"/>
        <v>0.69181244199727088</v>
      </c>
      <c r="AF829">
        <f t="shared" si="228"/>
        <v>0.67049223482351727</v>
      </c>
      <c r="AG829">
        <f t="shared" si="229"/>
        <v>0.67221564332076134</v>
      </c>
      <c r="AI829">
        <f t="shared" si="230"/>
        <v>0.34330113999443934</v>
      </c>
      <c r="AJ829">
        <f t="shared" si="231"/>
        <v>28.671590169298291</v>
      </c>
      <c r="AL829">
        <f t="shared" si="232"/>
        <v>0.35421737592906394</v>
      </c>
      <c r="AM829">
        <f t="shared" si="233"/>
        <v>30.52396957208547</v>
      </c>
      <c r="AO829">
        <f t="shared" si="234"/>
        <v>0.35330924288929721</v>
      </c>
      <c r="AP829">
        <f t="shared" si="235"/>
        <v>30.367657129607981</v>
      </c>
    </row>
    <row r="830" spans="1:42" x14ac:dyDescent="0.2">
      <c r="A830" s="3">
        <v>830</v>
      </c>
      <c r="B830" s="3">
        <v>5.7100000000000002E-7</v>
      </c>
      <c r="C830" s="2">
        <v>4.3159999999999997E-2</v>
      </c>
      <c r="D830" s="3">
        <v>203000</v>
      </c>
      <c r="E830" s="3">
        <v>93900000000</v>
      </c>
      <c r="F830" s="3">
        <v>86400000000</v>
      </c>
      <c r="G830" s="3">
        <v>199000000</v>
      </c>
      <c r="H830" s="3">
        <v>11400000000</v>
      </c>
      <c r="I830" s="2"/>
      <c r="J830" s="7">
        <f t="shared" si="219"/>
        <v>0.57100000000000006</v>
      </c>
      <c r="K830" s="7">
        <f t="shared" si="220"/>
        <v>43.16</v>
      </c>
      <c r="L830" s="7">
        <f t="shared" si="221"/>
        <v>93.9</v>
      </c>
      <c r="M830" s="7">
        <f t="shared" si="222"/>
        <v>203</v>
      </c>
      <c r="O830">
        <f t="shared" si="223"/>
        <v>0.41154187192118236</v>
      </c>
      <c r="P830">
        <f t="shared" si="224"/>
        <v>411.54187192118235</v>
      </c>
      <c r="V830">
        <f t="shared" si="225"/>
        <v>920.18931705261389</v>
      </c>
      <c r="W830">
        <f t="shared" si="226"/>
        <v>110.30338879080522</v>
      </c>
      <c r="AE830">
        <f t="shared" si="227"/>
        <v>0.68842120453650002</v>
      </c>
      <c r="AF830">
        <f t="shared" si="228"/>
        <v>0.66720550818222546</v>
      </c>
      <c r="AG830">
        <f t="shared" si="229"/>
        <v>0.66892046859860066</v>
      </c>
      <c r="AI830">
        <f t="shared" si="230"/>
        <v>0.34559752822670697</v>
      </c>
      <c r="AJ830">
        <f t="shared" si="231"/>
        <v>28.988347073040778</v>
      </c>
      <c r="AL830">
        <f t="shared" si="232"/>
        <v>0.35658678435503488</v>
      </c>
      <c r="AM830">
        <f t="shared" si="233"/>
        <v>30.861191122564286</v>
      </c>
      <c r="AO830">
        <f t="shared" si="234"/>
        <v>0.3556725766892827</v>
      </c>
      <c r="AP830">
        <f t="shared" si="235"/>
        <v>30.703151777427991</v>
      </c>
    </row>
    <row r="831" spans="1:42" x14ac:dyDescent="0.2">
      <c r="A831" s="3">
        <v>830</v>
      </c>
      <c r="B831" s="3">
        <v>5.7100000000000002E-7</v>
      </c>
      <c r="C831" s="2">
        <v>4.3209999999999998E-2</v>
      </c>
      <c r="D831" s="3">
        <v>210000</v>
      </c>
      <c r="E831" s="3">
        <v>96700000000</v>
      </c>
      <c r="F831" s="3">
        <v>88700000000</v>
      </c>
      <c r="G831" s="2">
        <v>0</v>
      </c>
      <c r="H831" s="3">
        <v>11200000000</v>
      </c>
      <c r="I831" s="2"/>
      <c r="J831" s="7">
        <f t="shared" si="219"/>
        <v>0.57100000000000006</v>
      </c>
      <c r="K831" s="7">
        <f t="shared" si="220"/>
        <v>43.21</v>
      </c>
      <c r="L831" s="7">
        <f t="shared" si="221"/>
        <v>96.7</v>
      </c>
      <c r="M831" s="7">
        <f t="shared" si="222"/>
        <v>210</v>
      </c>
      <c r="O831">
        <f t="shared" si="223"/>
        <v>0.41667857142857151</v>
      </c>
      <c r="P831">
        <f t="shared" si="224"/>
        <v>416.6785714285715</v>
      </c>
      <c r="V831">
        <f t="shared" si="225"/>
        <v>925.26001977160706</v>
      </c>
      <c r="W831">
        <f t="shared" si="226"/>
        <v>113.48161355325652</v>
      </c>
      <c r="AE831">
        <f t="shared" si="227"/>
        <v>0.71215986676189658</v>
      </c>
      <c r="AF831">
        <f t="shared" si="228"/>
        <v>0.69021259467126772</v>
      </c>
      <c r="AG831">
        <f t="shared" si="229"/>
        <v>0.69198669165372484</v>
      </c>
      <c r="AI831">
        <f t="shared" si="230"/>
        <v>0.33407761061915009</v>
      </c>
      <c r="AJ831">
        <f t="shared" si="231"/>
        <v>27.119380784135092</v>
      </c>
      <c r="AL831">
        <f t="shared" si="232"/>
        <v>0.34470055820986706</v>
      </c>
      <c r="AM831">
        <f t="shared" si="233"/>
        <v>28.871476921260641</v>
      </c>
      <c r="AO831">
        <f t="shared" si="234"/>
        <v>0.34381682413297326</v>
      </c>
      <c r="AP831">
        <f t="shared" si="235"/>
        <v>28.723626850029348</v>
      </c>
    </row>
    <row r="832" spans="1:42" x14ac:dyDescent="0.2">
      <c r="A832" s="3">
        <v>830</v>
      </c>
      <c r="B832" s="3">
        <v>5.7299999999999996E-7</v>
      </c>
      <c r="C832" s="2">
        <v>4.326E-2</v>
      </c>
      <c r="D832" s="3">
        <v>197000</v>
      </c>
      <c r="E832" s="3">
        <v>91500000000</v>
      </c>
      <c r="F832" s="3">
        <v>84400000000</v>
      </c>
      <c r="G832" s="3">
        <v>11200000000</v>
      </c>
      <c r="H832" s="3">
        <v>11500000000</v>
      </c>
      <c r="I832" s="2"/>
      <c r="J832" s="7">
        <f t="shared" si="219"/>
        <v>0.57299999999999995</v>
      </c>
      <c r="K832" s="7">
        <f t="shared" si="220"/>
        <v>43.26</v>
      </c>
      <c r="L832" s="7">
        <f t="shared" si="221"/>
        <v>91.5</v>
      </c>
      <c r="M832" s="7">
        <f t="shared" si="222"/>
        <v>197</v>
      </c>
      <c r="O832">
        <f t="shared" si="223"/>
        <v>0.40830456852791874</v>
      </c>
      <c r="P832">
        <f t="shared" si="224"/>
        <v>408.30456852791872</v>
      </c>
      <c r="V832">
        <f t="shared" si="225"/>
        <v>916.97547781644016</v>
      </c>
      <c r="W832">
        <f t="shared" si="226"/>
        <v>107.41835783281185</v>
      </c>
      <c r="AE832">
        <f t="shared" si="227"/>
        <v>0.66807377977187432</v>
      </c>
      <c r="AF832">
        <f t="shared" si="228"/>
        <v>0.64748514833447501</v>
      </c>
      <c r="AG832">
        <f t="shared" si="229"/>
        <v>0.64914942026563716</v>
      </c>
      <c r="AI832">
        <f t="shared" si="230"/>
        <v>0.35737070848900165</v>
      </c>
      <c r="AJ832">
        <f t="shared" si="231"/>
        <v>30.852343287066855</v>
      </c>
      <c r="AL832">
        <f t="shared" si="232"/>
        <v>0.36873432636120879</v>
      </c>
      <c r="AM832">
        <f t="shared" si="233"/>
        <v>32.845614148404664</v>
      </c>
      <c r="AO832">
        <f t="shared" si="234"/>
        <v>0.36778897515197895</v>
      </c>
      <c r="AP832">
        <f t="shared" si="235"/>
        <v>32.677412625333247</v>
      </c>
    </row>
    <row r="833" spans="1:42" x14ac:dyDescent="0.2">
      <c r="A833" s="3">
        <v>830</v>
      </c>
      <c r="B833" s="3">
        <v>5.7299999999999996E-7</v>
      </c>
      <c r="C833" s="2">
        <v>4.3310000000000001E-2</v>
      </c>
      <c r="D833" s="3">
        <v>213000</v>
      </c>
      <c r="E833" s="3">
        <v>97900000000</v>
      </c>
      <c r="F833" s="3">
        <v>89800000000</v>
      </c>
      <c r="G833" s="3">
        <v>3840000000</v>
      </c>
      <c r="H833" s="3">
        <v>11100000000</v>
      </c>
      <c r="I833" s="2"/>
      <c r="J833" s="7">
        <f t="shared" si="219"/>
        <v>0.57299999999999995</v>
      </c>
      <c r="K833" s="7">
        <f t="shared" si="220"/>
        <v>43.31</v>
      </c>
      <c r="L833" s="7">
        <f t="shared" si="221"/>
        <v>97.9</v>
      </c>
      <c r="M833" s="7">
        <f t="shared" si="222"/>
        <v>213</v>
      </c>
      <c r="O833">
        <f t="shared" si="223"/>
        <v>0.42049999999999998</v>
      </c>
      <c r="P833">
        <f t="shared" si="224"/>
        <v>420.5</v>
      </c>
      <c r="V833">
        <f t="shared" si="225"/>
        <v>929.00980445429741</v>
      </c>
      <c r="W833">
        <f t="shared" si="226"/>
        <v>114.63818733598657</v>
      </c>
      <c r="AE833">
        <f t="shared" si="227"/>
        <v>0.72233357914420937</v>
      </c>
      <c r="AF833">
        <f t="shared" si="228"/>
        <v>0.70007277459514294</v>
      </c>
      <c r="AG833">
        <f t="shared" si="229"/>
        <v>0.70187221582020665</v>
      </c>
      <c r="AI833">
        <f t="shared" si="230"/>
        <v>0.33052596043348975</v>
      </c>
      <c r="AJ833">
        <f t="shared" si="231"/>
        <v>26.421840654966989</v>
      </c>
      <c r="AL833">
        <f t="shared" si="232"/>
        <v>0.34103597320731521</v>
      </c>
      <c r="AM833">
        <f t="shared" si="233"/>
        <v>28.12887096350547</v>
      </c>
      <c r="AO833">
        <f t="shared" si="234"/>
        <v>0.34016163429549229</v>
      </c>
      <c r="AP833">
        <f t="shared" si="235"/>
        <v>27.984823757782245</v>
      </c>
    </row>
    <row r="834" spans="1:42" x14ac:dyDescent="0.2">
      <c r="A834" s="3">
        <v>830</v>
      </c>
      <c r="B834" s="3">
        <v>5.7400000000000003E-7</v>
      </c>
      <c r="C834" s="2">
        <v>4.3369999999999999E-2</v>
      </c>
      <c r="D834" s="3">
        <v>219000</v>
      </c>
      <c r="E834" s="3">
        <v>100000000000</v>
      </c>
      <c r="F834" s="3">
        <v>91800000000</v>
      </c>
      <c r="G834" s="3">
        <v>1300000000</v>
      </c>
      <c r="H834" s="3">
        <v>11000000000</v>
      </c>
      <c r="I834" s="2"/>
      <c r="J834" s="7">
        <f t="shared" si="219"/>
        <v>0.57400000000000007</v>
      </c>
      <c r="K834" s="7">
        <f t="shared" si="220"/>
        <v>43.37</v>
      </c>
      <c r="L834" s="7">
        <f t="shared" si="221"/>
        <v>100</v>
      </c>
      <c r="M834" s="7">
        <f t="shared" si="222"/>
        <v>219</v>
      </c>
      <c r="O834">
        <f t="shared" si="223"/>
        <v>0.42547260273972609</v>
      </c>
      <c r="P834">
        <f t="shared" si="224"/>
        <v>425.47260273972609</v>
      </c>
      <c r="V834">
        <f t="shared" si="225"/>
        <v>933.86087428593191</v>
      </c>
      <c r="W834">
        <f t="shared" si="226"/>
        <v>117.25515332648256</v>
      </c>
      <c r="AE834">
        <f t="shared" si="227"/>
        <v>0.74268100390883496</v>
      </c>
      <c r="AF834">
        <f t="shared" si="228"/>
        <v>0.7197931344428935</v>
      </c>
      <c r="AG834">
        <f t="shared" si="229"/>
        <v>0.72164326415317026</v>
      </c>
      <c r="AI834">
        <f t="shared" si="230"/>
        <v>0.32203148513008784</v>
      </c>
      <c r="AJ834">
        <f t="shared" si="231"/>
        <v>25.028526643149672</v>
      </c>
      <c r="AL834">
        <f t="shared" si="232"/>
        <v>0.33227139190731136</v>
      </c>
      <c r="AM834">
        <f t="shared" si="233"/>
        <v>26.645539406031791</v>
      </c>
      <c r="AO834">
        <f t="shared" si="234"/>
        <v>0.33141952339473801</v>
      </c>
      <c r="AP834">
        <f t="shared" si="235"/>
        <v>26.509088302060825</v>
      </c>
    </row>
    <row r="835" spans="1:42" x14ac:dyDescent="0.2">
      <c r="A835" s="3">
        <v>830</v>
      </c>
      <c r="B835" s="3">
        <v>5.75E-7</v>
      </c>
      <c r="C835" s="2">
        <v>4.342E-2</v>
      </c>
      <c r="D835" s="3">
        <v>237000</v>
      </c>
      <c r="E835" s="3">
        <v>108000000000</v>
      </c>
      <c r="F835" s="3">
        <v>98100000000</v>
      </c>
      <c r="G835" s="2">
        <v>0</v>
      </c>
      <c r="H835" s="3">
        <v>10700000000</v>
      </c>
      <c r="I835" s="2"/>
      <c r="J835" s="7">
        <f t="shared" si="219"/>
        <v>0.57499999999999996</v>
      </c>
      <c r="K835" s="7">
        <f t="shared" si="220"/>
        <v>43.42</v>
      </c>
      <c r="L835" s="7">
        <f t="shared" si="221"/>
        <v>108</v>
      </c>
      <c r="M835" s="7">
        <f t="shared" si="222"/>
        <v>237</v>
      </c>
      <c r="O835">
        <f t="shared" si="223"/>
        <v>0.43759493670886074</v>
      </c>
      <c r="P835">
        <f t="shared" si="224"/>
        <v>437.59493670886076</v>
      </c>
      <c r="V835">
        <f t="shared" si="225"/>
        <v>945.55616198012478</v>
      </c>
      <c r="W835">
        <f t="shared" si="226"/>
        <v>125.32306886123473</v>
      </c>
      <c r="AE835">
        <f t="shared" si="227"/>
        <v>0.80372327820271183</v>
      </c>
      <c r="AF835">
        <f t="shared" si="228"/>
        <v>0.77895421398614506</v>
      </c>
      <c r="AG835">
        <f t="shared" si="229"/>
        <v>0.78095640915206088</v>
      </c>
      <c r="AI835">
        <f t="shared" si="230"/>
        <v>0.29809181820525371</v>
      </c>
      <c r="AJ835">
        <f t="shared" si="231"/>
        <v>21.39573544801441</v>
      </c>
      <c r="AL835">
        <f t="shared" si="232"/>
        <v>0.3075704951993426</v>
      </c>
      <c r="AM835">
        <f t="shared" si="233"/>
        <v>22.77804523332324</v>
      </c>
      <c r="AO835">
        <f t="shared" si="234"/>
        <v>0.30678195418546567</v>
      </c>
      <c r="AP835">
        <f t="shared" si="235"/>
        <v>22.661399464925559</v>
      </c>
    </row>
    <row r="836" spans="1:42" x14ac:dyDescent="0.2">
      <c r="A836" s="3">
        <v>830</v>
      </c>
      <c r="B836" s="3">
        <v>5.7599999999999997E-7</v>
      </c>
      <c r="C836" s="2">
        <v>4.3470000000000002E-2</v>
      </c>
      <c r="D836" s="3">
        <v>196000</v>
      </c>
      <c r="E836" s="3">
        <v>90700000000</v>
      </c>
      <c r="F836" s="3">
        <v>83600000000</v>
      </c>
      <c r="G836" s="2">
        <v>0</v>
      </c>
      <c r="H836" s="3">
        <v>11500000000</v>
      </c>
      <c r="I836" s="2"/>
      <c r="J836" s="7">
        <f t="shared" si="219"/>
        <v>0.57599999999999996</v>
      </c>
      <c r="K836" s="7">
        <f t="shared" si="220"/>
        <v>43.47</v>
      </c>
      <c r="L836" s="7">
        <f t="shared" si="221"/>
        <v>90.7</v>
      </c>
      <c r="M836" s="7">
        <f t="shared" si="222"/>
        <v>196</v>
      </c>
      <c r="O836">
        <f t="shared" si="223"/>
        <v>0.40966071428571427</v>
      </c>
      <c r="P836">
        <f t="shared" si="224"/>
        <v>409.66071428571428</v>
      </c>
      <c r="V836">
        <f t="shared" si="225"/>
        <v>918.32351532851499</v>
      </c>
      <c r="W836">
        <f t="shared" si="226"/>
        <v>106.71620443579965</v>
      </c>
      <c r="AE836">
        <f t="shared" si="227"/>
        <v>0.66468254231110346</v>
      </c>
      <c r="AF836">
        <f t="shared" si="228"/>
        <v>0.6441984216931832</v>
      </c>
      <c r="AG836">
        <f t="shared" si="229"/>
        <v>0.64585424554347659</v>
      </c>
      <c r="AI836">
        <f t="shared" si="230"/>
        <v>0.36107462543776037</v>
      </c>
      <c r="AJ836">
        <f t="shared" si="231"/>
        <v>31.31926703527024</v>
      </c>
      <c r="AL836">
        <f t="shared" si="232"/>
        <v>0.37255601988156756</v>
      </c>
      <c r="AM836">
        <f t="shared" si="233"/>
        <v>33.34270434111766</v>
      </c>
      <c r="AO836">
        <f t="shared" si="234"/>
        <v>0.37160087071664849</v>
      </c>
      <c r="AP836">
        <f t="shared" si="235"/>
        <v>33.171957232290389</v>
      </c>
    </row>
    <row r="837" spans="1:42" x14ac:dyDescent="0.2">
      <c r="A837" s="3">
        <v>840</v>
      </c>
      <c r="B837" s="3">
        <v>5.7700000000000004E-7</v>
      </c>
      <c r="C837" s="2">
        <v>4.3520000000000003E-2</v>
      </c>
      <c r="D837" s="3">
        <v>193000</v>
      </c>
      <c r="E837" s="3">
        <v>89300000000</v>
      </c>
      <c r="F837" s="3">
        <v>82500000000</v>
      </c>
      <c r="G837" s="3">
        <v>1250000000</v>
      </c>
      <c r="H837" s="3">
        <v>11600000000</v>
      </c>
      <c r="I837" s="2"/>
      <c r="J837" s="7">
        <f t="shared" ref="J837:J900" si="236">B837*(10^6)</f>
        <v>0.57700000000000007</v>
      </c>
      <c r="K837" s="7">
        <f t="shared" ref="K837:K900" si="237">C837*1000</f>
        <v>43.52</v>
      </c>
      <c r="L837" s="7">
        <f t="shared" ref="L837:L900" si="238">E837*(10^-9)</f>
        <v>89.300000000000011</v>
      </c>
      <c r="M837" s="7">
        <f t="shared" ref="M837:M900" si="239">D837*(10^-3)</f>
        <v>193</v>
      </c>
      <c r="O837">
        <f t="shared" ref="O837:O900" si="240">J837-(0.75*(K837/M837))</f>
        <v>0.40788082901554412</v>
      </c>
      <c r="P837">
        <f t="shared" ref="P837:P900" si="241">O837*1000</f>
        <v>407.88082901554412</v>
      </c>
      <c r="V837">
        <f t="shared" ref="V837:V900" si="242">$S$3*(P837^$S$4)</f>
        <v>916.55376058576962</v>
      </c>
      <c r="W837">
        <f t="shared" ref="W837:W900" si="243">M837/(2*(V837/1000))</f>
        <v>105.28569534025678</v>
      </c>
      <c r="AE837">
        <f t="shared" si="227"/>
        <v>0.65450882992879067</v>
      </c>
      <c r="AF837">
        <f t="shared" si="228"/>
        <v>0.63433824176930798</v>
      </c>
      <c r="AG837">
        <f t="shared" si="229"/>
        <v>0.63596872137699478</v>
      </c>
      <c r="AI837">
        <f t="shared" si="230"/>
        <v>0.36732379407749716</v>
      </c>
      <c r="AJ837">
        <f t="shared" si="231"/>
        <v>32.337642902476887</v>
      </c>
      <c r="AL837">
        <f t="shared" si="232"/>
        <v>0.37900389860792894</v>
      </c>
      <c r="AM837">
        <f t="shared" si="233"/>
        <v>34.426874204038192</v>
      </c>
      <c r="AO837">
        <f t="shared" si="234"/>
        <v>0.37803221854389046</v>
      </c>
      <c r="AP837">
        <f t="shared" si="235"/>
        <v>34.250575089960321</v>
      </c>
    </row>
    <row r="838" spans="1:42" x14ac:dyDescent="0.2">
      <c r="A838" s="3">
        <v>840</v>
      </c>
      <c r="B838" s="3">
        <v>5.7700000000000004E-7</v>
      </c>
      <c r="C838" s="2">
        <v>4.3580000000000001E-2</v>
      </c>
      <c r="D838" s="3">
        <v>238000</v>
      </c>
      <c r="E838" s="3">
        <v>108000000000</v>
      </c>
      <c r="F838" s="3">
        <v>98200000000</v>
      </c>
      <c r="G838" s="3">
        <v>6870000000</v>
      </c>
      <c r="H838" s="3">
        <v>10700000000</v>
      </c>
      <c r="I838" s="2"/>
      <c r="J838" s="7">
        <f t="shared" si="236"/>
        <v>0.57700000000000007</v>
      </c>
      <c r="K838" s="7">
        <f t="shared" si="237"/>
        <v>43.58</v>
      </c>
      <c r="L838" s="7">
        <f t="shared" si="238"/>
        <v>108</v>
      </c>
      <c r="M838" s="7">
        <f t="shared" si="239"/>
        <v>238</v>
      </c>
      <c r="O838">
        <f t="shared" si="240"/>
        <v>0.43966806722689084</v>
      </c>
      <c r="P838">
        <f t="shared" si="241"/>
        <v>439.66806722689086</v>
      </c>
      <c r="V838">
        <f t="shared" si="242"/>
        <v>947.53811362739782</v>
      </c>
      <c r="W838">
        <f t="shared" si="243"/>
        <v>125.58861568580089</v>
      </c>
      <c r="AE838">
        <f t="shared" si="227"/>
        <v>0.8071145156634828</v>
      </c>
      <c r="AF838">
        <f t="shared" si="228"/>
        <v>0.78224094062743676</v>
      </c>
      <c r="AG838">
        <f t="shared" si="229"/>
        <v>0.78425158387422156</v>
      </c>
      <c r="AI838">
        <f t="shared" si="230"/>
        <v>0.29787181620570147</v>
      </c>
      <c r="AJ838">
        <f t="shared" si="231"/>
        <v>21.294497883822917</v>
      </c>
      <c r="AL838">
        <f t="shared" si="232"/>
        <v>0.30734349761063146</v>
      </c>
      <c r="AM838">
        <f t="shared" si="233"/>
        <v>22.670267035089854</v>
      </c>
      <c r="AO838">
        <f t="shared" si="234"/>
        <v>0.30655553856710449</v>
      </c>
      <c r="AP838">
        <f t="shared" si="235"/>
        <v>22.554173196000434</v>
      </c>
    </row>
    <row r="839" spans="1:42" x14ac:dyDescent="0.2">
      <c r="A839" s="3">
        <v>840</v>
      </c>
      <c r="B839" s="3">
        <v>5.7899999999999998E-7</v>
      </c>
      <c r="C839" s="2">
        <v>4.3630000000000002E-2</v>
      </c>
      <c r="D839" s="3">
        <v>217000</v>
      </c>
      <c r="E839" s="3">
        <v>99000000000</v>
      </c>
      <c r="F839" s="3">
        <v>90700000000</v>
      </c>
      <c r="G839" s="2">
        <v>0</v>
      </c>
      <c r="H839" s="3">
        <v>11000000000</v>
      </c>
      <c r="I839" s="2"/>
      <c r="J839" s="7">
        <f t="shared" si="236"/>
        <v>0.57899999999999996</v>
      </c>
      <c r="K839" s="7">
        <f t="shared" si="237"/>
        <v>43.63</v>
      </c>
      <c r="L839" s="7">
        <f t="shared" si="238"/>
        <v>99</v>
      </c>
      <c r="M839" s="7">
        <f t="shared" si="239"/>
        <v>217</v>
      </c>
      <c r="O839">
        <f t="shared" si="240"/>
        <v>0.42820506912442391</v>
      </c>
      <c r="P839">
        <f t="shared" si="241"/>
        <v>428.20506912442391</v>
      </c>
      <c r="V839">
        <f t="shared" si="242"/>
        <v>936.51312079103184</v>
      </c>
      <c r="W839">
        <f t="shared" si="243"/>
        <v>115.85529085631472</v>
      </c>
      <c r="AE839">
        <f t="shared" si="227"/>
        <v>0.73589852898729313</v>
      </c>
      <c r="AF839">
        <f t="shared" si="228"/>
        <v>0.71321968116030998</v>
      </c>
      <c r="AG839">
        <f t="shared" si="229"/>
        <v>0.71505291470884902</v>
      </c>
      <c r="AI839">
        <f t="shared" si="230"/>
        <v>0.32783052349893427</v>
      </c>
      <c r="AJ839">
        <f t="shared" si="231"/>
        <v>25.644830771065116</v>
      </c>
      <c r="AL839">
        <f t="shared" si="232"/>
        <v>0.3382548271908587</v>
      </c>
      <c r="AM839">
        <f t="shared" si="233"/>
        <v>27.301660965267313</v>
      </c>
      <c r="AO839">
        <f t="shared" si="234"/>
        <v>0.33738761850684956</v>
      </c>
      <c r="AP839">
        <f t="shared" si="235"/>
        <v>27.161849880110285</v>
      </c>
    </row>
    <row r="840" spans="1:42" x14ac:dyDescent="0.2">
      <c r="A840" s="3">
        <v>840</v>
      </c>
      <c r="B840" s="3">
        <v>5.7899999999999998E-7</v>
      </c>
      <c r="C840" s="2">
        <v>4.3679999999999997E-2</v>
      </c>
      <c r="D840" s="3">
        <v>217000</v>
      </c>
      <c r="E840" s="3">
        <v>98900000000</v>
      </c>
      <c r="F840" s="3">
        <v>90500000000</v>
      </c>
      <c r="G840" s="2">
        <v>0</v>
      </c>
      <c r="H840" s="3">
        <v>11000000000</v>
      </c>
      <c r="I840" s="2"/>
      <c r="J840" s="7">
        <f t="shared" si="236"/>
        <v>0.57899999999999996</v>
      </c>
      <c r="K840" s="7">
        <f t="shared" si="237"/>
        <v>43.68</v>
      </c>
      <c r="L840" s="7">
        <f t="shared" si="238"/>
        <v>98.9</v>
      </c>
      <c r="M840" s="7">
        <f t="shared" si="239"/>
        <v>217</v>
      </c>
      <c r="O840">
        <f t="shared" si="240"/>
        <v>0.42803225806451606</v>
      </c>
      <c r="P840">
        <f t="shared" si="241"/>
        <v>428.03225806451604</v>
      </c>
      <c r="V840">
        <f t="shared" si="242"/>
        <v>936.34566285010544</v>
      </c>
      <c r="W840">
        <f t="shared" si="243"/>
        <v>115.87601064946587</v>
      </c>
      <c r="AE840">
        <f t="shared" si="227"/>
        <v>0.73589852898729313</v>
      </c>
      <c r="AF840">
        <f t="shared" si="228"/>
        <v>0.71321968116030998</v>
      </c>
      <c r="AG840">
        <f t="shared" si="229"/>
        <v>0.71505291470884902</v>
      </c>
      <c r="AI840">
        <f t="shared" si="230"/>
        <v>0.32783052349893427</v>
      </c>
      <c r="AJ840">
        <f t="shared" si="231"/>
        <v>25.674219758884352</v>
      </c>
      <c r="AL840">
        <f t="shared" si="232"/>
        <v>0.3382548271908587</v>
      </c>
      <c r="AM840">
        <f t="shared" si="233"/>
        <v>27.332948681248595</v>
      </c>
      <c r="AO840">
        <f t="shared" si="234"/>
        <v>0.33738761850684956</v>
      </c>
      <c r="AP840">
        <f t="shared" si="235"/>
        <v>27.192977372523888</v>
      </c>
    </row>
    <row r="841" spans="1:42" x14ac:dyDescent="0.2">
      <c r="A841" s="3">
        <v>840</v>
      </c>
      <c r="B841" s="3">
        <v>5.7999999999999995E-7</v>
      </c>
      <c r="C841" s="2">
        <v>4.3729999999999998E-2</v>
      </c>
      <c r="D841" s="3">
        <v>216000</v>
      </c>
      <c r="E841" s="3">
        <v>98600000000</v>
      </c>
      <c r="F841" s="3">
        <v>90300000000</v>
      </c>
      <c r="G841" s="3">
        <v>7450000000</v>
      </c>
      <c r="H841" s="3">
        <v>11000000000</v>
      </c>
      <c r="I841" s="2"/>
      <c r="J841" s="7">
        <f t="shared" si="236"/>
        <v>0.57999999999999996</v>
      </c>
      <c r="K841" s="7">
        <f t="shared" si="237"/>
        <v>43.73</v>
      </c>
      <c r="L841" s="7">
        <f t="shared" si="238"/>
        <v>98.600000000000009</v>
      </c>
      <c r="M841" s="7">
        <f t="shared" si="239"/>
        <v>216</v>
      </c>
      <c r="O841">
        <f t="shared" si="240"/>
        <v>0.42815972222222221</v>
      </c>
      <c r="P841">
        <f t="shared" si="241"/>
        <v>428.15972222222223</v>
      </c>
      <c r="V841">
        <f t="shared" si="242"/>
        <v>936.46918223019372</v>
      </c>
      <c r="W841">
        <f t="shared" si="243"/>
        <v>115.32680631603795</v>
      </c>
      <c r="AE841">
        <f t="shared" si="227"/>
        <v>0.73250729152652216</v>
      </c>
      <c r="AF841">
        <f t="shared" si="228"/>
        <v>0.70993295451901828</v>
      </c>
      <c r="AG841">
        <f t="shared" si="229"/>
        <v>0.71175773998668845</v>
      </c>
      <c r="AI841">
        <f t="shared" si="230"/>
        <v>0.32991707995566971</v>
      </c>
      <c r="AJ841">
        <f t="shared" si="231"/>
        <v>25.942156041527895</v>
      </c>
      <c r="AL841">
        <f t="shared" si="232"/>
        <v>0.34040773164333038</v>
      </c>
      <c r="AM841">
        <f t="shared" si="233"/>
        <v>27.618195467017262</v>
      </c>
      <c r="AO841">
        <f t="shared" si="234"/>
        <v>0.33953500340043569</v>
      </c>
      <c r="AP841">
        <f t="shared" si="235"/>
        <v>27.476763417031925</v>
      </c>
    </row>
    <row r="842" spans="1:42" x14ac:dyDescent="0.2">
      <c r="A842" s="3">
        <v>840</v>
      </c>
      <c r="B842" s="3">
        <v>5.7999999999999995E-7</v>
      </c>
      <c r="C842" s="2">
        <v>4.3779999999999999E-2</v>
      </c>
      <c r="D842" s="3">
        <v>187000</v>
      </c>
      <c r="E842" s="3">
        <v>86700000000</v>
      </c>
      <c r="F842" s="3">
        <v>80300000000</v>
      </c>
      <c r="G842" s="3">
        <v>7820000000</v>
      </c>
      <c r="H842" s="3">
        <v>11700000000</v>
      </c>
      <c r="I842" s="2"/>
      <c r="J842" s="7">
        <f t="shared" si="236"/>
        <v>0.57999999999999996</v>
      </c>
      <c r="K842" s="7">
        <f t="shared" si="237"/>
        <v>43.78</v>
      </c>
      <c r="L842" s="7">
        <f t="shared" si="238"/>
        <v>86.7</v>
      </c>
      <c r="M842" s="7">
        <f t="shared" si="239"/>
        <v>187</v>
      </c>
      <c r="O842">
        <f t="shared" si="240"/>
        <v>0.4044117647058823</v>
      </c>
      <c r="P842">
        <f t="shared" si="241"/>
        <v>404.41176470588232</v>
      </c>
      <c r="V842">
        <f t="shared" si="242"/>
        <v>913.09203741555734</v>
      </c>
      <c r="W842">
        <f t="shared" si="243"/>
        <v>102.39931591632883</v>
      </c>
      <c r="AE842">
        <f t="shared" si="227"/>
        <v>0.63416140516416497</v>
      </c>
      <c r="AF842">
        <f t="shared" si="228"/>
        <v>0.61461788192155742</v>
      </c>
      <c r="AG842">
        <f t="shared" si="229"/>
        <v>0.61619767304403117</v>
      </c>
      <c r="AI842">
        <f t="shared" si="230"/>
        <v>0.38108069128569338</v>
      </c>
      <c r="AJ842">
        <f t="shared" si="231"/>
        <v>34.651866805483301</v>
      </c>
      <c r="AL842">
        <f t="shared" si="232"/>
        <v>0.39319823548106614</v>
      </c>
      <c r="AM842">
        <f t="shared" si="233"/>
        <v>36.890612684577782</v>
      </c>
      <c r="AO842">
        <f t="shared" si="234"/>
        <v>0.39219016435558346</v>
      </c>
      <c r="AP842">
        <f t="shared" si="235"/>
        <v>36.701696830773137</v>
      </c>
    </row>
    <row r="843" spans="1:42" x14ac:dyDescent="0.2">
      <c r="A843" s="3">
        <v>840</v>
      </c>
      <c r="B843" s="3">
        <v>5.8100000000000003E-7</v>
      </c>
      <c r="C843" s="2">
        <v>4.3839999999999997E-2</v>
      </c>
      <c r="D843" s="3">
        <v>226000</v>
      </c>
      <c r="E843" s="3">
        <v>103000000000</v>
      </c>
      <c r="F843" s="3">
        <v>93800000000</v>
      </c>
      <c r="G843" s="2">
        <v>0</v>
      </c>
      <c r="H843" s="3">
        <v>10900000000</v>
      </c>
      <c r="I843" s="2"/>
      <c r="J843" s="7">
        <f t="shared" si="236"/>
        <v>0.58100000000000007</v>
      </c>
      <c r="K843" s="7">
        <f t="shared" si="237"/>
        <v>43.839999999999996</v>
      </c>
      <c r="L843" s="7">
        <f t="shared" si="238"/>
        <v>103</v>
      </c>
      <c r="M843" s="7">
        <f t="shared" si="239"/>
        <v>226</v>
      </c>
      <c r="O843">
        <f t="shared" si="240"/>
        <v>0.43551327433628328</v>
      </c>
      <c r="P843">
        <f t="shared" si="241"/>
        <v>435.5132743362833</v>
      </c>
      <c r="V843">
        <f t="shared" si="242"/>
        <v>943.56078454029648</v>
      </c>
      <c r="W843">
        <f t="shared" si="243"/>
        <v>119.75911022526618</v>
      </c>
      <c r="AE843">
        <f t="shared" si="227"/>
        <v>0.76641966613423151</v>
      </c>
      <c r="AF843">
        <f t="shared" si="228"/>
        <v>0.74280022093193576</v>
      </c>
      <c r="AG843">
        <f t="shared" si="229"/>
        <v>0.74470948720829444</v>
      </c>
      <c r="AI843">
        <f t="shared" si="230"/>
        <v>0.31586263248486979</v>
      </c>
      <c r="AJ843">
        <f t="shared" si="231"/>
        <v>23.756790037940505</v>
      </c>
      <c r="AL843">
        <f t="shared" si="232"/>
        <v>0.32590638305089564</v>
      </c>
      <c r="AM843">
        <f t="shared" si="233"/>
        <v>25.291639981134214</v>
      </c>
      <c r="AO843">
        <f t="shared" si="234"/>
        <v>0.32507083297788431</v>
      </c>
      <c r="AP843">
        <f t="shared" si="235"/>
        <v>25.162122160381045</v>
      </c>
    </row>
    <row r="844" spans="1:42" x14ac:dyDescent="0.2">
      <c r="A844" s="3">
        <v>840</v>
      </c>
      <c r="B844" s="3">
        <v>5.82E-7</v>
      </c>
      <c r="C844" s="2">
        <v>4.3889999999999998E-2</v>
      </c>
      <c r="D844" s="3">
        <v>214000</v>
      </c>
      <c r="E844" s="3">
        <v>97400000000</v>
      </c>
      <c r="F844" s="3">
        <v>89300000000</v>
      </c>
      <c r="G844" s="3">
        <v>11100000000</v>
      </c>
      <c r="H844" s="3">
        <v>11100000000</v>
      </c>
      <c r="I844" s="2"/>
      <c r="J844" s="7">
        <f t="shared" si="236"/>
        <v>0.58199999999999996</v>
      </c>
      <c r="K844" s="7">
        <f t="shared" si="237"/>
        <v>43.89</v>
      </c>
      <c r="L844" s="7">
        <f t="shared" si="238"/>
        <v>97.4</v>
      </c>
      <c r="M844" s="7">
        <f t="shared" si="239"/>
        <v>214</v>
      </c>
      <c r="O844">
        <f t="shared" si="240"/>
        <v>0.42817990654205607</v>
      </c>
      <c r="P844">
        <f t="shared" si="241"/>
        <v>428.17990654205607</v>
      </c>
      <c r="V844">
        <f t="shared" si="242"/>
        <v>936.48874000451292</v>
      </c>
      <c r="W844">
        <f t="shared" si="243"/>
        <v>114.2565793150747</v>
      </c>
      <c r="AE844">
        <f t="shared" si="227"/>
        <v>0.72572481660498034</v>
      </c>
      <c r="AF844">
        <f t="shared" si="228"/>
        <v>0.70335950123643476</v>
      </c>
      <c r="AG844">
        <f t="shared" si="229"/>
        <v>0.70516739054236721</v>
      </c>
      <c r="AI844">
        <f t="shared" si="230"/>
        <v>0.33414869445203954</v>
      </c>
      <c r="AJ844">
        <f t="shared" si="231"/>
        <v>26.526022054879668</v>
      </c>
      <c r="AL844">
        <f t="shared" si="232"/>
        <v>0.34477390235535249</v>
      </c>
      <c r="AM844">
        <f t="shared" si="233"/>
        <v>28.239783189236046</v>
      </c>
      <c r="AO844">
        <f t="shared" si="234"/>
        <v>0.34388998024069906</v>
      </c>
      <c r="AP844">
        <f t="shared" si="235"/>
        <v>28.095168004932461</v>
      </c>
    </row>
    <row r="845" spans="1:42" x14ac:dyDescent="0.2">
      <c r="A845" s="3">
        <v>840</v>
      </c>
      <c r="B845" s="3">
        <v>5.8299999999999997E-7</v>
      </c>
      <c r="C845" s="2">
        <v>4.394E-2</v>
      </c>
      <c r="D845" s="3">
        <v>212000</v>
      </c>
      <c r="E845" s="3">
        <v>96500000000</v>
      </c>
      <c r="F845" s="3">
        <v>88600000000</v>
      </c>
      <c r="G845" s="3">
        <v>4420000000</v>
      </c>
      <c r="H845" s="3">
        <v>11100000000</v>
      </c>
      <c r="I845" s="2"/>
      <c r="J845" s="7">
        <f t="shared" si="236"/>
        <v>0.58299999999999996</v>
      </c>
      <c r="K845" s="7">
        <f t="shared" si="237"/>
        <v>43.94</v>
      </c>
      <c r="L845" s="7">
        <f t="shared" si="238"/>
        <v>96.5</v>
      </c>
      <c r="M845" s="7">
        <f t="shared" si="239"/>
        <v>212</v>
      </c>
      <c r="O845">
        <f t="shared" si="240"/>
        <v>0.42755188679245282</v>
      </c>
      <c r="P845">
        <f t="shared" si="241"/>
        <v>427.55188679245282</v>
      </c>
      <c r="V845">
        <f t="shared" si="242"/>
        <v>935.87997398212337</v>
      </c>
      <c r="W845">
        <f t="shared" si="243"/>
        <v>113.26238721507758</v>
      </c>
      <c r="AE845">
        <f t="shared" si="227"/>
        <v>0.7189423416834384</v>
      </c>
      <c r="AF845">
        <f t="shared" si="228"/>
        <v>0.69678604795385124</v>
      </c>
      <c r="AG845">
        <f t="shared" si="229"/>
        <v>0.69857704109804608</v>
      </c>
      <c r="AI845">
        <f t="shared" si="230"/>
        <v>0.33788059567873757</v>
      </c>
      <c r="AJ845">
        <f t="shared" si="231"/>
        <v>27.059665451955532</v>
      </c>
      <c r="AL845">
        <f t="shared" si="232"/>
        <v>0.34862446999334185</v>
      </c>
      <c r="AM845">
        <f t="shared" si="233"/>
        <v>28.807903573159855</v>
      </c>
      <c r="AO845">
        <f t="shared" si="234"/>
        <v>0.34773067589630824</v>
      </c>
      <c r="AP845">
        <f t="shared" si="235"/>
        <v>28.660379059366122</v>
      </c>
    </row>
    <row r="846" spans="1:42" x14ac:dyDescent="0.2">
      <c r="A846" s="3">
        <v>840</v>
      </c>
      <c r="B846" s="3">
        <v>5.8299999999999997E-7</v>
      </c>
      <c r="C846" s="2">
        <v>4.3990000000000001E-2</v>
      </c>
      <c r="D846" s="3">
        <v>186000</v>
      </c>
      <c r="E846" s="3">
        <v>86000000000</v>
      </c>
      <c r="F846" s="3">
        <v>79600000000</v>
      </c>
      <c r="G846" s="2">
        <v>0</v>
      </c>
      <c r="H846" s="3">
        <v>11700000000</v>
      </c>
      <c r="I846" s="2"/>
      <c r="J846" s="7">
        <f t="shared" si="236"/>
        <v>0.58299999999999996</v>
      </c>
      <c r="K846" s="7">
        <f t="shared" si="237"/>
        <v>43.99</v>
      </c>
      <c r="L846" s="7">
        <f t="shared" si="238"/>
        <v>86</v>
      </c>
      <c r="M846" s="7">
        <f t="shared" si="239"/>
        <v>186</v>
      </c>
      <c r="O846">
        <f t="shared" si="240"/>
        <v>0.40562096774193546</v>
      </c>
      <c r="P846">
        <f t="shared" si="241"/>
        <v>405.62096774193543</v>
      </c>
      <c r="V846">
        <f t="shared" si="242"/>
        <v>914.30055260128006</v>
      </c>
      <c r="W846">
        <f t="shared" si="243"/>
        <v>101.71709919173223</v>
      </c>
      <c r="AE846">
        <f t="shared" si="227"/>
        <v>0.63077016770339411</v>
      </c>
      <c r="AF846">
        <f t="shared" si="228"/>
        <v>0.61133115528026571</v>
      </c>
      <c r="AG846">
        <f t="shared" si="229"/>
        <v>0.6129024983218706</v>
      </c>
      <c r="AI846">
        <f t="shared" si="230"/>
        <v>0.38511121658006647</v>
      </c>
      <c r="AJ846">
        <f t="shared" si="231"/>
        <v>35.19347618568937</v>
      </c>
      <c r="AL846">
        <f t="shared" si="232"/>
        <v>0.39735692278811002</v>
      </c>
      <c r="AM846">
        <f t="shared" si="233"/>
        <v>37.46721370823041</v>
      </c>
      <c r="AO846">
        <f t="shared" si="234"/>
        <v>0.39633818973127605</v>
      </c>
      <c r="AP846">
        <f t="shared" si="235"/>
        <v>37.275345095803424</v>
      </c>
    </row>
    <row r="847" spans="1:42" x14ac:dyDescent="0.2">
      <c r="A847" s="3">
        <v>850</v>
      </c>
      <c r="B847" s="3">
        <v>5.8400000000000004E-7</v>
      </c>
      <c r="C847" s="2">
        <v>4.4040000000000003E-2</v>
      </c>
      <c r="D847" s="3">
        <v>201000</v>
      </c>
      <c r="E847" s="3">
        <v>92100000000</v>
      </c>
      <c r="F847" s="3">
        <v>84800000000</v>
      </c>
      <c r="G847" s="3">
        <v>167000000</v>
      </c>
      <c r="H847" s="3">
        <v>11400000000</v>
      </c>
      <c r="I847" s="2"/>
      <c r="J847" s="7">
        <f t="shared" si="236"/>
        <v>0.58400000000000007</v>
      </c>
      <c r="K847" s="7">
        <f t="shared" si="237"/>
        <v>44.040000000000006</v>
      </c>
      <c r="L847" s="7">
        <f t="shared" si="238"/>
        <v>92.100000000000009</v>
      </c>
      <c r="M847" s="7">
        <f t="shared" si="239"/>
        <v>201</v>
      </c>
      <c r="O847">
        <f t="shared" si="240"/>
        <v>0.41967164179104482</v>
      </c>
      <c r="P847">
        <f t="shared" si="241"/>
        <v>419.67164179104481</v>
      </c>
      <c r="V847">
        <f t="shared" si="242"/>
        <v>928.19859267898858</v>
      </c>
      <c r="W847">
        <f t="shared" si="243"/>
        <v>108.27424302587504</v>
      </c>
      <c r="AE847">
        <f t="shared" si="227"/>
        <v>0.68163872961495808</v>
      </c>
      <c r="AF847">
        <f t="shared" si="228"/>
        <v>0.66063205489964194</v>
      </c>
      <c r="AG847">
        <f t="shared" si="229"/>
        <v>0.66233011915427953</v>
      </c>
      <c r="AI847">
        <f t="shared" si="230"/>
        <v>0.35698284554750392</v>
      </c>
      <c r="AJ847">
        <f t="shared" si="231"/>
        <v>30.170971019715594</v>
      </c>
      <c r="AL847">
        <f t="shared" si="232"/>
        <v>0.36833413021458467</v>
      </c>
      <c r="AM847">
        <f t="shared" si="233"/>
        <v>32.120220606118217</v>
      </c>
      <c r="AO847">
        <f t="shared" si="234"/>
        <v>0.36738980501753782</v>
      </c>
      <c r="AP847">
        <f t="shared" si="235"/>
        <v>31.955733804229585</v>
      </c>
    </row>
    <row r="848" spans="1:42" x14ac:dyDescent="0.2">
      <c r="A848" s="3">
        <v>850</v>
      </c>
      <c r="B848" s="3">
        <v>5.8500000000000001E-7</v>
      </c>
      <c r="C848" s="2">
        <v>4.41E-2</v>
      </c>
      <c r="D848" s="3">
        <v>209000</v>
      </c>
      <c r="E848" s="3">
        <v>95400000000</v>
      </c>
      <c r="F848" s="3">
        <v>87600000000</v>
      </c>
      <c r="G848" s="3">
        <v>4050000000</v>
      </c>
      <c r="H848" s="3">
        <v>11200000000</v>
      </c>
      <c r="I848" s="2"/>
      <c r="J848" s="7">
        <f t="shared" si="236"/>
        <v>0.58499999999999996</v>
      </c>
      <c r="K848" s="7">
        <f t="shared" si="237"/>
        <v>44.1</v>
      </c>
      <c r="L848" s="7">
        <f t="shared" si="238"/>
        <v>95.4</v>
      </c>
      <c r="M848" s="7">
        <f t="shared" si="239"/>
        <v>209</v>
      </c>
      <c r="O848">
        <f t="shared" si="240"/>
        <v>0.42674641148325354</v>
      </c>
      <c r="P848">
        <f t="shared" si="241"/>
        <v>426.74641148325355</v>
      </c>
      <c r="V848">
        <f t="shared" si="242"/>
        <v>935.09846331632048</v>
      </c>
      <c r="W848">
        <f t="shared" si="243"/>
        <v>111.75293736382739</v>
      </c>
      <c r="AE848">
        <f t="shared" ref="AE848:AE911" si="244">M848/(2*$Y$5)</f>
        <v>0.70876862930112561</v>
      </c>
      <c r="AF848">
        <f t="shared" ref="AF848:AF911" si="245">M848/(2*$Y$8)</f>
        <v>0.68692586802997602</v>
      </c>
      <c r="AG848">
        <f t="shared" ref="AG848:AG911" si="246">M848/(2*$Y$11)</f>
        <v>0.68869151693156427</v>
      </c>
      <c r="AI848">
        <f t="shared" ref="AI848:AI911" si="247">J848/(2.4*AE848)</f>
        <v>0.34390630443159892</v>
      </c>
      <c r="AJ848">
        <f t="shared" ref="AJ848:AJ911" si="248">K848/(3.14159*(AE848^2))</f>
        <v>27.943455457165207</v>
      </c>
      <c r="AL848">
        <f t="shared" ref="AL848:AL911" si="249">J848/(2.4*AF848)</f>
        <v>0.35484178329030874</v>
      </c>
      <c r="AM848">
        <f t="shared" ref="AM848:AM911" si="250">K848/(3.14159*(AF848^2))</f>
        <v>29.748792413570957</v>
      </c>
      <c r="AO848">
        <f t="shared" ref="AO848:AO911" si="251">J848/(2.4*AG848)</f>
        <v>0.35393204941164036</v>
      </c>
      <c r="AP848">
        <f t="shared" ref="AP848:AP911" si="252">K848/(3.14159*(AG848^2))</f>
        <v>29.596449632860885</v>
      </c>
    </row>
    <row r="849" spans="1:42" x14ac:dyDescent="0.2">
      <c r="A849" s="3">
        <v>850</v>
      </c>
      <c r="B849" s="3">
        <v>5.8500000000000001E-7</v>
      </c>
      <c r="C849" s="2">
        <v>4.4150000000000002E-2</v>
      </c>
      <c r="D849" s="3">
        <v>244000</v>
      </c>
      <c r="E849" s="3">
        <v>110000000000</v>
      </c>
      <c r="F849" s="3">
        <v>99600000000</v>
      </c>
      <c r="G849" s="3">
        <v>12200000000</v>
      </c>
      <c r="H849" s="3">
        <v>10600000000</v>
      </c>
      <c r="I849" s="2"/>
      <c r="J849" s="7">
        <f t="shared" si="236"/>
        <v>0.58499999999999996</v>
      </c>
      <c r="K849" s="7">
        <f t="shared" si="237"/>
        <v>44.15</v>
      </c>
      <c r="L849" s="7">
        <f t="shared" si="238"/>
        <v>110</v>
      </c>
      <c r="M849" s="7">
        <f t="shared" si="239"/>
        <v>244</v>
      </c>
      <c r="O849">
        <f t="shared" si="240"/>
        <v>0.4492930327868852</v>
      </c>
      <c r="P849">
        <f t="shared" si="241"/>
        <v>449.29303278688519</v>
      </c>
      <c r="V849">
        <f t="shared" si="242"/>
        <v>956.67226761207917</v>
      </c>
      <c r="W849">
        <f t="shared" si="243"/>
        <v>127.52538578809285</v>
      </c>
      <c r="AE849">
        <f t="shared" si="244"/>
        <v>0.82746194042810839</v>
      </c>
      <c r="AF849">
        <f t="shared" si="245"/>
        <v>0.80196130047518721</v>
      </c>
      <c r="AG849">
        <f t="shared" si="246"/>
        <v>0.80402263220718506</v>
      </c>
      <c r="AI849">
        <f t="shared" si="247"/>
        <v>0.29457548207460726</v>
      </c>
      <c r="AJ849">
        <f t="shared" si="248"/>
        <v>20.525093655466495</v>
      </c>
      <c r="AL849">
        <f t="shared" si="249"/>
        <v>0.3039423471626006</v>
      </c>
      <c r="AM849">
        <f t="shared" si="250"/>
        <v>21.851154069387189</v>
      </c>
      <c r="AO849">
        <f t="shared" si="251"/>
        <v>0.30316310789767559</v>
      </c>
      <c r="AP849">
        <f t="shared" si="252"/>
        <v>21.739254886174088</v>
      </c>
    </row>
    <row r="850" spans="1:42" x14ac:dyDescent="0.2">
      <c r="A850" s="3">
        <v>850</v>
      </c>
      <c r="B850" s="3">
        <v>5.8599999999999998E-7</v>
      </c>
      <c r="C850" s="2">
        <v>4.4200000000000003E-2</v>
      </c>
      <c r="D850" s="3">
        <v>222000</v>
      </c>
      <c r="E850" s="3">
        <v>100000000000</v>
      </c>
      <c r="F850" s="3">
        <v>91800000000</v>
      </c>
      <c r="G850" s="3">
        <v>7970000000</v>
      </c>
      <c r="H850" s="3">
        <v>10900000000</v>
      </c>
      <c r="I850" s="2"/>
      <c r="J850" s="7">
        <f t="shared" si="236"/>
        <v>0.58599999999999997</v>
      </c>
      <c r="K850" s="7">
        <f t="shared" si="237"/>
        <v>44.2</v>
      </c>
      <c r="L850" s="7">
        <f t="shared" si="238"/>
        <v>100</v>
      </c>
      <c r="M850" s="7">
        <f t="shared" si="239"/>
        <v>222</v>
      </c>
      <c r="O850">
        <f t="shared" si="240"/>
        <v>0.43667567567567561</v>
      </c>
      <c r="P850">
        <f t="shared" si="241"/>
        <v>436.67567567567562</v>
      </c>
      <c r="V850">
        <f t="shared" si="242"/>
        <v>944.67565763832931</v>
      </c>
      <c r="W850">
        <f t="shared" si="243"/>
        <v>117.50064596509011</v>
      </c>
      <c r="AE850">
        <f t="shared" si="244"/>
        <v>0.75285471629114775</v>
      </c>
      <c r="AF850">
        <f t="shared" si="245"/>
        <v>0.72965331436676872</v>
      </c>
      <c r="AG850">
        <f t="shared" si="246"/>
        <v>0.73152878831965207</v>
      </c>
      <c r="AI850">
        <f t="shared" si="247"/>
        <v>0.32432109593405445</v>
      </c>
      <c r="AJ850">
        <f t="shared" si="248"/>
        <v>24.822779683452513</v>
      </c>
      <c r="AL850">
        <f t="shared" si="249"/>
        <v>0.33463380739737641</v>
      </c>
      <c r="AM850">
        <f t="shared" si="250"/>
        <v>26.426499795732457</v>
      </c>
      <c r="AO850">
        <f t="shared" si="251"/>
        <v>0.33377588218711979</v>
      </c>
      <c r="AP850">
        <f t="shared" si="252"/>
        <v>26.291170387824128</v>
      </c>
    </row>
    <row r="851" spans="1:42" x14ac:dyDescent="0.2">
      <c r="A851" s="3">
        <v>850</v>
      </c>
      <c r="B851" s="3">
        <v>5.8699999999999995E-7</v>
      </c>
      <c r="C851" s="2">
        <v>4.4249999999999998E-2</v>
      </c>
      <c r="D851" s="3">
        <v>218000</v>
      </c>
      <c r="E851" s="3">
        <v>98800000000</v>
      </c>
      <c r="F851" s="3">
        <v>90500000000</v>
      </c>
      <c r="G851" s="3">
        <v>8580000000</v>
      </c>
      <c r="H851" s="3">
        <v>11000000000</v>
      </c>
      <c r="I851" s="2"/>
      <c r="J851" s="7">
        <f t="shared" si="236"/>
        <v>0.58699999999999997</v>
      </c>
      <c r="K851" s="7">
        <f t="shared" si="237"/>
        <v>44.25</v>
      </c>
      <c r="L851" s="7">
        <f t="shared" si="238"/>
        <v>98.800000000000011</v>
      </c>
      <c r="M851" s="7">
        <f t="shared" si="239"/>
        <v>218</v>
      </c>
      <c r="O851">
        <f t="shared" si="240"/>
        <v>0.43476376146788986</v>
      </c>
      <c r="P851">
        <f t="shared" si="241"/>
        <v>434.76376146788988</v>
      </c>
      <c r="V851">
        <f t="shared" si="242"/>
        <v>942.8410386457042</v>
      </c>
      <c r="W851">
        <f t="shared" si="243"/>
        <v>115.60803521722758</v>
      </c>
      <c r="AE851">
        <f t="shared" si="244"/>
        <v>0.73928976644806399</v>
      </c>
      <c r="AF851">
        <f t="shared" si="245"/>
        <v>0.71650640780160169</v>
      </c>
      <c r="AG851">
        <f t="shared" si="246"/>
        <v>0.71834808943100958</v>
      </c>
      <c r="AI851">
        <f t="shared" si="247"/>
        <v>0.33083554572713753</v>
      </c>
      <c r="AJ851">
        <f t="shared" si="248"/>
        <v>25.771184495553687</v>
      </c>
      <c r="AL851">
        <f t="shared" si="249"/>
        <v>0.34135540264569086</v>
      </c>
      <c r="AM851">
        <f t="shared" si="250"/>
        <v>27.436177998289725</v>
      </c>
      <c r="AO851">
        <f t="shared" si="251"/>
        <v>0.34048024478921257</v>
      </c>
      <c r="AP851">
        <f t="shared" si="252"/>
        <v>27.295678054957264</v>
      </c>
    </row>
    <row r="852" spans="1:42" x14ac:dyDescent="0.2">
      <c r="A852" s="3">
        <v>850</v>
      </c>
      <c r="B852" s="3">
        <v>5.8699999999999995E-7</v>
      </c>
      <c r="C852" s="2">
        <v>4.4299999999999999E-2</v>
      </c>
      <c r="D852" s="3">
        <v>193000</v>
      </c>
      <c r="E852" s="3">
        <v>88400000000</v>
      </c>
      <c r="F852" s="3">
        <v>81700000000</v>
      </c>
      <c r="G852" s="3">
        <v>4350000000</v>
      </c>
      <c r="H852" s="3">
        <v>11600000000</v>
      </c>
      <c r="I852" s="2"/>
      <c r="J852" s="7">
        <f t="shared" si="236"/>
        <v>0.58699999999999997</v>
      </c>
      <c r="K852" s="7">
        <f t="shared" si="237"/>
        <v>44.3</v>
      </c>
      <c r="L852" s="7">
        <f t="shared" si="238"/>
        <v>88.4</v>
      </c>
      <c r="M852" s="7">
        <f t="shared" si="239"/>
        <v>193</v>
      </c>
      <c r="O852">
        <f t="shared" si="240"/>
        <v>0.41484974093264249</v>
      </c>
      <c r="P852">
        <f t="shared" si="241"/>
        <v>414.84974093264248</v>
      </c>
      <c r="V852">
        <f t="shared" si="242"/>
        <v>923.45869862199686</v>
      </c>
      <c r="W852">
        <f t="shared" si="243"/>
        <v>104.49844713575084</v>
      </c>
      <c r="AE852">
        <f t="shared" si="244"/>
        <v>0.65450882992879067</v>
      </c>
      <c r="AF852">
        <f t="shared" si="245"/>
        <v>0.63433824176930798</v>
      </c>
      <c r="AG852">
        <f t="shared" si="246"/>
        <v>0.63596872137699478</v>
      </c>
      <c r="AI852">
        <f t="shared" si="247"/>
        <v>0.37368989102858025</v>
      </c>
      <c r="AJ852">
        <f t="shared" si="248"/>
        <v>32.91722381846796</v>
      </c>
      <c r="AL852">
        <f t="shared" si="249"/>
        <v>0.38557242371378553</v>
      </c>
      <c r="AM852">
        <f t="shared" si="250"/>
        <v>35.043899982511299</v>
      </c>
      <c r="AO852">
        <f t="shared" si="251"/>
        <v>0.38458390344066495</v>
      </c>
      <c r="AP852">
        <f t="shared" si="252"/>
        <v>34.864441095708685</v>
      </c>
    </row>
    <row r="853" spans="1:42" x14ac:dyDescent="0.2">
      <c r="A853" s="3">
        <v>850</v>
      </c>
      <c r="B853" s="3">
        <v>5.8800000000000002E-7</v>
      </c>
      <c r="C853" s="2">
        <v>4.4359999999999997E-2</v>
      </c>
      <c r="D853" s="3">
        <v>212000</v>
      </c>
      <c r="E853" s="3">
        <v>96300000000</v>
      </c>
      <c r="F853" s="3">
        <v>88300000000</v>
      </c>
      <c r="G853" s="3">
        <v>2930000000</v>
      </c>
      <c r="H853" s="3">
        <v>11100000000</v>
      </c>
      <c r="I853" s="2"/>
      <c r="J853" s="7">
        <f t="shared" si="236"/>
        <v>0.58800000000000008</v>
      </c>
      <c r="K853" s="7">
        <f t="shared" si="237"/>
        <v>44.36</v>
      </c>
      <c r="L853" s="7">
        <f t="shared" si="238"/>
        <v>96.300000000000011</v>
      </c>
      <c r="M853" s="7">
        <f t="shared" si="239"/>
        <v>212</v>
      </c>
      <c r="O853">
        <f t="shared" si="240"/>
        <v>0.43106603773584917</v>
      </c>
      <c r="P853">
        <f t="shared" si="241"/>
        <v>431.06603773584919</v>
      </c>
      <c r="V853">
        <f t="shared" si="242"/>
        <v>939.28001432845281</v>
      </c>
      <c r="W853">
        <f t="shared" si="243"/>
        <v>112.85239585959435</v>
      </c>
      <c r="AE853">
        <f t="shared" si="244"/>
        <v>0.7189423416834384</v>
      </c>
      <c r="AF853">
        <f t="shared" si="245"/>
        <v>0.69678604795385124</v>
      </c>
      <c r="AG853">
        <f t="shared" si="246"/>
        <v>0.69857704109804608</v>
      </c>
      <c r="AI853">
        <f t="shared" si="247"/>
        <v>0.3407783709418486</v>
      </c>
      <c r="AJ853">
        <f t="shared" si="248"/>
        <v>27.318314962420288</v>
      </c>
      <c r="AL853">
        <f t="shared" si="249"/>
        <v>0.35161438826086627</v>
      </c>
      <c r="AM853">
        <f t="shared" si="250"/>
        <v>29.083263598210543</v>
      </c>
      <c r="AO853">
        <f t="shared" si="251"/>
        <v>0.35071292869130238</v>
      </c>
      <c r="AP853">
        <f t="shared" si="252"/>
        <v>28.934328972996841</v>
      </c>
    </row>
    <row r="854" spans="1:42" x14ac:dyDescent="0.2">
      <c r="A854" s="3">
        <v>850</v>
      </c>
      <c r="B854" s="3">
        <v>5.8899999999999999E-7</v>
      </c>
      <c r="C854" s="2">
        <v>4.4409999999999998E-2</v>
      </c>
      <c r="D854" s="3">
        <v>190000</v>
      </c>
      <c r="E854" s="3">
        <v>87200000000</v>
      </c>
      <c r="F854" s="3">
        <v>80700000000</v>
      </c>
      <c r="G854" s="3">
        <v>833000000</v>
      </c>
      <c r="H854" s="3">
        <v>11600000000</v>
      </c>
      <c r="I854" s="2"/>
      <c r="J854" s="7">
        <f t="shared" si="236"/>
        <v>0.58899999999999997</v>
      </c>
      <c r="K854" s="7">
        <f t="shared" si="237"/>
        <v>44.41</v>
      </c>
      <c r="L854" s="7">
        <f t="shared" si="238"/>
        <v>87.2</v>
      </c>
      <c r="M854" s="7">
        <f t="shared" si="239"/>
        <v>190</v>
      </c>
      <c r="O854">
        <f t="shared" si="240"/>
        <v>0.41369736842105265</v>
      </c>
      <c r="P854">
        <f t="shared" si="241"/>
        <v>413.69736842105266</v>
      </c>
      <c r="V854">
        <f t="shared" si="242"/>
        <v>922.32138773178121</v>
      </c>
      <c r="W854">
        <f t="shared" si="243"/>
        <v>103.00097261501085</v>
      </c>
      <c r="AE854">
        <f t="shared" si="244"/>
        <v>0.64433511754647788</v>
      </c>
      <c r="AF854">
        <f t="shared" si="245"/>
        <v>0.62447806184543275</v>
      </c>
      <c r="AG854">
        <f t="shared" si="246"/>
        <v>0.62608319721051298</v>
      </c>
      <c r="AI854">
        <f t="shared" si="247"/>
        <v>0.38088358058330413</v>
      </c>
      <c r="AJ854">
        <f t="shared" si="248"/>
        <v>34.04925888416723</v>
      </c>
      <c r="AL854">
        <f t="shared" si="249"/>
        <v>0.39299485708340348</v>
      </c>
      <c r="AM854">
        <f t="shared" si="250"/>
        <v>36.249072199884125</v>
      </c>
      <c r="AO854">
        <f t="shared" si="251"/>
        <v>0.39198730737402021</v>
      </c>
      <c r="AP854">
        <f t="shared" si="252"/>
        <v>36.063441657967701</v>
      </c>
    </row>
    <row r="855" spans="1:42" x14ac:dyDescent="0.2">
      <c r="A855" s="3">
        <v>850</v>
      </c>
      <c r="B855" s="3">
        <v>5.8999999999999996E-7</v>
      </c>
      <c r="C855" s="2">
        <v>4.446E-2</v>
      </c>
      <c r="D855" s="3">
        <v>215000</v>
      </c>
      <c r="E855" s="3">
        <v>97300000000</v>
      </c>
      <c r="F855" s="3">
        <v>89200000000</v>
      </c>
      <c r="G855" s="3">
        <v>2440000000</v>
      </c>
      <c r="H855" s="3">
        <v>11100000000</v>
      </c>
      <c r="I855" s="2"/>
      <c r="J855" s="7">
        <f t="shared" si="236"/>
        <v>0.59</v>
      </c>
      <c r="K855" s="7">
        <f t="shared" si="237"/>
        <v>44.46</v>
      </c>
      <c r="L855" s="7">
        <f t="shared" si="238"/>
        <v>97.300000000000011</v>
      </c>
      <c r="M855" s="7">
        <f t="shared" si="239"/>
        <v>215</v>
      </c>
      <c r="O855">
        <f t="shared" si="240"/>
        <v>0.43490697674418599</v>
      </c>
      <c r="P855">
        <f t="shared" si="241"/>
        <v>434.90697674418601</v>
      </c>
      <c r="V855">
        <f t="shared" si="242"/>
        <v>942.97861949373714</v>
      </c>
      <c r="W855">
        <f t="shared" si="243"/>
        <v>114.00046382569543</v>
      </c>
      <c r="AE855">
        <f t="shared" si="244"/>
        <v>0.7291160540657512</v>
      </c>
      <c r="AF855">
        <f t="shared" si="245"/>
        <v>0.70664622787772646</v>
      </c>
      <c r="AG855">
        <f t="shared" si="246"/>
        <v>0.70846256526452789</v>
      </c>
      <c r="AI855">
        <f t="shared" si="247"/>
        <v>0.33716626038131953</v>
      </c>
      <c r="AJ855">
        <f t="shared" si="248"/>
        <v>26.621138859185663</v>
      </c>
      <c r="AL855">
        <f t="shared" si="249"/>
        <v>0.34788742037390563</v>
      </c>
      <c r="AM855">
        <f t="shared" si="250"/>
        <v>28.341045184935854</v>
      </c>
      <c r="AO855">
        <f t="shared" si="251"/>
        <v>0.34699551590498412</v>
      </c>
      <c r="AP855">
        <f t="shared" si="252"/>
        <v>28.19591144062516</v>
      </c>
    </row>
    <row r="856" spans="1:42" x14ac:dyDescent="0.2">
      <c r="A856" s="3">
        <v>850</v>
      </c>
      <c r="B856" s="3">
        <v>5.9100000000000004E-7</v>
      </c>
      <c r="C856" s="2">
        <v>4.4510000000000001E-2</v>
      </c>
      <c r="D856" s="3">
        <v>200000</v>
      </c>
      <c r="E856" s="3">
        <v>91200000000</v>
      </c>
      <c r="F856" s="3">
        <v>84000000000</v>
      </c>
      <c r="G856" s="3">
        <v>774000000</v>
      </c>
      <c r="H856" s="3">
        <v>11400000000</v>
      </c>
      <c r="I856" s="2"/>
      <c r="J856" s="7">
        <f t="shared" si="236"/>
        <v>0.59100000000000008</v>
      </c>
      <c r="K856" s="7">
        <f t="shared" si="237"/>
        <v>44.51</v>
      </c>
      <c r="L856" s="7">
        <f t="shared" si="238"/>
        <v>91.2</v>
      </c>
      <c r="M856" s="7">
        <f t="shared" si="239"/>
        <v>200</v>
      </c>
      <c r="O856">
        <f t="shared" si="240"/>
        <v>0.42408750000000006</v>
      </c>
      <c r="P856">
        <f t="shared" si="241"/>
        <v>424.08750000000003</v>
      </c>
      <c r="V856">
        <f t="shared" si="242"/>
        <v>932.51281148657881</v>
      </c>
      <c r="W856">
        <f t="shared" si="243"/>
        <v>107.23713258221466</v>
      </c>
      <c r="AE856">
        <f t="shared" si="244"/>
        <v>0.67824749215418723</v>
      </c>
      <c r="AF856">
        <f t="shared" si="245"/>
        <v>0.65734532825835024</v>
      </c>
      <c r="AG856">
        <f t="shared" si="246"/>
        <v>0.65903494443211896</v>
      </c>
      <c r="AI856">
        <f t="shared" si="247"/>
        <v>0.3630680582656981</v>
      </c>
      <c r="AJ856">
        <f t="shared" si="248"/>
        <v>30.79865104533193</v>
      </c>
      <c r="AL856">
        <f t="shared" si="249"/>
        <v>0.37461283957466374</v>
      </c>
      <c r="AM856">
        <f t="shared" si="250"/>
        <v>32.788453023287559</v>
      </c>
      <c r="AO856">
        <f t="shared" si="251"/>
        <v>0.37365241719039677</v>
      </c>
      <c r="AP856">
        <f t="shared" si="252"/>
        <v>32.620544220829053</v>
      </c>
    </row>
    <row r="857" spans="1:42" x14ac:dyDescent="0.2">
      <c r="A857" s="3">
        <v>860</v>
      </c>
      <c r="B857" s="3">
        <v>5.9100000000000004E-7</v>
      </c>
      <c r="C857" s="2">
        <v>4.4569999999999999E-2</v>
      </c>
      <c r="D857" s="3">
        <v>223000</v>
      </c>
      <c r="E857" s="3">
        <v>100000000000</v>
      </c>
      <c r="F857" s="3">
        <v>91800000000</v>
      </c>
      <c r="G857" s="2">
        <v>0</v>
      </c>
      <c r="H857" s="3">
        <v>10900000000</v>
      </c>
      <c r="I857" s="2"/>
      <c r="J857" s="7">
        <f t="shared" si="236"/>
        <v>0.59100000000000008</v>
      </c>
      <c r="K857" s="7">
        <f t="shared" si="237"/>
        <v>44.57</v>
      </c>
      <c r="L857" s="7">
        <f t="shared" si="238"/>
        <v>100</v>
      </c>
      <c r="M857" s="7">
        <f t="shared" si="239"/>
        <v>223</v>
      </c>
      <c r="O857">
        <f t="shared" si="240"/>
        <v>0.44110089686098664</v>
      </c>
      <c r="P857">
        <f t="shared" si="241"/>
        <v>441.10089686098661</v>
      </c>
      <c r="V857">
        <f t="shared" si="242"/>
        <v>948.90488535510701</v>
      </c>
      <c r="W857">
        <f t="shared" si="243"/>
        <v>117.50387390857784</v>
      </c>
      <c r="AE857">
        <f t="shared" si="244"/>
        <v>0.75624595375191872</v>
      </c>
      <c r="AF857">
        <f t="shared" si="245"/>
        <v>0.73294004100806054</v>
      </c>
      <c r="AG857">
        <f t="shared" si="246"/>
        <v>0.73482396304181263</v>
      </c>
      <c r="AI857">
        <f t="shared" si="247"/>
        <v>0.32562157691990862</v>
      </c>
      <c r="AJ857">
        <f t="shared" si="248"/>
        <v>24.806586085989689</v>
      </c>
      <c r="AL857">
        <f t="shared" si="249"/>
        <v>0.33597564087413789</v>
      </c>
      <c r="AM857">
        <f t="shared" si="250"/>
        <v>26.409259981920279</v>
      </c>
      <c r="AO857">
        <f t="shared" si="251"/>
        <v>0.33511427550708228</v>
      </c>
      <c r="AP857">
        <f t="shared" si="252"/>
        <v>26.274018858643434</v>
      </c>
    </row>
    <row r="858" spans="1:42" x14ac:dyDescent="0.2">
      <c r="A858" s="3">
        <v>860</v>
      </c>
      <c r="B858" s="3">
        <v>5.9200000000000001E-7</v>
      </c>
      <c r="C858" s="2">
        <v>4.462E-2</v>
      </c>
      <c r="D858" s="3">
        <v>209000</v>
      </c>
      <c r="E858" s="3">
        <v>94700000000</v>
      </c>
      <c r="F858" s="3">
        <v>87000000000</v>
      </c>
      <c r="G858" s="3">
        <v>5670000000</v>
      </c>
      <c r="H858" s="3">
        <v>11200000000</v>
      </c>
      <c r="I858" s="2"/>
      <c r="J858" s="7">
        <f t="shared" si="236"/>
        <v>0.59199999999999997</v>
      </c>
      <c r="K858" s="7">
        <f t="shared" si="237"/>
        <v>44.62</v>
      </c>
      <c r="L858" s="7">
        <f t="shared" si="238"/>
        <v>94.7</v>
      </c>
      <c r="M858" s="7">
        <f t="shared" si="239"/>
        <v>209</v>
      </c>
      <c r="O858">
        <f t="shared" si="240"/>
        <v>0.43188038277511959</v>
      </c>
      <c r="P858">
        <f t="shared" si="241"/>
        <v>431.88038277511959</v>
      </c>
      <c r="V858">
        <f t="shared" si="242"/>
        <v>940.06571068687708</v>
      </c>
      <c r="W858">
        <f t="shared" si="243"/>
        <v>111.16244195700433</v>
      </c>
      <c r="AE858">
        <f t="shared" si="244"/>
        <v>0.70876862930112561</v>
      </c>
      <c r="AF858">
        <f t="shared" si="245"/>
        <v>0.68692586802997602</v>
      </c>
      <c r="AG858">
        <f t="shared" si="246"/>
        <v>0.68869151693156427</v>
      </c>
      <c r="AI858">
        <f t="shared" si="247"/>
        <v>0.34802142260428476</v>
      </c>
      <c r="AJ858">
        <f t="shared" si="248"/>
        <v>28.272947448950372</v>
      </c>
      <c r="AL858">
        <f t="shared" si="249"/>
        <v>0.35908775334677401</v>
      </c>
      <c r="AM858">
        <f t="shared" si="250"/>
        <v>30.099571825250248</v>
      </c>
      <c r="AO858">
        <f t="shared" si="251"/>
        <v>0.35816713376357456</v>
      </c>
      <c r="AP858">
        <f t="shared" si="252"/>
        <v>29.94543271243203</v>
      </c>
    </row>
    <row r="859" spans="1:42" x14ac:dyDescent="0.2">
      <c r="A859" s="3">
        <v>860</v>
      </c>
      <c r="B859" s="3">
        <v>5.9200000000000001E-7</v>
      </c>
      <c r="C859" s="2">
        <v>4.4670000000000001E-2</v>
      </c>
      <c r="D859" s="3">
        <v>201000</v>
      </c>
      <c r="E859" s="3">
        <v>91300000000</v>
      </c>
      <c r="F859" s="3">
        <v>84100000000</v>
      </c>
      <c r="G859" s="2">
        <v>0</v>
      </c>
      <c r="H859" s="3">
        <v>11400000000</v>
      </c>
      <c r="I859" s="2"/>
      <c r="J859" s="7">
        <f t="shared" si="236"/>
        <v>0.59199999999999997</v>
      </c>
      <c r="K859" s="7">
        <f t="shared" si="237"/>
        <v>44.67</v>
      </c>
      <c r="L859" s="7">
        <f t="shared" si="238"/>
        <v>91.300000000000011</v>
      </c>
      <c r="M859" s="7">
        <f t="shared" si="239"/>
        <v>201</v>
      </c>
      <c r="O859">
        <f t="shared" si="240"/>
        <v>0.42532089552238805</v>
      </c>
      <c r="P859">
        <f t="shared" si="241"/>
        <v>425.32089552238807</v>
      </c>
      <c r="V859">
        <f t="shared" si="242"/>
        <v>933.71334328590046</v>
      </c>
      <c r="W859">
        <f t="shared" si="243"/>
        <v>107.63474756216178</v>
      </c>
      <c r="AE859">
        <f t="shared" si="244"/>
        <v>0.68163872961495808</v>
      </c>
      <c r="AF859">
        <f t="shared" si="245"/>
        <v>0.66063205489964194</v>
      </c>
      <c r="AG859">
        <f t="shared" si="246"/>
        <v>0.66233011915427953</v>
      </c>
      <c r="AI859">
        <f t="shared" si="247"/>
        <v>0.36187302151390804</v>
      </c>
      <c r="AJ859">
        <f t="shared" si="248"/>
        <v>30.602572103785093</v>
      </c>
      <c r="AL859">
        <f t="shared" si="249"/>
        <v>0.37337980323122277</v>
      </c>
      <c r="AM859">
        <f t="shared" si="250"/>
        <v>32.579706050756144</v>
      </c>
      <c r="AO859">
        <f t="shared" si="251"/>
        <v>0.37242254207257253</v>
      </c>
      <c r="AP859">
        <f t="shared" si="252"/>
        <v>32.412866236033956</v>
      </c>
    </row>
    <row r="860" spans="1:42" x14ac:dyDescent="0.2">
      <c r="A860" s="3">
        <v>860</v>
      </c>
      <c r="B860" s="3">
        <v>5.9400000000000005E-7</v>
      </c>
      <c r="C860" s="2">
        <v>4.4720000000000003E-2</v>
      </c>
      <c r="D860" s="3">
        <v>221000</v>
      </c>
      <c r="E860" s="3">
        <v>99300000000</v>
      </c>
      <c r="F860" s="3">
        <v>90900000000</v>
      </c>
      <c r="G860" s="2">
        <v>0</v>
      </c>
      <c r="H860" s="3">
        <v>11000000000</v>
      </c>
      <c r="I860" s="2"/>
      <c r="J860" s="7">
        <f t="shared" si="236"/>
        <v>0.59400000000000008</v>
      </c>
      <c r="K860" s="7">
        <f t="shared" si="237"/>
        <v>44.720000000000006</v>
      </c>
      <c r="L860" s="7">
        <f t="shared" si="238"/>
        <v>99.300000000000011</v>
      </c>
      <c r="M860" s="7">
        <f t="shared" si="239"/>
        <v>221</v>
      </c>
      <c r="O860">
        <f t="shared" si="240"/>
        <v>0.44223529411764712</v>
      </c>
      <c r="P860">
        <f t="shared" si="241"/>
        <v>442.23529411764713</v>
      </c>
      <c r="V860">
        <f t="shared" si="242"/>
        <v>949.98523044373599</v>
      </c>
      <c r="W860">
        <f t="shared" si="243"/>
        <v>116.31759785190103</v>
      </c>
      <c r="AE860">
        <f t="shared" si="244"/>
        <v>0.74946347883037678</v>
      </c>
      <c r="AF860">
        <f t="shared" si="245"/>
        <v>0.72636658772547702</v>
      </c>
      <c r="AG860">
        <f t="shared" si="246"/>
        <v>0.72823361359749139</v>
      </c>
      <c r="AI860">
        <f t="shared" si="247"/>
        <v>0.33023623831044047</v>
      </c>
      <c r="AJ860">
        <f t="shared" si="248"/>
        <v>25.342609971385549</v>
      </c>
      <c r="AL860">
        <f t="shared" si="249"/>
        <v>0.34073703854552873</v>
      </c>
      <c r="AM860">
        <f t="shared" si="250"/>
        <v>26.979914649872882</v>
      </c>
      <c r="AO860">
        <f t="shared" si="251"/>
        <v>0.33986346603440087</v>
      </c>
      <c r="AP860">
        <f t="shared" si="252"/>
        <v>26.841751219104282</v>
      </c>
    </row>
    <row r="861" spans="1:42" x14ac:dyDescent="0.2">
      <c r="A861" s="3">
        <v>860</v>
      </c>
      <c r="B861" s="3">
        <v>5.9500000000000002E-7</v>
      </c>
      <c r="C861" s="2">
        <v>4.4769999999999997E-2</v>
      </c>
      <c r="D861" s="3">
        <v>195000</v>
      </c>
      <c r="E861" s="3">
        <v>88500000000</v>
      </c>
      <c r="F861" s="3">
        <v>81800000000</v>
      </c>
      <c r="G861" s="3">
        <v>262000000</v>
      </c>
      <c r="H861" s="3">
        <v>11500000000</v>
      </c>
      <c r="I861" s="2"/>
      <c r="J861" s="7">
        <f t="shared" si="236"/>
        <v>0.59499999999999997</v>
      </c>
      <c r="K861" s="7">
        <f t="shared" si="237"/>
        <v>44.769999999999996</v>
      </c>
      <c r="L861" s="7">
        <f t="shared" si="238"/>
        <v>88.5</v>
      </c>
      <c r="M861" s="7">
        <f t="shared" si="239"/>
        <v>195</v>
      </c>
      <c r="O861">
        <f t="shared" si="240"/>
        <v>0.42280769230769233</v>
      </c>
      <c r="P861">
        <f t="shared" si="241"/>
        <v>422.80769230769232</v>
      </c>
      <c r="V861">
        <f t="shared" si="242"/>
        <v>931.26504649898573</v>
      </c>
      <c r="W861">
        <f t="shared" si="243"/>
        <v>104.69629496623247</v>
      </c>
      <c r="AE861">
        <f t="shared" si="244"/>
        <v>0.6612913048503325</v>
      </c>
      <c r="AF861">
        <f t="shared" si="245"/>
        <v>0.64091169505189149</v>
      </c>
      <c r="AG861">
        <f t="shared" si="246"/>
        <v>0.64255907082131591</v>
      </c>
      <c r="AI861">
        <f t="shared" si="247"/>
        <v>0.37489781711673448</v>
      </c>
      <c r="AJ861">
        <f t="shared" si="248"/>
        <v>32.587569011436194</v>
      </c>
      <c r="AL861">
        <f t="shared" si="249"/>
        <v>0.38681875924669168</v>
      </c>
      <c r="AM861">
        <f t="shared" si="250"/>
        <v>34.692947236614962</v>
      </c>
      <c r="AO861">
        <f t="shared" si="251"/>
        <v>0.38582704365184789</v>
      </c>
      <c r="AP861">
        <f t="shared" si="252"/>
        <v>34.515285569560454</v>
      </c>
    </row>
    <row r="862" spans="1:42" x14ac:dyDescent="0.2">
      <c r="A862" s="3">
        <v>860</v>
      </c>
      <c r="B862" s="3">
        <v>5.9500000000000002E-7</v>
      </c>
      <c r="C862" s="2">
        <v>4.4830000000000002E-2</v>
      </c>
      <c r="D862" s="3">
        <v>214000</v>
      </c>
      <c r="E862" s="3">
        <v>96100000000</v>
      </c>
      <c r="F862" s="3">
        <v>88200000000</v>
      </c>
      <c r="G862" s="3">
        <v>175000000</v>
      </c>
      <c r="H862" s="3">
        <v>11100000000</v>
      </c>
      <c r="I862" s="2"/>
      <c r="J862" s="7">
        <f t="shared" si="236"/>
        <v>0.59499999999999997</v>
      </c>
      <c r="K862" s="7">
        <f t="shared" si="237"/>
        <v>44.83</v>
      </c>
      <c r="L862" s="7">
        <f t="shared" si="238"/>
        <v>96.100000000000009</v>
      </c>
      <c r="M862" s="7">
        <f t="shared" si="239"/>
        <v>214</v>
      </c>
      <c r="O862">
        <f t="shared" si="240"/>
        <v>0.43788551401869158</v>
      </c>
      <c r="P862">
        <f t="shared" si="241"/>
        <v>437.88551401869159</v>
      </c>
      <c r="V862">
        <f t="shared" si="242"/>
        <v>945.8342740133545</v>
      </c>
      <c r="W862">
        <f t="shared" si="243"/>
        <v>113.12764079269265</v>
      </c>
      <c r="AE862">
        <f t="shared" si="244"/>
        <v>0.72572481660498034</v>
      </c>
      <c r="AF862">
        <f t="shared" si="245"/>
        <v>0.70335950123643476</v>
      </c>
      <c r="AG862">
        <f t="shared" si="246"/>
        <v>0.70516739054236721</v>
      </c>
      <c r="AI862">
        <f t="shared" si="247"/>
        <v>0.3416124969054356</v>
      </c>
      <c r="AJ862">
        <f t="shared" si="248"/>
        <v>27.094134625660867</v>
      </c>
      <c r="AL862">
        <f t="shared" si="249"/>
        <v>0.35247503763133115</v>
      </c>
      <c r="AM862">
        <f t="shared" si="250"/>
        <v>28.844599689529549</v>
      </c>
      <c r="AO862">
        <f t="shared" si="251"/>
        <v>0.35157137155191742</v>
      </c>
      <c r="AP862">
        <f t="shared" si="252"/>
        <v>28.696887255892506</v>
      </c>
    </row>
    <row r="863" spans="1:42" x14ac:dyDescent="0.2">
      <c r="A863" s="3">
        <v>860</v>
      </c>
      <c r="B863" s="3">
        <v>5.9599999999999999E-7</v>
      </c>
      <c r="C863" s="2">
        <v>4.4880000000000003E-2</v>
      </c>
      <c r="D863" s="3">
        <v>201000</v>
      </c>
      <c r="E863" s="3">
        <v>91100000000</v>
      </c>
      <c r="F863" s="3">
        <v>84000000000</v>
      </c>
      <c r="G863" s="3">
        <v>3040000000</v>
      </c>
      <c r="H863" s="3">
        <v>11300000000</v>
      </c>
      <c r="I863" s="2"/>
      <c r="J863" s="7">
        <f t="shared" si="236"/>
        <v>0.59599999999999997</v>
      </c>
      <c r="K863" s="7">
        <f t="shared" si="237"/>
        <v>44.88</v>
      </c>
      <c r="L863" s="7">
        <f t="shared" si="238"/>
        <v>91.100000000000009</v>
      </c>
      <c r="M863" s="7">
        <f t="shared" si="239"/>
        <v>201</v>
      </c>
      <c r="O863">
        <f t="shared" si="240"/>
        <v>0.42853731343283574</v>
      </c>
      <c r="P863">
        <f t="shared" si="241"/>
        <v>428.53731343283573</v>
      </c>
      <c r="V863">
        <f t="shared" si="242"/>
        <v>936.83496754244595</v>
      </c>
      <c r="W863">
        <f t="shared" si="243"/>
        <v>107.27609822638965</v>
      </c>
      <c r="AE863">
        <f t="shared" si="244"/>
        <v>0.68163872961495808</v>
      </c>
      <c r="AF863">
        <f t="shared" si="245"/>
        <v>0.66063205489964194</v>
      </c>
      <c r="AG863">
        <f t="shared" si="246"/>
        <v>0.66233011915427953</v>
      </c>
      <c r="AI863">
        <f t="shared" si="247"/>
        <v>0.36431810949711013</v>
      </c>
      <c r="AJ863">
        <f t="shared" si="248"/>
        <v>30.746439131808259</v>
      </c>
      <c r="AL863">
        <f t="shared" si="249"/>
        <v>0.3759026397395418</v>
      </c>
      <c r="AM863">
        <f t="shared" si="250"/>
        <v>32.732867865635455</v>
      </c>
      <c r="AO863">
        <f t="shared" si="251"/>
        <v>0.37493891060008994</v>
      </c>
      <c r="AP863">
        <f t="shared" si="252"/>
        <v>32.565243713302081</v>
      </c>
    </row>
    <row r="864" spans="1:42" x14ac:dyDescent="0.2">
      <c r="A864" s="3">
        <v>860</v>
      </c>
      <c r="B864" s="3">
        <v>5.9699999999999996E-7</v>
      </c>
      <c r="C864" s="2">
        <v>4.4929999999999998E-2</v>
      </c>
      <c r="D864" s="3">
        <v>236000</v>
      </c>
      <c r="E864" s="3">
        <v>105000000000</v>
      </c>
      <c r="F864" s="3">
        <v>95800000000</v>
      </c>
      <c r="G864" s="3">
        <v>6120000000</v>
      </c>
      <c r="H864" s="3">
        <v>10700000000</v>
      </c>
      <c r="I864" s="2"/>
      <c r="J864" s="7">
        <f t="shared" si="236"/>
        <v>0.59699999999999998</v>
      </c>
      <c r="K864" s="7">
        <f t="shared" si="237"/>
        <v>44.93</v>
      </c>
      <c r="L864" s="7">
        <f t="shared" si="238"/>
        <v>105</v>
      </c>
      <c r="M864" s="7">
        <f t="shared" si="239"/>
        <v>236</v>
      </c>
      <c r="O864">
        <f t="shared" si="240"/>
        <v>0.45421398305084743</v>
      </c>
      <c r="P864">
        <f t="shared" si="241"/>
        <v>454.21398305084745</v>
      </c>
      <c r="V864">
        <f t="shared" si="242"/>
        <v>961.3001956612934</v>
      </c>
      <c r="W864">
        <f t="shared" si="243"/>
        <v>122.75041712524146</v>
      </c>
      <c r="AE864">
        <f t="shared" si="244"/>
        <v>0.80033204074194086</v>
      </c>
      <c r="AF864">
        <f t="shared" si="245"/>
        <v>0.77566748734485325</v>
      </c>
      <c r="AG864">
        <f t="shared" si="246"/>
        <v>0.77766123442990032</v>
      </c>
      <c r="AI864">
        <f t="shared" si="247"/>
        <v>0.31080849864438576</v>
      </c>
      <c r="AJ864">
        <f t="shared" si="248"/>
        <v>22.327829384724311</v>
      </c>
      <c r="AL864">
        <f t="shared" si="249"/>
        <v>0.32069153865335143</v>
      </c>
      <c r="AM864">
        <f t="shared" si="250"/>
        <v>23.770358767189393</v>
      </c>
      <c r="AO864">
        <f t="shared" si="251"/>
        <v>0.31986935825900775</v>
      </c>
      <c r="AP864">
        <f t="shared" si="252"/>
        <v>23.648631387377577</v>
      </c>
    </row>
    <row r="865" spans="1:42" x14ac:dyDescent="0.2">
      <c r="A865" s="3">
        <v>860</v>
      </c>
      <c r="B865" s="3">
        <v>5.9800000000000003E-7</v>
      </c>
      <c r="C865" s="2">
        <v>4.4979999999999999E-2</v>
      </c>
      <c r="D865" s="3">
        <v>203000</v>
      </c>
      <c r="E865" s="3">
        <v>91700000000</v>
      </c>
      <c r="F865" s="3">
        <v>84500000000</v>
      </c>
      <c r="G865" s="3">
        <v>317000000</v>
      </c>
      <c r="H865" s="3">
        <v>11300000000</v>
      </c>
      <c r="I865" s="2"/>
      <c r="J865" s="7">
        <f t="shared" si="236"/>
        <v>0.59800000000000009</v>
      </c>
      <c r="K865" s="7">
        <f t="shared" si="237"/>
        <v>44.98</v>
      </c>
      <c r="L865" s="7">
        <f t="shared" si="238"/>
        <v>91.7</v>
      </c>
      <c r="M865" s="7">
        <f t="shared" si="239"/>
        <v>203</v>
      </c>
      <c r="O865">
        <f t="shared" si="240"/>
        <v>0.43181773399014789</v>
      </c>
      <c r="P865">
        <f t="shared" si="241"/>
        <v>431.81773399014787</v>
      </c>
      <c r="V865">
        <f t="shared" si="242"/>
        <v>940.00529520202679</v>
      </c>
      <c r="W865">
        <f t="shared" si="243"/>
        <v>107.97811514262324</v>
      </c>
      <c r="AE865">
        <f t="shared" si="244"/>
        <v>0.68842120453650002</v>
      </c>
      <c r="AF865">
        <f t="shared" si="245"/>
        <v>0.66720550818222546</v>
      </c>
      <c r="AG865">
        <f t="shared" si="246"/>
        <v>0.66892046859860066</v>
      </c>
      <c r="AI865">
        <f t="shared" si="247"/>
        <v>0.36193926774005392</v>
      </c>
      <c r="AJ865">
        <f t="shared" si="248"/>
        <v>30.210747250819605</v>
      </c>
      <c r="AL865">
        <f t="shared" si="249"/>
        <v>0.37344815594450242</v>
      </c>
      <c r="AM865">
        <f t="shared" si="250"/>
        <v>32.162566651829046</v>
      </c>
      <c r="AO865">
        <f t="shared" si="251"/>
        <v>0.37249071954499308</v>
      </c>
      <c r="AP865">
        <f t="shared" si="252"/>
        <v>31.997862996958087</v>
      </c>
    </row>
    <row r="866" spans="1:42" x14ac:dyDescent="0.2">
      <c r="A866" s="3">
        <v>860</v>
      </c>
      <c r="B866" s="3">
        <v>5.99E-7</v>
      </c>
      <c r="C866" s="2">
        <v>4.5030000000000001E-2</v>
      </c>
      <c r="D866" s="3">
        <v>195000</v>
      </c>
      <c r="E866" s="3">
        <v>88500000000</v>
      </c>
      <c r="F866" s="3">
        <v>81800000000</v>
      </c>
      <c r="G866" s="2">
        <v>0</v>
      </c>
      <c r="H866" s="3">
        <v>11400000000</v>
      </c>
      <c r="I866" s="2"/>
      <c r="J866" s="7">
        <f t="shared" si="236"/>
        <v>0.59899999999999998</v>
      </c>
      <c r="K866" s="7">
        <f t="shared" si="237"/>
        <v>45.03</v>
      </c>
      <c r="L866" s="7">
        <f t="shared" si="238"/>
        <v>88.5</v>
      </c>
      <c r="M866" s="7">
        <f t="shared" si="239"/>
        <v>195</v>
      </c>
      <c r="O866">
        <f t="shared" si="240"/>
        <v>0.42580769230769228</v>
      </c>
      <c r="P866">
        <f t="shared" si="241"/>
        <v>425.80769230769226</v>
      </c>
      <c r="V866">
        <f t="shared" si="242"/>
        <v>934.18663566515193</v>
      </c>
      <c r="W866">
        <f t="shared" si="243"/>
        <v>104.36886621759349</v>
      </c>
      <c r="AE866">
        <f t="shared" si="244"/>
        <v>0.6612913048503325</v>
      </c>
      <c r="AF866">
        <f t="shared" si="245"/>
        <v>0.64091169505189149</v>
      </c>
      <c r="AG866">
        <f t="shared" si="246"/>
        <v>0.64255907082131591</v>
      </c>
      <c r="AI866">
        <f t="shared" si="247"/>
        <v>0.37741813857634282</v>
      </c>
      <c r="AJ866">
        <f t="shared" si="248"/>
        <v>32.776820026467988</v>
      </c>
      <c r="AL866">
        <f t="shared" si="249"/>
        <v>0.38941922149372826</v>
      </c>
      <c r="AM866">
        <f t="shared" si="250"/>
        <v>34.894425152217373</v>
      </c>
      <c r="AO866">
        <f t="shared" si="251"/>
        <v>0.38842083890328888</v>
      </c>
      <c r="AP866">
        <f t="shared" si="252"/>
        <v>34.715731722075219</v>
      </c>
    </row>
    <row r="867" spans="1:42" x14ac:dyDescent="0.2">
      <c r="A867" s="3">
        <v>870</v>
      </c>
      <c r="B867" s="3">
        <v>5.99E-7</v>
      </c>
      <c r="C867" s="2">
        <v>4.5089999999999998E-2</v>
      </c>
      <c r="D867" s="3">
        <v>231000</v>
      </c>
      <c r="E867" s="3">
        <v>103000000000</v>
      </c>
      <c r="F867" s="3">
        <v>93800000000</v>
      </c>
      <c r="G867" s="3">
        <v>3490000000</v>
      </c>
      <c r="H867" s="3">
        <v>10800000000</v>
      </c>
      <c r="I867" s="2"/>
      <c r="J867" s="7">
        <f t="shared" si="236"/>
        <v>0.59899999999999998</v>
      </c>
      <c r="K867" s="7">
        <f t="shared" si="237"/>
        <v>45.089999999999996</v>
      </c>
      <c r="L867" s="7">
        <f t="shared" si="238"/>
        <v>103</v>
      </c>
      <c r="M867" s="7">
        <f t="shared" si="239"/>
        <v>231</v>
      </c>
      <c r="O867">
        <f t="shared" si="240"/>
        <v>0.45260389610389606</v>
      </c>
      <c r="P867">
        <f t="shared" si="241"/>
        <v>452.60389610389609</v>
      </c>
      <c r="V867">
        <f t="shared" si="242"/>
        <v>959.78907028101355</v>
      </c>
      <c r="W867">
        <f t="shared" si="243"/>
        <v>120.33894068639803</v>
      </c>
      <c r="AE867">
        <f t="shared" si="244"/>
        <v>0.78337585343808624</v>
      </c>
      <c r="AF867">
        <f t="shared" si="245"/>
        <v>0.7592338541383945</v>
      </c>
      <c r="AG867">
        <f t="shared" si="246"/>
        <v>0.76118536081909738</v>
      </c>
      <c r="AI867">
        <f t="shared" si="247"/>
        <v>0.31859972736963998</v>
      </c>
      <c r="AJ867">
        <f t="shared" si="248"/>
        <v>23.387853660226551</v>
      </c>
      <c r="AL867">
        <f t="shared" si="249"/>
        <v>0.32873051165054984</v>
      </c>
      <c r="AM867">
        <f t="shared" si="250"/>
        <v>24.898867808370845</v>
      </c>
      <c r="AO867">
        <f t="shared" si="251"/>
        <v>0.32788772115212694</v>
      </c>
      <c r="AP867">
        <f t="shared" si="252"/>
        <v>24.771361363546909</v>
      </c>
    </row>
    <row r="868" spans="1:42" x14ac:dyDescent="0.2">
      <c r="A868" s="3">
        <v>870</v>
      </c>
      <c r="B868" s="3">
        <v>5.9999999999999997E-7</v>
      </c>
      <c r="C868" s="2">
        <v>4.514E-2</v>
      </c>
      <c r="D868" s="3">
        <v>224000</v>
      </c>
      <c r="E868" s="3">
        <v>99700000000</v>
      </c>
      <c r="F868" s="3">
        <v>91300000000</v>
      </c>
      <c r="G868" s="2">
        <v>0</v>
      </c>
      <c r="H868" s="3">
        <v>10900000000</v>
      </c>
      <c r="I868" s="2"/>
      <c r="J868" s="7">
        <f t="shared" si="236"/>
        <v>0.6</v>
      </c>
      <c r="K868" s="7">
        <f t="shared" si="237"/>
        <v>45.14</v>
      </c>
      <c r="L868" s="7">
        <f t="shared" si="238"/>
        <v>99.7</v>
      </c>
      <c r="M868" s="7">
        <f t="shared" si="239"/>
        <v>224</v>
      </c>
      <c r="O868">
        <f t="shared" si="240"/>
        <v>0.44886160714285711</v>
      </c>
      <c r="P868">
        <f t="shared" si="241"/>
        <v>448.86160714285711</v>
      </c>
      <c r="V868">
        <f t="shared" si="242"/>
        <v>956.26518835924003</v>
      </c>
      <c r="W868">
        <f t="shared" si="243"/>
        <v>117.12232272322871</v>
      </c>
      <c r="AE868">
        <f t="shared" si="244"/>
        <v>0.75963719121268969</v>
      </c>
      <c r="AF868">
        <f t="shared" si="245"/>
        <v>0.73622676764935224</v>
      </c>
      <c r="AG868">
        <f t="shared" si="246"/>
        <v>0.7381191377639732</v>
      </c>
      <c r="AI868">
        <f t="shared" si="247"/>
        <v>0.32910447631045869</v>
      </c>
      <c r="AJ868">
        <f t="shared" si="248"/>
        <v>24.90001509109473</v>
      </c>
      <c r="AL868">
        <f t="shared" si="249"/>
        <v>0.33956928895455374</v>
      </c>
      <c r="AM868">
        <f t="shared" si="250"/>
        <v>26.508725135130732</v>
      </c>
      <c r="AO868">
        <f t="shared" si="251"/>
        <v>0.33869871028861193</v>
      </c>
      <c r="AP868">
        <f t="shared" si="252"/>
        <v>26.37297465342975</v>
      </c>
    </row>
    <row r="869" spans="1:42" x14ac:dyDescent="0.2">
      <c r="A869" s="3">
        <v>870</v>
      </c>
      <c r="B869" s="3">
        <v>6.0100000000000005E-7</v>
      </c>
      <c r="C869" s="2">
        <v>4.5190000000000001E-2</v>
      </c>
      <c r="D869" s="3">
        <v>194000</v>
      </c>
      <c r="E869" s="3">
        <v>87800000000</v>
      </c>
      <c r="F869" s="3">
        <v>81200000000</v>
      </c>
      <c r="G869" s="3">
        <v>12000000000</v>
      </c>
      <c r="H869" s="3">
        <v>11500000000</v>
      </c>
      <c r="I869" s="2"/>
      <c r="J869" s="7">
        <f t="shared" si="236"/>
        <v>0.60100000000000009</v>
      </c>
      <c r="K869" s="7">
        <f t="shared" si="237"/>
        <v>45.19</v>
      </c>
      <c r="L869" s="7">
        <f t="shared" si="238"/>
        <v>87.800000000000011</v>
      </c>
      <c r="M869" s="7">
        <f t="shared" si="239"/>
        <v>194</v>
      </c>
      <c r="O869">
        <f t="shared" si="240"/>
        <v>0.42629639175257739</v>
      </c>
      <c r="P869">
        <f t="shared" si="241"/>
        <v>426.29639175257739</v>
      </c>
      <c r="V869">
        <f t="shared" si="242"/>
        <v>934.66147487725584</v>
      </c>
      <c r="W869">
        <f t="shared" si="243"/>
        <v>103.78089030869546</v>
      </c>
      <c r="AE869">
        <f t="shared" si="244"/>
        <v>0.65790006738956153</v>
      </c>
      <c r="AF869">
        <f t="shared" si="245"/>
        <v>0.63762496841059968</v>
      </c>
      <c r="AG869">
        <f t="shared" si="246"/>
        <v>0.63926389609915535</v>
      </c>
      <c r="AI869">
        <f t="shared" si="247"/>
        <v>0.38063024930257044</v>
      </c>
      <c r="AJ869">
        <f t="shared" si="248"/>
        <v>33.233262176059867</v>
      </c>
      <c r="AL869">
        <f t="shared" si="249"/>
        <v>0.39273347041424272</v>
      </c>
      <c r="AM869">
        <f t="shared" si="250"/>
        <v>35.380356563879324</v>
      </c>
      <c r="AO869">
        <f t="shared" si="251"/>
        <v>0.39172659084101463</v>
      </c>
      <c r="AP869">
        <f t="shared" si="252"/>
        <v>35.199174691804529</v>
      </c>
    </row>
    <row r="870" spans="1:42" x14ac:dyDescent="0.2">
      <c r="A870" s="3">
        <v>870</v>
      </c>
      <c r="B870" s="3">
        <v>6.0200000000000002E-7</v>
      </c>
      <c r="C870" s="2">
        <v>4.5240000000000002E-2</v>
      </c>
      <c r="D870" s="3">
        <v>215000</v>
      </c>
      <c r="E870" s="3">
        <v>96100000000</v>
      </c>
      <c r="F870" s="3">
        <v>88200000000</v>
      </c>
      <c r="G870" s="2">
        <v>0</v>
      </c>
      <c r="H870" s="3">
        <v>11000000000</v>
      </c>
      <c r="I870" s="2"/>
      <c r="J870" s="7">
        <f t="shared" si="236"/>
        <v>0.60199999999999998</v>
      </c>
      <c r="K870" s="7">
        <f t="shared" si="237"/>
        <v>45.24</v>
      </c>
      <c r="L870" s="7">
        <f t="shared" si="238"/>
        <v>96.100000000000009</v>
      </c>
      <c r="M870" s="7">
        <f t="shared" si="239"/>
        <v>215</v>
      </c>
      <c r="O870">
        <f t="shared" si="240"/>
        <v>0.44418604651162785</v>
      </c>
      <c r="P870">
        <f t="shared" si="241"/>
        <v>444.18604651162786</v>
      </c>
      <c r="V870">
        <f t="shared" si="242"/>
        <v>951.83942933042101</v>
      </c>
      <c r="W870">
        <f t="shared" si="243"/>
        <v>112.93921714886484</v>
      </c>
      <c r="AE870">
        <f t="shared" si="244"/>
        <v>0.7291160540657512</v>
      </c>
      <c r="AF870">
        <f t="shared" si="245"/>
        <v>0.70664622787772646</v>
      </c>
      <c r="AG870">
        <f t="shared" si="246"/>
        <v>0.70846256526452789</v>
      </c>
      <c r="AI870">
        <f t="shared" si="247"/>
        <v>0.34402387923653283</v>
      </c>
      <c r="AJ870">
        <f t="shared" si="248"/>
        <v>27.088176383031026</v>
      </c>
      <c r="AL870">
        <f t="shared" si="249"/>
        <v>0.35496309672049353</v>
      </c>
      <c r="AM870">
        <f t="shared" si="250"/>
        <v>28.83825650396982</v>
      </c>
      <c r="AO870">
        <f t="shared" si="251"/>
        <v>0.35405305182169566</v>
      </c>
      <c r="AP870">
        <f t="shared" si="252"/>
        <v>28.690576553618584</v>
      </c>
    </row>
    <row r="871" spans="1:42" x14ac:dyDescent="0.2">
      <c r="A871" s="3">
        <v>870</v>
      </c>
      <c r="B871" s="3">
        <v>6.0299999999999999E-7</v>
      </c>
      <c r="C871" s="2">
        <v>4.5289999999999997E-2</v>
      </c>
      <c r="D871" s="3">
        <v>247000</v>
      </c>
      <c r="E871" s="3">
        <v>109000000000</v>
      </c>
      <c r="F871" s="3">
        <v>99100000000</v>
      </c>
      <c r="G871" s="3">
        <v>6900000000</v>
      </c>
      <c r="H871" s="3">
        <v>10500000000</v>
      </c>
      <c r="I871" s="2"/>
      <c r="J871" s="7">
        <f t="shared" si="236"/>
        <v>0.60299999999999998</v>
      </c>
      <c r="K871" s="7">
        <f t="shared" si="237"/>
        <v>45.29</v>
      </c>
      <c r="L871" s="7">
        <f t="shared" si="238"/>
        <v>109</v>
      </c>
      <c r="M871" s="7">
        <f t="shared" si="239"/>
        <v>247</v>
      </c>
      <c r="O871">
        <f t="shared" si="240"/>
        <v>0.46547975708502021</v>
      </c>
      <c r="P871">
        <f t="shared" si="241"/>
        <v>465.4797570850202</v>
      </c>
      <c r="V871">
        <f t="shared" si="242"/>
        <v>971.79105230612095</v>
      </c>
      <c r="W871">
        <f t="shared" si="243"/>
        <v>127.0849322052583</v>
      </c>
      <c r="AE871">
        <f t="shared" si="244"/>
        <v>0.83763565281042118</v>
      </c>
      <c r="AF871">
        <f t="shared" si="245"/>
        <v>0.81182148039906254</v>
      </c>
      <c r="AG871">
        <f t="shared" si="246"/>
        <v>0.81390815637366687</v>
      </c>
      <c r="AI871">
        <f t="shared" si="247"/>
        <v>0.29995141581785612</v>
      </c>
      <c r="AJ871">
        <f t="shared" si="248"/>
        <v>20.546720178220085</v>
      </c>
      <c r="AL871">
        <f t="shared" si="249"/>
        <v>0.30948922400586693</v>
      </c>
      <c r="AM871">
        <f t="shared" si="250"/>
        <v>21.874177812353054</v>
      </c>
      <c r="AO871">
        <f t="shared" si="251"/>
        <v>0.30869576380636565</v>
      </c>
      <c r="AP871">
        <f t="shared" si="252"/>
        <v>21.762160725159951</v>
      </c>
    </row>
    <row r="872" spans="1:42" x14ac:dyDescent="0.2">
      <c r="A872" s="3">
        <v>870</v>
      </c>
      <c r="B872" s="3">
        <v>6.0399999999999996E-7</v>
      </c>
      <c r="C872" s="2">
        <v>4.5350000000000001E-2</v>
      </c>
      <c r="D872" s="3">
        <v>214000</v>
      </c>
      <c r="E872" s="3">
        <v>95700000000</v>
      </c>
      <c r="F872" s="3">
        <v>87800000000</v>
      </c>
      <c r="G872" s="3">
        <v>13700000000</v>
      </c>
      <c r="H872" s="3">
        <v>11000000000</v>
      </c>
      <c r="I872" s="2"/>
      <c r="J872" s="7">
        <f t="shared" si="236"/>
        <v>0.60399999999999998</v>
      </c>
      <c r="K872" s="7">
        <f t="shared" si="237"/>
        <v>45.35</v>
      </c>
      <c r="L872" s="7">
        <f t="shared" si="238"/>
        <v>95.7</v>
      </c>
      <c r="M872" s="7">
        <f t="shared" si="239"/>
        <v>214</v>
      </c>
      <c r="O872">
        <f t="shared" si="240"/>
        <v>0.44506308411214951</v>
      </c>
      <c r="P872">
        <f t="shared" si="241"/>
        <v>445.06308411214951</v>
      </c>
      <c r="V872">
        <f t="shared" si="242"/>
        <v>952.671579482678</v>
      </c>
      <c r="W872">
        <f t="shared" si="243"/>
        <v>112.3157259064067</v>
      </c>
      <c r="AE872">
        <f t="shared" si="244"/>
        <v>0.72572481660498034</v>
      </c>
      <c r="AF872">
        <f t="shared" si="245"/>
        <v>0.70335950123643476</v>
      </c>
      <c r="AG872">
        <f t="shared" si="246"/>
        <v>0.70516739054236721</v>
      </c>
      <c r="AI872">
        <f t="shared" si="247"/>
        <v>0.34677974475778672</v>
      </c>
      <c r="AJ872">
        <f t="shared" si="248"/>
        <v>27.408409664816425</v>
      </c>
      <c r="AL872">
        <f t="shared" si="249"/>
        <v>0.3578065928223933</v>
      </c>
      <c r="AM872">
        <f t="shared" si="250"/>
        <v>29.179179030117446</v>
      </c>
      <c r="AO872">
        <f t="shared" si="251"/>
        <v>0.35688925784429937</v>
      </c>
      <c r="AP872">
        <f t="shared" si="252"/>
        <v>29.029753224508706</v>
      </c>
    </row>
    <row r="873" spans="1:42" x14ac:dyDescent="0.2">
      <c r="A873" s="3">
        <v>870</v>
      </c>
      <c r="B873" s="3">
        <v>6.0399999999999996E-7</v>
      </c>
      <c r="C873" s="2">
        <v>4.5400000000000003E-2</v>
      </c>
      <c r="D873" s="3">
        <v>208000</v>
      </c>
      <c r="E873" s="3">
        <v>93100000000</v>
      </c>
      <c r="F873" s="3">
        <v>85700000000</v>
      </c>
      <c r="G873" s="3">
        <v>3240000000</v>
      </c>
      <c r="H873" s="3">
        <v>11200000000</v>
      </c>
      <c r="I873" s="2"/>
      <c r="J873" s="7">
        <f t="shared" si="236"/>
        <v>0.60399999999999998</v>
      </c>
      <c r="K873" s="7">
        <f t="shared" si="237"/>
        <v>45.400000000000006</v>
      </c>
      <c r="L873" s="7">
        <f t="shared" si="238"/>
        <v>93.100000000000009</v>
      </c>
      <c r="M873" s="7">
        <f t="shared" si="239"/>
        <v>208</v>
      </c>
      <c r="O873">
        <f t="shared" si="240"/>
        <v>0.44029807692307688</v>
      </c>
      <c r="P873">
        <f t="shared" si="241"/>
        <v>440.29807692307685</v>
      </c>
      <c r="V873">
        <f t="shared" si="242"/>
        <v>948.13938304820476</v>
      </c>
      <c r="W873">
        <f t="shared" si="243"/>
        <v>109.68851400903415</v>
      </c>
      <c r="AE873">
        <f t="shared" si="244"/>
        <v>0.70537739184035464</v>
      </c>
      <c r="AF873">
        <f t="shared" si="245"/>
        <v>0.6836391413886842</v>
      </c>
      <c r="AG873">
        <f t="shared" si="246"/>
        <v>0.68539634220940371</v>
      </c>
      <c r="AI873">
        <f t="shared" si="247"/>
        <v>0.35678300662579987</v>
      </c>
      <c r="AJ873">
        <f t="shared" si="248"/>
        <v>29.044457910904065</v>
      </c>
      <c r="AL873">
        <f t="shared" si="249"/>
        <v>0.36812793684611628</v>
      </c>
      <c r="AM873">
        <f t="shared" si="250"/>
        <v>30.920927101541732</v>
      </c>
      <c r="AO873">
        <f t="shared" si="251"/>
        <v>0.36718414028211571</v>
      </c>
      <c r="AP873">
        <f t="shared" si="252"/>
        <v>30.762581850033857</v>
      </c>
    </row>
    <row r="874" spans="1:42" x14ac:dyDescent="0.2">
      <c r="A874" s="3">
        <v>870</v>
      </c>
      <c r="B874" s="3">
        <v>6.0500000000000003E-7</v>
      </c>
      <c r="C874" s="2">
        <v>4.5449999999999997E-2</v>
      </c>
      <c r="D874" s="3">
        <v>227000</v>
      </c>
      <c r="E874" s="3">
        <v>101000000000</v>
      </c>
      <c r="F874" s="3">
        <v>92100000000</v>
      </c>
      <c r="G874" s="3">
        <v>10800000000</v>
      </c>
      <c r="H874" s="3">
        <v>10800000000</v>
      </c>
      <c r="I874" s="2"/>
      <c r="J874" s="7">
        <f t="shared" si="236"/>
        <v>0.60499999999999998</v>
      </c>
      <c r="K874" s="7">
        <f t="shared" si="237"/>
        <v>45.449999999999996</v>
      </c>
      <c r="L874" s="7">
        <f t="shared" si="238"/>
        <v>101</v>
      </c>
      <c r="M874" s="7">
        <f t="shared" si="239"/>
        <v>227</v>
      </c>
      <c r="O874">
        <f t="shared" si="240"/>
        <v>0.45483480176211455</v>
      </c>
      <c r="P874">
        <f t="shared" si="241"/>
        <v>454.83480176211452</v>
      </c>
      <c r="V874">
        <f t="shared" si="242"/>
        <v>961.88205959349739</v>
      </c>
      <c r="W874">
        <f t="shared" si="243"/>
        <v>117.99783442053845</v>
      </c>
      <c r="AE874">
        <f t="shared" si="244"/>
        <v>0.76981090359500248</v>
      </c>
      <c r="AF874">
        <f t="shared" si="245"/>
        <v>0.74608694757322747</v>
      </c>
      <c r="AG874">
        <f t="shared" si="246"/>
        <v>0.74800466193045501</v>
      </c>
      <c r="AI874">
        <f t="shared" si="247"/>
        <v>0.3274613702613316</v>
      </c>
      <c r="AJ874">
        <f t="shared" si="248"/>
        <v>24.412725360569251</v>
      </c>
      <c r="AL874">
        <f t="shared" si="249"/>
        <v>0.33787393567636659</v>
      </c>
      <c r="AM874">
        <f t="shared" si="250"/>
        <v>25.98995317935422</v>
      </c>
      <c r="AO874">
        <f t="shared" si="251"/>
        <v>0.33700770351184062</v>
      </c>
      <c r="AP874">
        <f t="shared" si="252"/>
        <v>25.856859315145424</v>
      </c>
    </row>
    <row r="875" spans="1:42" x14ac:dyDescent="0.2">
      <c r="A875" s="3">
        <v>870</v>
      </c>
      <c r="B875" s="3">
        <v>6.06E-7</v>
      </c>
      <c r="C875" s="2">
        <v>4.5499999999999999E-2</v>
      </c>
      <c r="D875" s="3">
        <v>209000</v>
      </c>
      <c r="E875" s="3">
        <v>93200000000</v>
      </c>
      <c r="F875" s="3">
        <v>85800000000</v>
      </c>
      <c r="G875" s="2">
        <v>0</v>
      </c>
      <c r="H875" s="3">
        <v>11100000000</v>
      </c>
      <c r="I875" s="2"/>
      <c r="J875" s="7">
        <f t="shared" si="236"/>
        <v>0.60599999999999998</v>
      </c>
      <c r="K875" s="7">
        <f t="shared" si="237"/>
        <v>45.5</v>
      </c>
      <c r="L875" s="7">
        <f t="shared" si="238"/>
        <v>93.2</v>
      </c>
      <c r="M875" s="7">
        <f t="shared" si="239"/>
        <v>209</v>
      </c>
      <c r="O875">
        <f t="shared" si="240"/>
        <v>0.44272248803827752</v>
      </c>
      <c r="P875">
        <f t="shared" si="241"/>
        <v>442.7224880382775</v>
      </c>
      <c r="V875">
        <f t="shared" si="242"/>
        <v>950.44873654981575</v>
      </c>
      <c r="W875">
        <f t="shared" si="243"/>
        <v>109.94806556252689</v>
      </c>
      <c r="AE875">
        <f t="shared" si="244"/>
        <v>0.70876862930112561</v>
      </c>
      <c r="AF875">
        <f t="shared" si="245"/>
        <v>0.68692586802997602</v>
      </c>
      <c r="AG875">
        <f t="shared" si="246"/>
        <v>0.68869151693156427</v>
      </c>
      <c r="AI875">
        <f t="shared" si="247"/>
        <v>0.35625165894965638</v>
      </c>
      <c r="AJ875">
        <f t="shared" si="248"/>
        <v>28.830549281202195</v>
      </c>
      <c r="AL875">
        <f t="shared" si="249"/>
        <v>0.36757969345970448</v>
      </c>
      <c r="AM875">
        <f t="shared" si="250"/>
        <v>30.693198521938285</v>
      </c>
      <c r="AO875">
        <f t="shared" si="251"/>
        <v>0.36663730246744286</v>
      </c>
      <c r="AP875">
        <f t="shared" si="252"/>
        <v>30.536019462475515</v>
      </c>
    </row>
    <row r="876" spans="1:42" x14ac:dyDescent="0.2">
      <c r="A876" s="3">
        <v>870</v>
      </c>
      <c r="B876" s="3">
        <v>6.0699999999999997E-7</v>
      </c>
      <c r="C876" s="2">
        <v>4.5560000000000003E-2</v>
      </c>
      <c r="D876" s="3">
        <v>181000</v>
      </c>
      <c r="E876" s="3">
        <v>82300000000</v>
      </c>
      <c r="F876" s="3">
        <v>76400000000</v>
      </c>
      <c r="G876" s="2">
        <v>0</v>
      </c>
      <c r="H876" s="3">
        <v>11800000000</v>
      </c>
      <c r="I876" s="2"/>
      <c r="J876" s="7">
        <f t="shared" si="236"/>
        <v>0.60699999999999998</v>
      </c>
      <c r="K876" s="7">
        <f t="shared" si="237"/>
        <v>45.56</v>
      </c>
      <c r="L876" s="7">
        <f t="shared" si="238"/>
        <v>82.300000000000011</v>
      </c>
      <c r="M876" s="7">
        <f t="shared" si="239"/>
        <v>181</v>
      </c>
      <c r="O876">
        <f t="shared" si="240"/>
        <v>0.41821546961325962</v>
      </c>
      <c r="P876">
        <f t="shared" si="241"/>
        <v>418.21546961325964</v>
      </c>
      <c r="V876">
        <f t="shared" si="242"/>
        <v>926.77039751897451</v>
      </c>
      <c r="W876">
        <f t="shared" si="243"/>
        <v>97.650939480020583</v>
      </c>
      <c r="AE876">
        <f t="shared" si="244"/>
        <v>0.61381398039953938</v>
      </c>
      <c r="AF876">
        <f t="shared" si="245"/>
        <v>0.59489752207380697</v>
      </c>
      <c r="AG876">
        <f t="shared" si="246"/>
        <v>0.59642662471106767</v>
      </c>
      <c r="AI876">
        <f t="shared" si="247"/>
        <v>0.41204122868306126</v>
      </c>
      <c r="AJ876">
        <f t="shared" si="248"/>
        <v>38.491129721592664</v>
      </c>
      <c r="AL876">
        <f t="shared" si="249"/>
        <v>0.42514325120232749</v>
      </c>
      <c r="AM876">
        <f t="shared" si="250"/>
        <v>40.977918053362153</v>
      </c>
      <c r="AO876">
        <f t="shared" si="251"/>
        <v>0.42405328029946576</v>
      </c>
      <c r="AP876">
        <f t="shared" si="252"/>
        <v>40.768071216651194</v>
      </c>
    </row>
    <row r="877" spans="1:42" x14ac:dyDescent="0.2">
      <c r="A877" s="3">
        <v>880</v>
      </c>
      <c r="B877" s="3">
        <v>6.0800000000000004E-7</v>
      </c>
      <c r="C877" s="2">
        <v>4.5609999999999998E-2</v>
      </c>
      <c r="D877" s="3">
        <v>197000</v>
      </c>
      <c r="E877" s="3">
        <v>88300000000</v>
      </c>
      <c r="F877" s="3">
        <v>81600000000</v>
      </c>
      <c r="G877" s="3">
        <v>5920000000</v>
      </c>
      <c r="H877" s="3">
        <v>11400000000</v>
      </c>
      <c r="I877" s="2"/>
      <c r="J877" s="7">
        <f t="shared" si="236"/>
        <v>0.6080000000000001</v>
      </c>
      <c r="K877" s="7">
        <f t="shared" si="237"/>
        <v>45.61</v>
      </c>
      <c r="L877" s="7">
        <f t="shared" si="238"/>
        <v>88.300000000000011</v>
      </c>
      <c r="M877" s="7">
        <f t="shared" si="239"/>
        <v>197</v>
      </c>
      <c r="O877">
        <f t="shared" si="240"/>
        <v>0.43435786802030463</v>
      </c>
      <c r="P877">
        <f t="shared" si="241"/>
        <v>434.35786802030464</v>
      </c>
      <c r="V877">
        <f t="shared" si="242"/>
        <v>942.45097680250024</v>
      </c>
      <c r="W877">
        <f t="shared" si="243"/>
        <v>104.51472004855445</v>
      </c>
      <c r="AE877">
        <f t="shared" si="244"/>
        <v>0.66807377977187432</v>
      </c>
      <c r="AF877">
        <f t="shared" si="245"/>
        <v>0.64748514833447501</v>
      </c>
      <c r="AG877">
        <f t="shared" si="246"/>
        <v>0.64914942026563716</v>
      </c>
      <c r="AI877">
        <f t="shared" si="247"/>
        <v>0.37919963483649743</v>
      </c>
      <c r="AJ877">
        <f t="shared" si="248"/>
        <v>32.528325874320835</v>
      </c>
      <c r="AL877">
        <f t="shared" si="249"/>
        <v>0.39125736549321988</v>
      </c>
      <c r="AM877">
        <f t="shared" si="250"/>
        <v>34.629876590585688</v>
      </c>
      <c r="AO877">
        <f t="shared" si="251"/>
        <v>0.39025427031833032</v>
      </c>
      <c r="AP877">
        <f t="shared" si="252"/>
        <v>34.452537906644693</v>
      </c>
    </row>
    <row r="878" spans="1:42" x14ac:dyDescent="0.2">
      <c r="A878" s="3">
        <v>880</v>
      </c>
      <c r="B878" s="3">
        <v>6.0800000000000004E-7</v>
      </c>
      <c r="C878" s="2">
        <v>4.5659999999999999E-2</v>
      </c>
      <c r="D878" s="3">
        <v>223000</v>
      </c>
      <c r="E878" s="3">
        <v>98500000000</v>
      </c>
      <c r="F878" s="3">
        <v>90200000000</v>
      </c>
      <c r="G878" s="3">
        <v>7820000000</v>
      </c>
      <c r="H878" s="3">
        <v>10900000000</v>
      </c>
      <c r="I878" s="2"/>
      <c r="J878" s="7">
        <f t="shared" si="236"/>
        <v>0.6080000000000001</v>
      </c>
      <c r="K878" s="7">
        <f t="shared" si="237"/>
        <v>45.66</v>
      </c>
      <c r="L878" s="7">
        <f t="shared" si="238"/>
        <v>98.5</v>
      </c>
      <c r="M878" s="7">
        <f t="shared" si="239"/>
        <v>223</v>
      </c>
      <c r="O878">
        <f t="shared" si="240"/>
        <v>0.45443497757847545</v>
      </c>
      <c r="P878">
        <f t="shared" si="241"/>
        <v>454.43497757847547</v>
      </c>
      <c r="V878">
        <f t="shared" si="242"/>
        <v>961.50737409636997</v>
      </c>
      <c r="W878">
        <f t="shared" si="243"/>
        <v>115.96374921699204</v>
      </c>
      <c r="AE878">
        <f t="shared" si="244"/>
        <v>0.75624595375191872</v>
      </c>
      <c r="AF878">
        <f t="shared" si="245"/>
        <v>0.73294004100806054</v>
      </c>
      <c r="AG878">
        <f t="shared" si="246"/>
        <v>0.73482396304181263</v>
      </c>
      <c r="AI878">
        <f t="shared" si="247"/>
        <v>0.33498801821878926</v>
      </c>
      <c r="AJ878">
        <f t="shared" si="248"/>
        <v>25.413253773531281</v>
      </c>
      <c r="AL878">
        <f t="shared" si="249"/>
        <v>0.34563991480791173</v>
      </c>
      <c r="AM878">
        <f t="shared" si="250"/>
        <v>27.055122521303115</v>
      </c>
      <c r="AO878">
        <f t="shared" si="251"/>
        <v>0.34475377243368194</v>
      </c>
      <c r="AP878">
        <f t="shared" si="252"/>
        <v>26.916573953010076</v>
      </c>
    </row>
    <row r="879" spans="1:42" x14ac:dyDescent="0.2">
      <c r="A879" s="3">
        <v>880</v>
      </c>
      <c r="B879" s="3">
        <v>6.0900000000000001E-7</v>
      </c>
      <c r="C879" s="2">
        <v>4.5719999999999997E-2</v>
      </c>
      <c r="D879" s="3">
        <v>210000</v>
      </c>
      <c r="E879" s="3">
        <v>93400000000</v>
      </c>
      <c r="F879" s="3">
        <v>85900000000</v>
      </c>
      <c r="G879" s="2">
        <v>0</v>
      </c>
      <c r="H879" s="3">
        <v>11100000000</v>
      </c>
      <c r="I879" s="2"/>
      <c r="J879" s="7">
        <f t="shared" si="236"/>
        <v>0.60899999999999999</v>
      </c>
      <c r="K879" s="7">
        <f t="shared" si="237"/>
        <v>45.72</v>
      </c>
      <c r="L879" s="7">
        <f t="shared" si="238"/>
        <v>93.4</v>
      </c>
      <c r="M879" s="7">
        <f t="shared" si="239"/>
        <v>210</v>
      </c>
      <c r="O879">
        <f t="shared" si="240"/>
        <v>0.44571428571428573</v>
      </c>
      <c r="P879">
        <f t="shared" si="241"/>
        <v>445.71428571428572</v>
      </c>
      <c r="V879">
        <f t="shared" si="242"/>
        <v>953.28886141070984</v>
      </c>
      <c r="W879">
        <f t="shared" si="243"/>
        <v>110.14499827955335</v>
      </c>
      <c r="AE879">
        <f t="shared" si="244"/>
        <v>0.71215986676189658</v>
      </c>
      <c r="AF879">
        <f t="shared" si="245"/>
        <v>0.69021259467126772</v>
      </c>
      <c r="AG879">
        <f t="shared" si="246"/>
        <v>0.69198669165372484</v>
      </c>
      <c r="AI879">
        <f t="shared" si="247"/>
        <v>0.35631044635212322</v>
      </c>
      <c r="AJ879">
        <f t="shared" si="248"/>
        <v>28.694702370994129</v>
      </c>
      <c r="AL879">
        <f t="shared" si="249"/>
        <v>0.36764035017479685</v>
      </c>
      <c r="AM879">
        <f t="shared" si="250"/>
        <v>30.548574978940902</v>
      </c>
      <c r="AO879">
        <f t="shared" si="251"/>
        <v>0.36669780367247051</v>
      </c>
      <c r="AP879">
        <f t="shared" si="252"/>
        <v>30.392136532824388</v>
      </c>
    </row>
    <row r="880" spans="1:42" x14ac:dyDescent="0.2">
      <c r="A880" s="3">
        <v>880</v>
      </c>
      <c r="B880" s="3">
        <v>6.0999999999999998E-7</v>
      </c>
      <c r="C880" s="2">
        <v>4.5769999999999998E-2</v>
      </c>
      <c r="D880" s="3">
        <v>211000</v>
      </c>
      <c r="E880" s="3">
        <v>93900000000</v>
      </c>
      <c r="F880" s="3">
        <v>86400000000</v>
      </c>
      <c r="G880" s="3">
        <v>285000000</v>
      </c>
      <c r="H880" s="3">
        <v>11100000000</v>
      </c>
      <c r="I880" s="2"/>
      <c r="J880" s="7">
        <f t="shared" si="236"/>
        <v>0.61</v>
      </c>
      <c r="K880" s="7">
        <f t="shared" si="237"/>
        <v>45.769999999999996</v>
      </c>
      <c r="L880" s="7">
        <f t="shared" si="238"/>
        <v>93.9</v>
      </c>
      <c r="M880" s="7">
        <f t="shared" si="239"/>
        <v>211</v>
      </c>
      <c r="O880">
        <f t="shared" si="240"/>
        <v>0.44731042654028436</v>
      </c>
      <c r="P880">
        <f t="shared" si="241"/>
        <v>447.31042654028437</v>
      </c>
      <c r="V880">
        <f t="shared" si="242"/>
        <v>954.79974140580828</v>
      </c>
      <c r="W880">
        <f t="shared" si="243"/>
        <v>110.49437429116402</v>
      </c>
      <c r="AE880">
        <f t="shared" si="244"/>
        <v>0.71555110422266743</v>
      </c>
      <c r="AF880">
        <f t="shared" si="245"/>
        <v>0.69349932131255942</v>
      </c>
      <c r="AG880">
        <f t="shared" si="246"/>
        <v>0.69528186637588552</v>
      </c>
      <c r="AI880">
        <f t="shared" si="247"/>
        <v>0.3552040730099611</v>
      </c>
      <c r="AJ880">
        <f t="shared" si="248"/>
        <v>28.454443355006877</v>
      </c>
      <c r="AL880">
        <f t="shared" si="249"/>
        <v>0.36649879654621031</v>
      </c>
      <c r="AM880">
        <f t="shared" si="250"/>
        <v>30.292793599180985</v>
      </c>
      <c r="AO880">
        <f t="shared" si="251"/>
        <v>0.36555917672856186</v>
      </c>
      <c r="AP880">
        <f t="shared" si="252"/>
        <v>30.137665002758681</v>
      </c>
    </row>
    <row r="881" spans="1:42" x14ac:dyDescent="0.2">
      <c r="A881" s="3">
        <v>880</v>
      </c>
      <c r="B881" s="3">
        <v>6.0999999999999998E-7</v>
      </c>
      <c r="C881" s="2">
        <v>4.582E-2</v>
      </c>
      <c r="D881" s="3">
        <v>219000</v>
      </c>
      <c r="E881" s="3">
        <v>96800000000</v>
      </c>
      <c r="F881" s="3">
        <v>88800000000</v>
      </c>
      <c r="G881" s="2">
        <v>0</v>
      </c>
      <c r="H881" s="3">
        <v>11000000000</v>
      </c>
      <c r="I881" s="2"/>
      <c r="J881" s="7">
        <f t="shared" si="236"/>
        <v>0.61</v>
      </c>
      <c r="K881" s="7">
        <f t="shared" si="237"/>
        <v>45.82</v>
      </c>
      <c r="L881" s="7">
        <f t="shared" si="238"/>
        <v>96.800000000000011</v>
      </c>
      <c r="M881" s="7">
        <f t="shared" si="239"/>
        <v>219</v>
      </c>
      <c r="O881">
        <f t="shared" si="240"/>
        <v>0.45308219178082187</v>
      </c>
      <c r="P881">
        <f t="shared" si="241"/>
        <v>453.08219178082186</v>
      </c>
      <c r="V881">
        <f t="shared" si="242"/>
        <v>960.23828040891885</v>
      </c>
      <c r="W881">
        <f t="shared" si="243"/>
        <v>114.0341957137652</v>
      </c>
      <c r="AE881">
        <f t="shared" si="244"/>
        <v>0.74268100390883496</v>
      </c>
      <c r="AF881">
        <f t="shared" si="245"/>
        <v>0.7197931344428935</v>
      </c>
      <c r="AG881">
        <f t="shared" si="246"/>
        <v>0.72164326415317026</v>
      </c>
      <c r="AI881">
        <f t="shared" si="247"/>
        <v>0.34222858175845566</v>
      </c>
      <c r="AJ881">
        <f t="shared" si="248"/>
        <v>26.442404675792439</v>
      </c>
      <c r="AL881">
        <f t="shared" si="249"/>
        <v>0.35311071265411131</v>
      </c>
      <c r="AM881">
        <f t="shared" si="250"/>
        <v>28.150763559704327</v>
      </c>
      <c r="AO881">
        <f t="shared" si="251"/>
        <v>0.35220541684806644</v>
      </c>
      <c r="AP881">
        <f t="shared" si="252"/>
        <v>28.006604242573829</v>
      </c>
    </row>
    <row r="882" spans="1:42" x14ac:dyDescent="0.2">
      <c r="A882" s="3">
        <v>880</v>
      </c>
      <c r="B882" s="3">
        <v>6.1099999999999995E-7</v>
      </c>
      <c r="C882" s="2">
        <v>4.5870000000000001E-2</v>
      </c>
      <c r="D882" s="3">
        <v>234000</v>
      </c>
      <c r="E882" s="3">
        <v>103000000000</v>
      </c>
      <c r="F882" s="3">
        <v>94000000000</v>
      </c>
      <c r="G882" s="3">
        <v>11100000</v>
      </c>
      <c r="H882" s="3">
        <v>10700000000</v>
      </c>
      <c r="I882" s="2"/>
      <c r="J882" s="7">
        <f t="shared" si="236"/>
        <v>0.61099999999999999</v>
      </c>
      <c r="K882" s="7">
        <f t="shared" si="237"/>
        <v>45.870000000000005</v>
      </c>
      <c r="L882" s="7">
        <f t="shared" si="238"/>
        <v>103</v>
      </c>
      <c r="M882" s="7">
        <f t="shared" si="239"/>
        <v>234</v>
      </c>
      <c r="O882">
        <f t="shared" si="240"/>
        <v>0.4639807692307692</v>
      </c>
      <c r="P882">
        <f t="shared" si="241"/>
        <v>463.98076923076917</v>
      </c>
      <c r="V882">
        <f t="shared" si="242"/>
        <v>970.40339091112412</v>
      </c>
      <c r="W882">
        <f t="shared" si="243"/>
        <v>120.56841628525969</v>
      </c>
      <c r="AE882">
        <f t="shared" si="244"/>
        <v>0.79354956582039904</v>
      </c>
      <c r="AF882">
        <f t="shared" si="245"/>
        <v>0.76909403406226973</v>
      </c>
      <c r="AG882">
        <f t="shared" si="246"/>
        <v>0.77107088498557919</v>
      </c>
      <c r="AI882">
        <f t="shared" si="247"/>
        <v>0.3208159191293064</v>
      </c>
      <c r="AJ882">
        <f t="shared" si="248"/>
        <v>23.186282210225386</v>
      </c>
      <c r="AL882">
        <f t="shared" si="249"/>
        <v>0.33101717352903171</v>
      </c>
      <c r="AM882">
        <f t="shared" si="250"/>
        <v>24.684273474045259</v>
      </c>
      <c r="AO882">
        <f t="shared" si="251"/>
        <v>0.33016852054800983</v>
      </c>
      <c r="AP882">
        <f t="shared" si="252"/>
        <v>24.55786596114303</v>
      </c>
    </row>
    <row r="883" spans="1:42" x14ac:dyDescent="0.2">
      <c r="A883" s="3">
        <v>880</v>
      </c>
      <c r="B883" s="3">
        <v>6.1200000000000003E-7</v>
      </c>
      <c r="C883" s="2">
        <v>4.5920000000000002E-2</v>
      </c>
      <c r="D883" s="3">
        <v>188000</v>
      </c>
      <c r="E883" s="3">
        <v>84700000000</v>
      </c>
      <c r="F883" s="3">
        <v>78500000000</v>
      </c>
      <c r="G883" s="3">
        <v>7010000000</v>
      </c>
      <c r="H883" s="3">
        <v>11600000000</v>
      </c>
      <c r="I883" s="2"/>
      <c r="J883" s="7">
        <f t="shared" si="236"/>
        <v>0.61199999999999999</v>
      </c>
      <c r="K883" s="7">
        <f t="shared" si="237"/>
        <v>45.92</v>
      </c>
      <c r="L883" s="7">
        <f t="shared" si="238"/>
        <v>84.7</v>
      </c>
      <c r="M883" s="7">
        <f t="shared" si="239"/>
        <v>188</v>
      </c>
      <c r="O883">
        <f t="shared" si="240"/>
        <v>0.42880851063829784</v>
      </c>
      <c r="P883">
        <f t="shared" si="241"/>
        <v>428.80851063829783</v>
      </c>
      <c r="V883">
        <f t="shared" si="242"/>
        <v>937.0975746466487</v>
      </c>
      <c r="W883">
        <f t="shared" si="243"/>
        <v>100.30972498829119</v>
      </c>
      <c r="AE883">
        <f t="shared" si="244"/>
        <v>0.63755264262493594</v>
      </c>
      <c r="AF883">
        <f t="shared" si="245"/>
        <v>0.61790460856284923</v>
      </c>
      <c r="AG883">
        <f t="shared" si="246"/>
        <v>0.61949284776619185</v>
      </c>
      <c r="AI883">
        <f t="shared" si="247"/>
        <v>0.39996697206071069</v>
      </c>
      <c r="AJ883">
        <f t="shared" si="248"/>
        <v>35.960048855548926</v>
      </c>
      <c r="AL883">
        <f t="shared" si="249"/>
        <v>0.41268505925710869</v>
      </c>
      <c r="AM883">
        <f t="shared" si="250"/>
        <v>38.283312177531251</v>
      </c>
      <c r="AO883">
        <f t="shared" si="251"/>
        <v>0.41162702833373432</v>
      </c>
      <c r="AP883">
        <f t="shared" si="252"/>
        <v>38.087264346384444</v>
      </c>
    </row>
    <row r="884" spans="1:42" x14ac:dyDescent="0.2">
      <c r="A884" s="3">
        <v>880</v>
      </c>
      <c r="B884" s="3">
        <v>6.13E-7</v>
      </c>
      <c r="C884" s="2">
        <v>4.5969999999999997E-2</v>
      </c>
      <c r="D884" s="3">
        <v>214000</v>
      </c>
      <c r="E884" s="3">
        <v>94800000000</v>
      </c>
      <c r="F884" s="3">
        <v>87100000000</v>
      </c>
      <c r="G884" s="3">
        <v>1900000000</v>
      </c>
      <c r="H884" s="3">
        <v>11000000000</v>
      </c>
      <c r="I884" s="2"/>
      <c r="J884" s="7">
        <f t="shared" si="236"/>
        <v>0.61299999999999999</v>
      </c>
      <c r="K884" s="7">
        <f t="shared" si="237"/>
        <v>45.97</v>
      </c>
      <c r="L884" s="7">
        <f t="shared" si="238"/>
        <v>94.800000000000011</v>
      </c>
      <c r="M884" s="7">
        <f t="shared" si="239"/>
        <v>214</v>
      </c>
      <c r="O884">
        <f t="shared" si="240"/>
        <v>0.45189018691588784</v>
      </c>
      <c r="P884">
        <f t="shared" si="241"/>
        <v>451.89018691588785</v>
      </c>
      <c r="V884">
        <f t="shared" si="242"/>
        <v>959.11827041528556</v>
      </c>
      <c r="W884">
        <f t="shared" si="243"/>
        <v>111.56079839212157</v>
      </c>
      <c r="AE884">
        <f t="shared" si="244"/>
        <v>0.72572481660498034</v>
      </c>
      <c r="AF884">
        <f t="shared" si="245"/>
        <v>0.70335950123643476</v>
      </c>
      <c r="AG884">
        <f t="shared" si="246"/>
        <v>0.70516739054236721</v>
      </c>
      <c r="AI884">
        <f t="shared" si="247"/>
        <v>0.35194699261013784</v>
      </c>
      <c r="AJ884">
        <f t="shared" si="248"/>
        <v>27.783122211501897</v>
      </c>
      <c r="AL884">
        <f t="shared" si="249"/>
        <v>0.36313814801345551</v>
      </c>
      <c r="AM884">
        <f t="shared" si="250"/>
        <v>29.578100551587628</v>
      </c>
      <c r="AO884">
        <f t="shared" si="251"/>
        <v>0.36220714413668131</v>
      </c>
      <c r="AP884">
        <f t="shared" si="252"/>
        <v>29.426631879397245</v>
      </c>
    </row>
    <row r="885" spans="1:42" x14ac:dyDescent="0.2">
      <c r="A885" s="3">
        <v>880</v>
      </c>
      <c r="B885" s="3">
        <v>6.1399999999999997E-7</v>
      </c>
      <c r="C885" s="2">
        <v>4.6019999999999998E-2</v>
      </c>
      <c r="D885" s="3">
        <v>233000</v>
      </c>
      <c r="E885" s="3">
        <v>102000000000</v>
      </c>
      <c r="F885" s="3">
        <v>93300000000</v>
      </c>
      <c r="G885" s="3">
        <v>8400000000</v>
      </c>
      <c r="H885" s="3">
        <v>10700000000</v>
      </c>
      <c r="I885" s="2"/>
      <c r="J885" s="7">
        <f t="shared" si="236"/>
        <v>0.61399999999999999</v>
      </c>
      <c r="K885" s="7">
        <f t="shared" si="237"/>
        <v>46.019999999999996</v>
      </c>
      <c r="L885" s="7">
        <f t="shared" si="238"/>
        <v>102</v>
      </c>
      <c r="M885" s="7">
        <f t="shared" si="239"/>
        <v>233</v>
      </c>
      <c r="O885">
        <f t="shared" si="240"/>
        <v>0.46586695278969958</v>
      </c>
      <c r="P885">
        <f t="shared" si="241"/>
        <v>465.86695278969961</v>
      </c>
      <c r="V885">
        <f t="shared" si="242"/>
        <v>972.14908722607788</v>
      </c>
      <c r="W885">
        <f t="shared" si="243"/>
        <v>119.83758615915603</v>
      </c>
      <c r="AE885">
        <f t="shared" si="244"/>
        <v>0.79015832835962807</v>
      </c>
      <c r="AF885">
        <f t="shared" si="245"/>
        <v>0.76580730742097802</v>
      </c>
      <c r="AG885">
        <f t="shared" si="246"/>
        <v>0.76777571026341851</v>
      </c>
      <c r="AI885">
        <f t="shared" si="247"/>
        <v>0.32377477291727647</v>
      </c>
      <c r="AJ885">
        <f t="shared" si="248"/>
        <v>23.462207129351452</v>
      </c>
      <c r="AL885">
        <f t="shared" si="249"/>
        <v>0.33407011248679191</v>
      </c>
      <c r="AM885">
        <f t="shared" si="250"/>
        <v>24.97802501645544</v>
      </c>
      <c r="AO885">
        <f t="shared" si="251"/>
        <v>0.33321363246247881</v>
      </c>
      <c r="AP885">
        <f t="shared" si="252"/>
        <v>24.850113209658318</v>
      </c>
    </row>
    <row r="886" spans="1:42" x14ac:dyDescent="0.2">
      <c r="A886" s="3">
        <v>880</v>
      </c>
      <c r="B886" s="3">
        <v>6.1399999999999997E-7</v>
      </c>
      <c r="C886" s="2">
        <v>4.6080000000000003E-2</v>
      </c>
      <c r="D886" s="3">
        <v>212000</v>
      </c>
      <c r="E886" s="3">
        <v>93800000000</v>
      </c>
      <c r="F886" s="3">
        <v>86300000000</v>
      </c>
      <c r="G886" s="3">
        <v>6460000000</v>
      </c>
      <c r="H886" s="3">
        <v>11100000000</v>
      </c>
      <c r="I886" s="2"/>
      <c r="J886" s="7">
        <f t="shared" si="236"/>
        <v>0.61399999999999999</v>
      </c>
      <c r="K886" s="7">
        <f t="shared" si="237"/>
        <v>46.080000000000005</v>
      </c>
      <c r="L886" s="7">
        <f t="shared" si="238"/>
        <v>93.800000000000011</v>
      </c>
      <c r="M886" s="7">
        <f t="shared" si="239"/>
        <v>212</v>
      </c>
      <c r="O886">
        <f t="shared" si="240"/>
        <v>0.45098113207547164</v>
      </c>
      <c r="P886">
        <f t="shared" si="241"/>
        <v>450.98113207547163</v>
      </c>
      <c r="V886">
        <f t="shared" si="242"/>
        <v>958.26301435338939</v>
      </c>
      <c r="W886">
        <f t="shared" si="243"/>
        <v>110.61681230755421</v>
      </c>
      <c r="AE886">
        <f t="shared" si="244"/>
        <v>0.7189423416834384</v>
      </c>
      <c r="AF886">
        <f t="shared" si="245"/>
        <v>0.69678604795385124</v>
      </c>
      <c r="AG886">
        <f t="shared" si="246"/>
        <v>0.69857704109804608</v>
      </c>
      <c r="AI886">
        <f t="shared" si="247"/>
        <v>0.35584680231002552</v>
      </c>
      <c r="AJ886">
        <f t="shared" si="248"/>
        <v>28.377546290990239</v>
      </c>
      <c r="AL886">
        <f t="shared" si="249"/>
        <v>0.36716196325199296</v>
      </c>
      <c r="AM886">
        <f t="shared" si="250"/>
        <v>30.21092846270383</v>
      </c>
      <c r="AO886">
        <f t="shared" si="251"/>
        <v>0.36622064322527148</v>
      </c>
      <c r="AP886">
        <f t="shared" si="252"/>
        <v>30.056219095484547</v>
      </c>
    </row>
    <row r="887" spans="1:42" x14ac:dyDescent="0.2">
      <c r="A887" s="3">
        <v>890</v>
      </c>
      <c r="B887" s="3">
        <v>6.1500000000000004E-7</v>
      </c>
      <c r="C887" s="2">
        <v>4.6129999999999997E-2</v>
      </c>
      <c r="D887" s="3">
        <v>209000</v>
      </c>
      <c r="E887" s="3">
        <v>92400000000</v>
      </c>
      <c r="F887" s="3">
        <v>85100000000</v>
      </c>
      <c r="G887" s="2">
        <v>0</v>
      </c>
      <c r="H887" s="3">
        <v>11100000000</v>
      </c>
      <c r="I887" s="2"/>
      <c r="J887" s="7">
        <f t="shared" si="236"/>
        <v>0.61499999999999999</v>
      </c>
      <c r="K887" s="7">
        <f t="shared" si="237"/>
        <v>46.129999999999995</v>
      </c>
      <c r="L887" s="7">
        <f t="shared" si="238"/>
        <v>92.4</v>
      </c>
      <c r="M887" s="7">
        <f t="shared" si="239"/>
        <v>209</v>
      </c>
      <c r="O887">
        <f t="shared" si="240"/>
        <v>0.44946172248803828</v>
      </c>
      <c r="P887">
        <f t="shared" si="241"/>
        <v>449.46172248803828</v>
      </c>
      <c r="V887">
        <f t="shared" si="242"/>
        <v>956.83137853635583</v>
      </c>
      <c r="W887">
        <f t="shared" si="243"/>
        <v>109.21464569844206</v>
      </c>
      <c r="AE887">
        <f t="shared" si="244"/>
        <v>0.70876862930112561</v>
      </c>
      <c r="AF887">
        <f t="shared" si="245"/>
        <v>0.68692586802997602</v>
      </c>
      <c r="AG887">
        <f t="shared" si="246"/>
        <v>0.68869151693156427</v>
      </c>
      <c r="AI887">
        <f t="shared" si="247"/>
        <v>0.36154252517168095</v>
      </c>
      <c r="AJ887">
        <f t="shared" si="248"/>
        <v>29.22974150201884</v>
      </c>
      <c r="AL887">
        <f t="shared" si="249"/>
        <v>0.37303879781801691</v>
      </c>
      <c r="AM887">
        <f t="shared" si="250"/>
        <v>31.118181270703584</v>
      </c>
      <c r="AO887">
        <f t="shared" si="251"/>
        <v>0.37208241091992966</v>
      </c>
      <c r="AP887">
        <f t="shared" si="252"/>
        <v>30.958825885802096</v>
      </c>
    </row>
    <row r="888" spans="1:42" x14ac:dyDescent="0.2">
      <c r="A888" s="3">
        <v>890</v>
      </c>
      <c r="B888" s="3">
        <v>6.1600000000000001E-7</v>
      </c>
      <c r="C888" s="2">
        <v>4.6179999999999999E-2</v>
      </c>
      <c r="D888" s="3">
        <v>230000</v>
      </c>
      <c r="E888" s="3">
        <v>101000000000</v>
      </c>
      <c r="F888" s="3">
        <v>92100000000</v>
      </c>
      <c r="G888" s="3">
        <v>187000000</v>
      </c>
      <c r="H888" s="3">
        <v>10800000000</v>
      </c>
      <c r="I888" s="2"/>
      <c r="J888" s="7">
        <f t="shared" si="236"/>
        <v>0.61599999999999999</v>
      </c>
      <c r="K888" s="7">
        <f t="shared" si="237"/>
        <v>46.18</v>
      </c>
      <c r="L888" s="7">
        <f t="shared" si="238"/>
        <v>101</v>
      </c>
      <c r="M888" s="7">
        <f t="shared" si="239"/>
        <v>230</v>
      </c>
      <c r="O888">
        <f t="shared" si="240"/>
        <v>0.46541304347826085</v>
      </c>
      <c r="P888">
        <f t="shared" si="241"/>
        <v>465.41304347826087</v>
      </c>
      <c r="V888">
        <f t="shared" si="242"/>
        <v>971.72934633582872</v>
      </c>
      <c r="W888">
        <f t="shared" si="243"/>
        <v>118.34571059692594</v>
      </c>
      <c r="AE888">
        <f t="shared" si="244"/>
        <v>0.77998461597731528</v>
      </c>
      <c r="AF888">
        <f t="shared" si="245"/>
        <v>0.7559471274971028</v>
      </c>
      <c r="AG888">
        <f t="shared" si="246"/>
        <v>0.75789018609693681</v>
      </c>
      <c r="AI888">
        <f t="shared" si="247"/>
        <v>0.32906631926972707</v>
      </c>
      <c r="AJ888">
        <f t="shared" si="248"/>
        <v>24.16197044607004</v>
      </c>
      <c r="AL888">
        <f t="shared" si="249"/>
        <v>0.33952991860221121</v>
      </c>
      <c r="AM888">
        <f t="shared" si="250"/>
        <v>25.722997794772134</v>
      </c>
      <c r="AO888">
        <f t="shared" si="251"/>
        <v>0.33865944087292627</v>
      </c>
      <c r="AP888">
        <f t="shared" si="252"/>
        <v>25.591271002041314</v>
      </c>
    </row>
    <row r="889" spans="1:42" x14ac:dyDescent="0.2">
      <c r="A889" s="3">
        <v>890</v>
      </c>
      <c r="B889" s="3">
        <v>6.1600000000000001E-7</v>
      </c>
      <c r="C889" s="2">
        <v>4.623E-2</v>
      </c>
      <c r="D889" s="3">
        <v>212000</v>
      </c>
      <c r="E889" s="3">
        <v>93600000000</v>
      </c>
      <c r="F889" s="3">
        <v>86100000000</v>
      </c>
      <c r="G889" s="3">
        <v>6960000000</v>
      </c>
      <c r="H889" s="3">
        <v>11100000000</v>
      </c>
      <c r="I889" s="2"/>
      <c r="J889" s="7">
        <f t="shared" si="236"/>
        <v>0.61599999999999999</v>
      </c>
      <c r="K889" s="7">
        <f t="shared" si="237"/>
        <v>46.23</v>
      </c>
      <c r="L889" s="7">
        <f t="shared" si="238"/>
        <v>93.600000000000009</v>
      </c>
      <c r="M889" s="7">
        <f t="shared" si="239"/>
        <v>212</v>
      </c>
      <c r="O889">
        <f t="shared" si="240"/>
        <v>0.4524504716981132</v>
      </c>
      <c r="P889">
        <f t="shared" si="241"/>
        <v>452.45047169811318</v>
      </c>
      <c r="V889">
        <f t="shared" si="242"/>
        <v>959.64491973273539</v>
      </c>
      <c r="W889">
        <f t="shared" si="243"/>
        <v>110.45752217343201</v>
      </c>
      <c r="AE889">
        <f t="shared" si="244"/>
        <v>0.7189423416834384</v>
      </c>
      <c r="AF889">
        <f t="shared" si="245"/>
        <v>0.69678604795385124</v>
      </c>
      <c r="AG889">
        <f t="shared" si="246"/>
        <v>0.69857704109804608</v>
      </c>
      <c r="AI889">
        <f t="shared" si="247"/>
        <v>0.35700591241526991</v>
      </c>
      <c r="AJ889">
        <f t="shared" si="248"/>
        <v>28.469921116156218</v>
      </c>
      <c r="AL889">
        <f t="shared" si="249"/>
        <v>0.36835793055900268</v>
      </c>
      <c r="AM889">
        <f t="shared" si="250"/>
        <v>30.309271328793358</v>
      </c>
      <c r="AO889">
        <f t="shared" si="251"/>
        <v>0.36741354434326912</v>
      </c>
      <c r="AP889">
        <f t="shared" si="252"/>
        <v>30.154058350352656</v>
      </c>
    </row>
    <row r="890" spans="1:42" x14ac:dyDescent="0.2">
      <c r="A890" s="3">
        <v>890</v>
      </c>
      <c r="B890" s="3">
        <v>6.1699999999999998E-7</v>
      </c>
      <c r="C890" s="2">
        <v>4.6280000000000002E-2</v>
      </c>
      <c r="D890" s="3">
        <v>239000</v>
      </c>
      <c r="E890" s="3">
        <v>104000000000</v>
      </c>
      <c r="F890" s="3">
        <v>95200000000</v>
      </c>
      <c r="G890" s="3">
        <v>12800000000</v>
      </c>
      <c r="H890" s="3">
        <v>10600000000</v>
      </c>
      <c r="I890" s="2"/>
      <c r="J890" s="7">
        <f t="shared" si="236"/>
        <v>0.61699999999999999</v>
      </c>
      <c r="K890" s="7">
        <f t="shared" si="237"/>
        <v>46.28</v>
      </c>
      <c r="L890" s="7">
        <f t="shared" si="238"/>
        <v>104</v>
      </c>
      <c r="M890" s="7">
        <f t="shared" si="239"/>
        <v>239</v>
      </c>
      <c r="O890">
        <f t="shared" si="240"/>
        <v>0.47176987447698743</v>
      </c>
      <c r="P890">
        <f t="shared" si="241"/>
        <v>471.76987447698741</v>
      </c>
      <c r="V890">
        <f t="shared" si="242"/>
        <v>977.58704899693316</v>
      </c>
      <c r="W890">
        <f t="shared" si="243"/>
        <v>122.23975360824863</v>
      </c>
      <c r="AE890">
        <f t="shared" si="244"/>
        <v>0.81050575312425366</v>
      </c>
      <c r="AF890">
        <f t="shared" si="245"/>
        <v>0.78552766726872847</v>
      </c>
      <c r="AG890">
        <f t="shared" si="246"/>
        <v>0.78754675859638212</v>
      </c>
      <c r="AI890">
        <f t="shared" si="247"/>
        <v>0.31718878285854868</v>
      </c>
      <c r="AJ890">
        <f t="shared" si="248"/>
        <v>22.424958118589402</v>
      </c>
      <c r="AL890">
        <f t="shared" si="249"/>
        <v>0.32727470214665949</v>
      </c>
      <c r="AM890">
        <f t="shared" si="250"/>
        <v>23.873762676758659</v>
      </c>
      <c r="AO890">
        <f t="shared" si="251"/>
        <v>0.32643564401372721</v>
      </c>
      <c r="AP890">
        <f t="shared" si="252"/>
        <v>23.751505768255353</v>
      </c>
    </row>
    <row r="891" spans="1:42" x14ac:dyDescent="0.2">
      <c r="A891" s="3">
        <v>890</v>
      </c>
      <c r="B891" s="3">
        <v>6.1799999999999995E-7</v>
      </c>
      <c r="C891" s="2">
        <v>4.6339999999999999E-2</v>
      </c>
      <c r="D891" s="3">
        <v>214000</v>
      </c>
      <c r="E891" s="3">
        <v>94300000000</v>
      </c>
      <c r="F891" s="3">
        <v>86700000000</v>
      </c>
      <c r="G891" s="3">
        <v>1630000000</v>
      </c>
      <c r="H891" s="3">
        <v>11000000000</v>
      </c>
      <c r="I891" s="2"/>
      <c r="J891" s="7">
        <f t="shared" si="236"/>
        <v>0.61799999999999999</v>
      </c>
      <c r="K891" s="7">
        <f t="shared" si="237"/>
        <v>46.339999999999996</v>
      </c>
      <c r="L891" s="7">
        <f t="shared" si="238"/>
        <v>94.300000000000011</v>
      </c>
      <c r="M891" s="7">
        <f t="shared" si="239"/>
        <v>214</v>
      </c>
      <c r="O891">
        <f t="shared" si="240"/>
        <v>0.45559345794392525</v>
      </c>
      <c r="P891">
        <f t="shared" si="241"/>
        <v>455.59345794392527</v>
      </c>
      <c r="V891">
        <f t="shared" si="242"/>
        <v>962.59251179075113</v>
      </c>
      <c r="W891">
        <f t="shared" si="243"/>
        <v>111.1581470761116</v>
      </c>
      <c r="AE891">
        <f t="shared" si="244"/>
        <v>0.72572481660498034</v>
      </c>
      <c r="AF891">
        <f t="shared" si="245"/>
        <v>0.70335950123643476</v>
      </c>
      <c r="AG891">
        <f t="shared" si="246"/>
        <v>0.70516739054236721</v>
      </c>
      <c r="AI891">
        <f t="shared" si="247"/>
        <v>0.35481768586144408</v>
      </c>
      <c r="AJ891">
        <f t="shared" si="248"/>
        <v>28.00674098936258</v>
      </c>
      <c r="AL891">
        <f t="shared" si="249"/>
        <v>0.36610012311960111</v>
      </c>
      <c r="AM891">
        <f t="shared" si="250"/>
        <v>29.816166620852091</v>
      </c>
      <c r="AO891">
        <f t="shared" si="251"/>
        <v>0.36516152541022684</v>
      </c>
      <c r="AP891">
        <f t="shared" si="252"/>
        <v>29.663478818604922</v>
      </c>
    </row>
    <row r="892" spans="1:42" x14ac:dyDescent="0.2">
      <c r="A892" s="3">
        <v>890</v>
      </c>
      <c r="B892" s="3">
        <v>6.1900000000000002E-7</v>
      </c>
      <c r="C892" s="2">
        <v>4.6390000000000001E-2</v>
      </c>
      <c r="D892" s="3">
        <v>186000</v>
      </c>
      <c r="E892" s="3">
        <v>83300000000</v>
      </c>
      <c r="F892" s="3">
        <v>77300000000</v>
      </c>
      <c r="G892" s="3">
        <v>12000000000</v>
      </c>
      <c r="H892" s="3">
        <v>11600000000</v>
      </c>
      <c r="I892" s="2"/>
      <c r="J892" s="7">
        <f t="shared" si="236"/>
        <v>0.61899999999999999</v>
      </c>
      <c r="K892" s="7">
        <f t="shared" si="237"/>
        <v>46.39</v>
      </c>
      <c r="L892" s="7">
        <f t="shared" si="238"/>
        <v>83.300000000000011</v>
      </c>
      <c r="M892" s="7">
        <f t="shared" si="239"/>
        <v>186</v>
      </c>
      <c r="O892">
        <f t="shared" si="240"/>
        <v>0.43194354838709675</v>
      </c>
      <c r="P892">
        <f t="shared" si="241"/>
        <v>431.94354838709677</v>
      </c>
      <c r="V892">
        <f t="shared" si="242"/>
        <v>940.12661963322989</v>
      </c>
      <c r="W892">
        <f t="shared" si="243"/>
        <v>98.922845133650128</v>
      </c>
      <c r="AE892">
        <f t="shared" si="244"/>
        <v>0.63077016770339411</v>
      </c>
      <c r="AF892">
        <f t="shared" si="245"/>
        <v>0.61133115528026571</v>
      </c>
      <c r="AG892">
        <f t="shared" si="246"/>
        <v>0.6129024983218706</v>
      </c>
      <c r="AI892">
        <f t="shared" si="247"/>
        <v>0.40889166906185448</v>
      </c>
      <c r="AJ892">
        <f t="shared" si="248"/>
        <v>37.113556723212767</v>
      </c>
      <c r="AL892">
        <f t="shared" si="249"/>
        <v>0.42189354237708426</v>
      </c>
      <c r="AM892">
        <f t="shared" si="250"/>
        <v>39.511344485674215</v>
      </c>
      <c r="AO892">
        <f t="shared" si="251"/>
        <v>0.42081190299084031</v>
      </c>
      <c r="AP892">
        <f t="shared" si="252"/>
        <v>39.309007933492175</v>
      </c>
    </row>
    <row r="893" spans="1:42" x14ac:dyDescent="0.2">
      <c r="A893" s="3">
        <v>890</v>
      </c>
      <c r="B893" s="3">
        <v>6.1900000000000002E-7</v>
      </c>
      <c r="C893" s="2">
        <v>4.6440000000000002E-2</v>
      </c>
      <c r="D893" s="3">
        <v>224000</v>
      </c>
      <c r="E893" s="3">
        <v>98000000000</v>
      </c>
      <c r="F893" s="3">
        <v>89800000000</v>
      </c>
      <c r="G893" s="3">
        <v>9230000000</v>
      </c>
      <c r="H893" s="3">
        <v>10900000000</v>
      </c>
      <c r="I893" s="2"/>
      <c r="J893" s="7">
        <f t="shared" si="236"/>
        <v>0.61899999999999999</v>
      </c>
      <c r="K893" s="7">
        <f t="shared" si="237"/>
        <v>46.440000000000005</v>
      </c>
      <c r="L893" s="7">
        <f t="shared" si="238"/>
        <v>98</v>
      </c>
      <c r="M893" s="7">
        <f t="shared" si="239"/>
        <v>224</v>
      </c>
      <c r="O893">
        <f t="shared" si="240"/>
        <v>0.46350892857142856</v>
      </c>
      <c r="P893">
        <f t="shared" si="241"/>
        <v>463.50892857142856</v>
      </c>
      <c r="V893">
        <f t="shared" si="242"/>
        <v>969.96607622454633</v>
      </c>
      <c r="W893">
        <f t="shared" si="243"/>
        <v>115.46795578247841</v>
      </c>
      <c r="AE893">
        <f t="shared" si="244"/>
        <v>0.75963719121268969</v>
      </c>
      <c r="AF893">
        <f t="shared" si="245"/>
        <v>0.73622676764935224</v>
      </c>
      <c r="AG893">
        <f t="shared" si="246"/>
        <v>0.7381191377639732</v>
      </c>
      <c r="AI893">
        <f t="shared" si="247"/>
        <v>0.33952611806028987</v>
      </c>
      <c r="AJ893">
        <f t="shared" si="248"/>
        <v>25.617117873957451</v>
      </c>
      <c r="AL893">
        <f t="shared" si="249"/>
        <v>0.35032231643811462</v>
      </c>
      <c r="AM893">
        <f t="shared" si="250"/>
        <v>27.272157626838087</v>
      </c>
      <c r="AO893">
        <f t="shared" si="251"/>
        <v>0.34942416944775134</v>
      </c>
      <c r="AP893">
        <f t="shared" si="252"/>
        <v>27.132497627498399</v>
      </c>
    </row>
    <row r="894" spans="1:42" x14ac:dyDescent="0.2">
      <c r="A894" s="3">
        <v>890</v>
      </c>
      <c r="B894" s="3">
        <v>6.1999999999999999E-7</v>
      </c>
      <c r="C894" s="2">
        <v>4.65E-2</v>
      </c>
      <c r="D894" s="3">
        <v>225000</v>
      </c>
      <c r="E894" s="3">
        <v>98400000000</v>
      </c>
      <c r="F894" s="3">
        <v>90200000000</v>
      </c>
      <c r="G894" s="3">
        <v>1310000000</v>
      </c>
      <c r="H894" s="3">
        <v>10800000000</v>
      </c>
      <c r="I894" s="2"/>
      <c r="J894" s="7">
        <f t="shared" si="236"/>
        <v>0.62</v>
      </c>
      <c r="K894" s="7">
        <f t="shared" si="237"/>
        <v>46.5</v>
      </c>
      <c r="L894" s="7">
        <f t="shared" si="238"/>
        <v>98.4</v>
      </c>
      <c r="M894" s="7">
        <f t="shared" si="239"/>
        <v>225</v>
      </c>
      <c r="O894">
        <f t="shared" si="240"/>
        <v>0.46499999999999997</v>
      </c>
      <c r="P894">
        <f t="shared" si="241"/>
        <v>464.99999999999994</v>
      </c>
      <c r="V894">
        <f t="shared" si="242"/>
        <v>971.34719688147436</v>
      </c>
      <c r="W894">
        <f t="shared" si="243"/>
        <v>115.8185254059342</v>
      </c>
      <c r="AE894">
        <f t="shared" si="244"/>
        <v>0.76302842867346055</v>
      </c>
      <c r="AF894">
        <f t="shared" si="245"/>
        <v>0.73951349429064395</v>
      </c>
      <c r="AG894">
        <f t="shared" si="246"/>
        <v>0.74141431248613376</v>
      </c>
      <c r="AI894">
        <f t="shared" si="247"/>
        <v>0.3385631827407149</v>
      </c>
      <c r="AJ894">
        <f t="shared" si="248"/>
        <v>25.422719685937647</v>
      </c>
      <c r="AL894">
        <f t="shared" si="249"/>
        <v>0.3493287618519143</v>
      </c>
      <c r="AM894">
        <f t="shared" si="250"/>
        <v>27.065199995923734</v>
      </c>
      <c r="AO894">
        <f t="shared" si="251"/>
        <v>0.34843316211024017</v>
      </c>
      <c r="AP894">
        <f t="shared" si="252"/>
        <v>26.926599821149164</v>
      </c>
    </row>
    <row r="895" spans="1:42" x14ac:dyDescent="0.2">
      <c r="A895" s="3">
        <v>890</v>
      </c>
      <c r="B895" s="3">
        <v>6.2099999999999996E-7</v>
      </c>
      <c r="C895" s="2">
        <v>4.6550000000000001E-2</v>
      </c>
      <c r="D895" s="3">
        <v>203000</v>
      </c>
      <c r="E895" s="3">
        <v>89700000000</v>
      </c>
      <c r="F895" s="3">
        <v>82800000000</v>
      </c>
      <c r="G895" s="3">
        <v>13300000000</v>
      </c>
      <c r="H895" s="3">
        <v>11200000000</v>
      </c>
      <c r="I895" s="2"/>
      <c r="J895" s="7">
        <f t="shared" si="236"/>
        <v>0.621</v>
      </c>
      <c r="K895" s="7">
        <f t="shared" si="237"/>
        <v>46.550000000000004</v>
      </c>
      <c r="L895" s="7">
        <f t="shared" si="238"/>
        <v>89.7</v>
      </c>
      <c r="M895" s="7">
        <f t="shared" si="239"/>
        <v>203</v>
      </c>
      <c r="O895">
        <f t="shared" si="240"/>
        <v>0.44901724137931032</v>
      </c>
      <c r="P895">
        <f t="shared" si="241"/>
        <v>449.01724137931029</v>
      </c>
      <c r="V895">
        <f t="shared" si="242"/>
        <v>956.4120648973651</v>
      </c>
      <c r="W895">
        <f t="shared" si="243"/>
        <v>106.12580468743063</v>
      </c>
      <c r="AE895">
        <f t="shared" si="244"/>
        <v>0.68842120453650002</v>
      </c>
      <c r="AF895">
        <f t="shared" si="245"/>
        <v>0.66720550818222546</v>
      </c>
      <c r="AG895">
        <f t="shared" si="246"/>
        <v>0.66892046859860066</v>
      </c>
      <c r="AI895">
        <f t="shared" si="247"/>
        <v>0.37586000880697901</v>
      </c>
      <c r="AJ895">
        <f t="shared" si="248"/>
        <v>31.265235316266182</v>
      </c>
      <c r="AL895">
        <f t="shared" si="249"/>
        <v>0.38781154655775246</v>
      </c>
      <c r="AM895">
        <f t="shared" si="250"/>
        <v>33.285181806194807</v>
      </c>
      <c r="AO895">
        <f t="shared" si="251"/>
        <v>0.38681728568133888</v>
      </c>
      <c r="AP895">
        <f t="shared" si="252"/>
        <v>33.114729268750537</v>
      </c>
    </row>
    <row r="896" spans="1:42" x14ac:dyDescent="0.2">
      <c r="A896" s="3">
        <v>890</v>
      </c>
      <c r="B896" s="3">
        <v>6.2099999999999996E-7</v>
      </c>
      <c r="C896" s="2">
        <v>4.6600000000000003E-2</v>
      </c>
      <c r="D896" s="3">
        <v>223000</v>
      </c>
      <c r="E896" s="3">
        <v>97400000000</v>
      </c>
      <c r="F896" s="3">
        <v>89300000000</v>
      </c>
      <c r="G896" s="2">
        <v>0</v>
      </c>
      <c r="H896" s="3">
        <v>10900000000</v>
      </c>
      <c r="I896" s="2"/>
      <c r="J896" s="7">
        <f t="shared" si="236"/>
        <v>0.621</v>
      </c>
      <c r="K896" s="7">
        <f t="shared" si="237"/>
        <v>46.6</v>
      </c>
      <c r="L896" s="7">
        <f t="shared" si="238"/>
        <v>97.4</v>
      </c>
      <c r="M896" s="7">
        <f t="shared" si="239"/>
        <v>223</v>
      </c>
      <c r="O896">
        <f t="shared" si="240"/>
        <v>0.46427354260089682</v>
      </c>
      <c r="P896">
        <f t="shared" si="241"/>
        <v>464.2735426008968</v>
      </c>
      <c r="V896">
        <f t="shared" si="242"/>
        <v>970.67461666817326</v>
      </c>
      <c r="W896">
        <f t="shared" si="243"/>
        <v>114.86856469238082</v>
      </c>
      <c r="AE896">
        <f t="shared" si="244"/>
        <v>0.75624595375191872</v>
      </c>
      <c r="AF896">
        <f t="shared" si="245"/>
        <v>0.73294004100806054</v>
      </c>
      <c r="AG896">
        <f t="shared" si="246"/>
        <v>0.73482396304181263</v>
      </c>
      <c r="AI896">
        <f t="shared" si="247"/>
        <v>0.34215059097675671</v>
      </c>
      <c r="AJ896">
        <f t="shared" si="248"/>
        <v>25.936435082053389</v>
      </c>
      <c r="AL896">
        <f t="shared" si="249"/>
        <v>0.35303024193373872</v>
      </c>
      <c r="AM896">
        <f t="shared" si="250"/>
        <v>27.612104894715841</v>
      </c>
      <c r="AO896">
        <f t="shared" si="251"/>
        <v>0.35212515243637577</v>
      </c>
      <c r="AP896">
        <f t="shared" si="252"/>
        <v>27.470704034390486</v>
      </c>
    </row>
    <row r="897" spans="1:42" x14ac:dyDescent="0.2">
      <c r="A897" s="3">
        <v>900</v>
      </c>
      <c r="B897" s="3">
        <v>6.2200000000000004E-7</v>
      </c>
      <c r="C897" s="2">
        <v>4.6649999999999997E-2</v>
      </c>
      <c r="D897" s="3">
        <v>234000</v>
      </c>
      <c r="E897" s="3">
        <v>102000000000</v>
      </c>
      <c r="F897" s="3">
        <v>93100000000</v>
      </c>
      <c r="G897" s="3">
        <v>15600000000</v>
      </c>
      <c r="H897" s="3">
        <v>10700000000</v>
      </c>
      <c r="I897" s="2"/>
      <c r="J897" s="7">
        <f t="shared" si="236"/>
        <v>0.622</v>
      </c>
      <c r="K897" s="7">
        <f t="shared" si="237"/>
        <v>46.65</v>
      </c>
      <c r="L897" s="7">
        <f t="shared" si="238"/>
        <v>102</v>
      </c>
      <c r="M897" s="7">
        <f t="shared" si="239"/>
        <v>234</v>
      </c>
      <c r="O897">
        <f t="shared" si="240"/>
        <v>0.4724807692307692</v>
      </c>
      <c r="P897">
        <f t="shared" si="241"/>
        <v>472.48076923076923</v>
      </c>
      <c r="V897">
        <f t="shared" si="242"/>
        <v>978.2393855734083</v>
      </c>
      <c r="W897">
        <f t="shared" si="243"/>
        <v>119.60262664278116</v>
      </c>
      <c r="AE897">
        <f t="shared" si="244"/>
        <v>0.79354956582039904</v>
      </c>
      <c r="AF897">
        <f t="shared" si="245"/>
        <v>0.76909403406226973</v>
      </c>
      <c r="AG897">
        <f t="shared" si="246"/>
        <v>0.77107088498557919</v>
      </c>
      <c r="AI897">
        <f t="shared" si="247"/>
        <v>0.32659165580757543</v>
      </c>
      <c r="AJ897">
        <f t="shared" si="248"/>
        <v>23.580555158208288</v>
      </c>
      <c r="AL897">
        <f t="shared" si="249"/>
        <v>0.33697656617849053</v>
      </c>
      <c r="AM897">
        <f t="shared" si="250"/>
        <v>25.104019131550274</v>
      </c>
      <c r="AO897">
        <f t="shared" si="251"/>
        <v>0.33611263466589547</v>
      </c>
      <c r="AP897">
        <f t="shared" si="252"/>
        <v>24.975462112215439</v>
      </c>
    </row>
    <row r="898" spans="1:42" x14ac:dyDescent="0.2">
      <c r="A898" s="3">
        <v>900</v>
      </c>
      <c r="B898" s="3">
        <v>6.2300000000000001E-7</v>
      </c>
      <c r="C898" s="2">
        <v>4.6699999999999998E-2</v>
      </c>
      <c r="D898" s="3">
        <v>203000</v>
      </c>
      <c r="E898" s="3">
        <v>89500000000</v>
      </c>
      <c r="F898" s="3">
        <v>82600000000</v>
      </c>
      <c r="G898" s="3">
        <v>6220000000</v>
      </c>
      <c r="H898" s="3">
        <v>11200000000</v>
      </c>
      <c r="I898" s="2"/>
      <c r="J898" s="7">
        <f t="shared" si="236"/>
        <v>0.623</v>
      </c>
      <c r="K898" s="7">
        <f t="shared" si="237"/>
        <v>46.699999999999996</v>
      </c>
      <c r="L898" s="7">
        <f t="shared" si="238"/>
        <v>89.5</v>
      </c>
      <c r="M898" s="7">
        <f t="shared" si="239"/>
        <v>203</v>
      </c>
      <c r="O898">
        <f t="shared" si="240"/>
        <v>0.45046305418719212</v>
      </c>
      <c r="P898">
        <f t="shared" si="241"/>
        <v>450.46305418719214</v>
      </c>
      <c r="V898">
        <f t="shared" si="242"/>
        <v>957.77516723385156</v>
      </c>
      <c r="W898">
        <f t="shared" si="243"/>
        <v>105.97476680580677</v>
      </c>
      <c r="AE898">
        <f t="shared" si="244"/>
        <v>0.68842120453650002</v>
      </c>
      <c r="AF898">
        <f t="shared" si="245"/>
        <v>0.66720550818222546</v>
      </c>
      <c r="AG898">
        <f t="shared" si="246"/>
        <v>0.66892046859860066</v>
      </c>
      <c r="AI898">
        <f t="shared" si="247"/>
        <v>0.37707050803018988</v>
      </c>
      <c r="AJ898">
        <f t="shared" si="248"/>
        <v>31.365982583665531</v>
      </c>
      <c r="AL898">
        <f t="shared" si="249"/>
        <v>0.38906053704586113</v>
      </c>
      <c r="AM898">
        <f t="shared" si="250"/>
        <v>33.392438031134198</v>
      </c>
      <c r="AO898">
        <f t="shared" si="251"/>
        <v>0.38806307404102114</v>
      </c>
      <c r="AP898">
        <f t="shared" si="252"/>
        <v>33.221436237393121</v>
      </c>
    </row>
    <row r="899" spans="1:42" x14ac:dyDescent="0.2">
      <c r="A899" s="3">
        <v>900</v>
      </c>
      <c r="B899" s="3">
        <v>6.2399999999999998E-7</v>
      </c>
      <c r="C899" s="2">
        <v>4.6760000000000003E-2</v>
      </c>
      <c r="D899" s="3">
        <v>218000</v>
      </c>
      <c r="E899" s="3">
        <v>95400000000</v>
      </c>
      <c r="F899" s="3">
        <v>87600000000</v>
      </c>
      <c r="G899" s="3">
        <v>4610000000</v>
      </c>
      <c r="H899" s="3">
        <v>10900000000</v>
      </c>
      <c r="I899" s="2"/>
      <c r="J899" s="7">
        <f t="shared" si="236"/>
        <v>0.624</v>
      </c>
      <c r="K899" s="7">
        <f t="shared" si="237"/>
        <v>46.760000000000005</v>
      </c>
      <c r="L899" s="7">
        <f t="shared" si="238"/>
        <v>95.4</v>
      </c>
      <c r="M899" s="7">
        <f t="shared" si="239"/>
        <v>218</v>
      </c>
      <c r="O899">
        <f t="shared" si="240"/>
        <v>0.46312844036697243</v>
      </c>
      <c r="P899">
        <f t="shared" si="241"/>
        <v>463.12844036697243</v>
      </c>
      <c r="V899">
        <f t="shared" si="242"/>
        <v>969.61324883948475</v>
      </c>
      <c r="W899">
        <f t="shared" si="243"/>
        <v>112.41595567146017</v>
      </c>
      <c r="AE899">
        <f t="shared" si="244"/>
        <v>0.73928976644806399</v>
      </c>
      <c r="AF899">
        <f t="shared" si="245"/>
        <v>0.71650640780160169</v>
      </c>
      <c r="AG899">
        <f t="shared" si="246"/>
        <v>0.71834808943100958</v>
      </c>
      <c r="AI899">
        <f t="shared" si="247"/>
        <v>0.35168889358387367</v>
      </c>
      <c r="AJ899">
        <f t="shared" si="248"/>
        <v>27.233007616092443</v>
      </c>
      <c r="AL899">
        <f t="shared" si="249"/>
        <v>0.36287184199473788</v>
      </c>
      <c r="AM899">
        <f t="shared" si="250"/>
        <v>28.992444818079722</v>
      </c>
      <c r="AO899">
        <f t="shared" si="251"/>
        <v>0.36194152086621578</v>
      </c>
      <c r="AP899">
        <f t="shared" si="252"/>
        <v>28.843975273441849</v>
      </c>
    </row>
    <row r="900" spans="1:42" x14ac:dyDescent="0.2">
      <c r="A900" s="3">
        <v>900</v>
      </c>
      <c r="B900" s="3">
        <v>6.2500000000000005E-7</v>
      </c>
      <c r="C900" s="2">
        <v>4.6809999999999997E-2</v>
      </c>
      <c r="D900" s="3">
        <v>244000</v>
      </c>
      <c r="E900" s="3">
        <v>106000000000</v>
      </c>
      <c r="F900" s="3">
        <v>96200000000</v>
      </c>
      <c r="G900" s="3">
        <v>10600000000</v>
      </c>
      <c r="H900" s="3">
        <v>10500000000</v>
      </c>
      <c r="I900" s="2"/>
      <c r="J900" s="7">
        <f t="shared" si="236"/>
        <v>0.625</v>
      </c>
      <c r="K900" s="7">
        <f t="shared" si="237"/>
        <v>46.809999999999995</v>
      </c>
      <c r="L900" s="7">
        <f t="shared" si="238"/>
        <v>106</v>
      </c>
      <c r="M900" s="7">
        <f t="shared" si="239"/>
        <v>244</v>
      </c>
      <c r="O900">
        <f t="shared" si="240"/>
        <v>0.48111680327868855</v>
      </c>
      <c r="P900">
        <f t="shared" si="241"/>
        <v>481.11680327868856</v>
      </c>
      <c r="V900">
        <f t="shared" si="242"/>
        <v>986.12078257057101</v>
      </c>
      <c r="W900">
        <f t="shared" si="243"/>
        <v>123.71709648180867</v>
      </c>
      <c r="AE900">
        <f t="shared" si="244"/>
        <v>0.82746194042810839</v>
      </c>
      <c r="AF900">
        <f t="shared" si="245"/>
        <v>0.80196130047518721</v>
      </c>
      <c r="AG900">
        <f t="shared" si="246"/>
        <v>0.80402263220718506</v>
      </c>
      <c r="AI900">
        <f t="shared" si="247"/>
        <v>0.31471739537885396</v>
      </c>
      <c r="AJ900">
        <f t="shared" si="248"/>
        <v>21.761713114663344</v>
      </c>
      <c r="AL900">
        <f t="shared" si="249"/>
        <v>0.32472472987457329</v>
      </c>
      <c r="AM900">
        <f t="shared" si="250"/>
        <v>23.167667542197378</v>
      </c>
      <c r="AO900">
        <f t="shared" si="251"/>
        <v>0.32389220929238849</v>
      </c>
      <c r="AP900">
        <f t="shared" si="252"/>
        <v>23.049026528240294</v>
      </c>
    </row>
    <row r="901" spans="1:42" x14ac:dyDescent="0.2">
      <c r="A901" s="3">
        <v>900</v>
      </c>
      <c r="B901" s="3">
        <v>6.2500000000000005E-7</v>
      </c>
      <c r="C901" s="2">
        <v>4.6859999999999999E-2</v>
      </c>
      <c r="D901" s="3">
        <v>221000</v>
      </c>
      <c r="E901" s="3">
        <v>96600000000</v>
      </c>
      <c r="F901" s="3">
        <v>88600000000</v>
      </c>
      <c r="G901" s="3">
        <v>16100000000</v>
      </c>
      <c r="H901" s="3">
        <v>10900000000</v>
      </c>
      <c r="I901" s="2"/>
      <c r="J901" s="7">
        <f t="shared" ref="J901:J964" si="253">B901*(10^6)</f>
        <v>0.625</v>
      </c>
      <c r="K901" s="7">
        <f t="shared" ref="K901:K964" si="254">C901*1000</f>
        <v>46.86</v>
      </c>
      <c r="L901" s="7">
        <f t="shared" ref="L901:L964" si="255">E901*(10^-9)</f>
        <v>96.600000000000009</v>
      </c>
      <c r="M901" s="7">
        <f t="shared" ref="M901:M964" si="256">D901*(10^-3)</f>
        <v>221</v>
      </c>
      <c r="O901">
        <f t="shared" ref="O901:O964" si="257">J901-(0.75*(K901/M901))</f>
        <v>0.46597285067873306</v>
      </c>
      <c r="P901">
        <f t="shared" ref="P901:P964" si="258">O901*1000</f>
        <v>465.97285067873304</v>
      </c>
      <c r="V901">
        <f t="shared" ref="V901:V964" si="259">$S$3*(P901^$S$4)</f>
        <v>972.24698078420079</v>
      </c>
      <c r="W901">
        <f t="shared" ref="W901:W964" si="260">M901/(2*(V901/1000))</f>
        <v>113.6542485437931</v>
      </c>
      <c r="AE901">
        <f t="shared" si="244"/>
        <v>0.74946347883037678</v>
      </c>
      <c r="AF901">
        <f t="shared" si="245"/>
        <v>0.72636658772547702</v>
      </c>
      <c r="AG901">
        <f t="shared" si="246"/>
        <v>0.72823361359749139</v>
      </c>
      <c r="AI901">
        <f t="shared" si="247"/>
        <v>0.34747078946805598</v>
      </c>
      <c r="AJ901">
        <f t="shared" si="248"/>
        <v>26.55533772940802</v>
      </c>
      <c r="AL901">
        <f t="shared" si="249"/>
        <v>0.35851961126423471</v>
      </c>
      <c r="AM901">
        <f t="shared" si="250"/>
        <v>28.270992855390052</v>
      </c>
      <c r="AO901">
        <f t="shared" si="251"/>
        <v>0.35760044826851939</v>
      </c>
      <c r="AP901">
        <f t="shared" si="252"/>
        <v>28.126217847209894</v>
      </c>
    </row>
    <row r="902" spans="1:42" x14ac:dyDescent="0.2">
      <c r="A902" s="3">
        <v>900</v>
      </c>
      <c r="B902" s="3">
        <v>6.2600000000000002E-7</v>
      </c>
      <c r="C902" s="2">
        <v>4.691E-2</v>
      </c>
      <c r="D902" s="3">
        <v>204000</v>
      </c>
      <c r="E902" s="3">
        <v>89800000000</v>
      </c>
      <c r="F902" s="3">
        <v>82900000000</v>
      </c>
      <c r="G902" s="3">
        <v>5560000000</v>
      </c>
      <c r="H902" s="3">
        <v>11200000000</v>
      </c>
      <c r="I902" s="2"/>
      <c r="J902" s="7">
        <f t="shared" si="253"/>
        <v>0.626</v>
      </c>
      <c r="K902" s="7">
        <f t="shared" si="254"/>
        <v>46.910000000000004</v>
      </c>
      <c r="L902" s="7">
        <f t="shared" si="255"/>
        <v>89.800000000000011</v>
      </c>
      <c r="M902" s="7">
        <f t="shared" si="256"/>
        <v>204</v>
      </c>
      <c r="O902">
        <f t="shared" si="257"/>
        <v>0.45353676470588233</v>
      </c>
      <c r="P902">
        <f t="shared" si="258"/>
        <v>453.53676470588232</v>
      </c>
      <c r="V902">
        <f t="shared" si="259"/>
        <v>960.66496565098385</v>
      </c>
      <c r="W902">
        <f t="shared" si="260"/>
        <v>106.17645448419246</v>
      </c>
      <c r="AE902">
        <f t="shared" si="244"/>
        <v>0.69181244199727088</v>
      </c>
      <c r="AF902">
        <f t="shared" si="245"/>
        <v>0.67049223482351727</v>
      </c>
      <c r="AG902">
        <f t="shared" si="246"/>
        <v>0.67221564332076134</v>
      </c>
      <c r="AI902">
        <f t="shared" si="247"/>
        <v>0.37702897129213858</v>
      </c>
      <c r="AJ902">
        <f t="shared" si="248"/>
        <v>31.198893408531266</v>
      </c>
      <c r="AL902">
        <f t="shared" si="249"/>
        <v>0.38901767952911231</v>
      </c>
      <c r="AM902">
        <f t="shared" si="250"/>
        <v>33.214553760763849</v>
      </c>
      <c r="AO902">
        <f t="shared" si="251"/>
        <v>0.38802032640122813</v>
      </c>
      <c r="AP902">
        <f t="shared" si="252"/>
        <v>33.044462907675957</v>
      </c>
    </row>
    <row r="903" spans="1:42" x14ac:dyDescent="0.2">
      <c r="A903" s="3">
        <v>900</v>
      </c>
      <c r="B903" s="3">
        <v>6.2699999999999999E-7</v>
      </c>
      <c r="C903" s="2">
        <v>4.6960000000000002E-2</v>
      </c>
      <c r="D903" s="3">
        <v>232000</v>
      </c>
      <c r="E903" s="3">
        <v>101000000000</v>
      </c>
      <c r="F903" s="3">
        <v>92000000000</v>
      </c>
      <c r="G903" s="3">
        <v>1960000000</v>
      </c>
      <c r="H903" s="3">
        <v>10700000000</v>
      </c>
      <c r="I903" s="2"/>
      <c r="J903" s="7">
        <f t="shared" si="253"/>
        <v>0.627</v>
      </c>
      <c r="K903" s="7">
        <f t="shared" si="254"/>
        <v>46.96</v>
      </c>
      <c r="L903" s="7">
        <f t="shared" si="255"/>
        <v>101</v>
      </c>
      <c r="M903" s="7">
        <f t="shared" si="256"/>
        <v>232</v>
      </c>
      <c r="O903">
        <f t="shared" si="257"/>
        <v>0.47518965517241379</v>
      </c>
      <c r="P903">
        <f t="shared" si="258"/>
        <v>475.18965517241378</v>
      </c>
      <c r="V903">
        <f t="shared" si="259"/>
        <v>980.72013636139218</v>
      </c>
      <c r="W903">
        <f t="shared" si="260"/>
        <v>118.28043057255466</v>
      </c>
      <c r="AE903">
        <f t="shared" si="244"/>
        <v>0.7867670908988571</v>
      </c>
      <c r="AF903">
        <f t="shared" si="245"/>
        <v>0.76252058077968621</v>
      </c>
      <c r="AG903">
        <f t="shared" si="246"/>
        <v>0.76448053554125794</v>
      </c>
      <c r="AI903">
        <f t="shared" si="247"/>
        <v>0.33205506816703528</v>
      </c>
      <c r="AJ903">
        <f t="shared" si="248"/>
        <v>24.148280435063487</v>
      </c>
      <c r="AL903">
        <f t="shared" si="249"/>
        <v>0.34261370326931878</v>
      </c>
      <c r="AM903">
        <f t="shared" si="250"/>
        <v>25.708423316100461</v>
      </c>
      <c r="AO903">
        <f t="shared" si="251"/>
        <v>0.34173531941533747</v>
      </c>
      <c r="AP903">
        <f t="shared" si="252"/>
        <v>25.57677115889021</v>
      </c>
    </row>
    <row r="904" spans="1:42" x14ac:dyDescent="0.2">
      <c r="A904" s="3">
        <v>900</v>
      </c>
      <c r="B904" s="3">
        <v>6.2699999999999999E-7</v>
      </c>
      <c r="C904" s="2">
        <v>4.7019999999999999E-2</v>
      </c>
      <c r="D904" s="3">
        <v>232000</v>
      </c>
      <c r="E904" s="3">
        <v>101000000000</v>
      </c>
      <c r="F904" s="3">
        <v>92000000000</v>
      </c>
      <c r="G904" s="3">
        <v>4520000000</v>
      </c>
      <c r="H904" s="3">
        <v>10700000000</v>
      </c>
      <c r="I904" s="2"/>
      <c r="J904" s="7">
        <f t="shared" si="253"/>
        <v>0.627</v>
      </c>
      <c r="K904" s="7">
        <f t="shared" si="254"/>
        <v>47.019999999999996</v>
      </c>
      <c r="L904" s="7">
        <f t="shared" si="255"/>
        <v>101</v>
      </c>
      <c r="M904" s="7">
        <f t="shared" si="256"/>
        <v>232</v>
      </c>
      <c r="O904">
        <f t="shared" si="257"/>
        <v>0.47499568965517242</v>
      </c>
      <c r="P904">
        <f t="shared" si="258"/>
        <v>474.99568965517244</v>
      </c>
      <c r="V904">
        <f t="shared" si="259"/>
        <v>980.54276832712435</v>
      </c>
      <c r="W904">
        <f t="shared" si="260"/>
        <v>118.30182603651673</v>
      </c>
      <c r="AE904">
        <f t="shared" si="244"/>
        <v>0.7867670908988571</v>
      </c>
      <c r="AF904">
        <f t="shared" si="245"/>
        <v>0.76252058077968621</v>
      </c>
      <c r="AG904">
        <f t="shared" si="246"/>
        <v>0.76448053554125794</v>
      </c>
      <c r="AI904">
        <f t="shared" si="247"/>
        <v>0.33205506816703528</v>
      </c>
      <c r="AJ904">
        <f t="shared" si="248"/>
        <v>24.179134285704535</v>
      </c>
      <c r="AL904">
        <f t="shared" si="249"/>
        <v>0.34261370326931878</v>
      </c>
      <c r="AM904">
        <f t="shared" si="250"/>
        <v>25.74127053498815</v>
      </c>
      <c r="AO904">
        <f t="shared" si="251"/>
        <v>0.34173531941533747</v>
      </c>
      <c r="AP904">
        <f t="shared" si="252"/>
        <v>25.609450168037004</v>
      </c>
    </row>
    <row r="905" spans="1:42" x14ac:dyDescent="0.2">
      <c r="A905" s="3">
        <v>900</v>
      </c>
      <c r="B905" s="3">
        <v>6.2799999999999996E-7</v>
      </c>
      <c r="C905" s="2">
        <v>4.7070000000000001E-2</v>
      </c>
      <c r="D905" s="3">
        <v>214000</v>
      </c>
      <c r="E905" s="3">
        <v>93300000000</v>
      </c>
      <c r="F905" s="3">
        <v>85900000000</v>
      </c>
      <c r="G905" s="3">
        <v>1110000000</v>
      </c>
      <c r="H905" s="3">
        <v>11000000000</v>
      </c>
      <c r="I905" s="2"/>
      <c r="J905" s="7">
        <f t="shared" si="253"/>
        <v>0.628</v>
      </c>
      <c r="K905" s="7">
        <f t="shared" si="254"/>
        <v>47.07</v>
      </c>
      <c r="L905" s="7">
        <f t="shared" si="255"/>
        <v>93.300000000000011</v>
      </c>
      <c r="M905" s="7">
        <f t="shared" si="256"/>
        <v>214</v>
      </c>
      <c r="O905">
        <f t="shared" si="257"/>
        <v>0.463035046728972</v>
      </c>
      <c r="P905">
        <f t="shared" si="258"/>
        <v>463.03504672897202</v>
      </c>
      <c r="V905">
        <f t="shared" si="259"/>
        <v>969.52662007767151</v>
      </c>
      <c r="W905">
        <f t="shared" si="260"/>
        <v>110.36313782846717</v>
      </c>
      <c r="AE905">
        <f t="shared" si="244"/>
        <v>0.72572481660498034</v>
      </c>
      <c r="AF905">
        <f t="shared" si="245"/>
        <v>0.70335950123643476</v>
      </c>
      <c r="AG905">
        <f t="shared" si="246"/>
        <v>0.70516739054236721</v>
      </c>
      <c r="AI905">
        <f t="shared" si="247"/>
        <v>0.36055907236405643</v>
      </c>
      <c r="AJ905">
        <f t="shared" si="248"/>
        <v>28.447934794330962</v>
      </c>
      <c r="AL905">
        <f t="shared" si="249"/>
        <v>0.37202407333189241</v>
      </c>
      <c r="AM905">
        <f t="shared" si="250"/>
        <v>30.285864541292792</v>
      </c>
      <c r="AO905">
        <f t="shared" si="251"/>
        <v>0.37107028795731795</v>
      </c>
      <c r="AP905">
        <f t="shared" si="252"/>
        <v>30.13077142839305</v>
      </c>
    </row>
    <row r="906" spans="1:42" x14ac:dyDescent="0.2">
      <c r="A906" s="3">
        <v>900</v>
      </c>
      <c r="B906" s="3">
        <v>6.2900000000000003E-7</v>
      </c>
      <c r="C906" s="2">
        <v>4.7120000000000002E-2</v>
      </c>
      <c r="D906" s="3">
        <v>246000</v>
      </c>
      <c r="E906" s="3">
        <v>106000000000</v>
      </c>
      <c r="F906" s="3">
        <v>96400000000</v>
      </c>
      <c r="G906" s="3">
        <v>8580000000</v>
      </c>
      <c r="H906" s="3">
        <v>10500000000</v>
      </c>
      <c r="I906" s="2"/>
      <c r="J906" s="7">
        <f t="shared" si="253"/>
        <v>0.629</v>
      </c>
      <c r="K906" s="7">
        <f t="shared" si="254"/>
        <v>47.120000000000005</v>
      </c>
      <c r="L906" s="7">
        <f t="shared" si="255"/>
        <v>106</v>
      </c>
      <c r="M906" s="7">
        <f t="shared" si="256"/>
        <v>246</v>
      </c>
      <c r="O906">
        <f t="shared" si="257"/>
        <v>0.48534146341463413</v>
      </c>
      <c r="P906">
        <f t="shared" si="258"/>
        <v>485.34146341463412</v>
      </c>
      <c r="V906">
        <f t="shared" si="259"/>
        <v>989.94758634805896</v>
      </c>
      <c r="W906">
        <f t="shared" si="260"/>
        <v>124.24900236764051</v>
      </c>
      <c r="AE906">
        <f t="shared" si="244"/>
        <v>0.83424441534965021</v>
      </c>
      <c r="AF906">
        <f t="shared" si="245"/>
        <v>0.80853475375777073</v>
      </c>
      <c r="AG906">
        <f t="shared" si="246"/>
        <v>0.8106129816515063</v>
      </c>
      <c r="AI906">
        <f t="shared" si="247"/>
        <v>0.31415653315879671</v>
      </c>
      <c r="AJ906">
        <f t="shared" si="248"/>
        <v>21.55108599194595</v>
      </c>
      <c r="AL906">
        <f t="shared" si="249"/>
        <v>0.32414603344539844</v>
      </c>
      <c r="AM906">
        <f t="shared" si="250"/>
        <v>22.943432477210777</v>
      </c>
      <c r="AO906">
        <f t="shared" si="251"/>
        <v>0.32331499650964951</v>
      </c>
      <c r="AP906">
        <f t="shared" si="252"/>
        <v>22.825939765102653</v>
      </c>
    </row>
    <row r="907" spans="1:42" x14ac:dyDescent="0.2">
      <c r="A907" s="3">
        <v>910</v>
      </c>
      <c r="B907" s="3">
        <v>6.3E-7</v>
      </c>
      <c r="C907" s="2">
        <v>4.7169999999999997E-2</v>
      </c>
      <c r="D907" s="3">
        <v>226000</v>
      </c>
      <c r="E907" s="3">
        <v>97800000000</v>
      </c>
      <c r="F907" s="3">
        <v>89600000000</v>
      </c>
      <c r="G907" s="3">
        <v>16800000000</v>
      </c>
      <c r="H907" s="3">
        <v>10800000000</v>
      </c>
      <c r="I907" s="2"/>
      <c r="J907" s="7">
        <f t="shared" si="253"/>
        <v>0.63</v>
      </c>
      <c r="K907" s="7">
        <f t="shared" si="254"/>
        <v>47.169999999999995</v>
      </c>
      <c r="L907" s="7">
        <f t="shared" si="255"/>
        <v>97.800000000000011</v>
      </c>
      <c r="M907" s="7">
        <f t="shared" si="256"/>
        <v>226</v>
      </c>
      <c r="O907">
        <f t="shared" si="257"/>
        <v>0.47346238938053098</v>
      </c>
      <c r="P907">
        <f t="shared" si="258"/>
        <v>473.46238938053096</v>
      </c>
      <c r="V907">
        <f t="shared" si="259"/>
        <v>979.13924925825393</v>
      </c>
      <c r="W907">
        <f t="shared" si="260"/>
        <v>115.40748681620418</v>
      </c>
      <c r="AE907">
        <f t="shared" si="244"/>
        <v>0.76641966613423151</v>
      </c>
      <c r="AF907">
        <f t="shared" si="245"/>
        <v>0.74280022093193576</v>
      </c>
      <c r="AG907">
        <f t="shared" si="246"/>
        <v>0.74470948720829444</v>
      </c>
      <c r="AI907">
        <f t="shared" si="247"/>
        <v>0.34250164968238889</v>
      </c>
      <c r="AJ907">
        <f t="shared" si="248"/>
        <v>25.561308989271296</v>
      </c>
      <c r="AL907">
        <f t="shared" si="249"/>
        <v>0.35339246354916393</v>
      </c>
      <c r="AM907">
        <f t="shared" si="250"/>
        <v>27.212743109263251</v>
      </c>
      <c r="AO907">
        <f t="shared" si="251"/>
        <v>0.35248644539770585</v>
      </c>
      <c r="AP907">
        <f t="shared" si="252"/>
        <v>27.07338737009977</v>
      </c>
    </row>
    <row r="908" spans="1:42" x14ac:dyDescent="0.2">
      <c r="A908" s="3">
        <v>910</v>
      </c>
      <c r="B908" s="3">
        <v>6.3099999999999997E-7</v>
      </c>
      <c r="C908" s="2">
        <v>4.7230000000000001E-2</v>
      </c>
      <c r="D908" s="3">
        <v>225000</v>
      </c>
      <c r="E908" s="3">
        <v>97400000000</v>
      </c>
      <c r="F908" s="3">
        <v>89300000000</v>
      </c>
      <c r="G908" s="2">
        <v>0</v>
      </c>
      <c r="H908" s="3">
        <v>10800000000</v>
      </c>
      <c r="I908" s="2"/>
      <c r="J908" s="7">
        <f t="shared" si="253"/>
        <v>0.63100000000000001</v>
      </c>
      <c r="K908" s="7">
        <f t="shared" si="254"/>
        <v>47.230000000000004</v>
      </c>
      <c r="L908" s="7">
        <f t="shared" si="255"/>
        <v>97.4</v>
      </c>
      <c r="M908" s="7">
        <f t="shared" si="256"/>
        <v>225</v>
      </c>
      <c r="O908">
        <f t="shared" si="257"/>
        <v>0.47356666666666669</v>
      </c>
      <c r="P908">
        <f t="shared" si="258"/>
        <v>473.56666666666672</v>
      </c>
      <c r="V908">
        <f t="shared" si="259"/>
        <v>979.23478049308642</v>
      </c>
      <c r="W908">
        <f t="shared" si="260"/>
        <v>114.88562522600704</v>
      </c>
      <c r="AE908">
        <f t="shared" si="244"/>
        <v>0.76302842867346055</v>
      </c>
      <c r="AF908">
        <f t="shared" si="245"/>
        <v>0.73951349429064395</v>
      </c>
      <c r="AG908">
        <f t="shared" si="246"/>
        <v>0.74141431248613376</v>
      </c>
      <c r="AI908">
        <f t="shared" si="247"/>
        <v>0.3445699488861147</v>
      </c>
      <c r="AJ908">
        <f t="shared" si="248"/>
        <v>25.821829048749141</v>
      </c>
      <c r="AL908">
        <f t="shared" si="249"/>
        <v>0.35552653020735148</v>
      </c>
      <c r="AM908">
        <f t="shared" si="250"/>
        <v>27.490094533494151</v>
      </c>
      <c r="AO908">
        <f t="shared" si="251"/>
        <v>0.35461504079284123</v>
      </c>
      <c r="AP908">
        <f t="shared" si="252"/>
        <v>27.349318485008066</v>
      </c>
    </row>
    <row r="909" spans="1:42" x14ac:dyDescent="0.2">
      <c r="A909" s="3">
        <v>910</v>
      </c>
      <c r="B909" s="3">
        <v>6.3200000000000005E-7</v>
      </c>
      <c r="C909" s="2">
        <v>4.7280000000000003E-2</v>
      </c>
      <c r="D909" s="3">
        <v>222000</v>
      </c>
      <c r="E909" s="3">
        <v>96100000000</v>
      </c>
      <c r="F909" s="3">
        <v>88300000000</v>
      </c>
      <c r="G909" s="2">
        <v>0</v>
      </c>
      <c r="H909" s="3">
        <v>10900000000</v>
      </c>
      <c r="I909" s="2"/>
      <c r="J909" s="7">
        <f t="shared" si="253"/>
        <v>0.63200000000000001</v>
      </c>
      <c r="K909" s="7">
        <f t="shared" si="254"/>
        <v>47.28</v>
      </c>
      <c r="L909" s="7">
        <f t="shared" si="255"/>
        <v>96.100000000000009</v>
      </c>
      <c r="M909" s="7">
        <f t="shared" si="256"/>
        <v>222</v>
      </c>
      <c r="O909">
        <f t="shared" si="257"/>
        <v>0.47227027027027024</v>
      </c>
      <c r="P909">
        <f t="shared" si="258"/>
        <v>472.27027027027026</v>
      </c>
      <c r="V909">
        <f t="shared" si="259"/>
        <v>978.04628294332815</v>
      </c>
      <c r="W909">
        <f t="shared" si="260"/>
        <v>113.49156163239749</v>
      </c>
      <c r="AE909">
        <f t="shared" si="244"/>
        <v>0.75285471629114775</v>
      </c>
      <c r="AF909">
        <f t="shared" si="245"/>
        <v>0.72965331436676872</v>
      </c>
      <c r="AG909">
        <f t="shared" si="246"/>
        <v>0.73152878831965207</v>
      </c>
      <c r="AI909">
        <f t="shared" si="247"/>
        <v>0.34977974851590854</v>
      </c>
      <c r="AJ909">
        <f t="shared" si="248"/>
        <v>26.552511842389926</v>
      </c>
      <c r="AL909">
        <f t="shared" si="249"/>
        <v>0.36090199023061764</v>
      </c>
      <c r="AM909">
        <f t="shared" si="250"/>
        <v>28.267984396883044</v>
      </c>
      <c r="AO909">
        <f t="shared" si="251"/>
        <v>0.35997671935539199</v>
      </c>
      <c r="AP909">
        <f t="shared" si="252"/>
        <v>28.123224794939475</v>
      </c>
    </row>
    <row r="910" spans="1:42" x14ac:dyDescent="0.2">
      <c r="A910" s="3">
        <v>910</v>
      </c>
      <c r="B910" s="3">
        <v>6.3300000000000002E-7</v>
      </c>
      <c r="C910" s="2">
        <v>4.7329999999999997E-2</v>
      </c>
      <c r="D910" s="3">
        <v>195000</v>
      </c>
      <c r="E910" s="3">
        <v>85500000000</v>
      </c>
      <c r="F910" s="3">
        <v>79200000000</v>
      </c>
      <c r="G910" s="3">
        <v>9390000000</v>
      </c>
      <c r="H910" s="3">
        <v>11400000000</v>
      </c>
      <c r="I910" s="2"/>
      <c r="J910" s="7">
        <f t="shared" si="253"/>
        <v>0.63300000000000001</v>
      </c>
      <c r="K910" s="7">
        <f t="shared" si="254"/>
        <v>47.33</v>
      </c>
      <c r="L910" s="7">
        <f t="shared" si="255"/>
        <v>85.5</v>
      </c>
      <c r="M910" s="7">
        <f t="shared" si="256"/>
        <v>195</v>
      </c>
      <c r="O910">
        <f t="shared" si="257"/>
        <v>0.45096153846153847</v>
      </c>
      <c r="P910">
        <f t="shared" si="258"/>
        <v>450.96153846153845</v>
      </c>
      <c r="V910">
        <f t="shared" si="259"/>
        <v>958.24456974291661</v>
      </c>
      <c r="W910">
        <f t="shared" si="260"/>
        <v>101.74855467864312</v>
      </c>
      <c r="AE910">
        <f t="shared" si="244"/>
        <v>0.6612913048503325</v>
      </c>
      <c r="AF910">
        <f t="shared" si="245"/>
        <v>0.64091169505189149</v>
      </c>
      <c r="AG910">
        <f t="shared" si="246"/>
        <v>0.64255907082131591</v>
      </c>
      <c r="AI910">
        <f t="shared" si="247"/>
        <v>0.39884087098301335</v>
      </c>
      <c r="AJ910">
        <f t="shared" si="248"/>
        <v>34.450963620980012</v>
      </c>
      <c r="AL910">
        <f t="shared" si="249"/>
        <v>0.41152315059353922</v>
      </c>
      <c r="AM910">
        <f t="shared" si="250"/>
        <v>36.676729790238689</v>
      </c>
      <c r="AO910">
        <f t="shared" si="251"/>
        <v>0.41046809854053734</v>
      </c>
      <c r="AP910">
        <f t="shared" si="252"/>
        <v>36.488909225090381</v>
      </c>
    </row>
    <row r="911" spans="1:42" x14ac:dyDescent="0.2">
      <c r="A911" s="3">
        <v>910</v>
      </c>
      <c r="B911" s="3">
        <v>6.3399999999999999E-7</v>
      </c>
      <c r="C911" s="2">
        <v>4.7379999999999999E-2</v>
      </c>
      <c r="D911" s="3">
        <v>230000</v>
      </c>
      <c r="E911" s="3">
        <v>99200000000</v>
      </c>
      <c r="F911" s="3">
        <v>90800000000</v>
      </c>
      <c r="G911" s="3">
        <v>3550000000</v>
      </c>
      <c r="H911" s="3">
        <v>10700000000</v>
      </c>
      <c r="I911" s="2"/>
      <c r="J911" s="7">
        <f t="shared" si="253"/>
        <v>0.63400000000000001</v>
      </c>
      <c r="K911" s="7">
        <f t="shared" si="254"/>
        <v>47.379999999999995</v>
      </c>
      <c r="L911" s="7">
        <f t="shared" si="255"/>
        <v>99.2</v>
      </c>
      <c r="M911" s="7">
        <f t="shared" si="256"/>
        <v>230</v>
      </c>
      <c r="O911">
        <f t="shared" si="257"/>
        <v>0.47950000000000004</v>
      </c>
      <c r="P911">
        <f t="shared" si="258"/>
        <v>479.50000000000006</v>
      </c>
      <c r="V911">
        <f t="shared" si="259"/>
        <v>984.65129111893054</v>
      </c>
      <c r="W911">
        <f t="shared" si="260"/>
        <v>116.79261586029828</v>
      </c>
      <c r="AE911">
        <f t="shared" si="244"/>
        <v>0.77998461597731528</v>
      </c>
      <c r="AF911">
        <f t="shared" si="245"/>
        <v>0.7559471274971028</v>
      </c>
      <c r="AG911">
        <f t="shared" si="246"/>
        <v>0.75789018609693681</v>
      </c>
      <c r="AI911">
        <f t="shared" si="247"/>
        <v>0.33868189353410222</v>
      </c>
      <c r="AJ911">
        <f t="shared" si="248"/>
        <v>24.789825892914646</v>
      </c>
      <c r="AL911">
        <f t="shared" si="249"/>
        <v>0.34945124739253558</v>
      </c>
      <c r="AM911">
        <f t="shared" si="250"/>
        <v>26.391416966572187</v>
      </c>
      <c r="AO911">
        <f t="shared" si="251"/>
        <v>0.34855533362570662</v>
      </c>
      <c r="AP911">
        <f t="shared" si="252"/>
        <v>26.256267216905961</v>
      </c>
    </row>
    <row r="912" spans="1:42" x14ac:dyDescent="0.2">
      <c r="A912" s="3">
        <v>910</v>
      </c>
      <c r="B912" s="3">
        <v>6.3499999999999996E-7</v>
      </c>
      <c r="C912" s="2">
        <v>4.743E-2</v>
      </c>
      <c r="D912" s="3">
        <v>227000</v>
      </c>
      <c r="E912" s="3">
        <v>98100000000</v>
      </c>
      <c r="F912" s="3">
        <v>89900000000</v>
      </c>
      <c r="G912" s="3">
        <v>13300000000</v>
      </c>
      <c r="H912" s="3">
        <v>10800000000</v>
      </c>
      <c r="I912" s="2"/>
      <c r="J912" s="7">
        <f t="shared" si="253"/>
        <v>0.63500000000000001</v>
      </c>
      <c r="K912" s="7">
        <f t="shared" si="254"/>
        <v>47.43</v>
      </c>
      <c r="L912" s="7">
        <f t="shared" si="255"/>
        <v>98.100000000000009</v>
      </c>
      <c r="M912" s="7">
        <f t="shared" si="256"/>
        <v>227</v>
      </c>
      <c r="O912">
        <f t="shared" si="257"/>
        <v>0.47829295154185025</v>
      </c>
      <c r="P912">
        <f t="shared" si="258"/>
        <v>478.29295154185024</v>
      </c>
      <c r="V912">
        <f t="shared" si="259"/>
        <v>983.55242031961609</v>
      </c>
      <c r="W912">
        <f t="shared" si="260"/>
        <v>115.39801809761897</v>
      </c>
      <c r="AE912">
        <f t="shared" ref="AE912:AE975" si="261">M912/(2*$Y$5)</f>
        <v>0.76981090359500248</v>
      </c>
      <c r="AF912">
        <f t="shared" ref="AF912:AF975" si="262">M912/(2*$Y$8)</f>
        <v>0.74608694757322747</v>
      </c>
      <c r="AG912">
        <f t="shared" ref="AG912:AG975" si="263">M912/(2*$Y$11)</f>
        <v>0.74800466193045501</v>
      </c>
      <c r="AI912">
        <f t="shared" ref="AI912:AI975" si="264">J912/(2.4*AE912)</f>
        <v>0.34369912415858772</v>
      </c>
      <c r="AJ912">
        <f t="shared" ref="AJ912:AJ975" si="265">K912/(3.14159*(AE912^2))</f>
        <v>25.47625002974257</v>
      </c>
      <c r="AL912">
        <f t="shared" ref="AL912:AL975" si="266">J912/(2.4*AF912)</f>
        <v>0.35462801513139303</v>
      </c>
      <c r="AM912">
        <f t="shared" ref="AM912:AM975" si="267">K912/(3.14159*(AF912^2))</f>
        <v>27.122188763405298</v>
      </c>
      <c r="AO912">
        <f t="shared" ref="AO912:AO975" si="268">J912/(2.4*AG912)</f>
        <v>0.35371882930581616</v>
      </c>
      <c r="AP912">
        <f t="shared" ref="AP912:AP975" si="269">K912/(3.14159*(AG912^2))</f>
        <v>26.983296750656713</v>
      </c>
    </row>
    <row r="913" spans="1:42" x14ac:dyDescent="0.2">
      <c r="A913" s="3">
        <v>910</v>
      </c>
      <c r="B913" s="3">
        <v>6.3499999999999996E-7</v>
      </c>
      <c r="C913" s="2">
        <v>4.7480000000000001E-2</v>
      </c>
      <c r="D913" s="3">
        <v>219000</v>
      </c>
      <c r="E913" s="3">
        <v>94600000000</v>
      </c>
      <c r="F913" s="3">
        <v>87000000000</v>
      </c>
      <c r="G913" s="3">
        <v>4150000000</v>
      </c>
      <c r="H913" s="3">
        <v>10900000000</v>
      </c>
      <c r="I913" s="2"/>
      <c r="J913" s="7">
        <f t="shared" si="253"/>
        <v>0.63500000000000001</v>
      </c>
      <c r="K913" s="7">
        <f t="shared" si="254"/>
        <v>47.480000000000004</v>
      </c>
      <c r="L913" s="7">
        <f t="shared" si="255"/>
        <v>94.600000000000009</v>
      </c>
      <c r="M913" s="7">
        <f t="shared" si="256"/>
        <v>219</v>
      </c>
      <c r="O913">
        <f t="shared" si="257"/>
        <v>0.47239726027397261</v>
      </c>
      <c r="P913">
        <f t="shared" si="258"/>
        <v>472.39726027397262</v>
      </c>
      <c r="V913">
        <f t="shared" si="259"/>
        <v>978.16278380830033</v>
      </c>
      <c r="W913">
        <f t="shared" si="260"/>
        <v>111.94455750369228</v>
      </c>
      <c r="AE913">
        <f t="shared" si="261"/>
        <v>0.74268100390883496</v>
      </c>
      <c r="AF913">
        <f t="shared" si="262"/>
        <v>0.7197931344428935</v>
      </c>
      <c r="AG913">
        <f t="shared" si="263"/>
        <v>0.72164326415317026</v>
      </c>
      <c r="AI913">
        <f t="shared" si="264"/>
        <v>0.35625434330593336</v>
      </c>
      <c r="AJ913">
        <f t="shared" si="265"/>
        <v>27.400379179542231</v>
      </c>
      <c r="AL913">
        <f t="shared" si="266"/>
        <v>0.36758246317272247</v>
      </c>
      <c r="AM913">
        <f t="shared" si="267"/>
        <v>29.170629720968172</v>
      </c>
      <c r="AO913">
        <f t="shared" si="268"/>
        <v>0.36664006507954461</v>
      </c>
      <c r="AP913">
        <f t="shared" si="269"/>
        <v>29.02124769614591</v>
      </c>
    </row>
    <row r="914" spans="1:42" x14ac:dyDescent="0.2">
      <c r="A914" s="3">
        <v>910</v>
      </c>
      <c r="B914" s="3">
        <v>6.3600000000000003E-7</v>
      </c>
      <c r="C914" s="2">
        <v>4.7539999999999999E-2</v>
      </c>
      <c r="D914" s="3">
        <v>227000</v>
      </c>
      <c r="E914" s="3">
        <v>97800000000</v>
      </c>
      <c r="F914" s="3">
        <v>89600000000</v>
      </c>
      <c r="G914" s="3">
        <v>4680000000</v>
      </c>
      <c r="H914" s="3">
        <v>10800000000</v>
      </c>
      <c r="I914" s="2"/>
      <c r="J914" s="7">
        <f t="shared" si="253"/>
        <v>0.63600000000000001</v>
      </c>
      <c r="K914" s="7">
        <f t="shared" si="254"/>
        <v>47.54</v>
      </c>
      <c r="L914" s="7">
        <f t="shared" si="255"/>
        <v>97.800000000000011</v>
      </c>
      <c r="M914" s="7">
        <f t="shared" si="256"/>
        <v>227</v>
      </c>
      <c r="O914">
        <f t="shared" si="257"/>
        <v>0.47892951541850221</v>
      </c>
      <c r="P914">
        <f t="shared" si="258"/>
        <v>478.92951541850221</v>
      </c>
      <c r="V914">
        <f t="shared" si="259"/>
        <v>984.13212654690062</v>
      </c>
      <c r="W914">
        <f t="shared" si="260"/>
        <v>115.33004252004871</v>
      </c>
      <c r="AE914">
        <f t="shared" si="261"/>
        <v>0.76981090359500248</v>
      </c>
      <c r="AF914">
        <f t="shared" si="262"/>
        <v>0.74608694757322747</v>
      </c>
      <c r="AG914">
        <f t="shared" si="263"/>
        <v>0.74800466193045501</v>
      </c>
      <c r="AI914">
        <f t="shared" si="264"/>
        <v>0.34424038262182954</v>
      </c>
      <c r="AJ914">
        <f t="shared" si="265"/>
        <v>25.535334733585529</v>
      </c>
      <c r="AL914">
        <f t="shared" si="266"/>
        <v>0.35518648444656059</v>
      </c>
      <c r="AM914">
        <f t="shared" si="267"/>
        <v>27.185090740297024</v>
      </c>
      <c r="AO914">
        <f t="shared" si="268"/>
        <v>0.35427586683228202</v>
      </c>
      <c r="AP914">
        <f t="shared" si="269"/>
        <v>27.045876608185115</v>
      </c>
    </row>
    <row r="915" spans="1:42" x14ac:dyDescent="0.2">
      <c r="A915" s="3">
        <v>910</v>
      </c>
      <c r="B915" s="3">
        <v>6.37E-7</v>
      </c>
      <c r="C915" s="2">
        <v>4.759E-2</v>
      </c>
      <c r="D915" s="3">
        <v>212000</v>
      </c>
      <c r="E915" s="3">
        <v>91900000000</v>
      </c>
      <c r="F915" s="3">
        <v>84700000000</v>
      </c>
      <c r="G915" s="2">
        <v>0</v>
      </c>
      <c r="H915" s="3">
        <v>11000000000</v>
      </c>
      <c r="I915" s="2"/>
      <c r="J915" s="7">
        <f t="shared" si="253"/>
        <v>0.63700000000000001</v>
      </c>
      <c r="K915" s="7">
        <f t="shared" si="254"/>
        <v>47.59</v>
      </c>
      <c r="L915" s="7">
        <f t="shared" si="255"/>
        <v>91.9</v>
      </c>
      <c r="M915" s="7">
        <f t="shared" si="256"/>
        <v>212</v>
      </c>
      <c r="O915">
        <f t="shared" si="257"/>
        <v>0.46863915094339625</v>
      </c>
      <c r="P915">
        <f t="shared" si="258"/>
        <v>468.63915094339626</v>
      </c>
      <c r="V915">
        <f t="shared" si="259"/>
        <v>974.7076759671944</v>
      </c>
      <c r="W915">
        <f t="shared" si="260"/>
        <v>108.75055425701564</v>
      </c>
      <c r="AE915">
        <f t="shared" si="261"/>
        <v>0.7189423416834384</v>
      </c>
      <c r="AF915">
        <f t="shared" si="262"/>
        <v>0.69678604795385124</v>
      </c>
      <c r="AG915">
        <f t="shared" si="263"/>
        <v>0.69857704109804608</v>
      </c>
      <c r="AI915">
        <f t="shared" si="264"/>
        <v>0.36917656852033592</v>
      </c>
      <c r="AJ915">
        <f t="shared" si="265"/>
        <v>29.307452864327807</v>
      </c>
      <c r="AL915">
        <f t="shared" si="266"/>
        <v>0.38091558728260511</v>
      </c>
      <c r="AM915">
        <f t="shared" si="267"/>
        <v>31.200913314671773</v>
      </c>
      <c r="AO915">
        <f t="shared" si="268"/>
        <v>0.37993900608224423</v>
      </c>
      <c r="AP915">
        <f t="shared" si="269"/>
        <v>31.041134261156891</v>
      </c>
    </row>
    <row r="916" spans="1:42" x14ac:dyDescent="0.2">
      <c r="A916" s="3">
        <v>910</v>
      </c>
      <c r="B916" s="3">
        <v>6.3799999999999997E-7</v>
      </c>
      <c r="C916" s="2">
        <v>4.7640000000000002E-2</v>
      </c>
      <c r="D916" s="3">
        <v>211000</v>
      </c>
      <c r="E916" s="3">
        <v>91400000000</v>
      </c>
      <c r="F916" s="3">
        <v>84200000000</v>
      </c>
      <c r="G916" s="2">
        <v>0</v>
      </c>
      <c r="H916" s="3">
        <v>11000000000</v>
      </c>
      <c r="I916" s="2"/>
      <c r="J916" s="7">
        <f t="shared" si="253"/>
        <v>0.63800000000000001</v>
      </c>
      <c r="K916" s="7">
        <f t="shared" si="254"/>
        <v>47.64</v>
      </c>
      <c r="L916" s="7">
        <f t="shared" si="255"/>
        <v>91.4</v>
      </c>
      <c r="M916" s="7">
        <f t="shared" si="256"/>
        <v>211</v>
      </c>
      <c r="O916">
        <f t="shared" si="257"/>
        <v>0.46866350710900473</v>
      </c>
      <c r="P916">
        <f t="shared" si="258"/>
        <v>468.66350710900474</v>
      </c>
      <c r="V916">
        <f t="shared" si="259"/>
        <v>974.7301179788758</v>
      </c>
      <c r="W916">
        <f t="shared" si="260"/>
        <v>108.23508790182514</v>
      </c>
      <c r="AE916">
        <f t="shared" si="261"/>
        <v>0.71555110422266743</v>
      </c>
      <c r="AF916">
        <f t="shared" si="262"/>
        <v>0.69349932131255942</v>
      </c>
      <c r="AG916">
        <f t="shared" si="263"/>
        <v>0.69528186637588552</v>
      </c>
      <c r="AI916">
        <f t="shared" si="264"/>
        <v>0.37150852226287739</v>
      </c>
      <c r="AJ916">
        <f t="shared" si="265"/>
        <v>29.616991073465758</v>
      </c>
      <c r="AL916">
        <f t="shared" si="266"/>
        <v>0.38332169212538064</v>
      </c>
      <c r="AM916">
        <f t="shared" si="267"/>
        <v>31.530449793860221</v>
      </c>
      <c r="AO916">
        <f t="shared" si="268"/>
        <v>0.38233894221774178</v>
      </c>
      <c r="AP916">
        <f t="shared" si="269"/>
        <v>31.368983192733747</v>
      </c>
    </row>
    <row r="917" spans="1:42" x14ac:dyDescent="0.2">
      <c r="A917" s="3">
        <v>920</v>
      </c>
      <c r="B917" s="3">
        <v>6.3900000000000004E-7</v>
      </c>
      <c r="C917" s="2">
        <v>4.7699999999999999E-2</v>
      </c>
      <c r="D917" s="3">
        <v>210000</v>
      </c>
      <c r="E917" s="3">
        <v>91000000000</v>
      </c>
      <c r="F917" s="3">
        <v>83900000000</v>
      </c>
      <c r="G917" s="2">
        <v>0</v>
      </c>
      <c r="H917" s="3">
        <v>11000000000</v>
      </c>
      <c r="I917" s="2"/>
      <c r="J917" s="7">
        <f t="shared" si="253"/>
        <v>0.63900000000000001</v>
      </c>
      <c r="K917" s="7">
        <f t="shared" si="254"/>
        <v>47.7</v>
      </c>
      <c r="L917" s="7">
        <f t="shared" si="255"/>
        <v>91</v>
      </c>
      <c r="M917" s="7">
        <f t="shared" si="256"/>
        <v>210</v>
      </c>
      <c r="O917">
        <f t="shared" si="257"/>
        <v>0.46864285714285714</v>
      </c>
      <c r="P917">
        <f t="shared" si="258"/>
        <v>468.64285714285711</v>
      </c>
      <c r="V917">
        <f t="shared" si="259"/>
        <v>974.71109093790733</v>
      </c>
      <c r="W917">
        <f t="shared" si="260"/>
        <v>107.72422821101242</v>
      </c>
      <c r="AE917">
        <f t="shared" si="261"/>
        <v>0.71215986676189658</v>
      </c>
      <c r="AF917">
        <f t="shared" si="262"/>
        <v>0.69021259467126772</v>
      </c>
      <c r="AG917">
        <f t="shared" si="263"/>
        <v>0.69198669165372484</v>
      </c>
      <c r="AI917">
        <f t="shared" si="264"/>
        <v>0.37386268508868103</v>
      </c>
      <c r="AJ917">
        <f t="shared" si="265"/>
        <v>29.937386331942697</v>
      </c>
      <c r="AL917">
        <f t="shared" si="266"/>
        <v>0.38575071225237306</v>
      </c>
      <c r="AM917">
        <f t="shared" si="267"/>
        <v>31.871544761493464</v>
      </c>
      <c r="AO917">
        <f t="shared" si="268"/>
        <v>0.38476173488786319</v>
      </c>
      <c r="AP917">
        <f t="shared" si="269"/>
        <v>31.708331422041194</v>
      </c>
    </row>
    <row r="918" spans="1:42" x14ac:dyDescent="0.2">
      <c r="A918" s="3">
        <v>920</v>
      </c>
      <c r="B918" s="3">
        <v>6.4099999999999998E-7</v>
      </c>
      <c r="C918" s="2">
        <v>4.7739999999999998E-2</v>
      </c>
      <c r="D918" s="3">
        <v>212000</v>
      </c>
      <c r="E918" s="3">
        <v>91700000000</v>
      </c>
      <c r="F918" s="3">
        <v>84500000000</v>
      </c>
      <c r="G918" s="2">
        <v>0</v>
      </c>
      <c r="H918" s="3">
        <v>10900000000</v>
      </c>
      <c r="I918" s="2"/>
      <c r="J918" s="7">
        <f t="shared" si="253"/>
        <v>0.64100000000000001</v>
      </c>
      <c r="K918" s="7">
        <f t="shared" si="254"/>
        <v>47.739999999999995</v>
      </c>
      <c r="L918" s="7">
        <f t="shared" si="255"/>
        <v>91.7</v>
      </c>
      <c r="M918" s="7">
        <f t="shared" si="256"/>
        <v>212</v>
      </c>
      <c r="O918">
        <f t="shared" si="257"/>
        <v>0.47210849056603776</v>
      </c>
      <c r="P918">
        <f t="shared" si="258"/>
        <v>472.10849056603774</v>
      </c>
      <c r="V918">
        <f t="shared" si="259"/>
        <v>977.8978406668391</v>
      </c>
      <c r="W918">
        <f t="shared" si="260"/>
        <v>108.39578081869723</v>
      </c>
      <c r="AE918">
        <f t="shared" si="261"/>
        <v>0.7189423416834384</v>
      </c>
      <c r="AF918">
        <f t="shared" si="262"/>
        <v>0.69678604795385124</v>
      </c>
      <c r="AG918">
        <f t="shared" si="263"/>
        <v>0.69857704109804608</v>
      </c>
      <c r="AI918">
        <f t="shared" si="264"/>
        <v>0.3714947887308247</v>
      </c>
      <c r="AJ918">
        <f t="shared" si="265"/>
        <v>29.399827689493787</v>
      </c>
      <c r="AL918">
        <f t="shared" si="266"/>
        <v>0.38330752189662459</v>
      </c>
      <c r="AM918">
        <f t="shared" si="267"/>
        <v>31.299256180761297</v>
      </c>
      <c r="AO918">
        <f t="shared" si="268"/>
        <v>0.38232480831823945</v>
      </c>
      <c r="AP918">
        <f t="shared" si="269"/>
        <v>31.138973516025001</v>
      </c>
    </row>
    <row r="919" spans="1:42" x14ac:dyDescent="0.2">
      <c r="A919" s="3">
        <v>920</v>
      </c>
      <c r="B919" s="3">
        <v>6.4199999999999995E-7</v>
      </c>
      <c r="C919" s="2">
        <v>4.7800000000000002E-2</v>
      </c>
      <c r="D919" s="3">
        <v>211000</v>
      </c>
      <c r="E919" s="3">
        <v>91100000000</v>
      </c>
      <c r="F919" s="3">
        <v>84000000000</v>
      </c>
      <c r="G919" s="2">
        <v>0</v>
      </c>
      <c r="H919" s="3">
        <v>11000000000</v>
      </c>
      <c r="I919" s="2"/>
      <c r="J919" s="7">
        <f t="shared" si="253"/>
        <v>0.6419999999999999</v>
      </c>
      <c r="K919" s="7">
        <f t="shared" si="254"/>
        <v>47.800000000000004</v>
      </c>
      <c r="L919" s="7">
        <f t="shared" si="255"/>
        <v>91.100000000000009</v>
      </c>
      <c r="M919" s="7">
        <f t="shared" si="256"/>
        <v>211</v>
      </c>
      <c r="O919">
        <f t="shared" si="257"/>
        <v>0.47209478672985772</v>
      </c>
      <c r="P919">
        <f t="shared" si="258"/>
        <v>472.09478672985773</v>
      </c>
      <c r="V919">
        <f t="shared" si="259"/>
        <v>977.88526529956243</v>
      </c>
      <c r="W919">
        <f t="shared" si="260"/>
        <v>107.88586733401841</v>
      </c>
      <c r="AE919">
        <f t="shared" si="261"/>
        <v>0.71555110422266743</v>
      </c>
      <c r="AF919">
        <f t="shared" si="262"/>
        <v>0.69349932131255942</v>
      </c>
      <c r="AG919">
        <f t="shared" si="263"/>
        <v>0.69528186637588552</v>
      </c>
      <c r="AI919">
        <f t="shared" si="264"/>
        <v>0.37383772929900821</v>
      </c>
      <c r="AJ919">
        <f t="shared" si="265"/>
        <v>29.716460396970263</v>
      </c>
      <c r="AL919">
        <f t="shared" si="266"/>
        <v>0.38572496292240493</v>
      </c>
      <c r="AM919">
        <f t="shared" si="267"/>
        <v>31.636345511052028</v>
      </c>
      <c r="AO919">
        <f t="shared" si="268"/>
        <v>0.38473605157333884</v>
      </c>
      <c r="AP919">
        <f t="shared" si="269"/>
        <v>31.474336620753007</v>
      </c>
    </row>
    <row r="920" spans="1:42" x14ac:dyDescent="0.2">
      <c r="A920" s="3">
        <v>920</v>
      </c>
      <c r="B920" s="3">
        <v>6.44E-7</v>
      </c>
      <c r="C920" s="2">
        <v>4.7849999999999997E-2</v>
      </c>
      <c r="D920" s="3">
        <v>230000</v>
      </c>
      <c r="E920" s="3">
        <v>98300000000</v>
      </c>
      <c r="F920" s="3">
        <v>90000000000</v>
      </c>
      <c r="G920" s="3">
        <v>2150000000</v>
      </c>
      <c r="H920" s="3">
        <v>10600000000</v>
      </c>
      <c r="I920" s="2"/>
      <c r="J920" s="7">
        <f t="shared" si="253"/>
        <v>0.64400000000000002</v>
      </c>
      <c r="K920" s="7">
        <f t="shared" si="254"/>
        <v>47.849999999999994</v>
      </c>
      <c r="L920" s="7">
        <f t="shared" si="255"/>
        <v>98.300000000000011</v>
      </c>
      <c r="M920" s="7">
        <f t="shared" si="256"/>
        <v>230</v>
      </c>
      <c r="O920">
        <f t="shared" si="257"/>
        <v>0.48796739130434785</v>
      </c>
      <c r="P920">
        <f t="shared" si="258"/>
        <v>487.96739130434787</v>
      </c>
      <c r="V920">
        <f t="shared" si="259"/>
        <v>992.31687457193448</v>
      </c>
      <c r="W920">
        <f t="shared" si="260"/>
        <v>115.89040048281824</v>
      </c>
      <c r="AE920">
        <f t="shared" si="261"/>
        <v>0.77998461597731528</v>
      </c>
      <c r="AF920">
        <f t="shared" si="262"/>
        <v>0.7559471274971028</v>
      </c>
      <c r="AG920">
        <f t="shared" si="263"/>
        <v>0.75789018609693681</v>
      </c>
      <c r="AI920">
        <f t="shared" si="264"/>
        <v>0.34402387923653283</v>
      </c>
      <c r="AJ920">
        <f t="shared" si="265"/>
        <v>25.035735942928785</v>
      </c>
      <c r="AL920">
        <f t="shared" si="266"/>
        <v>0.35496309672049353</v>
      </c>
      <c r="AM920">
        <f t="shared" si="267"/>
        <v>26.653214475527211</v>
      </c>
      <c r="AO920">
        <f t="shared" si="268"/>
        <v>0.35405305182169566</v>
      </c>
      <c r="AP920">
        <f t="shared" si="269"/>
        <v>26.516724067727949</v>
      </c>
    </row>
    <row r="921" spans="1:42" x14ac:dyDescent="0.2">
      <c r="A921" s="3">
        <v>920</v>
      </c>
      <c r="B921" s="3">
        <v>6.4499999999999997E-7</v>
      </c>
      <c r="C921" s="2">
        <v>4.7899999999999998E-2</v>
      </c>
      <c r="D921" s="3">
        <v>204000</v>
      </c>
      <c r="E921" s="3">
        <v>88200000000</v>
      </c>
      <c r="F921" s="3">
        <v>81500000000</v>
      </c>
      <c r="G921" s="2">
        <v>0</v>
      </c>
      <c r="H921" s="3">
        <v>11100000000</v>
      </c>
      <c r="I921" s="2"/>
      <c r="J921" s="7">
        <f t="shared" si="253"/>
        <v>0.64500000000000002</v>
      </c>
      <c r="K921" s="7">
        <f t="shared" si="254"/>
        <v>47.9</v>
      </c>
      <c r="L921" s="7">
        <f t="shared" si="255"/>
        <v>88.2</v>
      </c>
      <c r="M921" s="7">
        <f t="shared" si="256"/>
        <v>204</v>
      </c>
      <c r="O921">
        <f t="shared" si="257"/>
        <v>0.46889705882352944</v>
      </c>
      <c r="P921">
        <f t="shared" si="258"/>
        <v>468.89705882352945</v>
      </c>
      <c r="V921">
        <f t="shared" si="259"/>
        <v>974.9452818648557</v>
      </c>
      <c r="W921">
        <f t="shared" si="260"/>
        <v>104.62125608208129</v>
      </c>
      <c r="AE921">
        <f t="shared" si="261"/>
        <v>0.69181244199727088</v>
      </c>
      <c r="AF921">
        <f t="shared" si="262"/>
        <v>0.67049223482351727</v>
      </c>
      <c r="AG921">
        <f t="shared" si="263"/>
        <v>0.67221564332076134</v>
      </c>
      <c r="AI921">
        <f t="shared" si="264"/>
        <v>0.38847234262528657</v>
      </c>
      <c r="AJ921">
        <f t="shared" si="265"/>
        <v>31.857322410331435</v>
      </c>
      <c r="AL921">
        <f t="shared" si="266"/>
        <v>0.40082492539341441</v>
      </c>
      <c r="AM921">
        <f t="shared" si="267"/>
        <v>33.915521746761634</v>
      </c>
      <c r="AO921">
        <f t="shared" si="268"/>
        <v>0.3997973011642047</v>
      </c>
      <c r="AP921">
        <f t="shared" si="269"/>
        <v>33.741841255119979</v>
      </c>
    </row>
    <row r="922" spans="1:42" x14ac:dyDescent="0.2">
      <c r="A922" s="3">
        <v>920</v>
      </c>
      <c r="B922" s="3">
        <v>6.4600000000000004E-7</v>
      </c>
      <c r="C922" s="2">
        <v>4.795E-2</v>
      </c>
      <c r="D922" s="3">
        <v>230000</v>
      </c>
      <c r="E922" s="3">
        <v>98000000000</v>
      </c>
      <c r="F922" s="3">
        <v>89800000000</v>
      </c>
      <c r="G922" s="2">
        <v>0</v>
      </c>
      <c r="H922" s="3">
        <v>10600000000</v>
      </c>
      <c r="I922" s="2"/>
      <c r="J922" s="7">
        <f t="shared" si="253"/>
        <v>0.64600000000000002</v>
      </c>
      <c r="K922" s="7">
        <f t="shared" si="254"/>
        <v>47.95</v>
      </c>
      <c r="L922" s="7">
        <f t="shared" si="255"/>
        <v>98</v>
      </c>
      <c r="M922" s="7">
        <f t="shared" si="256"/>
        <v>230</v>
      </c>
      <c r="O922">
        <f t="shared" si="257"/>
        <v>0.4896413043478261</v>
      </c>
      <c r="P922">
        <f t="shared" si="258"/>
        <v>489.64130434782612</v>
      </c>
      <c r="V922">
        <f t="shared" si="259"/>
        <v>993.82348666300254</v>
      </c>
      <c r="W922">
        <f t="shared" si="260"/>
        <v>115.71471347104072</v>
      </c>
      <c r="AE922">
        <f t="shared" si="261"/>
        <v>0.77998461597731528</v>
      </c>
      <c r="AF922">
        <f t="shared" si="262"/>
        <v>0.7559471274971028</v>
      </c>
      <c r="AG922">
        <f t="shared" si="263"/>
        <v>0.75789018609693681</v>
      </c>
      <c r="AI922">
        <f t="shared" si="264"/>
        <v>0.345092276377019</v>
      </c>
      <c r="AJ922">
        <f t="shared" si="265"/>
        <v>25.088057230165838</v>
      </c>
      <c r="AL922">
        <f t="shared" si="266"/>
        <v>0.35606546658608512</v>
      </c>
      <c r="AM922">
        <f t="shared" si="267"/>
        <v>26.708916073177217</v>
      </c>
      <c r="AO922">
        <f t="shared" si="268"/>
        <v>0.35515259546089351</v>
      </c>
      <c r="AP922">
        <f t="shared" si="269"/>
        <v>26.572140418966676</v>
      </c>
    </row>
    <row r="923" spans="1:42" x14ac:dyDescent="0.2">
      <c r="A923" s="3">
        <v>920</v>
      </c>
      <c r="B923" s="3">
        <v>6.4600000000000004E-7</v>
      </c>
      <c r="C923" s="2">
        <v>4.8009999999999997E-2</v>
      </c>
      <c r="D923" s="3">
        <v>244000</v>
      </c>
      <c r="E923" s="3">
        <v>104000000000</v>
      </c>
      <c r="F923" s="3">
        <v>94600000000</v>
      </c>
      <c r="G923" s="3">
        <v>14400000000</v>
      </c>
      <c r="H923" s="3">
        <v>10400000000</v>
      </c>
      <c r="I923" s="2"/>
      <c r="J923" s="7">
        <f t="shared" si="253"/>
        <v>0.64600000000000002</v>
      </c>
      <c r="K923" s="7">
        <f t="shared" si="254"/>
        <v>48.01</v>
      </c>
      <c r="L923" s="7">
        <f t="shared" si="255"/>
        <v>104</v>
      </c>
      <c r="M923" s="7">
        <f t="shared" si="256"/>
        <v>244</v>
      </c>
      <c r="O923">
        <f t="shared" si="257"/>
        <v>0.49842827868852457</v>
      </c>
      <c r="P923">
        <f t="shared" si="258"/>
        <v>498.42827868852459</v>
      </c>
      <c r="V923">
        <f t="shared" si="259"/>
        <v>1001.6855776931866</v>
      </c>
      <c r="W923">
        <f t="shared" si="260"/>
        <v>121.79470556115788</v>
      </c>
      <c r="AE923">
        <f t="shared" si="261"/>
        <v>0.82746194042810839</v>
      </c>
      <c r="AF923">
        <f t="shared" si="262"/>
        <v>0.80196130047518721</v>
      </c>
      <c r="AG923">
        <f t="shared" si="263"/>
        <v>0.80402263220718506</v>
      </c>
      <c r="AI923">
        <f t="shared" si="264"/>
        <v>0.32529189986358348</v>
      </c>
      <c r="AJ923">
        <f t="shared" si="265"/>
        <v>22.319586554902525</v>
      </c>
      <c r="AL923">
        <f t="shared" si="266"/>
        <v>0.33563548079835898</v>
      </c>
      <c r="AM923">
        <f t="shared" si="267"/>
        <v>23.761583394592957</v>
      </c>
      <c r="AO923">
        <f t="shared" si="268"/>
        <v>0.33477498752461277</v>
      </c>
      <c r="AP923">
        <f t="shared" si="269"/>
        <v>23.639900953232569</v>
      </c>
    </row>
    <row r="924" spans="1:42" x14ac:dyDescent="0.2">
      <c r="A924" s="3">
        <v>920</v>
      </c>
      <c r="B924" s="3">
        <v>6.4799999999999998E-7</v>
      </c>
      <c r="C924" s="2">
        <v>4.8059999999999999E-2</v>
      </c>
      <c r="D924" s="3">
        <v>215000</v>
      </c>
      <c r="E924" s="3">
        <v>92100000000</v>
      </c>
      <c r="F924" s="3">
        <v>84800000000</v>
      </c>
      <c r="G924" s="3">
        <v>6640000000</v>
      </c>
      <c r="H924" s="3">
        <v>10900000000</v>
      </c>
      <c r="I924" s="2"/>
      <c r="J924" s="7">
        <f t="shared" si="253"/>
        <v>0.64800000000000002</v>
      </c>
      <c r="K924" s="7">
        <f t="shared" si="254"/>
        <v>48.059999999999995</v>
      </c>
      <c r="L924" s="7">
        <f t="shared" si="255"/>
        <v>92.100000000000009</v>
      </c>
      <c r="M924" s="7">
        <f t="shared" si="256"/>
        <v>215</v>
      </c>
      <c r="O924">
        <f t="shared" si="257"/>
        <v>0.48034883720930233</v>
      </c>
      <c r="P924">
        <f t="shared" si="258"/>
        <v>480.3488372093023</v>
      </c>
      <c r="V924">
        <f t="shared" si="259"/>
        <v>985.42313172389981</v>
      </c>
      <c r="W924">
        <f t="shared" si="260"/>
        <v>109.09019337910145</v>
      </c>
      <c r="AE924">
        <f t="shared" si="261"/>
        <v>0.7291160540657512</v>
      </c>
      <c r="AF924">
        <f t="shared" si="262"/>
        <v>0.70664622787772646</v>
      </c>
      <c r="AG924">
        <f t="shared" si="263"/>
        <v>0.70846256526452789</v>
      </c>
      <c r="AI924">
        <f t="shared" si="264"/>
        <v>0.37031141818151708</v>
      </c>
      <c r="AJ924">
        <f t="shared" si="265"/>
        <v>28.776696661548872</v>
      </c>
      <c r="AL924">
        <f t="shared" si="266"/>
        <v>0.38208652271574722</v>
      </c>
      <c r="AM924">
        <f t="shared" si="267"/>
        <v>30.635866657400292</v>
      </c>
      <c r="AO924">
        <f t="shared" si="268"/>
        <v>0.38110693950242325</v>
      </c>
      <c r="AP924">
        <f t="shared" si="269"/>
        <v>30.478981192902499</v>
      </c>
    </row>
    <row r="925" spans="1:42" x14ac:dyDescent="0.2">
      <c r="A925" s="3">
        <v>920</v>
      </c>
      <c r="B925" s="3">
        <v>6.4899999999999995E-7</v>
      </c>
      <c r="C925" s="2">
        <v>4.811E-2</v>
      </c>
      <c r="D925" s="3">
        <v>192000</v>
      </c>
      <c r="E925" s="3">
        <v>83300000000</v>
      </c>
      <c r="F925" s="3">
        <v>77300000000</v>
      </c>
      <c r="G925" s="3">
        <v>32200000</v>
      </c>
      <c r="H925" s="3">
        <v>11300000000</v>
      </c>
      <c r="I925" s="2"/>
      <c r="J925" s="7">
        <f t="shared" si="253"/>
        <v>0.64899999999999991</v>
      </c>
      <c r="K925" s="7">
        <f t="shared" si="254"/>
        <v>48.11</v>
      </c>
      <c r="L925" s="7">
        <f t="shared" si="255"/>
        <v>83.300000000000011</v>
      </c>
      <c r="M925" s="7">
        <f t="shared" si="256"/>
        <v>192</v>
      </c>
      <c r="O925">
        <f t="shared" si="257"/>
        <v>0.46107031249999991</v>
      </c>
      <c r="P925">
        <f t="shared" si="258"/>
        <v>461.07031249999989</v>
      </c>
      <c r="V925">
        <f t="shared" si="259"/>
        <v>967.70193868219326</v>
      </c>
      <c r="W925">
        <f t="shared" si="260"/>
        <v>99.204100108274901</v>
      </c>
      <c r="AE925">
        <f t="shared" si="261"/>
        <v>0.6511175924680197</v>
      </c>
      <c r="AF925">
        <f t="shared" si="262"/>
        <v>0.63105151512801616</v>
      </c>
      <c r="AG925">
        <f t="shared" si="263"/>
        <v>0.63267354665483422</v>
      </c>
      <c r="AI925">
        <f t="shared" si="264"/>
        <v>0.41531156552178156</v>
      </c>
      <c r="AJ925">
        <f t="shared" si="265"/>
        <v>36.121601053263802</v>
      </c>
      <c r="AL925">
        <f t="shared" si="266"/>
        <v>0.42851757770014937</v>
      </c>
      <c r="AM925">
        <f t="shared" si="267"/>
        <v>38.455301744145281</v>
      </c>
      <c r="AO925">
        <f t="shared" si="268"/>
        <v>0.42741895578921218</v>
      </c>
      <c r="AP925">
        <f t="shared" si="269"/>
        <v>38.258373158967622</v>
      </c>
    </row>
    <row r="926" spans="1:42" x14ac:dyDescent="0.2">
      <c r="A926" s="3">
        <v>920</v>
      </c>
      <c r="B926" s="3">
        <v>6.5000000000000002E-7</v>
      </c>
      <c r="C926" s="2">
        <v>4.8160000000000001E-2</v>
      </c>
      <c r="D926" s="3">
        <v>214000</v>
      </c>
      <c r="E926" s="3">
        <v>91700000000</v>
      </c>
      <c r="F926" s="3">
        <v>84500000000</v>
      </c>
      <c r="G926" s="3">
        <v>11600000000</v>
      </c>
      <c r="H926" s="3">
        <v>10800000000</v>
      </c>
      <c r="I926" s="2"/>
      <c r="J926" s="7">
        <f t="shared" si="253"/>
        <v>0.65</v>
      </c>
      <c r="K926" s="7">
        <f t="shared" si="254"/>
        <v>48.160000000000004</v>
      </c>
      <c r="L926" s="7">
        <f t="shared" si="255"/>
        <v>91.7</v>
      </c>
      <c r="M926" s="7">
        <f t="shared" si="256"/>
        <v>214</v>
      </c>
      <c r="O926">
        <f t="shared" si="257"/>
        <v>0.48121495327102803</v>
      </c>
      <c r="P926">
        <f t="shared" si="258"/>
        <v>481.21495327102804</v>
      </c>
      <c r="V926">
        <f t="shared" si="259"/>
        <v>986.20990120385534</v>
      </c>
      <c r="W926">
        <f t="shared" si="260"/>
        <v>108.49617294389998</v>
      </c>
      <c r="AE926">
        <f t="shared" si="261"/>
        <v>0.72572481660498034</v>
      </c>
      <c r="AF926">
        <f t="shared" si="262"/>
        <v>0.70335950123643476</v>
      </c>
      <c r="AG926">
        <f t="shared" si="263"/>
        <v>0.70516739054236721</v>
      </c>
      <c r="AI926">
        <f t="shared" si="264"/>
        <v>0.37319012266980361</v>
      </c>
      <c r="AJ926">
        <f t="shared" si="265"/>
        <v>29.106703626407036</v>
      </c>
      <c r="AL926">
        <f t="shared" si="266"/>
        <v>0.38505676379893322</v>
      </c>
      <c r="AM926">
        <f t="shared" si="267"/>
        <v>30.987194312909732</v>
      </c>
      <c r="AO926">
        <f t="shared" si="268"/>
        <v>0.38406956556091826</v>
      </c>
      <c r="AP926">
        <f t="shared" si="269"/>
        <v>30.828509708761619</v>
      </c>
    </row>
    <row r="927" spans="1:42" x14ac:dyDescent="0.2">
      <c r="A927" s="3">
        <v>930</v>
      </c>
      <c r="B927" s="3">
        <v>6.5099999999999999E-7</v>
      </c>
      <c r="C927" s="2">
        <v>4.8210000000000003E-2</v>
      </c>
      <c r="D927" s="3">
        <v>208000</v>
      </c>
      <c r="E927" s="3">
        <v>89200000000</v>
      </c>
      <c r="F927" s="3">
        <v>82400000000</v>
      </c>
      <c r="G927" s="3">
        <v>1330000000</v>
      </c>
      <c r="H927" s="3">
        <v>11000000000</v>
      </c>
      <c r="I927" s="2"/>
      <c r="J927" s="7">
        <f t="shared" si="253"/>
        <v>0.65100000000000002</v>
      </c>
      <c r="K927" s="7">
        <f t="shared" si="254"/>
        <v>48.21</v>
      </c>
      <c r="L927" s="7">
        <f t="shared" si="255"/>
        <v>89.2</v>
      </c>
      <c r="M927" s="7">
        <f t="shared" si="256"/>
        <v>208</v>
      </c>
      <c r="O927">
        <f t="shared" si="257"/>
        <v>0.47716586538461536</v>
      </c>
      <c r="P927">
        <f t="shared" si="258"/>
        <v>477.16586538461536</v>
      </c>
      <c r="V927">
        <f t="shared" si="259"/>
        <v>982.52495010116093</v>
      </c>
      <c r="W927">
        <f t="shared" si="260"/>
        <v>105.84972930131916</v>
      </c>
      <c r="AE927">
        <f t="shared" si="261"/>
        <v>0.70537739184035464</v>
      </c>
      <c r="AF927">
        <f t="shared" si="262"/>
        <v>0.6836391413886842</v>
      </c>
      <c r="AG927">
        <f t="shared" si="263"/>
        <v>0.68539634220940371</v>
      </c>
      <c r="AI927">
        <f t="shared" si="264"/>
        <v>0.38454592270429755</v>
      </c>
      <c r="AJ927">
        <f t="shared" si="265"/>
        <v>30.842143521689096</v>
      </c>
      <c r="AL927">
        <f t="shared" si="266"/>
        <v>0.39677365378612867</v>
      </c>
      <c r="AM927">
        <f t="shared" si="267"/>
        <v>32.834755408927897</v>
      </c>
      <c r="AO927">
        <f t="shared" si="268"/>
        <v>0.39575641609877044</v>
      </c>
      <c r="AP927">
        <f t="shared" si="269"/>
        <v>32.666609493174718</v>
      </c>
    </row>
    <row r="928" spans="1:42" x14ac:dyDescent="0.2">
      <c r="A928" s="3">
        <v>930</v>
      </c>
      <c r="B928" s="3">
        <v>6.5099999999999999E-7</v>
      </c>
      <c r="C928" s="2">
        <v>4.827E-2</v>
      </c>
      <c r="D928" s="3">
        <v>191000</v>
      </c>
      <c r="E928" s="3">
        <v>82800000000</v>
      </c>
      <c r="F928" s="3">
        <v>76900000000</v>
      </c>
      <c r="G928" s="3">
        <v>7730000000</v>
      </c>
      <c r="H928" s="3">
        <v>11300000000</v>
      </c>
      <c r="I928" s="2"/>
      <c r="J928" s="7">
        <f t="shared" si="253"/>
        <v>0.65100000000000002</v>
      </c>
      <c r="K928" s="7">
        <f t="shared" si="254"/>
        <v>48.27</v>
      </c>
      <c r="L928" s="7">
        <f t="shared" si="255"/>
        <v>82.800000000000011</v>
      </c>
      <c r="M928" s="7">
        <f t="shared" si="256"/>
        <v>191</v>
      </c>
      <c r="O928">
        <f t="shared" si="257"/>
        <v>0.46145811518324609</v>
      </c>
      <c r="P928">
        <f t="shared" si="258"/>
        <v>461.45811518324609</v>
      </c>
      <c r="V928">
        <f t="shared" si="259"/>
        <v>968.06244003521988</v>
      </c>
      <c r="W928">
        <f t="shared" si="260"/>
        <v>98.650661414490514</v>
      </c>
      <c r="AE928">
        <f t="shared" si="261"/>
        <v>0.64772635500724873</v>
      </c>
      <c r="AF928">
        <f t="shared" si="262"/>
        <v>0.62776478848672446</v>
      </c>
      <c r="AG928">
        <f t="shared" si="263"/>
        <v>0.62937837193267354</v>
      </c>
      <c r="AI928">
        <f t="shared" si="264"/>
        <v>0.41877252315441826</v>
      </c>
      <c r="AJ928">
        <f t="shared" si="265"/>
        <v>36.62221909978512</v>
      </c>
      <c r="AL928">
        <f t="shared" si="266"/>
        <v>0.43208858632206676</v>
      </c>
      <c r="AM928">
        <f t="shared" si="267"/>
        <v>38.988263115629174</v>
      </c>
      <c r="AO928">
        <f t="shared" si="268"/>
        <v>0.43098080915468195</v>
      </c>
      <c r="AP928">
        <f t="shared" si="269"/>
        <v>38.788605249336037</v>
      </c>
    </row>
    <row r="929" spans="1:42" x14ac:dyDescent="0.2">
      <c r="A929" s="3">
        <v>930</v>
      </c>
      <c r="B929" s="3">
        <v>6.5199999999999996E-7</v>
      </c>
      <c r="C929" s="2">
        <v>4.8320000000000002E-2</v>
      </c>
      <c r="D929" s="3">
        <v>209000</v>
      </c>
      <c r="E929" s="3">
        <v>89400000000</v>
      </c>
      <c r="F929" s="3">
        <v>82600000000</v>
      </c>
      <c r="G929" s="3">
        <v>8430000000</v>
      </c>
      <c r="H929" s="3">
        <v>10900000000</v>
      </c>
      <c r="I929" s="2"/>
      <c r="J929" s="7">
        <f t="shared" si="253"/>
        <v>0.65199999999999991</v>
      </c>
      <c r="K929" s="7">
        <f t="shared" si="254"/>
        <v>48.32</v>
      </c>
      <c r="L929" s="7">
        <f t="shared" si="255"/>
        <v>89.4</v>
      </c>
      <c r="M929" s="7">
        <f t="shared" si="256"/>
        <v>209</v>
      </c>
      <c r="O929">
        <f t="shared" si="257"/>
        <v>0.47860287081339703</v>
      </c>
      <c r="P929">
        <f t="shared" si="258"/>
        <v>478.60287081339703</v>
      </c>
      <c r="V929">
        <f t="shared" si="259"/>
        <v>983.83471136072319</v>
      </c>
      <c r="W929">
        <f t="shared" si="260"/>
        <v>106.21702893107728</v>
      </c>
      <c r="AE929">
        <f t="shared" si="261"/>
        <v>0.70876862930112561</v>
      </c>
      <c r="AF929">
        <f t="shared" si="262"/>
        <v>0.68692586802997602</v>
      </c>
      <c r="AG929">
        <f t="shared" si="263"/>
        <v>0.68869151693156427</v>
      </c>
      <c r="AI929">
        <f t="shared" si="264"/>
        <v>0.38329386408444871</v>
      </c>
      <c r="AJ929">
        <f t="shared" si="265"/>
        <v>30.61740969819099</v>
      </c>
      <c r="AL929">
        <f t="shared" si="266"/>
        <v>0.39548178240219023</v>
      </c>
      <c r="AM929">
        <f t="shared" si="267"/>
        <v>32.595502254506769</v>
      </c>
      <c r="AO929">
        <f t="shared" si="268"/>
        <v>0.394467856780153</v>
      </c>
      <c r="AP929">
        <f t="shared" si="269"/>
        <v>32.428581547842128</v>
      </c>
    </row>
    <row r="930" spans="1:42" x14ac:dyDescent="0.2">
      <c r="A930" s="3">
        <v>930</v>
      </c>
      <c r="B930" s="3">
        <v>6.5300000000000004E-7</v>
      </c>
      <c r="C930" s="2">
        <v>4.8370000000000003E-2</v>
      </c>
      <c r="D930" s="3">
        <v>204000</v>
      </c>
      <c r="E930" s="3">
        <v>87600000000</v>
      </c>
      <c r="F930" s="3">
        <v>81000000000</v>
      </c>
      <c r="G930" s="3">
        <v>5280000000</v>
      </c>
      <c r="H930" s="3">
        <v>11000000000</v>
      </c>
      <c r="I930" s="2"/>
      <c r="J930" s="7">
        <f t="shared" si="253"/>
        <v>0.65300000000000002</v>
      </c>
      <c r="K930" s="7">
        <f t="shared" si="254"/>
        <v>48.370000000000005</v>
      </c>
      <c r="L930" s="7">
        <f t="shared" si="255"/>
        <v>87.600000000000009</v>
      </c>
      <c r="M930" s="7">
        <f t="shared" si="256"/>
        <v>204</v>
      </c>
      <c r="O930">
        <f t="shared" si="257"/>
        <v>0.47516911764705883</v>
      </c>
      <c r="P930">
        <f t="shared" si="258"/>
        <v>475.16911764705884</v>
      </c>
      <c r="V930">
        <f t="shared" si="259"/>
        <v>980.70135812561898</v>
      </c>
      <c r="W930">
        <f t="shared" si="260"/>
        <v>104.00719765999827</v>
      </c>
      <c r="AE930">
        <f t="shared" si="261"/>
        <v>0.69181244199727088</v>
      </c>
      <c r="AF930">
        <f t="shared" si="262"/>
        <v>0.67049223482351727</v>
      </c>
      <c r="AG930">
        <f t="shared" si="263"/>
        <v>0.67221564332076134</v>
      </c>
      <c r="AI930">
        <f t="shared" si="264"/>
        <v>0.39329060423924361</v>
      </c>
      <c r="AJ930">
        <f t="shared" si="265"/>
        <v>32.16990991623657</v>
      </c>
      <c r="AL930">
        <f t="shared" si="266"/>
        <v>0.40579639733627848</v>
      </c>
      <c r="AM930">
        <f t="shared" si="267"/>
        <v>34.248304527992907</v>
      </c>
      <c r="AO930">
        <f t="shared" si="268"/>
        <v>0.40475602738019484</v>
      </c>
      <c r="AP930">
        <f t="shared" si="269"/>
        <v>34.072919864512599</v>
      </c>
    </row>
    <row r="931" spans="1:42" x14ac:dyDescent="0.2">
      <c r="A931" s="3">
        <v>930</v>
      </c>
      <c r="B931" s="3">
        <v>6.5400000000000001E-7</v>
      </c>
      <c r="C931" s="2">
        <v>4.8419999999999998E-2</v>
      </c>
      <c r="D931" s="3">
        <v>224000</v>
      </c>
      <c r="E931" s="3">
        <v>94900000000</v>
      </c>
      <c r="F931" s="3">
        <v>87200000000</v>
      </c>
      <c r="G931" s="3">
        <v>11800000000</v>
      </c>
      <c r="H931" s="3">
        <v>10700000000</v>
      </c>
      <c r="I931" s="2"/>
      <c r="J931" s="7">
        <f t="shared" si="253"/>
        <v>0.65400000000000003</v>
      </c>
      <c r="K931" s="7">
        <f t="shared" si="254"/>
        <v>48.419999999999995</v>
      </c>
      <c r="L931" s="7">
        <f t="shared" si="255"/>
        <v>94.9</v>
      </c>
      <c r="M931" s="7">
        <f t="shared" si="256"/>
        <v>224</v>
      </c>
      <c r="O931">
        <f t="shared" si="257"/>
        <v>0.49187946428571433</v>
      </c>
      <c r="P931">
        <f t="shared" si="258"/>
        <v>491.87946428571433</v>
      </c>
      <c r="V931">
        <f t="shared" si="259"/>
        <v>995.83347606730865</v>
      </c>
      <c r="W931">
        <f t="shared" si="260"/>
        <v>112.46860312660336</v>
      </c>
      <c r="AE931">
        <f t="shared" si="261"/>
        <v>0.75963719121268969</v>
      </c>
      <c r="AF931">
        <f t="shared" si="262"/>
        <v>0.73622676764935224</v>
      </c>
      <c r="AG931">
        <f t="shared" si="263"/>
        <v>0.7381191377639732</v>
      </c>
      <c r="AI931">
        <f t="shared" si="264"/>
        <v>0.35872387917839998</v>
      </c>
      <c r="AJ931">
        <f t="shared" si="265"/>
        <v>26.709320574009894</v>
      </c>
      <c r="AL931">
        <f t="shared" si="266"/>
        <v>0.37013052496046361</v>
      </c>
      <c r="AM931">
        <f t="shared" si="267"/>
        <v>28.434924037284667</v>
      </c>
      <c r="AO931">
        <f t="shared" si="268"/>
        <v>0.36918159421458707</v>
      </c>
      <c r="AP931">
        <f t="shared" si="269"/>
        <v>28.2893095418491</v>
      </c>
    </row>
    <row r="932" spans="1:42" x14ac:dyDescent="0.2">
      <c r="A932" s="3">
        <v>930</v>
      </c>
      <c r="B932" s="3">
        <v>6.5499999999999998E-7</v>
      </c>
      <c r="C932" s="2">
        <v>4.8480000000000002E-2</v>
      </c>
      <c r="D932" s="3">
        <v>241000</v>
      </c>
      <c r="E932" s="3">
        <v>102000000000</v>
      </c>
      <c r="F932" s="3">
        <v>92800000000</v>
      </c>
      <c r="G932" s="3">
        <v>2980000000</v>
      </c>
      <c r="H932" s="3">
        <v>10400000000</v>
      </c>
      <c r="I932" s="2"/>
      <c r="J932" s="7">
        <f t="shared" si="253"/>
        <v>0.65500000000000003</v>
      </c>
      <c r="K932" s="7">
        <f t="shared" si="254"/>
        <v>48.480000000000004</v>
      </c>
      <c r="L932" s="7">
        <f t="shared" si="255"/>
        <v>102</v>
      </c>
      <c r="M932" s="7">
        <f t="shared" si="256"/>
        <v>241</v>
      </c>
      <c r="O932">
        <f t="shared" si="257"/>
        <v>0.50412863070539427</v>
      </c>
      <c r="P932">
        <f t="shared" si="258"/>
        <v>504.12863070539424</v>
      </c>
      <c r="V932">
        <f t="shared" si="259"/>
        <v>1006.7447153767292</v>
      </c>
      <c r="W932">
        <f t="shared" si="260"/>
        <v>119.69270676023191</v>
      </c>
      <c r="AE932">
        <f t="shared" si="261"/>
        <v>0.8172882280457956</v>
      </c>
      <c r="AF932">
        <f t="shared" si="262"/>
        <v>0.79210112055131199</v>
      </c>
      <c r="AG932">
        <f t="shared" si="263"/>
        <v>0.79413710804070337</v>
      </c>
      <c r="AI932">
        <f t="shared" si="264"/>
        <v>0.33392952119135894</v>
      </c>
      <c r="AJ932">
        <f t="shared" si="265"/>
        <v>23.102693596501865</v>
      </c>
      <c r="AL932">
        <f t="shared" si="266"/>
        <v>0.34454775985762193</v>
      </c>
      <c r="AM932">
        <f t="shared" si="267"/>
        <v>24.595284468315061</v>
      </c>
      <c r="AO932">
        <f t="shared" si="268"/>
        <v>0.34366441752105908</v>
      </c>
      <c r="AP932">
        <f t="shared" si="269"/>
        <v>24.469332665762249</v>
      </c>
    </row>
    <row r="933" spans="1:42" x14ac:dyDescent="0.2">
      <c r="A933" s="3">
        <v>930</v>
      </c>
      <c r="B933" s="3">
        <v>6.5600000000000005E-7</v>
      </c>
      <c r="C933" s="2">
        <v>4.8529999999999997E-2</v>
      </c>
      <c r="D933" s="3">
        <v>230000</v>
      </c>
      <c r="E933" s="3">
        <v>97200000000</v>
      </c>
      <c r="F933" s="3">
        <v>89100000000</v>
      </c>
      <c r="G933" s="2">
        <v>0</v>
      </c>
      <c r="H933" s="3">
        <v>10600000000</v>
      </c>
      <c r="I933" s="2"/>
      <c r="J933" s="7">
        <f t="shared" si="253"/>
        <v>0.65600000000000003</v>
      </c>
      <c r="K933" s="7">
        <f t="shared" si="254"/>
        <v>48.529999999999994</v>
      </c>
      <c r="L933" s="7">
        <f t="shared" si="255"/>
        <v>97.2</v>
      </c>
      <c r="M933" s="7">
        <f t="shared" si="256"/>
        <v>230</v>
      </c>
      <c r="O933">
        <f t="shared" si="257"/>
        <v>0.49775000000000003</v>
      </c>
      <c r="P933">
        <f t="shared" si="258"/>
        <v>497.75</v>
      </c>
      <c r="V933">
        <f t="shared" si="259"/>
        <v>1001.0814553133017</v>
      </c>
      <c r="W933">
        <f t="shared" si="260"/>
        <v>114.87576699141754</v>
      </c>
      <c r="AE933">
        <f t="shared" si="261"/>
        <v>0.77998461597731528</v>
      </c>
      <c r="AF933">
        <f t="shared" si="262"/>
        <v>0.7559471274971028</v>
      </c>
      <c r="AG933">
        <f t="shared" si="263"/>
        <v>0.75789018609693681</v>
      </c>
      <c r="AI933">
        <f t="shared" si="264"/>
        <v>0.35043426207944961</v>
      </c>
      <c r="AJ933">
        <f t="shared" si="265"/>
        <v>25.391520696140727</v>
      </c>
      <c r="AL933">
        <f t="shared" si="266"/>
        <v>0.36157731591404313</v>
      </c>
      <c r="AM933">
        <f t="shared" si="267"/>
        <v>27.031985339547241</v>
      </c>
      <c r="AO933">
        <f t="shared" si="268"/>
        <v>0.36065031365688255</v>
      </c>
      <c r="AP933">
        <f t="shared" si="269"/>
        <v>26.893555256151252</v>
      </c>
    </row>
    <row r="934" spans="1:42" x14ac:dyDescent="0.2">
      <c r="A934" s="3">
        <v>930</v>
      </c>
      <c r="B934" s="3">
        <v>6.5700000000000002E-7</v>
      </c>
      <c r="C934" s="2">
        <v>4.8579999999999998E-2</v>
      </c>
      <c r="D934" s="3">
        <v>221000</v>
      </c>
      <c r="E934" s="3">
        <v>93500000000</v>
      </c>
      <c r="F934" s="3">
        <v>86100000000</v>
      </c>
      <c r="G934" s="3">
        <v>1210000000</v>
      </c>
      <c r="H934" s="3">
        <v>10700000000</v>
      </c>
      <c r="I934" s="2"/>
      <c r="J934" s="7">
        <f t="shared" si="253"/>
        <v>0.65700000000000003</v>
      </c>
      <c r="K934" s="7">
        <f t="shared" si="254"/>
        <v>48.58</v>
      </c>
      <c r="L934" s="7">
        <f t="shared" si="255"/>
        <v>93.5</v>
      </c>
      <c r="M934" s="7">
        <f t="shared" si="256"/>
        <v>221</v>
      </c>
      <c r="O934">
        <f t="shared" si="257"/>
        <v>0.49213574660633486</v>
      </c>
      <c r="P934">
        <f t="shared" si="258"/>
        <v>492.13574660633486</v>
      </c>
      <c r="V934">
        <f t="shared" si="259"/>
        <v>996.06330622061</v>
      </c>
      <c r="W934">
        <f t="shared" si="260"/>
        <v>110.93672391092605</v>
      </c>
      <c r="AE934">
        <f t="shared" si="261"/>
        <v>0.74946347883037678</v>
      </c>
      <c r="AF934">
        <f t="shared" si="262"/>
        <v>0.72636658772547702</v>
      </c>
      <c r="AG934">
        <f t="shared" si="263"/>
        <v>0.72823361359749139</v>
      </c>
      <c r="AI934">
        <f t="shared" si="264"/>
        <v>0.36526129388882045</v>
      </c>
      <c r="AJ934">
        <f t="shared" si="265"/>
        <v>27.53005349753823</v>
      </c>
      <c r="AL934">
        <f t="shared" si="266"/>
        <v>0.37687581536096354</v>
      </c>
      <c r="AM934">
        <f t="shared" si="267"/>
        <v>29.308681880385162</v>
      </c>
      <c r="AO934">
        <f t="shared" si="268"/>
        <v>0.37590959121986761</v>
      </c>
      <c r="AP934">
        <f t="shared" si="269"/>
        <v>29.158592894098522</v>
      </c>
    </row>
    <row r="935" spans="1:42" x14ac:dyDescent="0.2">
      <c r="A935" s="3">
        <v>930</v>
      </c>
      <c r="B935" s="3">
        <v>6.5799999999999999E-7</v>
      </c>
      <c r="C935" s="2">
        <v>4.863E-2</v>
      </c>
      <c r="D935" s="3">
        <v>234000</v>
      </c>
      <c r="E935" s="3">
        <v>98600000000</v>
      </c>
      <c r="F935" s="3">
        <v>90300000000</v>
      </c>
      <c r="G935" s="2">
        <v>0</v>
      </c>
      <c r="H935" s="3">
        <v>10500000000</v>
      </c>
      <c r="I935" s="2"/>
      <c r="J935" s="7">
        <f t="shared" si="253"/>
        <v>0.65800000000000003</v>
      </c>
      <c r="K935" s="7">
        <f t="shared" si="254"/>
        <v>48.63</v>
      </c>
      <c r="L935" s="7">
        <f t="shared" si="255"/>
        <v>98.600000000000009</v>
      </c>
      <c r="M935" s="7">
        <f t="shared" si="256"/>
        <v>234</v>
      </c>
      <c r="O935">
        <f t="shared" si="257"/>
        <v>0.50213461538461535</v>
      </c>
      <c r="P935">
        <f t="shared" si="258"/>
        <v>502.13461538461536</v>
      </c>
      <c r="V935">
        <f t="shared" si="259"/>
        <v>1004.9786412488096</v>
      </c>
      <c r="W935">
        <f t="shared" si="260"/>
        <v>116.4203846706763</v>
      </c>
      <c r="AE935">
        <f t="shared" si="261"/>
        <v>0.79354956582039904</v>
      </c>
      <c r="AF935">
        <f t="shared" si="262"/>
        <v>0.76909403406226973</v>
      </c>
      <c r="AG935">
        <f t="shared" si="263"/>
        <v>0.77107088498557919</v>
      </c>
      <c r="AI935">
        <f t="shared" si="264"/>
        <v>0.34549406675463767</v>
      </c>
      <c r="AJ935">
        <f t="shared" si="265"/>
        <v>24.581401872318736</v>
      </c>
      <c r="AL935">
        <f t="shared" si="266"/>
        <v>0.35648003303126491</v>
      </c>
      <c r="AM935">
        <f t="shared" si="267"/>
        <v>26.169527339063023</v>
      </c>
      <c r="AO935">
        <f t="shared" si="268"/>
        <v>0.35556609905170294</v>
      </c>
      <c r="AP935">
        <f t="shared" si="269"/>
        <v>26.035513880322338</v>
      </c>
    </row>
    <row r="936" spans="1:42" x14ac:dyDescent="0.2">
      <c r="A936" s="3">
        <v>930</v>
      </c>
      <c r="B936" s="3">
        <v>6.5799999999999999E-7</v>
      </c>
      <c r="C936" s="2">
        <v>4.8689999999999997E-2</v>
      </c>
      <c r="D936" s="3">
        <v>225000</v>
      </c>
      <c r="E936" s="3">
        <v>95100000000</v>
      </c>
      <c r="F936" s="3">
        <v>87400000000</v>
      </c>
      <c r="G936" s="2">
        <v>0</v>
      </c>
      <c r="H936" s="3">
        <v>10600000000</v>
      </c>
      <c r="I936" s="2"/>
      <c r="J936" s="7">
        <f t="shared" si="253"/>
        <v>0.65800000000000003</v>
      </c>
      <c r="K936" s="7">
        <f t="shared" si="254"/>
        <v>48.69</v>
      </c>
      <c r="L936" s="7">
        <f t="shared" si="255"/>
        <v>95.100000000000009</v>
      </c>
      <c r="M936" s="7">
        <f t="shared" si="256"/>
        <v>225</v>
      </c>
      <c r="O936">
        <f t="shared" si="257"/>
        <v>0.49570000000000003</v>
      </c>
      <c r="P936">
        <f t="shared" si="258"/>
        <v>495.70000000000005</v>
      </c>
      <c r="V936">
        <f t="shared" si="259"/>
        <v>999.25278992402082</v>
      </c>
      <c r="W936">
        <f t="shared" si="260"/>
        <v>112.58412399184199</v>
      </c>
      <c r="AE936">
        <f t="shared" si="261"/>
        <v>0.76302842867346055</v>
      </c>
      <c r="AF936">
        <f t="shared" si="262"/>
        <v>0.73951349429064395</v>
      </c>
      <c r="AG936">
        <f t="shared" si="263"/>
        <v>0.74141431248613376</v>
      </c>
      <c r="AI936">
        <f t="shared" si="264"/>
        <v>0.35931382942482326</v>
      </c>
      <c r="AJ936">
        <f t="shared" si="265"/>
        <v>26.620047774372129</v>
      </c>
      <c r="AL936">
        <f t="shared" si="266"/>
        <v>0.37073923435251549</v>
      </c>
      <c r="AM936">
        <f t="shared" si="267"/>
        <v>28.339883608634981</v>
      </c>
      <c r="AO936">
        <f t="shared" si="268"/>
        <v>0.36978874301377107</v>
      </c>
      <c r="AP936">
        <f t="shared" si="269"/>
        <v>28.194755812725866</v>
      </c>
    </row>
    <row r="937" spans="1:42" x14ac:dyDescent="0.2">
      <c r="A937" s="3">
        <v>940</v>
      </c>
      <c r="B937" s="3">
        <v>6.5899999999999996E-7</v>
      </c>
      <c r="C937" s="2">
        <v>4.8739999999999999E-2</v>
      </c>
      <c r="D937" s="3">
        <v>216000</v>
      </c>
      <c r="E937" s="3">
        <v>91700000000</v>
      </c>
      <c r="F937" s="3">
        <v>84500000000</v>
      </c>
      <c r="G937" s="3">
        <v>1200000000</v>
      </c>
      <c r="H937" s="3">
        <v>10800000000</v>
      </c>
      <c r="I937" s="2"/>
      <c r="J937" s="7">
        <f t="shared" si="253"/>
        <v>0.65899999999999992</v>
      </c>
      <c r="K937" s="7">
        <f t="shared" si="254"/>
        <v>48.74</v>
      </c>
      <c r="L937" s="7">
        <f t="shared" si="255"/>
        <v>91.7</v>
      </c>
      <c r="M937" s="7">
        <f t="shared" si="256"/>
        <v>216</v>
      </c>
      <c r="O937">
        <f t="shared" si="257"/>
        <v>0.48976388888888878</v>
      </c>
      <c r="P937">
        <f t="shared" si="258"/>
        <v>489.7638888888888</v>
      </c>
      <c r="V937">
        <f t="shared" si="259"/>
        <v>993.9337065524976</v>
      </c>
      <c r="W937">
        <f t="shared" si="260"/>
        <v>108.65915834025058</v>
      </c>
      <c r="AE937">
        <f t="shared" si="261"/>
        <v>0.73250729152652216</v>
      </c>
      <c r="AF937">
        <f t="shared" si="262"/>
        <v>0.70993295451901828</v>
      </c>
      <c r="AG937">
        <f t="shared" si="263"/>
        <v>0.71175773998668845</v>
      </c>
      <c r="AI937">
        <f t="shared" si="264"/>
        <v>0.3748540615358385</v>
      </c>
      <c r="AJ937">
        <f t="shared" si="265"/>
        <v>28.914262187607356</v>
      </c>
      <c r="AL937">
        <f t="shared" si="266"/>
        <v>0.38677361233268054</v>
      </c>
      <c r="AM937">
        <f t="shared" si="267"/>
        <v>30.782319850501292</v>
      </c>
      <c r="AO937">
        <f t="shared" si="268"/>
        <v>0.38578201248428812</v>
      </c>
      <c r="AP937">
        <f t="shared" si="269"/>
        <v>30.624684403067373</v>
      </c>
    </row>
    <row r="938" spans="1:42" x14ac:dyDescent="0.2">
      <c r="A938" s="3">
        <v>940</v>
      </c>
      <c r="B938" s="3">
        <v>6.6000000000000003E-7</v>
      </c>
      <c r="C938" s="2">
        <v>4.879E-2</v>
      </c>
      <c r="D938" s="3">
        <v>211000</v>
      </c>
      <c r="E938" s="3">
        <v>89700000000</v>
      </c>
      <c r="F938" s="3">
        <v>82800000000</v>
      </c>
      <c r="G938" s="3">
        <v>1960000000</v>
      </c>
      <c r="H938" s="3">
        <v>10900000000</v>
      </c>
      <c r="I938" s="2"/>
      <c r="J938" s="7">
        <f t="shared" si="253"/>
        <v>0.66</v>
      </c>
      <c r="K938" s="7">
        <f t="shared" si="254"/>
        <v>48.79</v>
      </c>
      <c r="L938" s="7">
        <f t="shared" si="255"/>
        <v>89.7</v>
      </c>
      <c r="M938" s="7">
        <f t="shared" si="256"/>
        <v>211</v>
      </c>
      <c r="O938">
        <f t="shared" si="257"/>
        <v>0.48657582938388633</v>
      </c>
      <c r="P938">
        <f t="shared" si="258"/>
        <v>486.57582938388634</v>
      </c>
      <c r="V938">
        <f t="shared" si="259"/>
        <v>991.06220106309047</v>
      </c>
      <c r="W938">
        <f t="shared" si="260"/>
        <v>106.45144158139871</v>
      </c>
      <c r="AE938">
        <f t="shared" si="261"/>
        <v>0.71555110422266743</v>
      </c>
      <c r="AF938">
        <f t="shared" si="262"/>
        <v>0.69349932131255942</v>
      </c>
      <c r="AG938">
        <f t="shared" si="263"/>
        <v>0.69528186637588552</v>
      </c>
      <c r="AI938">
        <f t="shared" si="264"/>
        <v>0.38431916096159729</v>
      </c>
      <c r="AJ938">
        <f t="shared" si="265"/>
        <v>30.331926836154373</v>
      </c>
      <c r="AL938">
        <f t="shared" si="266"/>
        <v>0.39653968150901447</v>
      </c>
      <c r="AM938">
        <f t="shared" si="267"/>
        <v>32.291575261176327</v>
      </c>
      <c r="AO938">
        <f t="shared" si="268"/>
        <v>0.39552304367352598</v>
      </c>
      <c r="AP938">
        <f t="shared" si="269"/>
        <v>32.12621095662216</v>
      </c>
    </row>
    <row r="939" spans="1:42" x14ac:dyDescent="0.2">
      <c r="A939" s="3">
        <v>940</v>
      </c>
      <c r="B939" s="3">
        <v>6.61E-7</v>
      </c>
      <c r="C939" s="2">
        <v>4.8840000000000001E-2</v>
      </c>
      <c r="D939" s="3">
        <v>211000</v>
      </c>
      <c r="E939" s="3">
        <v>89700000000</v>
      </c>
      <c r="F939" s="3">
        <v>82800000000</v>
      </c>
      <c r="G939" s="3">
        <v>8910000000</v>
      </c>
      <c r="H939" s="3">
        <v>10900000000</v>
      </c>
      <c r="I939" s="2"/>
      <c r="J939" s="7">
        <f t="shared" si="253"/>
        <v>0.66100000000000003</v>
      </c>
      <c r="K939" s="7">
        <f t="shared" si="254"/>
        <v>48.84</v>
      </c>
      <c r="L939" s="7">
        <f t="shared" si="255"/>
        <v>89.7</v>
      </c>
      <c r="M939" s="7">
        <f t="shared" si="256"/>
        <v>211</v>
      </c>
      <c r="O939">
        <f t="shared" si="257"/>
        <v>0.48739810426540287</v>
      </c>
      <c r="P939">
        <f t="shared" si="258"/>
        <v>487.39810426540288</v>
      </c>
      <c r="V939">
        <f t="shared" si="259"/>
        <v>991.80382967798653</v>
      </c>
      <c r="W939">
        <f t="shared" si="260"/>
        <v>106.37184173230423</v>
      </c>
      <c r="AE939">
        <f t="shared" si="261"/>
        <v>0.71555110422266743</v>
      </c>
      <c r="AF939">
        <f t="shared" si="262"/>
        <v>0.69349932131255942</v>
      </c>
      <c r="AG939">
        <f t="shared" si="263"/>
        <v>0.69528186637588552</v>
      </c>
      <c r="AI939">
        <f t="shared" si="264"/>
        <v>0.38490146272063003</v>
      </c>
      <c r="AJ939">
        <f t="shared" si="265"/>
        <v>30.36301099974953</v>
      </c>
      <c r="AL939">
        <f t="shared" si="266"/>
        <v>0.39714049920827055</v>
      </c>
      <c r="AM939">
        <f t="shared" si="267"/>
        <v>32.324667672798768</v>
      </c>
      <c r="AO939">
        <f t="shared" si="268"/>
        <v>0.39612232101242528</v>
      </c>
      <c r="AP939">
        <f t="shared" si="269"/>
        <v>32.159133902878175</v>
      </c>
    </row>
    <row r="940" spans="1:42" x14ac:dyDescent="0.2">
      <c r="A940" s="3">
        <v>940</v>
      </c>
      <c r="B940" s="3">
        <v>6.6199999999999997E-7</v>
      </c>
      <c r="C940" s="2">
        <v>4.8890000000000003E-2</v>
      </c>
      <c r="D940" s="3">
        <v>232000</v>
      </c>
      <c r="E940" s="3">
        <v>97400000000</v>
      </c>
      <c r="F940" s="3">
        <v>89300000000</v>
      </c>
      <c r="G940" s="3">
        <v>762000000</v>
      </c>
      <c r="H940" s="3">
        <v>10500000000</v>
      </c>
      <c r="I940" s="2"/>
      <c r="J940" s="7">
        <f t="shared" si="253"/>
        <v>0.66199999999999992</v>
      </c>
      <c r="K940" s="7">
        <f t="shared" si="254"/>
        <v>48.89</v>
      </c>
      <c r="L940" s="7">
        <f t="shared" si="255"/>
        <v>97.4</v>
      </c>
      <c r="M940" s="7">
        <f t="shared" si="256"/>
        <v>232</v>
      </c>
      <c r="O940">
        <f t="shared" si="257"/>
        <v>0.50395043103448267</v>
      </c>
      <c r="P940">
        <f t="shared" si="258"/>
        <v>503.95043103448268</v>
      </c>
      <c r="V940">
        <f t="shared" si="259"/>
        <v>1006.5870446808982</v>
      </c>
      <c r="W940">
        <f t="shared" si="260"/>
        <v>115.24090302272226</v>
      </c>
      <c r="AE940">
        <f t="shared" si="261"/>
        <v>0.7867670908988571</v>
      </c>
      <c r="AF940">
        <f t="shared" si="262"/>
        <v>0.76252058077968621</v>
      </c>
      <c r="AG940">
        <f t="shared" si="263"/>
        <v>0.76448053554125794</v>
      </c>
      <c r="AI940">
        <f t="shared" si="264"/>
        <v>0.35059083752245185</v>
      </c>
      <c r="AJ940">
        <f t="shared" si="265"/>
        <v>25.140745964017331</v>
      </c>
      <c r="AL940">
        <f t="shared" si="266"/>
        <v>0.36173887011848327</v>
      </c>
      <c r="AM940">
        <f t="shared" si="267"/>
        <v>26.765008856987894</v>
      </c>
      <c r="AO940">
        <f t="shared" si="268"/>
        <v>0.36081145367297185</v>
      </c>
      <c r="AP940">
        <f t="shared" si="269"/>
        <v>26.627945953112061</v>
      </c>
    </row>
    <row r="941" spans="1:42" x14ac:dyDescent="0.2">
      <c r="A941" s="3">
        <v>940</v>
      </c>
      <c r="B941" s="3">
        <v>6.6199999999999997E-7</v>
      </c>
      <c r="C941" s="2">
        <v>4.8939999999999997E-2</v>
      </c>
      <c r="D941" s="3">
        <v>234000</v>
      </c>
      <c r="E941" s="3">
        <v>98400000000</v>
      </c>
      <c r="F941" s="3">
        <v>90100000000</v>
      </c>
      <c r="G941" s="3">
        <v>2450000000</v>
      </c>
      <c r="H941" s="3">
        <v>10500000000</v>
      </c>
      <c r="I941" s="2"/>
      <c r="J941" s="7">
        <f t="shared" si="253"/>
        <v>0.66199999999999992</v>
      </c>
      <c r="K941" s="7">
        <f t="shared" si="254"/>
        <v>48.94</v>
      </c>
      <c r="L941" s="7">
        <f t="shared" si="255"/>
        <v>98.4</v>
      </c>
      <c r="M941" s="7">
        <f t="shared" si="256"/>
        <v>234</v>
      </c>
      <c r="O941">
        <f t="shared" si="257"/>
        <v>0.50514102564102559</v>
      </c>
      <c r="P941">
        <f t="shared" si="258"/>
        <v>505.14102564102558</v>
      </c>
      <c r="V941">
        <f t="shared" si="259"/>
        <v>1007.639891709523</v>
      </c>
      <c r="W941">
        <f t="shared" si="260"/>
        <v>116.11290994196578</v>
      </c>
      <c r="AE941">
        <f t="shared" si="261"/>
        <v>0.79354956582039904</v>
      </c>
      <c r="AF941">
        <f t="shared" si="262"/>
        <v>0.76909403406226973</v>
      </c>
      <c r="AG941">
        <f t="shared" si="263"/>
        <v>0.77107088498557919</v>
      </c>
      <c r="AI941">
        <f t="shared" si="264"/>
        <v>0.34759433463764455</v>
      </c>
      <c r="AJ941">
        <f t="shared" si="265"/>
        <v>24.738100095235016</v>
      </c>
      <c r="AL941">
        <f t="shared" si="266"/>
        <v>0.35864708490379538</v>
      </c>
      <c r="AM941">
        <f t="shared" si="267"/>
        <v>26.336349331148348</v>
      </c>
      <c r="AO941">
        <f t="shared" si="268"/>
        <v>0.35772759509457036</v>
      </c>
      <c r="AP941">
        <f t="shared" si="269"/>
        <v>26.201481581389576</v>
      </c>
    </row>
    <row r="942" spans="1:42" x14ac:dyDescent="0.2">
      <c r="A942" s="3">
        <v>940</v>
      </c>
      <c r="B942" s="3">
        <v>6.6300000000000005E-7</v>
      </c>
      <c r="C942" s="2">
        <v>4.9000000000000002E-2</v>
      </c>
      <c r="D942" s="3">
        <v>206000</v>
      </c>
      <c r="E942" s="3">
        <v>87600000000</v>
      </c>
      <c r="F942" s="3">
        <v>81000000000</v>
      </c>
      <c r="G942" s="3">
        <v>5390000000</v>
      </c>
      <c r="H942" s="3">
        <v>11000000000</v>
      </c>
      <c r="I942" s="2"/>
      <c r="J942" s="7">
        <f t="shared" si="253"/>
        <v>0.66300000000000003</v>
      </c>
      <c r="K942" s="7">
        <f t="shared" si="254"/>
        <v>49</v>
      </c>
      <c r="L942" s="7">
        <f t="shared" si="255"/>
        <v>87.600000000000009</v>
      </c>
      <c r="M942" s="7">
        <f t="shared" si="256"/>
        <v>206</v>
      </c>
      <c r="O942">
        <f t="shared" si="257"/>
        <v>0.48460194174757287</v>
      </c>
      <c r="P942">
        <f t="shared" si="258"/>
        <v>484.60194174757288</v>
      </c>
      <c r="V942">
        <f t="shared" si="259"/>
        <v>989.27905244514409</v>
      </c>
      <c r="W942">
        <f t="shared" si="260"/>
        <v>104.11622458336788</v>
      </c>
      <c r="AE942">
        <f t="shared" si="261"/>
        <v>0.69859491691881281</v>
      </c>
      <c r="AF942">
        <f t="shared" si="262"/>
        <v>0.67706568810610068</v>
      </c>
      <c r="AG942">
        <f t="shared" si="263"/>
        <v>0.67880599276508247</v>
      </c>
      <c r="AI942">
        <f t="shared" si="264"/>
        <v>0.39543660182701329</v>
      </c>
      <c r="AJ942">
        <f t="shared" si="265"/>
        <v>31.959187634828744</v>
      </c>
      <c r="AL942">
        <f t="shared" si="266"/>
        <v>0.40801063301956875</v>
      </c>
      <c r="AM942">
        <f t="shared" si="267"/>
        <v>34.023968156418377</v>
      </c>
      <c r="AO942">
        <f t="shared" si="268"/>
        <v>0.4069645862652293</v>
      </c>
      <c r="AP942">
        <f t="shared" si="269"/>
        <v>33.84973231357538</v>
      </c>
    </row>
    <row r="943" spans="1:42" x14ac:dyDescent="0.2">
      <c r="A943" s="3">
        <v>940</v>
      </c>
      <c r="B943" s="3">
        <v>6.6400000000000002E-7</v>
      </c>
      <c r="C943" s="2">
        <v>4.9050000000000003E-2</v>
      </c>
      <c r="D943" s="3">
        <v>214000</v>
      </c>
      <c r="E943" s="3">
        <v>90200000000</v>
      </c>
      <c r="F943" s="3">
        <v>83200000000</v>
      </c>
      <c r="G943" s="2">
        <v>0</v>
      </c>
      <c r="H943" s="3">
        <v>10800000000</v>
      </c>
      <c r="I943" s="2"/>
      <c r="J943" s="7">
        <f t="shared" si="253"/>
        <v>0.66400000000000003</v>
      </c>
      <c r="K943" s="7">
        <f t="shared" si="254"/>
        <v>49.050000000000004</v>
      </c>
      <c r="L943" s="7">
        <f t="shared" si="255"/>
        <v>90.2</v>
      </c>
      <c r="M943" s="7">
        <f t="shared" si="256"/>
        <v>214</v>
      </c>
      <c r="O943">
        <f t="shared" si="257"/>
        <v>0.49209579439252338</v>
      </c>
      <c r="P943">
        <f t="shared" si="258"/>
        <v>492.09579439252337</v>
      </c>
      <c r="V943">
        <f t="shared" si="259"/>
        <v>996.02748205937019</v>
      </c>
      <c r="W943">
        <f t="shared" si="260"/>
        <v>107.42675471039067</v>
      </c>
      <c r="AE943">
        <f t="shared" si="261"/>
        <v>0.72572481660498034</v>
      </c>
      <c r="AF943">
        <f t="shared" si="262"/>
        <v>0.70335950123643476</v>
      </c>
      <c r="AG943">
        <f t="shared" si="263"/>
        <v>0.70516739054236721</v>
      </c>
      <c r="AI943">
        <f t="shared" si="264"/>
        <v>0.38122806377346097</v>
      </c>
      <c r="AJ943">
        <f t="shared" si="265"/>
        <v>29.64459744342328</v>
      </c>
      <c r="AL943">
        <f t="shared" si="266"/>
        <v>0.39335029409614103</v>
      </c>
      <c r="AM943">
        <f t="shared" si="267"/>
        <v>31.559839722762092</v>
      </c>
      <c r="AO943">
        <f t="shared" si="268"/>
        <v>0.39234183312684573</v>
      </c>
      <c r="AP943">
        <f t="shared" si="269"/>
        <v>31.398222616585493</v>
      </c>
    </row>
    <row r="944" spans="1:42" x14ac:dyDescent="0.2">
      <c r="A944" s="3">
        <v>940</v>
      </c>
      <c r="B944" s="3">
        <v>6.6499999999999999E-7</v>
      </c>
      <c r="C944" s="2">
        <v>4.9099999999999998E-2</v>
      </c>
      <c r="D944" s="3">
        <v>233000</v>
      </c>
      <c r="E944" s="3">
        <v>97800000000</v>
      </c>
      <c r="F944" s="3">
        <v>89600000000</v>
      </c>
      <c r="G944" s="3">
        <v>7500000000</v>
      </c>
      <c r="H944" s="3">
        <v>10500000000</v>
      </c>
      <c r="I944" s="2"/>
      <c r="J944" s="7">
        <f t="shared" si="253"/>
        <v>0.66500000000000004</v>
      </c>
      <c r="K944" s="7">
        <f t="shared" si="254"/>
        <v>49.099999999999994</v>
      </c>
      <c r="L944" s="7">
        <f t="shared" si="255"/>
        <v>97.800000000000011</v>
      </c>
      <c r="M944" s="7">
        <f t="shared" si="256"/>
        <v>233</v>
      </c>
      <c r="O944">
        <f t="shared" si="257"/>
        <v>0.50695278969957092</v>
      </c>
      <c r="P944">
        <f t="shared" si="258"/>
        <v>506.95278969957093</v>
      </c>
      <c r="V944">
        <f t="shared" si="259"/>
        <v>1009.2393925765842</v>
      </c>
      <c r="W944">
        <f t="shared" si="260"/>
        <v>115.43346490130153</v>
      </c>
      <c r="AE944">
        <f t="shared" si="261"/>
        <v>0.79015832835962807</v>
      </c>
      <c r="AF944">
        <f t="shared" si="262"/>
        <v>0.76580730742097802</v>
      </c>
      <c r="AG944">
        <f t="shared" si="263"/>
        <v>0.76777571026341851</v>
      </c>
      <c r="AI944">
        <f t="shared" si="264"/>
        <v>0.35066811724753882</v>
      </c>
      <c r="AJ944">
        <f t="shared" si="265"/>
        <v>25.032472187117694</v>
      </c>
      <c r="AL944">
        <f t="shared" si="266"/>
        <v>0.3618186071721769</v>
      </c>
      <c r="AM944">
        <f t="shared" si="267"/>
        <v>26.649739858930076</v>
      </c>
      <c r="AO944">
        <f t="shared" si="268"/>
        <v>0.36089098629893879</v>
      </c>
      <c r="AP944">
        <f t="shared" si="269"/>
        <v>26.513267244550704</v>
      </c>
    </row>
    <row r="945" spans="1:42" x14ac:dyDescent="0.2">
      <c r="A945" s="3">
        <v>940</v>
      </c>
      <c r="B945" s="3">
        <v>6.6499999999999999E-7</v>
      </c>
      <c r="C945" s="2">
        <v>4.9149999999999999E-2</v>
      </c>
      <c r="D945" s="3">
        <v>203000</v>
      </c>
      <c r="E945" s="3">
        <v>86200000000</v>
      </c>
      <c r="F945" s="3">
        <v>79800000000</v>
      </c>
      <c r="G945" s="3">
        <v>2290000000</v>
      </c>
      <c r="H945" s="3">
        <v>11000000000</v>
      </c>
      <c r="I945" s="2"/>
      <c r="J945" s="7">
        <f t="shared" si="253"/>
        <v>0.66500000000000004</v>
      </c>
      <c r="K945" s="7">
        <f t="shared" si="254"/>
        <v>49.15</v>
      </c>
      <c r="L945" s="7">
        <f t="shared" si="255"/>
        <v>86.2</v>
      </c>
      <c r="M945" s="7">
        <f t="shared" si="256"/>
        <v>203</v>
      </c>
      <c r="O945">
        <f t="shared" si="257"/>
        <v>0.48341133004926112</v>
      </c>
      <c r="P945">
        <f t="shared" si="258"/>
        <v>483.4113300492611</v>
      </c>
      <c r="V945">
        <f t="shared" si="259"/>
        <v>988.20153435252723</v>
      </c>
      <c r="W945">
        <f t="shared" si="260"/>
        <v>102.7118421410903</v>
      </c>
      <c r="AE945">
        <f t="shared" si="261"/>
        <v>0.68842120453650002</v>
      </c>
      <c r="AF945">
        <f t="shared" si="262"/>
        <v>0.66720550818222546</v>
      </c>
      <c r="AG945">
        <f t="shared" si="263"/>
        <v>0.66892046859860066</v>
      </c>
      <c r="AI945">
        <f t="shared" si="264"/>
        <v>0.40249099171761843</v>
      </c>
      <c r="AJ945">
        <f t="shared" si="265"/>
        <v>33.011521284521649</v>
      </c>
      <c r="AL945">
        <f t="shared" si="266"/>
        <v>0.41528933729614392</v>
      </c>
      <c r="AM945">
        <f t="shared" si="267"/>
        <v>35.144289705144452</v>
      </c>
      <c r="AO945">
        <f t="shared" si="268"/>
        <v>0.41422462959434847</v>
      </c>
      <c r="AP945">
        <f t="shared" si="269"/>
        <v>34.964316725222098</v>
      </c>
    </row>
    <row r="946" spans="1:42" x14ac:dyDescent="0.2">
      <c r="A946" s="3">
        <v>940</v>
      </c>
      <c r="B946" s="3">
        <v>6.6599999999999996E-7</v>
      </c>
      <c r="C946" s="2">
        <v>4.9209999999999997E-2</v>
      </c>
      <c r="D946" s="3">
        <v>226000</v>
      </c>
      <c r="E946" s="3">
        <v>94900000000</v>
      </c>
      <c r="F946" s="3">
        <v>87200000000</v>
      </c>
      <c r="G946" s="3">
        <v>971000000</v>
      </c>
      <c r="H946" s="3">
        <v>10600000000</v>
      </c>
      <c r="I946" s="2"/>
      <c r="J946" s="7">
        <f t="shared" si="253"/>
        <v>0.66599999999999993</v>
      </c>
      <c r="K946" s="7">
        <f t="shared" si="254"/>
        <v>49.209999999999994</v>
      </c>
      <c r="L946" s="7">
        <f t="shared" si="255"/>
        <v>94.9</v>
      </c>
      <c r="M946" s="7">
        <f t="shared" si="256"/>
        <v>226</v>
      </c>
      <c r="O946">
        <f t="shared" si="257"/>
        <v>0.50269247787610616</v>
      </c>
      <c r="P946">
        <f t="shared" si="258"/>
        <v>502.69247787610618</v>
      </c>
      <c r="V946">
        <f t="shared" si="259"/>
        <v>1005.4731259421396</v>
      </c>
      <c r="W946">
        <f t="shared" si="260"/>
        <v>112.38490327040589</v>
      </c>
      <c r="AE946">
        <f t="shared" si="261"/>
        <v>0.76641966613423151</v>
      </c>
      <c r="AF946">
        <f t="shared" si="262"/>
        <v>0.74280022093193576</v>
      </c>
      <c r="AG946">
        <f t="shared" si="263"/>
        <v>0.74470948720829444</v>
      </c>
      <c r="AI946">
        <f t="shared" si="264"/>
        <v>0.36207317252138249</v>
      </c>
      <c r="AJ946">
        <f t="shared" si="265"/>
        <v>26.666780058555023</v>
      </c>
      <c r="AL946">
        <f t="shared" si="266"/>
        <v>0.37358631860911606</v>
      </c>
      <c r="AM946">
        <f t="shared" si="267"/>
        <v>28.389635115684641</v>
      </c>
      <c r="AO946">
        <f t="shared" si="268"/>
        <v>0.37262852799186041</v>
      </c>
      <c r="AP946">
        <f t="shared" si="269"/>
        <v>28.244252543621148</v>
      </c>
    </row>
    <row r="947" spans="1:42" x14ac:dyDescent="0.2">
      <c r="A947" s="3">
        <v>950</v>
      </c>
      <c r="B947" s="3">
        <v>6.6700000000000003E-7</v>
      </c>
      <c r="C947" s="2">
        <v>4.9259999999999998E-2</v>
      </c>
      <c r="D947" s="3">
        <v>232000</v>
      </c>
      <c r="E947" s="3">
        <v>97200000000</v>
      </c>
      <c r="F947" s="3">
        <v>89100000000</v>
      </c>
      <c r="G947" s="3">
        <v>282000000</v>
      </c>
      <c r="H947" s="3">
        <v>10500000000</v>
      </c>
      <c r="I947" s="2"/>
      <c r="J947" s="7">
        <f t="shared" si="253"/>
        <v>0.66700000000000004</v>
      </c>
      <c r="K947" s="7">
        <f t="shared" si="254"/>
        <v>49.26</v>
      </c>
      <c r="L947" s="7">
        <f t="shared" si="255"/>
        <v>97.2</v>
      </c>
      <c r="M947" s="7">
        <f t="shared" si="256"/>
        <v>232</v>
      </c>
      <c r="O947">
        <f t="shared" si="257"/>
        <v>0.50775431034482765</v>
      </c>
      <c r="P947">
        <f t="shared" si="258"/>
        <v>507.75431034482767</v>
      </c>
      <c r="V947">
        <f t="shared" si="259"/>
        <v>1009.9459925447303</v>
      </c>
      <c r="W947">
        <f t="shared" si="260"/>
        <v>114.85762689915559</v>
      </c>
      <c r="AE947">
        <f t="shared" si="261"/>
        <v>0.7867670908988571</v>
      </c>
      <c r="AF947">
        <f t="shared" si="262"/>
        <v>0.76252058077968621</v>
      </c>
      <c r="AG947">
        <f t="shared" si="263"/>
        <v>0.76448053554125794</v>
      </c>
      <c r="AI947">
        <f t="shared" si="264"/>
        <v>0.35323880457322571</v>
      </c>
      <c r="AJ947">
        <f t="shared" si="265"/>
        <v>25.331011376303817</v>
      </c>
      <c r="AL947">
        <f t="shared" si="266"/>
        <v>0.36447103681122112</v>
      </c>
      <c r="AM947">
        <f t="shared" si="267"/>
        <v>26.967566706795328</v>
      </c>
      <c r="AO947">
        <f t="shared" si="268"/>
        <v>0.36353661570977686</v>
      </c>
      <c r="AP947">
        <f t="shared" si="269"/>
        <v>26.829466509517285</v>
      </c>
    </row>
    <row r="948" spans="1:42" x14ac:dyDescent="0.2">
      <c r="A948" s="3">
        <v>950</v>
      </c>
      <c r="B948" s="3">
        <v>6.68E-7</v>
      </c>
      <c r="C948" s="2">
        <v>4.931E-2</v>
      </c>
      <c r="D948" s="3">
        <v>249000</v>
      </c>
      <c r="E948" s="3">
        <v>104000000000</v>
      </c>
      <c r="F948" s="3">
        <v>94400000000</v>
      </c>
      <c r="G948" s="3">
        <v>3290000000</v>
      </c>
      <c r="H948" s="3">
        <v>10300000000</v>
      </c>
      <c r="I948" s="2"/>
      <c r="J948" s="7">
        <f t="shared" si="253"/>
        <v>0.66800000000000004</v>
      </c>
      <c r="K948" s="7">
        <f t="shared" si="254"/>
        <v>49.31</v>
      </c>
      <c r="L948" s="7">
        <f t="shared" si="255"/>
        <v>104</v>
      </c>
      <c r="M948" s="7">
        <f t="shared" si="256"/>
        <v>249</v>
      </c>
      <c r="O948">
        <f t="shared" si="257"/>
        <v>0.51947590361445783</v>
      </c>
      <c r="P948">
        <f t="shared" si="258"/>
        <v>519.47590361445782</v>
      </c>
      <c r="V948">
        <f t="shared" si="259"/>
        <v>1020.2092825850556</v>
      </c>
      <c r="W948">
        <f t="shared" si="260"/>
        <v>122.03378475888388</v>
      </c>
      <c r="AE948">
        <f t="shared" si="261"/>
        <v>0.84441812773196301</v>
      </c>
      <c r="AF948">
        <f t="shared" si="262"/>
        <v>0.81839493368164606</v>
      </c>
      <c r="AG948">
        <f t="shared" si="263"/>
        <v>0.82049850581798811</v>
      </c>
      <c r="AI948">
        <f t="shared" si="264"/>
        <v>0.32961553547045896</v>
      </c>
      <c r="AJ948">
        <f t="shared" si="265"/>
        <v>22.012552287311443</v>
      </c>
      <c r="AL948">
        <f t="shared" si="266"/>
        <v>0.3400965986937603</v>
      </c>
      <c r="AM948">
        <f t="shared" si="267"/>
        <v>23.434712628576865</v>
      </c>
      <c r="AO948">
        <f t="shared" si="268"/>
        <v>0.33922466812520469</v>
      </c>
      <c r="AP948">
        <f t="shared" si="269"/>
        <v>23.314704083781269</v>
      </c>
    </row>
    <row r="949" spans="1:42" x14ac:dyDescent="0.2">
      <c r="A949" s="3">
        <v>950</v>
      </c>
      <c r="B949" s="3">
        <v>6.6899999999999997E-7</v>
      </c>
      <c r="C949" s="2">
        <v>4.9360000000000001E-2</v>
      </c>
      <c r="D949" s="3">
        <v>209000</v>
      </c>
      <c r="E949" s="3">
        <v>88300000000</v>
      </c>
      <c r="F949" s="3">
        <v>81600000000</v>
      </c>
      <c r="G949" s="2">
        <v>0</v>
      </c>
      <c r="H949" s="3">
        <v>10900000000</v>
      </c>
      <c r="I949" s="2"/>
      <c r="J949" s="7">
        <f t="shared" si="253"/>
        <v>0.66899999999999993</v>
      </c>
      <c r="K949" s="7">
        <f t="shared" si="254"/>
        <v>49.36</v>
      </c>
      <c r="L949" s="7">
        <f t="shared" si="255"/>
        <v>88.300000000000011</v>
      </c>
      <c r="M949" s="7">
        <f t="shared" si="256"/>
        <v>209</v>
      </c>
      <c r="O949">
        <f t="shared" si="257"/>
        <v>0.49187081339712913</v>
      </c>
      <c r="P949">
        <f t="shared" si="258"/>
        <v>491.8708133971291</v>
      </c>
      <c r="V949">
        <f t="shared" si="259"/>
        <v>995.82571691621752</v>
      </c>
      <c r="W949">
        <f t="shared" si="260"/>
        <v>104.93804108976629</v>
      </c>
      <c r="AE949">
        <f t="shared" si="261"/>
        <v>0.70876862930112561</v>
      </c>
      <c r="AF949">
        <f t="shared" si="262"/>
        <v>0.68692586802997602</v>
      </c>
      <c r="AG949">
        <f t="shared" si="263"/>
        <v>0.68869151693156427</v>
      </c>
      <c r="AI949">
        <f t="shared" si="264"/>
        <v>0.39328772250382854</v>
      </c>
      <c r="AJ949">
        <f t="shared" si="265"/>
        <v>31.276393681761327</v>
      </c>
      <c r="AL949">
        <f t="shared" si="266"/>
        <v>0.40579342396789153</v>
      </c>
      <c r="AM949">
        <f t="shared" si="267"/>
        <v>33.297061077865358</v>
      </c>
      <c r="AO949">
        <f t="shared" si="268"/>
        <v>0.40475306163485025</v>
      </c>
      <c r="AP949">
        <f t="shared" si="269"/>
        <v>33.126547706984425</v>
      </c>
    </row>
    <row r="950" spans="1:42" x14ac:dyDescent="0.2">
      <c r="A950" s="3">
        <v>950</v>
      </c>
      <c r="B950" s="3">
        <v>6.6899999999999997E-7</v>
      </c>
      <c r="C950" s="2">
        <v>4.9410000000000003E-2</v>
      </c>
      <c r="D950" s="3">
        <v>258000</v>
      </c>
      <c r="E950" s="3">
        <v>107000000000</v>
      </c>
      <c r="F950" s="3">
        <v>97400000000</v>
      </c>
      <c r="G950" s="2">
        <v>0</v>
      </c>
      <c r="H950" s="3">
        <v>10200000000</v>
      </c>
      <c r="I950" s="2"/>
      <c r="J950" s="7">
        <f t="shared" si="253"/>
        <v>0.66899999999999993</v>
      </c>
      <c r="K950" s="7">
        <f t="shared" si="254"/>
        <v>49.410000000000004</v>
      </c>
      <c r="L950" s="7">
        <f t="shared" si="255"/>
        <v>107</v>
      </c>
      <c r="M950" s="7">
        <f t="shared" si="256"/>
        <v>258</v>
      </c>
      <c r="O950">
        <f t="shared" si="257"/>
        <v>0.52536627906976729</v>
      </c>
      <c r="P950">
        <f t="shared" si="258"/>
        <v>525.3662790697673</v>
      </c>
      <c r="V950">
        <f t="shared" si="259"/>
        <v>1025.3181498460824</v>
      </c>
      <c r="W950">
        <f t="shared" si="260"/>
        <v>125.81460692894697</v>
      </c>
      <c r="AE950">
        <f t="shared" si="261"/>
        <v>0.8749392648789015</v>
      </c>
      <c r="AF950">
        <f t="shared" si="262"/>
        <v>0.84797547345327173</v>
      </c>
      <c r="AG950">
        <f t="shared" si="263"/>
        <v>0.85015507831743342</v>
      </c>
      <c r="AI950">
        <f t="shared" si="264"/>
        <v>0.31859354264845019</v>
      </c>
      <c r="AJ950">
        <f t="shared" si="265"/>
        <v>20.54516030377436</v>
      </c>
      <c r="AL950">
        <f t="shared" si="266"/>
        <v>0.32872413026856334</v>
      </c>
      <c r="AM950">
        <f t="shared" si="267"/>
        <v>21.872517159426714</v>
      </c>
      <c r="AO950">
        <f t="shared" si="268"/>
        <v>0.32788135613055702</v>
      </c>
      <c r="AP950">
        <f t="shared" si="269"/>
        <v>21.760508576393413</v>
      </c>
    </row>
    <row r="951" spans="1:42" x14ac:dyDescent="0.2">
      <c r="A951" s="3">
        <v>950</v>
      </c>
      <c r="B951" s="3">
        <v>6.7000000000000004E-7</v>
      </c>
      <c r="C951" s="2">
        <v>4.947E-2</v>
      </c>
      <c r="D951" s="3">
        <v>209000</v>
      </c>
      <c r="E951" s="3">
        <v>88000000000</v>
      </c>
      <c r="F951" s="3">
        <v>81400000000</v>
      </c>
      <c r="G951" s="3">
        <v>8500000000</v>
      </c>
      <c r="H951" s="3">
        <v>10900000000</v>
      </c>
      <c r="I951" s="2"/>
      <c r="J951" s="7">
        <f t="shared" si="253"/>
        <v>0.67</v>
      </c>
      <c r="K951" s="7">
        <f t="shared" si="254"/>
        <v>49.47</v>
      </c>
      <c r="L951" s="7">
        <f t="shared" si="255"/>
        <v>88</v>
      </c>
      <c r="M951" s="7">
        <f t="shared" si="256"/>
        <v>209</v>
      </c>
      <c r="O951">
        <f t="shared" si="257"/>
        <v>0.49247607655502396</v>
      </c>
      <c r="P951">
        <f t="shared" si="258"/>
        <v>492.47607655502395</v>
      </c>
      <c r="V951">
        <f t="shared" si="259"/>
        <v>996.36840601428719</v>
      </c>
      <c r="W951">
        <f t="shared" si="260"/>
        <v>104.88088479042113</v>
      </c>
      <c r="AE951">
        <f t="shared" si="261"/>
        <v>0.70876862930112561</v>
      </c>
      <c r="AF951">
        <f t="shared" si="262"/>
        <v>0.68692586802997602</v>
      </c>
      <c r="AG951">
        <f t="shared" si="263"/>
        <v>0.68869151693156427</v>
      </c>
      <c r="AI951">
        <f t="shared" si="264"/>
        <v>0.39387559652849796</v>
      </c>
      <c r="AJ951">
        <f t="shared" si="265"/>
        <v>31.346093910792803</v>
      </c>
      <c r="AL951">
        <f t="shared" si="266"/>
        <v>0.4063999911188152</v>
      </c>
      <c r="AM951">
        <f t="shared" si="267"/>
        <v>33.371264414951362</v>
      </c>
      <c r="AO951">
        <f t="shared" si="268"/>
        <v>0.40535807368512666</v>
      </c>
      <c r="AP951">
        <f t="shared" si="269"/>
        <v>33.200371050739861</v>
      </c>
    </row>
    <row r="952" spans="1:42" x14ac:dyDescent="0.2">
      <c r="A952" s="3">
        <v>950</v>
      </c>
      <c r="B952" s="3">
        <v>6.7100000000000001E-7</v>
      </c>
      <c r="C952" s="2">
        <v>4.9520000000000002E-2</v>
      </c>
      <c r="D952" s="3">
        <v>226000</v>
      </c>
      <c r="E952" s="3">
        <v>94300000000</v>
      </c>
      <c r="F952" s="3">
        <v>86700000000</v>
      </c>
      <c r="G952" s="3">
        <v>8420000000</v>
      </c>
      <c r="H952" s="3">
        <v>10600000000</v>
      </c>
      <c r="I952" s="2"/>
      <c r="J952" s="7">
        <f t="shared" si="253"/>
        <v>0.67100000000000004</v>
      </c>
      <c r="K952" s="7">
        <f t="shared" si="254"/>
        <v>49.52</v>
      </c>
      <c r="L952" s="7">
        <f t="shared" si="255"/>
        <v>94.300000000000011</v>
      </c>
      <c r="M952" s="7">
        <f t="shared" si="256"/>
        <v>226</v>
      </c>
      <c r="O952">
        <f t="shared" si="257"/>
        <v>0.50666371681415934</v>
      </c>
      <c r="P952">
        <f t="shared" si="258"/>
        <v>506.66371681415933</v>
      </c>
      <c r="V952">
        <f t="shared" si="259"/>
        <v>1008.9844006987717</v>
      </c>
      <c r="W952">
        <f t="shared" si="260"/>
        <v>111.99380279986678</v>
      </c>
      <c r="AE952">
        <f t="shared" si="261"/>
        <v>0.76641966613423151</v>
      </c>
      <c r="AF952">
        <f t="shared" si="262"/>
        <v>0.74280022093193576</v>
      </c>
      <c r="AG952">
        <f t="shared" si="263"/>
        <v>0.74470948720829444</v>
      </c>
      <c r="AI952">
        <f t="shared" si="264"/>
        <v>0.36479143958235388</v>
      </c>
      <c r="AJ952">
        <f t="shared" si="265"/>
        <v>26.834768309279514</v>
      </c>
      <c r="AL952">
        <f t="shared" si="266"/>
        <v>0.37639102070077618</v>
      </c>
      <c r="AM952">
        <f t="shared" si="267"/>
        <v>28.568476548032994</v>
      </c>
      <c r="AO952">
        <f t="shared" si="268"/>
        <v>0.37542603946327086</v>
      </c>
      <c r="AP952">
        <f t="shared" si="269"/>
        <v>28.422178133715089</v>
      </c>
    </row>
    <row r="953" spans="1:42" x14ac:dyDescent="0.2">
      <c r="A953" s="3">
        <v>950</v>
      </c>
      <c r="B953" s="3">
        <v>6.7100000000000001E-7</v>
      </c>
      <c r="C953" s="2">
        <v>4.9570000000000003E-2</v>
      </c>
      <c r="D953" s="3">
        <v>210000</v>
      </c>
      <c r="E953" s="3">
        <v>88500000000</v>
      </c>
      <c r="F953" s="3">
        <v>81700000000</v>
      </c>
      <c r="G953" s="3">
        <v>7870000000</v>
      </c>
      <c r="H953" s="3">
        <v>10900000000</v>
      </c>
      <c r="I953" s="2"/>
      <c r="J953" s="7">
        <f t="shared" si="253"/>
        <v>0.67100000000000004</v>
      </c>
      <c r="K953" s="7">
        <f t="shared" si="254"/>
        <v>49.57</v>
      </c>
      <c r="L953" s="7">
        <f t="shared" si="255"/>
        <v>88.5</v>
      </c>
      <c r="M953" s="7">
        <f t="shared" si="256"/>
        <v>210</v>
      </c>
      <c r="O953">
        <f t="shared" si="257"/>
        <v>0.49396428571428574</v>
      </c>
      <c r="P953">
        <f t="shared" si="258"/>
        <v>493.96428571428572</v>
      </c>
      <c r="V953">
        <f t="shared" si="259"/>
        <v>997.70118165538327</v>
      </c>
      <c r="W953">
        <f t="shared" si="260"/>
        <v>105.24193208409784</v>
      </c>
      <c r="AE953">
        <f t="shared" si="261"/>
        <v>0.71215986676189658</v>
      </c>
      <c r="AF953">
        <f t="shared" si="262"/>
        <v>0.69021259467126772</v>
      </c>
      <c r="AG953">
        <f t="shared" si="263"/>
        <v>0.69198669165372484</v>
      </c>
      <c r="AI953">
        <f t="shared" si="264"/>
        <v>0.39258507307434271</v>
      </c>
      <c r="AJ953">
        <f t="shared" si="265"/>
        <v>31.111032295060784</v>
      </c>
      <c r="AL953">
        <f t="shared" si="266"/>
        <v>0.4050684318017877</v>
      </c>
      <c r="AM953">
        <f t="shared" si="267"/>
        <v>33.121016222793102</v>
      </c>
      <c r="AO953">
        <f t="shared" si="268"/>
        <v>0.40402992818428202</v>
      </c>
      <c r="AP953">
        <f t="shared" si="269"/>
        <v>32.951404372968177</v>
      </c>
    </row>
    <row r="954" spans="1:42" x14ac:dyDescent="0.2">
      <c r="A954" s="3">
        <v>950</v>
      </c>
      <c r="B954" s="3">
        <v>6.7199999999999998E-7</v>
      </c>
      <c r="C954" s="2">
        <v>4.9619999999999997E-2</v>
      </c>
      <c r="D954" s="3">
        <v>213000</v>
      </c>
      <c r="E954" s="3">
        <v>89300000000</v>
      </c>
      <c r="F954" s="3">
        <v>82500000000</v>
      </c>
      <c r="G954" s="3">
        <v>2880000000</v>
      </c>
      <c r="H954" s="3">
        <v>10800000000</v>
      </c>
      <c r="I954" s="2"/>
      <c r="J954" s="7">
        <f t="shared" si="253"/>
        <v>0.67199999999999993</v>
      </c>
      <c r="K954" s="7">
        <f t="shared" si="254"/>
        <v>49.62</v>
      </c>
      <c r="L954" s="7">
        <f t="shared" si="255"/>
        <v>89.300000000000011</v>
      </c>
      <c r="M954" s="7">
        <f t="shared" si="256"/>
        <v>213</v>
      </c>
      <c r="O954">
        <f t="shared" si="257"/>
        <v>0.497281690140845</v>
      </c>
      <c r="P954">
        <f t="shared" si="258"/>
        <v>497.281690140845</v>
      </c>
      <c r="V954">
        <f t="shared" si="259"/>
        <v>1000.6640782153515</v>
      </c>
      <c r="W954">
        <f t="shared" si="260"/>
        <v>106.42932260538315</v>
      </c>
      <c r="AE954">
        <f t="shared" si="261"/>
        <v>0.72233357914420937</v>
      </c>
      <c r="AF954">
        <f t="shared" si="262"/>
        <v>0.70007277459514294</v>
      </c>
      <c r="AG954">
        <f t="shared" si="263"/>
        <v>0.70187221582020665</v>
      </c>
      <c r="AI954">
        <f t="shared" si="264"/>
        <v>0.38763253998482566</v>
      </c>
      <c r="AJ954">
        <f t="shared" si="265"/>
        <v>30.271339951499929</v>
      </c>
      <c r="AL954">
        <f t="shared" si="266"/>
        <v>0.39995841883999267</v>
      </c>
      <c r="AM954">
        <f t="shared" si="267"/>
        <v>32.227074052393007</v>
      </c>
      <c r="AO954">
        <f t="shared" si="268"/>
        <v>0.39893301613712184</v>
      </c>
      <c r="AP954">
        <f t="shared" si="269"/>
        <v>32.062040056826476</v>
      </c>
    </row>
    <row r="955" spans="1:42" x14ac:dyDescent="0.2">
      <c r="A955" s="3">
        <v>950</v>
      </c>
      <c r="B955" s="3">
        <v>6.7299999999999995E-7</v>
      </c>
      <c r="C955" s="2">
        <v>4.9669999999999999E-2</v>
      </c>
      <c r="D955" s="3">
        <v>236000</v>
      </c>
      <c r="E955" s="3">
        <v>98300000000</v>
      </c>
      <c r="F955" s="3">
        <v>90100000000</v>
      </c>
      <c r="G955" s="3">
        <v>2820000000</v>
      </c>
      <c r="H955" s="3">
        <v>10500000000</v>
      </c>
      <c r="I955" s="2"/>
      <c r="J955" s="7">
        <f t="shared" si="253"/>
        <v>0.67299999999999993</v>
      </c>
      <c r="K955" s="7">
        <f t="shared" si="254"/>
        <v>49.67</v>
      </c>
      <c r="L955" s="7">
        <f t="shared" si="255"/>
        <v>98.300000000000011</v>
      </c>
      <c r="M955" s="7">
        <f t="shared" si="256"/>
        <v>236</v>
      </c>
      <c r="O955">
        <f t="shared" si="257"/>
        <v>0.51515042372881348</v>
      </c>
      <c r="P955">
        <f t="shared" si="258"/>
        <v>515.15042372881351</v>
      </c>
      <c r="V955">
        <f t="shared" si="259"/>
        <v>1016.4371081298082</v>
      </c>
      <c r="W955">
        <f t="shared" si="260"/>
        <v>116.0917867482366</v>
      </c>
      <c r="AE955">
        <f t="shared" si="261"/>
        <v>0.80033204074194086</v>
      </c>
      <c r="AF955">
        <f t="shared" si="262"/>
        <v>0.77566748734485325</v>
      </c>
      <c r="AG955">
        <f t="shared" si="263"/>
        <v>0.77766123442990032</v>
      </c>
      <c r="AI955">
        <f t="shared" si="264"/>
        <v>0.3503754096945923</v>
      </c>
      <c r="AJ955">
        <f t="shared" si="265"/>
        <v>24.683358235905999</v>
      </c>
      <c r="AL955">
        <f t="shared" si="266"/>
        <v>0.3615165921502605</v>
      </c>
      <c r="AM955">
        <f t="shared" si="267"/>
        <v>26.278070776013738</v>
      </c>
      <c r="AO955">
        <f t="shared" si="268"/>
        <v>0.36058974557506235</v>
      </c>
      <c r="AP955">
        <f t="shared" si="269"/>
        <v>26.143501469197513</v>
      </c>
    </row>
    <row r="956" spans="1:42" x14ac:dyDescent="0.2">
      <c r="A956" s="3">
        <v>950</v>
      </c>
      <c r="B956" s="3">
        <v>6.7400000000000003E-7</v>
      </c>
      <c r="C956" s="2">
        <v>4.9730000000000003E-2</v>
      </c>
      <c r="D956" s="3">
        <v>228000</v>
      </c>
      <c r="E956" s="3">
        <v>95200000000</v>
      </c>
      <c r="F956" s="3">
        <v>87400000000</v>
      </c>
      <c r="G956" s="3">
        <v>4910000000</v>
      </c>
      <c r="H956" s="3">
        <v>10600000000</v>
      </c>
      <c r="I956" s="2"/>
      <c r="J956" s="7">
        <f t="shared" si="253"/>
        <v>0.67400000000000004</v>
      </c>
      <c r="K956" s="7">
        <f t="shared" si="254"/>
        <v>49.730000000000004</v>
      </c>
      <c r="L956" s="7">
        <f t="shared" si="255"/>
        <v>95.2</v>
      </c>
      <c r="M956" s="7">
        <f t="shared" si="256"/>
        <v>228</v>
      </c>
      <c r="O956">
        <f t="shared" si="257"/>
        <v>0.51041447368421056</v>
      </c>
      <c r="P956">
        <f t="shared" si="258"/>
        <v>510.41447368421058</v>
      </c>
      <c r="V956">
        <f t="shared" si="259"/>
        <v>1012.2866818798789</v>
      </c>
      <c r="W956">
        <f t="shared" si="260"/>
        <v>112.61631911258081</v>
      </c>
      <c r="AE956">
        <f t="shared" si="261"/>
        <v>0.77320214105577334</v>
      </c>
      <c r="AF956">
        <f t="shared" si="262"/>
        <v>0.74937367421451928</v>
      </c>
      <c r="AG956">
        <f t="shared" si="263"/>
        <v>0.75129983665261557</v>
      </c>
      <c r="AI956">
        <f t="shared" si="264"/>
        <v>0.36320816824157764</v>
      </c>
      <c r="AJ956">
        <f t="shared" si="265"/>
        <v>26.477858532700925</v>
      </c>
      <c r="AL956">
        <f t="shared" si="266"/>
        <v>0.37475740474563385</v>
      </c>
      <c r="AM956">
        <f t="shared" si="267"/>
        <v>28.188507976498002</v>
      </c>
      <c r="AO956">
        <f t="shared" si="268"/>
        <v>0.37379661172904594</v>
      </c>
      <c r="AP956">
        <f t="shared" si="269"/>
        <v>28.044155371205402</v>
      </c>
    </row>
    <row r="957" spans="1:42" x14ac:dyDescent="0.2">
      <c r="A957" s="3">
        <v>960</v>
      </c>
      <c r="B957" s="3">
        <v>6.7400000000000003E-7</v>
      </c>
      <c r="C957" s="2">
        <v>4.9779999999999998E-2</v>
      </c>
      <c r="D957" s="3">
        <v>221000</v>
      </c>
      <c r="E957" s="3">
        <v>92400000000</v>
      </c>
      <c r="F957" s="3">
        <v>85100000000</v>
      </c>
      <c r="G957" s="3">
        <v>2070000000</v>
      </c>
      <c r="H957" s="3">
        <v>10700000000</v>
      </c>
      <c r="I957" s="2"/>
      <c r="J957" s="7">
        <f t="shared" si="253"/>
        <v>0.67400000000000004</v>
      </c>
      <c r="K957" s="7">
        <f t="shared" si="254"/>
        <v>49.78</v>
      </c>
      <c r="L957" s="7">
        <f t="shared" si="255"/>
        <v>92.4</v>
      </c>
      <c r="M957" s="7">
        <f t="shared" si="256"/>
        <v>221</v>
      </c>
      <c r="O957">
        <f t="shared" si="257"/>
        <v>0.50506334841628964</v>
      </c>
      <c r="P957">
        <f t="shared" si="258"/>
        <v>505.06334841628961</v>
      </c>
      <c r="V957">
        <f t="shared" si="259"/>
        <v>1007.5712436376415</v>
      </c>
      <c r="W957">
        <f t="shared" si="260"/>
        <v>109.6696642522876</v>
      </c>
      <c r="AE957">
        <f t="shared" si="261"/>
        <v>0.74946347883037678</v>
      </c>
      <c r="AF957">
        <f t="shared" si="262"/>
        <v>0.72636658772547702</v>
      </c>
      <c r="AG957">
        <f t="shared" si="263"/>
        <v>0.72823361359749139</v>
      </c>
      <c r="AI957">
        <f t="shared" si="264"/>
        <v>0.37471249936235157</v>
      </c>
      <c r="AJ957">
        <f t="shared" si="265"/>
        <v>28.210087754373266</v>
      </c>
      <c r="AL957">
        <f t="shared" si="266"/>
        <v>0.38662754878735073</v>
      </c>
      <c r="AM957">
        <f t="shared" si="267"/>
        <v>30.032650967591053</v>
      </c>
      <c r="AO957">
        <f t="shared" si="268"/>
        <v>0.38563632341277132</v>
      </c>
      <c r="AP957">
        <f t="shared" si="269"/>
        <v>29.878854554718494</v>
      </c>
    </row>
    <row r="958" spans="1:42" x14ac:dyDescent="0.2">
      <c r="A958" s="3">
        <v>960</v>
      </c>
      <c r="B958" s="3">
        <v>6.75E-7</v>
      </c>
      <c r="C958" s="2">
        <v>4.9829999999999999E-2</v>
      </c>
      <c r="D958" s="3">
        <v>244000</v>
      </c>
      <c r="E958" s="3">
        <v>101000000000</v>
      </c>
      <c r="F958" s="3">
        <v>92500000000</v>
      </c>
      <c r="G958" s="3">
        <v>3340000000</v>
      </c>
      <c r="H958" s="3">
        <v>10300000000</v>
      </c>
      <c r="I958" s="2"/>
      <c r="J958" s="7">
        <f t="shared" si="253"/>
        <v>0.67500000000000004</v>
      </c>
      <c r="K958" s="7">
        <f t="shared" si="254"/>
        <v>49.83</v>
      </c>
      <c r="L958" s="7">
        <f t="shared" si="255"/>
        <v>101</v>
      </c>
      <c r="M958" s="7">
        <f t="shared" si="256"/>
        <v>244</v>
      </c>
      <c r="O958">
        <f t="shared" si="257"/>
        <v>0.52183401639344273</v>
      </c>
      <c r="P958">
        <f t="shared" si="258"/>
        <v>521.83401639344277</v>
      </c>
      <c r="V958">
        <f t="shared" si="259"/>
        <v>1022.258385097907</v>
      </c>
      <c r="W958">
        <f t="shared" si="260"/>
        <v>119.34360410094892</v>
      </c>
      <c r="AE958">
        <f t="shared" si="261"/>
        <v>0.82746194042810839</v>
      </c>
      <c r="AF958">
        <f t="shared" si="262"/>
        <v>0.80196130047518721</v>
      </c>
      <c r="AG958">
        <f t="shared" si="263"/>
        <v>0.80402263220718506</v>
      </c>
      <c r="AI958">
        <f t="shared" si="264"/>
        <v>0.33989478700916231</v>
      </c>
      <c r="AJ958">
        <f t="shared" si="265"/>
        <v>23.16569460593195</v>
      </c>
      <c r="AL958">
        <f t="shared" si="266"/>
        <v>0.3507027082645392</v>
      </c>
      <c r="AM958">
        <f t="shared" si="267"/>
        <v>24.662355770726244</v>
      </c>
      <c r="AO958">
        <f t="shared" si="268"/>
        <v>0.3498035860357796</v>
      </c>
      <c r="AP958">
        <f t="shared" si="269"/>
        <v>24.536060497804186</v>
      </c>
    </row>
    <row r="959" spans="1:42" x14ac:dyDescent="0.2">
      <c r="A959" s="3">
        <v>960</v>
      </c>
      <c r="B959" s="3">
        <v>6.7599999999999997E-7</v>
      </c>
      <c r="C959" s="2">
        <v>4.9880000000000001E-2</v>
      </c>
      <c r="D959" s="3">
        <v>219000</v>
      </c>
      <c r="E959" s="3">
        <v>91500000000</v>
      </c>
      <c r="F959" s="3">
        <v>84300000000</v>
      </c>
      <c r="G959" s="3">
        <v>3680000000</v>
      </c>
      <c r="H959" s="3">
        <v>10700000000</v>
      </c>
      <c r="I959" s="2"/>
      <c r="J959" s="7">
        <f t="shared" si="253"/>
        <v>0.67599999999999993</v>
      </c>
      <c r="K959" s="7">
        <f t="shared" si="254"/>
        <v>49.88</v>
      </c>
      <c r="L959" s="7">
        <f t="shared" si="255"/>
        <v>91.5</v>
      </c>
      <c r="M959" s="7">
        <f t="shared" si="256"/>
        <v>219</v>
      </c>
      <c r="O959">
        <f t="shared" si="257"/>
        <v>0.50517808219178073</v>
      </c>
      <c r="P959">
        <f t="shared" si="258"/>
        <v>505.17808219178073</v>
      </c>
      <c r="V959">
        <f t="shared" si="259"/>
        <v>1007.6726387580852</v>
      </c>
      <c r="W959">
        <f t="shared" si="260"/>
        <v>108.66624317095105</v>
      </c>
      <c r="AE959">
        <f t="shared" si="261"/>
        <v>0.74268100390883496</v>
      </c>
      <c r="AF959">
        <f t="shared" si="262"/>
        <v>0.7197931344428935</v>
      </c>
      <c r="AG959">
        <f t="shared" si="263"/>
        <v>0.72164326415317026</v>
      </c>
      <c r="AI959">
        <f t="shared" si="264"/>
        <v>0.37925659224379676</v>
      </c>
      <c r="AJ959">
        <f t="shared" si="265"/>
        <v>28.785402558457594</v>
      </c>
      <c r="AL959">
        <f t="shared" si="266"/>
        <v>0.39131613402324467</v>
      </c>
      <c r="AM959">
        <f t="shared" si="267"/>
        <v>30.645135014361674</v>
      </c>
      <c r="AO959">
        <f t="shared" si="268"/>
        <v>0.3903128881791687</v>
      </c>
      <c r="AP959">
        <f t="shared" si="269"/>
        <v>30.488202086852525</v>
      </c>
    </row>
    <row r="960" spans="1:42" x14ac:dyDescent="0.2">
      <c r="A960" s="3">
        <v>960</v>
      </c>
      <c r="B960" s="3">
        <v>6.7700000000000004E-7</v>
      </c>
      <c r="C960" s="2">
        <v>4.9939999999999998E-2</v>
      </c>
      <c r="D960" s="3">
        <v>222000</v>
      </c>
      <c r="E960" s="3">
        <v>92700000000</v>
      </c>
      <c r="F960" s="3">
        <v>85300000000</v>
      </c>
      <c r="G960" s="3">
        <v>5640000000</v>
      </c>
      <c r="H960" s="3">
        <v>10700000000</v>
      </c>
      <c r="I960" s="2"/>
      <c r="J960" s="7">
        <f t="shared" si="253"/>
        <v>0.67700000000000005</v>
      </c>
      <c r="K960" s="7">
        <f t="shared" si="254"/>
        <v>49.94</v>
      </c>
      <c r="L960" s="7">
        <f t="shared" si="255"/>
        <v>92.7</v>
      </c>
      <c r="M960" s="7">
        <f t="shared" si="256"/>
        <v>222</v>
      </c>
      <c r="O960">
        <f t="shared" si="257"/>
        <v>0.50828378378378392</v>
      </c>
      <c r="P960">
        <f t="shared" si="258"/>
        <v>508.28378378378392</v>
      </c>
      <c r="V960">
        <f t="shared" si="259"/>
        <v>1010.4124220042855</v>
      </c>
      <c r="W960">
        <f t="shared" si="260"/>
        <v>109.85613159804285</v>
      </c>
      <c r="AE960">
        <f t="shared" si="261"/>
        <v>0.75285471629114775</v>
      </c>
      <c r="AF960">
        <f t="shared" si="262"/>
        <v>0.72965331436676872</v>
      </c>
      <c r="AG960">
        <f t="shared" si="263"/>
        <v>0.73152878831965207</v>
      </c>
      <c r="AI960">
        <f t="shared" si="264"/>
        <v>0.37468495212859193</v>
      </c>
      <c r="AJ960">
        <f t="shared" si="265"/>
        <v>28.046371434199511</v>
      </c>
      <c r="AL960">
        <f t="shared" si="266"/>
        <v>0.38659912561096227</v>
      </c>
      <c r="AM960">
        <f t="shared" si="267"/>
        <v>29.858357461513094</v>
      </c>
      <c r="AO960">
        <f t="shared" si="268"/>
        <v>0.38560797310696265</v>
      </c>
      <c r="AP960">
        <f t="shared" si="269"/>
        <v>29.705453601084542</v>
      </c>
    </row>
    <row r="961" spans="1:42" x14ac:dyDescent="0.2">
      <c r="A961" s="3">
        <v>960</v>
      </c>
      <c r="B961" s="3">
        <v>6.7800000000000001E-7</v>
      </c>
      <c r="C961" s="2">
        <v>4.999E-2</v>
      </c>
      <c r="D961" s="3">
        <v>232000</v>
      </c>
      <c r="E961" s="3">
        <v>96000000000</v>
      </c>
      <c r="F961" s="3">
        <v>88200000000</v>
      </c>
      <c r="G961" s="3">
        <v>21500000000</v>
      </c>
      <c r="H961" s="3">
        <v>10500000000</v>
      </c>
      <c r="I961" s="2"/>
      <c r="J961" s="7">
        <f t="shared" si="253"/>
        <v>0.67800000000000005</v>
      </c>
      <c r="K961" s="7">
        <f t="shared" si="254"/>
        <v>49.99</v>
      </c>
      <c r="L961" s="7">
        <f t="shared" si="255"/>
        <v>96</v>
      </c>
      <c r="M961" s="7">
        <f t="shared" si="256"/>
        <v>232</v>
      </c>
      <c r="O961">
        <f t="shared" si="257"/>
        <v>0.51639439655172414</v>
      </c>
      <c r="P961">
        <f t="shared" si="258"/>
        <v>516.39439655172418</v>
      </c>
      <c r="V961">
        <f t="shared" si="259"/>
        <v>1017.5237561274205</v>
      </c>
      <c r="W961">
        <f t="shared" si="260"/>
        <v>114.00225233215468</v>
      </c>
      <c r="AE961">
        <f t="shared" si="261"/>
        <v>0.7867670908988571</v>
      </c>
      <c r="AF961">
        <f t="shared" si="262"/>
        <v>0.76252058077968621</v>
      </c>
      <c r="AG961">
        <f t="shared" si="263"/>
        <v>0.76448053554125794</v>
      </c>
      <c r="AI961">
        <f t="shared" si="264"/>
        <v>0.35906433208492811</v>
      </c>
      <c r="AJ961">
        <f t="shared" si="265"/>
        <v>25.706399892436622</v>
      </c>
      <c r="AL961">
        <f t="shared" si="266"/>
        <v>0.37048180353524424</v>
      </c>
      <c r="AM961">
        <f t="shared" si="267"/>
        <v>27.367207869928919</v>
      </c>
      <c r="AO961">
        <f t="shared" si="268"/>
        <v>0.36953197219074768</v>
      </c>
      <c r="AP961">
        <f t="shared" si="269"/>
        <v>27.227061120803274</v>
      </c>
    </row>
    <row r="962" spans="1:42" x14ac:dyDescent="0.2">
      <c r="A962" s="3">
        <v>960</v>
      </c>
      <c r="B962" s="3">
        <v>6.7800000000000001E-7</v>
      </c>
      <c r="C962" s="2">
        <v>5.0040000000000001E-2</v>
      </c>
      <c r="D962" s="3">
        <v>224000</v>
      </c>
      <c r="E962" s="3">
        <v>93100000000</v>
      </c>
      <c r="F962" s="3">
        <v>85700000000</v>
      </c>
      <c r="G962" s="2">
        <v>0</v>
      </c>
      <c r="H962" s="3">
        <v>10600000000</v>
      </c>
      <c r="I962" s="2"/>
      <c r="J962" s="7">
        <f t="shared" si="253"/>
        <v>0.67800000000000005</v>
      </c>
      <c r="K962" s="7">
        <f t="shared" si="254"/>
        <v>50.04</v>
      </c>
      <c r="L962" s="7">
        <f t="shared" si="255"/>
        <v>93.100000000000009</v>
      </c>
      <c r="M962" s="7">
        <f t="shared" si="256"/>
        <v>224</v>
      </c>
      <c r="O962">
        <f t="shared" si="257"/>
        <v>0.51045535714285717</v>
      </c>
      <c r="P962">
        <f t="shared" si="258"/>
        <v>510.45535714285717</v>
      </c>
      <c r="V962">
        <f t="shared" si="259"/>
        <v>1012.3226023338246</v>
      </c>
      <c r="W962">
        <f t="shared" si="260"/>
        <v>110.63666833259815</v>
      </c>
      <c r="AE962">
        <f t="shared" si="261"/>
        <v>0.75963719121268969</v>
      </c>
      <c r="AF962">
        <f t="shared" si="262"/>
        <v>0.73622676764935224</v>
      </c>
      <c r="AG962">
        <f t="shared" si="263"/>
        <v>0.7381191377639732</v>
      </c>
      <c r="AI962">
        <f t="shared" si="264"/>
        <v>0.37188805823081839</v>
      </c>
      <c r="AJ962">
        <f t="shared" si="265"/>
        <v>27.602940964961899</v>
      </c>
      <c r="AL962">
        <f t="shared" si="266"/>
        <v>0.38371329651864577</v>
      </c>
      <c r="AM962">
        <f t="shared" si="267"/>
        <v>29.386278373104602</v>
      </c>
      <c r="AO962">
        <f t="shared" si="268"/>
        <v>0.38272954262613157</v>
      </c>
      <c r="AP962">
        <f t="shared" si="269"/>
        <v>29.235792017226952</v>
      </c>
    </row>
    <row r="963" spans="1:42" x14ac:dyDescent="0.2">
      <c r="A963" s="3">
        <v>960</v>
      </c>
      <c r="B963" s="3">
        <v>6.7999999999999995E-7</v>
      </c>
      <c r="C963" s="2">
        <v>5.0090000000000003E-2</v>
      </c>
      <c r="D963" s="3">
        <v>242000</v>
      </c>
      <c r="E963" s="3">
        <v>99800000000</v>
      </c>
      <c r="F963" s="3">
        <v>91300000000</v>
      </c>
      <c r="G963" s="3">
        <v>5500000000</v>
      </c>
      <c r="H963" s="3">
        <v>10400000000</v>
      </c>
      <c r="I963" s="2"/>
      <c r="J963" s="7">
        <f t="shared" si="253"/>
        <v>0.67999999999999994</v>
      </c>
      <c r="K963" s="7">
        <f t="shared" si="254"/>
        <v>50.09</v>
      </c>
      <c r="L963" s="7">
        <f t="shared" si="255"/>
        <v>99.800000000000011</v>
      </c>
      <c r="M963" s="7">
        <f t="shared" si="256"/>
        <v>242</v>
      </c>
      <c r="O963">
        <f t="shared" si="257"/>
        <v>0.52476239669421476</v>
      </c>
      <c r="P963">
        <f t="shared" si="258"/>
        <v>524.76239669421477</v>
      </c>
      <c r="V963">
        <f t="shared" si="259"/>
        <v>1024.7958604341461</v>
      </c>
      <c r="W963">
        <f t="shared" si="260"/>
        <v>118.07229583142478</v>
      </c>
      <c r="AE963">
        <f t="shared" si="261"/>
        <v>0.82067946550656645</v>
      </c>
      <c r="AF963">
        <f t="shared" si="262"/>
        <v>0.7953878471926038</v>
      </c>
      <c r="AG963">
        <f t="shared" si="263"/>
        <v>0.79743228276286393</v>
      </c>
      <c r="AI963">
        <f t="shared" si="264"/>
        <v>0.34524238176039301</v>
      </c>
      <c r="AJ963">
        <f t="shared" si="265"/>
        <v>23.67305962545845</v>
      </c>
      <c r="AL963">
        <f t="shared" si="266"/>
        <v>0.35622034499695332</v>
      </c>
      <c r="AM963">
        <f t="shared" si="267"/>
        <v>25.202500015482876</v>
      </c>
      <c r="AO963">
        <f t="shared" si="268"/>
        <v>0.35530707679863199</v>
      </c>
      <c r="AP963">
        <f t="shared" si="269"/>
        <v>25.073438678140899</v>
      </c>
    </row>
    <row r="964" spans="1:42" x14ac:dyDescent="0.2">
      <c r="A964" s="3">
        <v>960</v>
      </c>
      <c r="B964" s="3">
        <v>6.7999999999999995E-7</v>
      </c>
      <c r="C964" s="2">
        <v>5.0139999999999997E-2</v>
      </c>
      <c r="D964" s="3">
        <v>213000</v>
      </c>
      <c r="E964" s="3">
        <v>88700000000</v>
      </c>
      <c r="F964" s="3">
        <v>81900000000</v>
      </c>
      <c r="G964" s="3">
        <v>1850000000</v>
      </c>
      <c r="H964" s="3">
        <v>10800000000</v>
      </c>
      <c r="I964" s="2"/>
      <c r="J964" s="7">
        <f t="shared" si="253"/>
        <v>0.67999999999999994</v>
      </c>
      <c r="K964" s="7">
        <f t="shared" si="254"/>
        <v>50.14</v>
      </c>
      <c r="L964" s="7">
        <f t="shared" si="255"/>
        <v>88.7</v>
      </c>
      <c r="M964" s="7">
        <f t="shared" si="256"/>
        <v>213</v>
      </c>
      <c r="O964">
        <f t="shared" si="257"/>
        <v>0.50345070422535199</v>
      </c>
      <c r="P964">
        <f t="shared" si="258"/>
        <v>503.45070422535201</v>
      </c>
      <c r="V964">
        <f t="shared" si="259"/>
        <v>1006.1447217288921</v>
      </c>
      <c r="W964">
        <f t="shared" si="260"/>
        <v>105.84958376265939</v>
      </c>
      <c r="AE964">
        <f t="shared" si="261"/>
        <v>0.72233357914420937</v>
      </c>
      <c r="AF964">
        <f t="shared" si="262"/>
        <v>0.70007277459514294</v>
      </c>
      <c r="AG964">
        <f t="shared" si="263"/>
        <v>0.70187221582020665</v>
      </c>
      <c r="AI964">
        <f t="shared" si="264"/>
        <v>0.39224721307988314</v>
      </c>
      <c r="AJ964">
        <f t="shared" si="265"/>
        <v>30.588572857077924</v>
      </c>
      <c r="AL964">
        <f t="shared" si="266"/>
        <v>0.40471982858808786</v>
      </c>
      <c r="AM964">
        <f t="shared" si="267"/>
        <v>32.564802357657911</v>
      </c>
      <c r="AO964">
        <f t="shared" si="268"/>
        <v>0.40368221871018284</v>
      </c>
      <c r="AP964">
        <f t="shared" si="269"/>
        <v>32.398038864354689</v>
      </c>
    </row>
    <row r="965" spans="1:42" x14ac:dyDescent="0.2">
      <c r="A965" s="3">
        <v>960</v>
      </c>
      <c r="B965" s="3">
        <v>6.8100000000000002E-7</v>
      </c>
      <c r="C965" s="2">
        <v>5.0200000000000002E-2</v>
      </c>
      <c r="D965" s="3">
        <v>222000</v>
      </c>
      <c r="E965" s="3">
        <v>92300000000</v>
      </c>
      <c r="F965" s="3">
        <v>85000000000</v>
      </c>
      <c r="G965" s="3">
        <v>5010000000</v>
      </c>
      <c r="H965" s="3">
        <v>10600000000</v>
      </c>
      <c r="I965" s="2"/>
      <c r="J965" s="7">
        <f t="shared" ref="J965:J1028" si="270">B965*(10^6)</f>
        <v>0.68100000000000005</v>
      </c>
      <c r="K965" s="7">
        <f t="shared" ref="K965:K1028" si="271">C965*1000</f>
        <v>50.2</v>
      </c>
      <c r="L965" s="7">
        <f t="shared" ref="L965:L1028" si="272">E965*(10^-9)</f>
        <v>92.300000000000011</v>
      </c>
      <c r="M965" s="7">
        <f t="shared" ref="M965:M1028" si="273">D965*(10^-3)</f>
        <v>222</v>
      </c>
      <c r="O965">
        <f t="shared" ref="O965:O1028" si="274">J965-(0.75*(K965/M965))</f>
        <v>0.51140540540540547</v>
      </c>
      <c r="P965">
        <f t="shared" ref="P965:P1028" si="275">O965*1000</f>
        <v>511.40540540540547</v>
      </c>
      <c r="V965">
        <f t="shared" ref="V965:V1028" si="276">$S$3*(P965^$S$4)</f>
        <v>1013.1568696390082</v>
      </c>
      <c r="W965">
        <f t="shared" ref="W965:W1028" si="277">M965/(2*(V965/1000))</f>
        <v>109.55855240812782</v>
      </c>
      <c r="AE965">
        <f t="shared" si="261"/>
        <v>0.75285471629114775</v>
      </c>
      <c r="AF965">
        <f t="shared" si="262"/>
        <v>0.72965331436676872</v>
      </c>
      <c r="AG965">
        <f t="shared" si="263"/>
        <v>0.73152878831965207</v>
      </c>
      <c r="AI965">
        <f t="shared" si="264"/>
        <v>0.3768987480052749</v>
      </c>
      <c r="AJ965">
        <f t="shared" si="265"/>
        <v>28.192387785278644</v>
      </c>
      <c r="AL965">
        <f t="shared" si="266"/>
        <v>0.38888331542254845</v>
      </c>
      <c r="AM965">
        <f t="shared" si="267"/>
        <v>30.013807460311522</v>
      </c>
      <c r="AO965">
        <f t="shared" si="268"/>
        <v>0.3878863067737689</v>
      </c>
      <c r="AP965">
        <f t="shared" si="269"/>
        <v>29.860107544542334</v>
      </c>
    </row>
    <row r="966" spans="1:42" x14ac:dyDescent="0.2">
      <c r="A966" s="3">
        <v>960</v>
      </c>
      <c r="B966" s="3">
        <v>6.8199999999999999E-7</v>
      </c>
      <c r="C966" s="2">
        <v>5.0250000000000003E-2</v>
      </c>
      <c r="D966" s="3">
        <v>231000</v>
      </c>
      <c r="E966" s="3">
        <v>95500000000</v>
      </c>
      <c r="F966" s="3">
        <v>87700000000</v>
      </c>
      <c r="G966" s="3">
        <v>9440000000</v>
      </c>
      <c r="H966" s="3">
        <v>10500000000</v>
      </c>
      <c r="I966" s="2"/>
      <c r="J966" s="7">
        <f t="shared" si="270"/>
        <v>0.68199999999999994</v>
      </c>
      <c r="K966" s="7">
        <f t="shared" si="271"/>
        <v>50.25</v>
      </c>
      <c r="L966" s="7">
        <f t="shared" si="272"/>
        <v>95.5</v>
      </c>
      <c r="M966" s="7">
        <f t="shared" si="273"/>
        <v>231</v>
      </c>
      <c r="O966">
        <f t="shared" si="274"/>
        <v>0.51885064935064928</v>
      </c>
      <c r="P966">
        <f t="shared" si="275"/>
        <v>518.85064935064929</v>
      </c>
      <c r="V966">
        <f t="shared" si="276"/>
        <v>1019.6650939102944</v>
      </c>
      <c r="W966">
        <f t="shared" si="277"/>
        <v>113.27248592679703</v>
      </c>
      <c r="AE966">
        <f t="shared" si="261"/>
        <v>0.78337585343808624</v>
      </c>
      <c r="AF966">
        <f t="shared" si="262"/>
        <v>0.7592338541383945</v>
      </c>
      <c r="AG966">
        <f t="shared" si="263"/>
        <v>0.76118536081909738</v>
      </c>
      <c r="AI966">
        <f t="shared" si="264"/>
        <v>0.36274626722219444</v>
      </c>
      <c r="AJ966">
        <f t="shared" si="265"/>
        <v>26.064307971310363</v>
      </c>
      <c r="AL966">
        <f t="shared" si="266"/>
        <v>0.37428081626990811</v>
      </c>
      <c r="AM966">
        <f t="shared" si="267"/>
        <v>27.748239240865715</v>
      </c>
      <c r="AO966">
        <f t="shared" si="268"/>
        <v>0.37332124511811449</v>
      </c>
      <c r="AP966">
        <f t="shared" si="269"/>
        <v>27.606141240147089</v>
      </c>
    </row>
    <row r="967" spans="1:42" x14ac:dyDescent="0.2">
      <c r="A967" s="3">
        <v>970</v>
      </c>
      <c r="B967" s="3">
        <v>6.8299999999999996E-7</v>
      </c>
      <c r="C967" s="2">
        <v>5.0299999999999997E-2</v>
      </c>
      <c r="D967" s="3">
        <v>203000</v>
      </c>
      <c r="E967" s="3">
        <v>85100000000</v>
      </c>
      <c r="F967" s="3">
        <v>78900000000</v>
      </c>
      <c r="G967" s="3">
        <v>1390000000</v>
      </c>
      <c r="H967" s="3">
        <v>11000000000</v>
      </c>
      <c r="I967" s="2"/>
      <c r="J967" s="7">
        <f t="shared" si="270"/>
        <v>0.68299999999999994</v>
      </c>
      <c r="K967" s="7">
        <f t="shared" si="271"/>
        <v>50.3</v>
      </c>
      <c r="L967" s="7">
        <f t="shared" si="272"/>
        <v>85.100000000000009</v>
      </c>
      <c r="M967" s="7">
        <f t="shared" si="273"/>
        <v>203</v>
      </c>
      <c r="O967">
        <f t="shared" si="274"/>
        <v>0.49716256157635463</v>
      </c>
      <c r="P967">
        <f t="shared" si="275"/>
        <v>497.16256157635462</v>
      </c>
      <c r="V967">
        <f t="shared" si="276"/>
        <v>1000.5578709910579</v>
      </c>
      <c r="W967">
        <f t="shared" si="277"/>
        <v>101.44340766562929</v>
      </c>
      <c r="AE967">
        <f t="shared" si="261"/>
        <v>0.68842120453650002</v>
      </c>
      <c r="AF967">
        <f t="shared" si="262"/>
        <v>0.66720550818222546</v>
      </c>
      <c r="AG967">
        <f t="shared" si="263"/>
        <v>0.66892046859860066</v>
      </c>
      <c r="AI967">
        <f t="shared" si="264"/>
        <v>0.41338548472651632</v>
      </c>
      <c r="AJ967">
        <f t="shared" si="265"/>
        <v>33.783917001250025</v>
      </c>
      <c r="AL967">
        <f t="shared" si="266"/>
        <v>0.42653025168912223</v>
      </c>
      <c r="AM967">
        <f t="shared" si="267"/>
        <v>35.966587429679876</v>
      </c>
      <c r="AO967">
        <f t="shared" si="268"/>
        <v>0.42543672483148864</v>
      </c>
      <c r="AP967">
        <f t="shared" si="269"/>
        <v>35.782403484815291</v>
      </c>
    </row>
    <row r="968" spans="1:42" x14ac:dyDescent="0.2">
      <c r="A968" s="3">
        <v>970</v>
      </c>
      <c r="B968" s="3">
        <v>6.8400000000000004E-7</v>
      </c>
      <c r="C968" s="2">
        <v>5.0349999999999999E-2</v>
      </c>
      <c r="D968" s="3">
        <v>250000</v>
      </c>
      <c r="E968" s="3">
        <v>103000000000</v>
      </c>
      <c r="F968" s="3">
        <v>93800000000</v>
      </c>
      <c r="G968" s="3">
        <v>4600000000</v>
      </c>
      <c r="H968" s="3">
        <v>10300000000</v>
      </c>
      <c r="I968" s="2"/>
      <c r="J968" s="7">
        <f t="shared" si="270"/>
        <v>0.68400000000000005</v>
      </c>
      <c r="K968" s="7">
        <f t="shared" si="271"/>
        <v>50.35</v>
      </c>
      <c r="L968" s="7">
        <f t="shared" si="272"/>
        <v>103</v>
      </c>
      <c r="M968" s="7">
        <f t="shared" si="273"/>
        <v>250</v>
      </c>
      <c r="O968">
        <f t="shared" si="274"/>
        <v>0.53295000000000003</v>
      </c>
      <c r="P968">
        <f t="shared" si="275"/>
        <v>532.95000000000005</v>
      </c>
      <c r="V968">
        <f t="shared" si="276"/>
        <v>1031.8489401932666</v>
      </c>
      <c r="W968">
        <f t="shared" si="277"/>
        <v>121.14176322804317</v>
      </c>
      <c r="AE968">
        <f t="shared" si="261"/>
        <v>0.84780936519273398</v>
      </c>
      <c r="AF968">
        <f t="shared" si="262"/>
        <v>0.82168166032293777</v>
      </c>
      <c r="AG968">
        <f t="shared" si="263"/>
        <v>0.82379368054014868</v>
      </c>
      <c r="AI968">
        <f t="shared" si="264"/>
        <v>0.33616047628255497</v>
      </c>
      <c r="AJ968">
        <f t="shared" si="265"/>
        <v>22.297365340030922</v>
      </c>
      <c r="AL968">
        <f t="shared" si="266"/>
        <v>0.34684965450973942</v>
      </c>
      <c r="AM968">
        <f t="shared" si="267"/>
        <v>23.737926538360338</v>
      </c>
      <c r="AO968">
        <f t="shared" si="268"/>
        <v>0.34596041063719979</v>
      </c>
      <c r="AP968">
        <f t="shared" si="269"/>
        <v>23.616365243136279</v>
      </c>
    </row>
    <row r="969" spans="1:42" x14ac:dyDescent="0.2">
      <c r="A969" s="3">
        <v>970</v>
      </c>
      <c r="B969" s="3">
        <v>6.8400000000000004E-7</v>
      </c>
      <c r="C969" s="2">
        <v>5.04E-2</v>
      </c>
      <c r="D969" s="3">
        <v>238000</v>
      </c>
      <c r="E969" s="3">
        <v>97900000000</v>
      </c>
      <c r="F969" s="3">
        <v>89700000000</v>
      </c>
      <c r="G969" s="3">
        <v>7560000000</v>
      </c>
      <c r="H969" s="3">
        <v>10400000000</v>
      </c>
      <c r="I969" s="2"/>
      <c r="J969" s="7">
        <f t="shared" si="270"/>
        <v>0.68400000000000005</v>
      </c>
      <c r="K969" s="7">
        <f t="shared" si="271"/>
        <v>50.4</v>
      </c>
      <c r="L969" s="7">
        <f t="shared" si="272"/>
        <v>97.9</v>
      </c>
      <c r="M969" s="7">
        <f t="shared" si="273"/>
        <v>238</v>
      </c>
      <c r="O969">
        <f t="shared" si="274"/>
        <v>0.52517647058823536</v>
      </c>
      <c r="P969">
        <f t="shared" si="275"/>
        <v>525.17647058823536</v>
      </c>
      <c r="V969">
        <f t="shared" si="276"/>
        <v>1025.1540231974982</v>
      </c>
      <c r="W969">
        <f t="shared" si="277"/>
        <v>116.080118018592</v>
      </c>
      <c r="AE969">
        <f t="shared" si="261"/>
        <v>0.8071145156634828</v>
      </c>
      <c r="AF969">
        <f t="shared" si="262"/>
        <v>0.78224094062743676</v>
      </c>
      <c r="AG969">
        <f t="shared" si="263"/>
        <v>0.78425158387422156</v>
      </c>
      <c r="AI969">
        <f t="shared" si="264"/>
        <v>0.35310974399428041</v>
      </c>
      <c r="AJ969">
        <f t="shared" si="265"/>
        <v>24.626954872525815</v>
      </c>
      <c r="AL969">
        <f t="shared" si="266"/>
        <v>0.36433787238418008</v>
      </c>
      <c r="AM969">
        <f t="shared" si="267"/>
        <v>26.218023372384778</v>
      </c>
      <c r="AO969">
        <f t="shared" si="268"/>
        <v>0.36340379268613426</v>
      </c>
      <c r="AP969">
        <f t="shared" si="269"/>
        <v>26.08376156673754</v>
      </c>
    </row>
    <row r="970" spans="1:42" x14ac:dyDescent="0.2">
      <c r="A970" s="3">
        <v>970</v>
      </c>
      <c r="B970" s="3">
        <v>6.8599999999999998E-7</v>
      </c>
      <c r="C970" s="2">
        <v>5.0459999999999998E-2</v>
      </c>
      <c r="D970" s="3">
        <v>217000</v>
      </c>
      <c r="E970" s="3">
        <v>89800000000</v>
      </c>
      <c r="F970" s="3">
        <v>82900000000</v>
      </c>
      <c r="G970" s="3">
        <v>8050000000</v>
      </c>
      <c r="H970" s="3">
        <v>10700000000</v>
      </c>
      <c r="I970" s="2"/>
      <c r="J970" s="7">
        <f t="shared" si="270"/>
        <v>0.68599999999999994</v>
      </c>
      <c r="K970" s="7">
        <f t="shared" si="271"/>
        <v>50.46</v>
      </c>
      <c r="L970" s="7">
        <f t="shared" si="272"/>
        <v>89.800000000000011</v>
      </c>
      <c r="M970" s="7">
        <f t="shared" si="273"/>
        <v>217</v>
      </c>
      <c r="O970">
        <f t="shared" si="274"/>
        <v>0.51159907834101381</v>
      </c>
      <c r="P970">
        <f t="shared" si="275"/>
        <v>511.59907834101381</v>
      </c>
      <c r="V970">
        <f t="shared" si="276"/>
        <v>1013.3268339941289</v>
      </c>
      <c r="W970">
        <f t="shared" si="277"/>
        <v>107.07305516852485</v>
      </c>
      <c r="AE970">
        <f t="shared" si="261"/>
        <v>0.73589852898729313</v>
      </c>
      <c r="AF970">
        <f t="shared" si="262"/>
        <v>0.71321968116030998</v>
      </c>
      <c r="AG970">
        <f t="shared" si="263"/>
        <v>0.71505291470884902</v>
      </c>
      <c r="AI970">
        <f t="shared" si="264"/>
        <v>0.38841405720253697</v>
      </c>
      <c r="AJ970">
        <f t="shared" si="265"/>
        <v>29.65936650717272</v>
      </c>
      <c r="AL970">
        <f t="shared" si="266"/>
        <v>0.40076478661991205</v>
      </c>
      <c r="AM970">
        <f t="shared" si="267"/>
        <v>31.575562968310532</v>
      </c>
      <c r="AO970">
        <f t="shared" si="268"/>
        <v>0.3997373165728822</v>
      </c>
      <c r="AP970">
        <f t="shared" si="269"/>
        <v>31.413865343808503</v>
      </c>
    </row>
    <row r="971" spans="1:42" x14ac:dyDescent="0.2">
      <c r="A971" s="3">
        <v>970</v>
      </c>
      <c r="B971" s="3">
        <v>6.8599999999999998E-7</v>
      </c>
      <c r="C971" s="2">
        <v>5.0509999999999999E-2</v>
      </c>
      <c r="D971" s="3">
        <v>222000</v>
      </c>
      <c r="E971" s="3">
        <v>91600000000</v>
      </c>
      <c r="F971" s="3">
        <v>84400000000</v>
      </c>
      <c r="G971" s="3">
        <v>10300000000</v>
      </c>
      <c r="H971" s="3">
        <v>10600000000</v>
      </c>
      <c r="I971" s="2"/>
      <c r="J971" s="7">
        <f t="shared" si="270"/>
        <v>0.68599999999999994</v>
      </c>
      <c r="K971" s="7">
        <f t="shared" si="271"/>
        <v>50.51</v>
      </c>
      <c r="L971" s="7">
        <f t="shared" si="272"/>
        <v>91.600000000000009</v>
      </c>
      <c r="M971" s="7">
        <f t="shared" si="273"/>
        <v>222</v>
      </c>
      <c r="O971">
        <f t="shared" si="274"/>
        <v>0.515358108108108</v>
      </c>
      <c r="P971">
        <f t="shared" si="275"/>
        <v>515.35810810810801</v>
      </c>
      <c r="V971">
        <f t="shared" si="276"/>
        <v>1016.6186282889472</v>
      </c>
      <c r="W971">
        <f t="shared" si="277"/>
        <v>109.18548697737532</v>
      </c>
      <c r="AE971">
        <f t="shared" si="261"/>
        <v>0.75285471629114775</v>
      </c>
      <c r="AF971">
        <f t="shared" si="262"/>
        <v>0.72965331436676872</v>
      </c>
      <c r="AG971">
        <f t="shared" si="263"/>
        <v>0.73152878831965207</v>
      </c>
      <c r="AI971">
        <f t="shared" si="264"/>
        <v>0.37966599285112856</v>
      </c>
      <c r="AJ971">
        <f t="shared" si="265"/>
        <v>28.366484203872993</v>
      </c>
      <c r="AL971">
        <f t="shared" si="266"/>
        <v>0.39173855268703112</v>
      </c>
      <c r="AM971">
        <f t="shared" si="267"/>
        <v>30.199151689648104</v>
      </c>
      <c r="AO971">
        <f t="shared" si="268"/>
        <v>0.39073422385727669</v>
      </c>
      <c r="AP971">
        <f t="shared" si="269"/>
        <v>30.044502630972772</v>
      </c>
    </row>
    <row r="972" spans="1:42" x14ac:dyDescent="0.2">
      <c r="A972" s="3">
        <v>970</v>
      </c>
      <c r="B972" s="3">
        <v>6.8700000000000005E-7</v>
      </c>
      <c r="C972" s="2">
        <v>5.0560000000000001E-2</v>
      </c>
      <c r="D972" s="3">
        <v>220000</v>
      </c>
      <c r="E972" s="3">
        <v>91000000000</v>
      </c>
      <c r="F972" s="3">
        <v>83900000000</v>
      </c>
      <c r="G972" s="3">
        <v>10300000000</v>
      </c>
      <c r="H972" s="3">
        <v>10700000000</v>
      </c>
      <c r="I972" s="2"/>
      <c r="J972" s="7">
        <f t="shared" si="270"/>
        <v>0.68700000000000006</v>
      </c>
      <c r="K972" s="7">
        <f t="shared" si="271"/>
        <v>50.56</v>
      </c>
      <c r="L972" s="7">
        <f t="shared" si="272"/>
        <v>91</v>
      </c>
      <c r="M972" s="7">
        <f t="shared" si="273"/>
        <v>220</v>
      </c>
      <c r="O972">
        <f t="shared" si="274"/>
        <v>0.51463636363636367</v>
      </c>
      <c r="P972">
        <f t="shared" si="275"/>
        <v>514.63636363636363</v>
      </c>
      <c r="V972">
        <f t="shared" si="276"/>
        <v>1015.9876343007221</v>
      </c>
      <c r="W972">
        <f t="shared" si="277"/>
        <v>108.26903427393596</v>
      </c>
      <c r="AE972">
        <f t="shared" si="261"/>
        <v>0.74607224136960593</v>
      </c>
      <c r="AF972">
        <f t="shared" si="262"/>
        <v>0.7230798610841852</v>
      </c>
      <c r="AG972">
        <f t="shared" si="263"/>
        <v>0.72493843887533083</v>
      </c>
      <c r="AI972">
        <f t="shared" si="264"/>
        <v>0.38367598220048388</v>
      </c>
      <c r="AJ972">
        <f t="shared" si="265"/>
        <v>28.913175734526785</v>
      </c>
      <c r="AL972">
        <f t="shared" si="266"/>
        <v>0.39587605105029072</v>
      </c>
      <c r="AM972">
        <f t="shared" si="267"/>
        <v>30.781163205174796</v>
      </c>
      <c r="AO972">
        <f t="shared" si="268"/>
        <v>0.39486111461283274</v>
      </c>
      <c r="AP972">
        <f t="shared" si="269"/>
        <v>30.623533680891054</v>
      </c>
    </row>
    <row r="973" spans="1:42" x14ac:dyDescent="0.2">
      <c r="A973" s="3">
        <v>970</v>
      </c>
      <c r="B973" s="3">
        <v>6.8800000000000002E-7</v>
      </c>
      <c r="C973" s="2">
        <v>5.0610000000000002E-2</v>
      </c>
      <c r="D973" s="3">
        <v>197000</v>
      </c>
      <c r="E973" s="3">
        <v>82300000000</v>
      </c>
      <c r="F973" s="3">
        <v>76400000000</v>
      </c>
      <c r="G973" s="3">
        <v>2390000000</v>
      </c>
      <c r="H973" s="3">
        <v>11100000000</v>
      </c>
      <c r="I973" s="2"/>
      <c r="J973" s="7">
        <f t="shared" si="270"/>
        <v>0.68800000000000006</v>
      </c>
      <c r="K973" s="7">
        <f t="shared" si="271"/>
        <v>50.61</v>
      </c>
      <c r="L973" s="7">
        <f t="shared" si="272"/>
        <v>82.300000000000011</v>
      </c>
      <c r="M973" s="7">
        <f t="shared" si="273"/>
        <v>197</v>
      </c>
      <c r="O973">
        <f t="shared" si="274"/>
        <v>0.49532233502538076</v>
      </c>
      <c r="P973">
        <f t="shared" si="275"/>
        <v>495.32233502538077</v>
      </c>
      <c r="V973">
        <f t="shared" si="276"/>
        <v>998.91544151484868</v>
      </c>
      <c r="W973">
        <f t="shared" si="277"/>
        <v>98.606944998893397</v>
      </c>
      <c r="AE973">
        <f t="shared" si="261"/>
        <v>0.66807377977187432</v>
      </c>
      <c r="AF973">
        <f t="shared" si="262"/>
        <v>0.64748514833447501</v>
      </c>
      <c r="AG973">
        <f t="shared" si="263"/>
        <v>0.64914942026563716</v>
      </c>
      <c r="AI973">
        <f t="shared" si="264"/>
        <v>0.42909432363077343</v>
      </c>
      <c r="AJ973">
        <f t="shared" si="265"/>
        <v>36.094246272733557</v>
      </c>
      <c r="AL973">
        <f t="shared" si="266"/>
        <v>0.44273859779495928</v>
      </c>
      <c r="AM973">
        <f t="shared" si="267"/>
        <v>38.42617965905594</v>
      </c>
      <c r="AO973">
        <f t="shared" si="268"/>
        <v>0.4416035164128474</v>
      </c>
      <c r="AP973">
        <f t="shared" si="269"/>
        <v>38.229400207307343</v>
      </c>
    </row>
    <row r="974" spans="1:42" x14ac:dyDescent="0.2">
      <c r="A974" s="3">
        <v>970</v>
      </c>
      <c r="B974" s="3">
        <v>6.8899999999999999E-7</v>
      </c>
      <c r="C974" s="2">
        <v>5.067E-2</v>
      </c>
      <c r="D974" s="3">
        <v>224000</v>
      </c>
      <c r="E974" s="3">
        <v>92300000000</v>
      </c>
      <c r="F974" s="3">
        <v>85000000000</v>
      </c>
      <c r="G974" s="3">
        <v>7280000000</v>
      </c>
      <c r="H974" s="3">
        <v>10600000000</v>
      </c>
      <c r="I974" s="2"/>
      <c r="J974" s="7">
        <f t="shared" si="270"/>
        <v>0.68899999999999995</v>
      </c>
      <c r="K974" s="7">
        <f t="shared" si="271"/>
        <v>50.67</v>
      </c>
      <c r="L974" s="7">
        <f t="shared" si="272"/>
        <v>92.300000000000011</v>
      </c>
      <c r="M974" s="7">
        <f t="shared" si="273"/>
        <v>224</v>
      </c>
      <c r="O974">
        <f t="shared" si="274"/>
        <v>0.5193459821428571</v>
      </c>
      <c r="P974">
        <f t="shared" si="275"/>
        <v>519.34598214285711</v>
      </c>
      <c r="V974">
        <f t="shared" si="276"/>
        <v>1020.0962357575097</v>
      </c>
      <c r="W974">
        <f t="shared" si="277"/>
        <v>109.79356267973121</v>
      </c>
      <c r="AE974">
        <f t="shared" si="261"/>
        <v>0.75963719121268969</v>
      </c>
      <c r="AF974">
        <f t="shared" si="262"/>
        <v>0.73622676764935224</v>
      </c>
      <c r="AG974">
        <f t="shared" si="263"/>
        <v>0.7381191377639732</v>
      </c>
      <c r="AI974">
        <f t="shared" si="264"/>
        <v>0.37792164029651004</v>
      </c>
      <c r="AJ974">
        <f t="shared" si="265"/>
        <v>27.950460005887681</v>
      </c>
      <c r="AL974">
        <f t="shared" si="266"/>
        <v>0.38993873348281255</v>
      </c>
      <c r="AM974">
        <f t="shared" si="267"/>
        <v>29.756249503701245</v>
      </c>
      <c r="AO974">
        <f t="shared" si="268"/>
        <v>0.38893901898142269</v>
      </c>
      <c r="AP974">
        <f t="shared" si="269"/>
        <v>29.603868535429452</v>
      </c>
    </row>
    <row r="975" spans="1:42" x14ac:dyDescent="0.2">
      <c r="A975" s="3">
        <v>970</v>
      </c>
      <c r="B975" s="3">
        <v>6.8999999999999996E-7</v>
      </c>
      <c r="C975" s="2">
        <v>5.0720000000000001E-2</v>
      </c>
      <c r="D975" s="3">
        <v>207000</v>
      </c>
      <c r="E975" s="3">
        <v>85800000000</v>
      </c>
      <c r="F975" s="3">
        <v>79500000000</v>
      </c>
      <c r="G975" s="3">
        <v>3470000000</v>
      </c>
      <c r="H975" s="3">
        <v>10900000000</v>
      </c>
      <c r="I975" s="2"/>
      <c r="J975" s="7">
        <f t="shared" si="270"/>
        <v>0.69</v>
      </c>
      <c r="K975" s="7">
        <f t="shared" si="271"/>
        <v>50.72</v>
      </c>
      <c r="L975" s="7">
        <f t="shared" si="272"/>
        <v>85.800000000000011</v>
      </c>
      <c r="M975" s="7">
        <f t="shared" si="273"/>
        <v>207</v>
      </c>
      <c r="O975">
        <f t="shared" si="274"/>
        <v>0.50623188405797093</v>
      </c>
      <c r="P975">
        <f t="shared" si="275"/>
        <v>506.23188405797094</v>
      </c>
      <c r="V975">
        <f t="shared" si="276"/>
        <v>1008.6033290148191</v>
      </c>
      <c r="W975">
        <f t="shared" si="277"/>
        <v>102.61715088834424</v>
      </c>
      <c r="AE975">
        <f t="shared" si="261"/>
        <v>0.70198615437958378</v>
      </c>
      <c r="AF975">
        <f t="shared" si="262"/>
        <v>0.6803524147473925</v>
      </c>
      <c r="AG975">
        <f t="shared" si="263"/>
        <v>0.68210116748724314</v>
      </c>
      <c r="AI975">
        <f t="shared" si="264"/>
        <v>0.40955223718634853</v>
      </c>
      <c r="AJ975">
        <f t="shared" si="265"/>
        <v>32.762168995842146</v>
      </c>
      <c r="AL975">
        <f t="shared" si="266"/>
        <v>0.42257511514344465</v>
      </c>
      <c r="AM975">
        <f t="shared" si="267"/>
        <v>34.878827565533754</v>
      </c>
      <c r="AO975">
        <f t="shared" si="268"/>
        <v>0.42149172835916149</v>
      </c>
      <c r="AP975">
        <f t="shared" si="269"/>
        <v>34.700214010221288</v>
      </c>
    </row>
    <row r="976" spans="1:42" x14ac:dyDescent="0.2">
      <c r="A976" s="3">
        <v>970</v>
      </c>
      <c r="B976" s="3">
        <v>6.9100000000000003E-7</v>
      </c>
      <c r="C976" s="2">
        <v>5.0770000000000003E-2</v>
      </c>
      <c r="D976" s="3">
        <v>230000</v>
      </c>
      <c r="E976" s="3">
        <v>94600000000</v>
      </c>
      <c r="F976" s="3">
        <v>86900000000</v>
      </c>
      <c r="G976" s="2">
        <v>0</v>
      </c>
      <c r="H976" s="3">
        <v>10500000000</v>
      </c>
      <c r="I976" s="2"/>
      <c r="J976" s="7">
        <f t="shared" si="270"/>
        <v>0.69100000000000006</v>
      </c>
      <c r="K976" s="7">
        <f t="shared" si="271"/>
        <v>50.77</v>
      </c>
      <c r="L976" s="7">
        <f t="shared" si="272"/>
        <v>94.600000000000009</v>
      </c>
      <c r="M976" s="7">
        <f t="shared" si="273"/>
        <v>230</v>
      </c>
      <c r="O976">
        <f t="shared" si="274"/>
        <v>0.52544565217391304</v>
      </c>
      <c r="P976">
        <f t="shared" si="275"/>
        <v>525.445652173913</v>
      </c>
      <c r="V976">
        <f t="shared" si="276"/>
        <v>1025.3867736641359</v>
      </c>
      <c r="W976">
        <f t="shared" si="277"/>
        <v>112.15280219487997</v>
      </c>
      <c r="AE976">
        <f t="shared" ref="AE976:AE1039" si="278">M976/(2*$Y$5)</f>
        <v>0.77998461597731528</v>
      </c>
      <c r="AF976">
        <f t="shared" ref="AF976:AF1039" si="279">M976/(2*$Y$8)</f>
        <v>0.7559471274971028</v>
      </c>
      <c r="AG976">
        <f t="shared" ref="AG976:AG1039" si="280">M976/(2*$Y$11)</f>
        <v>0.75789018609693681</v>
      </c>
      <c r="AI976">
        <f t="shared" ref="AI976:AI1039" si="281">J976/(2.4*AE976)</f>
        <v>0.36913121203795685</v>
      </c>
      <c r="AJ976">
        <f t="shared" ref="AJ976:AJ1039" si="282">K976/(3.14159*(AE976^2))</f>
        <v>26.563517530250671</v>
      </c>
      <c r="AL976">
        <f t="shared" ref="AL976:AL1039" si="283">J976/(2.4*AF976)</f>
        <v>0.38086878856189604</v>
      </c>
      <c r="AM976">
        <f t="shared" ref="AM976:AM1039" si="284">K976/(3.14159*(AF976^2))</f>
        <v>28.279701126907348</v>
      </c>
      <c r="AO976">
        <f t="shared" ref="AO976:AO1039" si="285">J976/(2.4*AG976)</f>
        <v>0.37989232734284428</v>
      </c>
      <c r="AP976">
        <f t="shared" ref="AP976:AP1039" si="286">K976/(3.14159*(AG976^2))</f>
        <v>28.134881523898603</v>
      </c>
    </row>
    <row r="977" spans="1:42" x14ac:dyDescent="0.2">
      <c r="A977" s="3">
        <v>980</v>
      </c>
      <c r="B977" s="3">
        <v>6.9100000000000003E-7</v>
      </c>
      <c r="C977" s="2">
        <v>5.0819999999999997E-2</v>
      </c>
      <c r="D977" s="3">
        <v>198000</v>
      </c>
      <c r="E977" s="3">
        <v>82400000000</v>
      </c>
      <c r="F977" s="3">
        <v>76500000000</v>
      </c>
      <c r="G977" s="3">
        <v>5810000000</v>
      </c>
      <c r="H977" s="3">
        <v>11100000000</v>
      </c>
      <c r="I977" s="2"/>
      <c r="J977" s="7">
        <f t="shared" si="270"/>
        <v>0.69100000000000006</v>
      </c>
      <c r="K977" s="7">
        <f t="shared" si="271"/>
        <v>50.82</v>
      </c>
      <c r="L977" s="7">
        <f t="shared" si="272"/>
        <v>82.4</v>
      </c>
      <c r="M977" s="7">
        <f t="shared" si="273"/>
        <v>198</v>
      </c>
      <c r="O977">
        <f t="shared" si="274"/>
        <v>0.49850000000000005</v>
      </c>
      <c r="P977">
        <f t="shared" si="275"/>
        <v>498.50000000000006</v>
      </c>
      <c r="V977">
        <f t="shared" si="276"/>
        <v>1001.7494309273136</v>
      </c>
      <c r="W977">
        <f t="shared" si="277"/>
        <v>98.827108799409331</v>
      </c>
      <c r="AE977">
        <f t="shared" si="278"/>
        <v>0.67146501723264529</v>
      </c>
      <c r="AF977">
        <f t="shared" si="279"/>
        <v>0.65077187497576672</v>
      </c>
      <c r="AG977">
        <f t="shared" si="280"/>
        <v>0.65244459498779772</v>
      </c>
      <c r="AI977">
        <f t="shared" si="281"/>
        <v>0.42878878166025292</v>
      </c>
      <c r="AJ977">
        <f t="shared" si="282"/>
        <v>35.878838266444248</v>
      </c>
      <c r="AL977">
        <f t="shared" si="283"/>
        <v>0.44242334024866709</v>
      </c>
      <c r="AM977">
        <f t="shared" si="284"/>
        <v>38.19685483295688</v>
      </c>
      <c r="AO977">
        <f t="shared" si="285"/>
        <v>0.4412890671154252</v>
      </c>
      <c r="AP977">
        <f t="shared" si="286"/>
        <v>38.001249747589547</v>
      </c>
    </row>
    <row r="978" spans="1:42" x14ac:dyDescent="0.2">
      <c r="A978" s="3">
        <v>980</v>
      </c>
      <c r="B978" s="3">
        <v>6.92E-7</v>
      </c>
      <c r="C978" s="2">
        <v>5.0869999999999999E-2</v>
      </c>
      <c r="D978" s="3">
        <v>199000</v>
      </c>
      <c r="E978" s="3">
        <v>83000000000</v>
      </c>
      <c r="F978" s="3">
        <v>77100000000</v>
      </c>
      <c r="G978" s="3">
        <v>1850000000</v>
      </c>
      <c r="H978" s="3">
        <v>11000000000</v>
      </c>
      <c r="I978" s="2"/>
      <c r="J978" s="7">
        <f t="shared" si="270"/>
        <v>0.69199999999999995</v>
      </c>
      <c r="K978" s="7">
        <f t="shared" si="271"/>
        <v>50.87</v>
      </c>
      <c r="L978" s="7">
        <f t="shared" si="272"/>
        <v>83</v>
      </c>
      <c r="M978" s="7">
        <f t="shared" si="273"/>
        <v>199</v>
      </c>
      <c r="O978">
        <f t="shared" si="274"/>
        <v>0.50027889447236173</v>
      </c>
      <c r="P978">
        <f t="shared" si="275"/>
        <v>500.27889447236174</v>
      </c>
      <c r="V978">
        <f t="shared" si="276"/>
        <v>1003.331540092056</v>
      </c>
      <c r="W978">
        <f t="shared" si="277"/>
        <v>99.169612460175273</v>
      </c>
      <c r="AE978">
        <f t="shared" si="278"/>
        <v>0.67485625469341626</v>
      </c>
      <c r="AF978">
        <f t="shared" si="279"/>
        <v>0.65405860161705842</v>
      </c>
      <c r="AG978">
        <f t="shared" si="280"/>
        <v>0.65573976970995829</v>
      </c>
      <c r="AI978">
        <f t="shared" si="281"/>
        <v>0.42725147959741688</v>
      </c>
      <c r="AJ978">
        <f t="shared" si="282"/>
        <v>35.554098973387049</v>
      </c>
      <c r="AL978">
        <f t="shared" si="283"/>
        <v>0.44083715529537243</v>
      </c>
      <c r="AM978">
        <f t="shared" si="284"/>
        <v>37.851135176613823</v>
      </c>
      <c r="AO978">
        <f t="shared" si="285"/>
        <v>0.43970694878071326</v>
      </c>
      <c r="AP978">
        <f t="shared" si="286"/>
        <v>37.657300512481115</v>
      </c>
    </row>
    <row r="979" spans="1:42" x14ac:dyDescent="0.2">
      <c r="A979" s="3">
        <v>980</v>
      </c>
      <c r="B979" s="3">
        <v>6.9299999999999997E-7</v>
      </c>
      <c r="C979" s="2">
        <v>5.0930000000000003E-2</v>
      </c>
      <c r="D979" s="3">
        <v>219000</v>
      </c>
      <c r="E979" s="3">
        <v>90100000000</v>
      </c>
      <c r="F979" s="3">
        <v>83100000000</v>
      </c>
      <c r="G979" s="2">
        <v>0</v>
      </c>
      <c r="H979" s="3">
        <v>10700000000</v>
      </c>
      <c r="I979" s="2"/>
      <c r="J979" s="7">
        <f t="shared" si="270"/>
        <v>0.69299999999999995</v>
      </c>
      <c r="K979" s="7">
        <f t="shared" si="271"/>
        <v>50.93</v>
      </c>
      <c r="L979" s="7">
        <f t="shared" si="272"/>
        <v>90.100000000000009</v>
      </c>
      <c r="M979" s="7">
        <f t="shared" si="273"/>
        <v>219</v>
      </c>
      <c r="O979">
        <f t="shared" si="274"/>
        <v>0.51858219178082188</v>
      </c>
      <c r="P979">
        <f t="shared" si="275"/>
        <v>518.58219178082186</v>
      </c>
      <c r="V979">
        <f t="shared" si="276"/>
        <v>1019.4313303752717</v>
      </c>
      <c r="W979">
        <f t="shared" si="277"/>
        <v>107.41282589352144</v>
      </c>
      <c r="AE979">
        <f t="shared" si="278"/>
        <v>0.74268100390883496</v>
      </c>
      <c r="AF979">
        <f t="shared" si="279"/>
        <v>0.7197931344428935</v>
      </c>
      <c r="AG979">
        <f t="shared" si="280"/>
        <v>0.72164326415317026</v>
      </c>
      <c r="AI979">
        <f t="shared" si="281"/>
        <v>0.38879411009608161</v>
      </c>
      <c r="AJ979">
        <f t="shared" si="282"/>
        <v>29.391350286733061</v>
      </c>
      <c r="AL979">
        <f t="shared" si="283"/>
        <v>0.40115692437590023</v>
      </c>
      <c r="AM979">
        <f t="shared" si="284"/>
        <v>31.290231080221332</v>
      </c>
      <c r="AO979">
        <f t="shared" si="285"/>
        <v>0.40012844897657385</v>
      </c>
      <c r="AP979">
        <f t="shared" si="286"/>
        <v>31.129994632786669</v>
      </c>
    </row>
    <row r="980" spans="1:42" x14ac:dyDescent="0.2">
      <c r="A980" s="3">
        <v>980</v>
      </c>
      <c r="B980" s="3">
        <v>6.9400000000000005E-7</v>
      </c>
      <c r="C980" s="2">
        <v>5.0979999999999998E-2</v>
      </c>
      <c r="D980" s="3">
        <v>240000</v>
      </c>
      <c r="E980" s="3">
        <v>98100000000</v>
      </c>
      <c r="F980" s="3">
        <v>89900000000</v>
      </c>
      <c r="G980" s="2">
        <v>0</v>
      </c>
      <c r="H980" s="3">
        <v>10400000000</v>
      </c>
      <c r="I980" s="2"/>
      <c r="J980" s="7">
        <f t="shared" si="270"/>
        <v>0.69400000000000006</v>
      </c>
      <c r="K980" s="7">
        <f t="shared" si="271"/>
        <v>50.98</v>
      </c>
      <c r="L980" s="7">
        <f t="shared" si="272"/>
        <v>98.100000000000009</v>
      </c>
      <c r="M980" s="7">
        <f t="shared" si="273"/>
        <v>240</v>
      </c>
      <c r="O980">
        <f t="shared" si="274"/>
        <v>0.53468750000000009</v>
      </c>
      <c r="P980">
        <f t="shared" si="275"/>
        <v>534.68750000000011</v>
      </c>
      <c r="V980">
        <f t="shared" si="276"/>
        <v>1033.3379034618088</v>
      </c>
      <c r="W980">
        <f t="shared" si="277"/>
        <v>116.12851865588716</v>
      </c>
      <c r="AE980">
        <f t="shared" si="278"/>
        <v>0.81389699058502463</v>
      </c>
      <c r="AF980">
        <f t="shared" si="279"/>
        <v>0.78881439391002028</v>
      </c>
      <c r="AG980">
        <f t="shared" si="280"/>
        <v>0.79084193331854269</v>
      </c>
      <c r="AI980">
        <f t="shared" si="281"/>
        <v>0.35528656575915746</v>
      </c>
      <c r="AJ980">
        <f t="shared" si="282"/>
        <v>24.496917519955279</v>
      </c>
      <c r="AL980">
        <f t="shared" si="283"/>
        <v>0.36658391238693827</v>
      </c>
      <c r="AM980">
        <f t="shared" si="284"/>
        <v>26.079584723894751</v>
      </c>
      <c r="AO980">
        <f t="shared" si="285"/>
        <v>0.3656440743515727</v>
      </c>
      <c r="AP980">
        <f t="shared" si="286"/>
        <v>25.946031858912253</v>
      </c>
    </row>
    <row r="981" spans="1:42" x14ac:dyDescent="0.2">
      <c r="A981" s="3">
        <v>980</v>
      </c>
      <c r="B981" s="3">
        <v>6.9500000000000002E-7</v>
      </c>
      <c r="C981" s="2">
        <v>5.1029999999999999E-2</v>
      </c>
      <c r="D981" s="3">
        <v>209000</v>
      </c>
      <c r="E981" s="3">
        <v>86200000000</v>
      </c>
      <c r="F981" s="3">
        <v>79800000000</v>
      </c>
      <c r="G981" s="2">
        <v>0</v>
      </c>
      <c r="H981" s="3">
        <v>10800000000</v>
      </c>
      <c r="I981" s="2"/>
      <c r="J981" s="7">
        <f t="shared" si="270"/>
        <v>0.69500000000000006</v>
      </c>
      <c r="K981" s="7">
        <f t="shared" si="271"/>
        <v>51.03</v>
      </c>
      <c r="L981" s="7">
        <f t="shared" si="272"/>
        <v>86.2</v>
      </c>
      <c r="M981" s="7">
        <f t="shared" si="273"/>
        <v>209</v>
      </c>
      <c r="O981">
        <f t="shared" si="274"/>
        <v>0.5118779904306221</v>
      </c>
      <c r="P981">
        <f t="shared" si="275"/>
        <v>511.87799043062211</v>
      </c>
      <c r="V981">
        <f t="shared" si="276"/>
        <v>1013.5715399492821</v>
      </c>
      <c r="W981">
        <f t="shared" si="277"/>
        <v>103.10076386441264</v>
      </c>
      <c r="AE981">
        <f t="shared" si="278"/>
        <v>0.70876862930112561</v>
      </c>
      <c r="AF981">
        <f t="shared" si="279"/>
        <v>0.68692586802997602</v>
      </c>
      <c r="AG981">
        <f t="shared" si="280"/>
        <v>0.68869151693156427</v>
      </c>
      <c r="AI981">
        <f t="shared" si="281"/>
        <v>0.408572447145233</v>
      </c>
      <c r="AJ981">
        <f t="shared" si="282"/>
        <v>32.334569886148309</v>
      </c>
      <c r="AL981">
        <f t="shared" si="283"/>
        <v>0.42156416989190532</v>
      </c>
      <c r="AM981">
        <f t="shared" si="284"/>
        <v>34.423602649989249</v>
      </c>
      <c r="AO981">
        <f t="shared" si="285"/>
        <v>0.42048337494203436</v>
      </c>
      <c r="AP981">
        <f t="shared" si="286"/>
        <v>34.247320289453306</v>
      </c>
    </row>
    <row r="982" spans="1:42" x14ac:dyDescent="0.2">
      <c r="A982" s="3">
        <v>980</v>
      </c>
      <c r="B982" s="3">
        <v>6.9500000000000002E-7</v>
      </c>
      <c r="C982" s="2">
        <v>5.108E-2</v>
      </c>
      <c r="D982" s="3">
        <v>212000</v>
      </c>
      <c r="E982" s="3">
        <v>87500000000</v>
      </c>
      <c r="F982" s="3">
        <v>80900000000</v>
      </c>
      <c r="G982" s="3">
        <v>5970000000</v>
      </c>
      <c r="H982" s="3">
        <v>10800000000</v>
      </c>
      <c r="I982" s="2"/>
      <c r="J982" s="7">
        <f t="shared" si="270"/>
        <v>0.69500000000000006</v>
      </c>
      <c r="K982" s="7">
        <f t="shared" si="271"/>
        <v>51.08</v>
      </c>
      <c r="L982" s="7">
        <f t="shared" si="272"/>
        <v>87.5</v>
      </c>
      <c r="M982" s="7">
        <f t="shared" si="273"/>
        <v>212</v>
      </c>
      <c r="O982">
        <f t="shared" si="274"/>
        <v>0.51429245283018876</v>
      </c>
      <c r="P982">
        <f t="shared" si="275"/>
        <v>514.29245283018872</v>
      </c>
      <c r="V982">
        <f t="shared" si="276"/>
        <v>1015.6867926578374</v>
      </c>
      <c r="W982">
        <f t="shared" si="277"/>
        <v>104.36288112265439</v>
      </c>
      <c r="AE982">
        <f t="shared" si="278"/>
        <v>0.7189423416834384</v>
      </c>
      <c r="AF982">
        <f t="shared" si="279"/>
        <v>0.69678604795385124</v>
      </c>
      <c r="AG982">
        <f t="shared" si="280"/>
        <v>0.69857704109804608</v>
      </c>
      <c r="AI982">
        <f t="shared" si="281"/>
        <v>0.40279076157242305</v>
      </c>
      <c r="AJ982">
        <f t="shared" si="282"/>
        <v>31.456707129856362</v>
      </c>
      <c r="AL982">
        <f t="shared" si="283"/>
        <v>0.41559863918588785</v>
      </c>
      <c r="AM982">
        <f t="shared" si="284"/>
        <v>33.489023999021519</v>
      </c>
      <c r="AO982">
        <f t="shared" si="285"/>
        <v>0.41453313850417545</v>
      </c>
      <c r="AP982">
        <f t="shared" si="286"/>
        <v>33.317527591088336</v>
      </c>
    </row>
    <row r="983" spans="1:42" x14ac:dyDescent="0.2">
      <c r="A983" s="3">
        <v>980</v>
      </c>
      <c r="B983" s="3">
        <v>6.9699999999999995E-7</v>
      </c>
      <c r="C983" s="2">
        <v>5.1130000000000002E-2</v>
      </c>
      <c r="D983" s="3">
        <v>222000</v>
      </c>
      <c r="E983" s="3">
        <v>91000000000</v>
      </c>
      <c r="F983" s="3">
        <v>83900000000</v>
      </c>
      <c r="G983" s="3">
        <v>8490000000</v>
      </c>
      <c r="H983" s="3">
        <v>10600000000</v>
      </c>
      <c r="I983" s="2"/>
      <c r="J983" s="7">
        <f t="shared" si="270"/>
        <v>0.69699999999999995</v>
      </c>
      <c r="K983" s="7">
        <f t="shared" si="271"/>
        <v>51.13</v>
      </c>
      <c r="L983" s="7">
        <f t="shared" si="272"/>
        <v>91</v>
      </c>
      <c r="M983" s="7">
        <f t="shared" si="273"/>
        <v>222</v>
      </c>
      <c r="O983">
        <f t="shared" si="274"/>
        <v>0.52426351351351341</v>
      </c>
      <c r="P983">
        <f t="shared" si="275"/>
        <v>524.26351351351343</v>
      </c>
      <c r="V983">
        <f t="shared" si="276"/>
        <v>1024.3641307856524</v>
      </c>
      <c r="W983">
        <f t="shared" si="277"/>
        <v>108.35990510021742</v>
      </c>
      <c r="AE983">
        <f t="shared" si="278"/>
        <v>0.75285471629114775</v>
      </c>
      <c r="AF983">
        <f t="shared" si="279"/>
        <v>0.72965331436676872</v>
      </c>
      <c r="AG983">
        <f t="shared" si="280"/>
        <v>0.73152878831965207</v>
      </c>
      <c r="AI983">
        <f t="shared" si="281"/>
        <v>0.38575393151200671</v>
      </c>
      <c r="AJ983">
        <f t="shared" si="282"/>
        <v>28.714677041061694</v>
      </c>
      <c r="AL983">
        <f t="shared" si="283"/>
        <v>0.39802007466889311</v>
      </c>
      <c r="AM983">
        <f t="shared" si="284"/>
        <v>30.56984014832128</v>
      </c>
      <c r="AO983">
        <f t="shared" si="285"/>
        <v>0.39699964144099398</v>
      </c>
      <c r="AP983">
        <f t="shared" si="286"/>
        <v>30.413292803833656</v>
      </c>
    </row>
    <row r="984" spans="1:42" x14ac:dyDescent="0.2">
      <c r="A984" s="3">
        <v>980</v>
      </c>
      <c r="B984" s="3">
        <v>6.9699999999999995E-7</v>
      </c>
      <c r="C984" s="2">
        <v>5.1189999999999999E-2</v>
      </c>
      <c r="D984" s="3">
        <v>222000</v>
      </c>
      <c r="E984" s="3">
        <v>91000000000</v>
      </c>
      <c r="F984" s="3">
        <v>83900000000</v>
      </c>
      <c r="G984" s="3">
        <v>4150000000</v>
      </c>
      <c r="H984" s="3">
        <v>10600000000</v>
      </c>
      <c r="I984" s="2"/>
      <c r="J984" s="7">
        <f t="shared" si="270"/>
        <v>0.69699999999999995</v>
      </c>
      <c r="K984" s="7">
        <f t="shared" si="271"/>
        <v>51.19</v>
      </c>
      <c r="L984" s="7">
        <f t="shared" si="272"/>
        <v>91</v>
      </c>
      <c r="M984" s="7">
        <f t="shared" si="273"/>
        <v>222</v>
      </c>
      <c r="O984">
        <f t="shared" si="274"/>
        <v>0.5240608108108108</v>
      </c>
      <c r="P984">
        <f t="shared" si="275"/>
        <v>524.06081081081084</v>
      </c>
      <c r="V984">
        <f t="shared" si="276"/>
        <v>1024.1886480600979</v>
      </c>
      <c r="W984">
        <f t="shared" si="277"/>
        <v>108.37847130042266</v>
      </c>
      <c r="AE984">
        <f t="shared" si="278"/>
        <v>0.75285471629114775</v>
      </c>
      <c r="AF984">
        <f t="shared" si="279"/>
        <v>0.72965331436676872</v>
      </c>
      <c r="AG984">
        <f t="shared" si="280"/>
        <v>0.73152878831965207</v>
      </c>
      <c r="AI984">
        <f t="shared" si="281"/>
        <v>0.38575393151200671</v>
      </c>
      <c r="AJ984">
        <f t="shared" si="282"/>
        <v>28.748373122079954</v>
      </c>
      <c r="AL984">
        <f t="shared" si="283"/>
        <v>0.39802007466889311</v>
      </c>
      <c r="AM984">
        <f t="shared" si="284"/>
        <v>30.605713224967065</v>
      </c>
      <c r="AO984">
        <f t="shared" si="285"/>
        <v>0.39699964144099398</v>
      </c>
      <c r="AP984">
        <f t="shared" si="286"/>
        <v>30.448982175400836</v>
      </c>
    </row>
    <row r="985" spans="1:42" x14ac:dyDescent="0.2">
      <c r="A985" s="3">
        <v>980</v>
      </c>
      <c r="B985" s="3">
        <v>6.99E-7</v>
      </c>
      <c r="C985" s="2">
        <v>5.1240000000000001E-2</v>
      </c>
      <c r="D985" s="3">
        <v>237000</v>
      </c>
      <c r="E985" s="3">
        <v>96600000000</v>
      </c>
      <c r="F985" s="3">
        <v>88600000000</v>
      </c>
      <c r="G985" s="2">
        <v>0</v>
      </c>
      <c r="H985" s="3">
        <v>10400000000</v>
      </c>
      <c r="I985" s="2"/>
      <c r="J985" s="7">
        <f t="shared" si="270"/>
        <v>0.69899999999999995</v>
      </c>
      <c r="K985" s="7">
        <f t="shared" si="271"/>
        <v>51.24</v>
      </c>
      <c r="L985" s="7">
        <f t="shared" si="272"/>
        <v>96.600000000000009</v>
      </c>
      <c r="M985" s="7">
        <f t="shared" si="273"/>
        <v>237</v>
      </c>
      <c r="O985">
        <f t="shared" si="274"/>
        <v>0.53684810126582272</v>
      </c>
      <c r="P985">
        <f t="shared" si="275"/>
        <v>536.84810126582272</v>
      </c>
      <c r="V985">
        <f t="shared" si="276"/>
        <v>1035.1856921597584</v>
      </c>
      <c r="W985">
        <f t="shared" si="277"/>
        <v>114.47221585217979</v>
      </c>
      <c r="AE985">
        <f t="shared" si="278"/>
        <v>0.80372327820271183</v>
      </c>
      <c r="AF985">
        <f t="shared" si="279"/>
        <v>0.77895421398614506</v>
      </c>
      <c r="AG985">
        <f t="shared" si="280"/>
        <v>0.78095640915206088</v>
      </c>
      <c r="AI985">
        <f t="shared" si="281"/>
        <v>0.36237596682690842</v>
      </c>
      <c r="AJ985">
        <f t="shared" si="282"/>
        <v>25.249135982410372</v>
      </c>
      <c r="AL985">
        <f t="shared" si="283"/>
        <v>0.37389874112059213</v>
      </c>
      <c r="AM985">
        <f t="shared" si="284"/>
        <v>26.880401606528856</v>
      </c>
      <c r="AO985">
        <f t="shared" si="285"/>
        <v>0.37294014952285309</v>
      </c>
      <c r="AP985">
        <f t="shared" si="286"/>
        <v>26.742747779428502</v>
      </c>
    </row>
    <row r="986" spans="1:42" x14ac:dyDescent="0.2">
      <c r="A986" s="3">
        <v>980</v>
      </c>
      <c r="B986" s="3">
        <v>6.99E-7</v>
      </c>
      <c r="C986" s="2">
        <v>5.1290000000000002E-2</v>
      </c>
      <c r="D986" s="3">
        <v>197000</v>
      </c>
      <c r="E986" s="3">
        <v>81800000000</v>
      </c>
      <c r="F986" s="3">
        <v>76000000000</v>
      </c>
      <c r="G986" s="3">
        <v>2960000000</v>
      </c>
      <c r="H986" s="3">
        <v>11000000000</v>
      </c>
      <c r="I986" s="2"/>
      <c r="J986" s="7">
        <f t="shared" si="270"/>
        <v>0.69899999999999995</v>
      </c>
      <c r="K986" s="7">
        <f t="shared" si="271"/>
        <v>51.29</v>
      </c>
      <c r="L986" s="7">
        <f t="shared" si="272"/>
        <v>81.800000000000011</v>
      </c>
      <c r="M986" s="7">
        <f t="shared" si="273"/>
        <v>197</v>
      </c>
      <c r="O986">
        <f t="shared" si="274"/>
        <v>0.50373350253807103</v>
      </c>
      <c r="P986">
        <f t="shared" si="275"/>
        <v>503.73350253807104</v>
      </c>
      <c r="V986">
        <f t="shared" si="276"/>
        <v>1006.3950648852565</v>
      </c>
      <c r="W986">
        <f t="shared" si="277"/>
        <v>97.874088851211155</v>
      </c>
      <c r="AE986">
        <f t="shared" si="278"/>
        <v>0.66807377977187432</v>
      </c>
      <c r="AF986">
        <f t="shared" si="279"/>
        <v>0.64748514833447501</v>
      </c>
      <c r="AG986">
        <f t="shared" si="280"/>
        <v>0.64914942026563716</v>
      </c>
      <c r="AI986">
        <f t="shared" si="281"/>
        <v>0.4359548433399863</v>
      </c>
      <c r="AJ986">
        <f t="shared" si="282"/>
        <v>36.579211446917682</v>
      </c>
      <c r="AL986">
        <f t="shared" si="283"/>
        <v>0.44981726723644838</v>
      </c>
      <c r="AM986">
        <f t="shared" si="284"/>
        <v>38.942476876367898</v>
      </c>
      <c r="AO986">
        <f t="shared" si="285"/>
        <v>0.44866403775084346</v>
      </c>
      <c r="AP986">
        <f t="shared" si="286"/>
        <v>38.743053480197467</v>
      </c>
    </row>
    <row r="987" spans="1:42" x14ac:dyDescent="0.2">
      <c r="A987" s="3">
        <v>990</v>
      </c>
      <c r="B987" s="3">
        <v>6.9999999999999997E-7</v>
      </c>
      <c r="C987" s="2">
        <v>5.1339999999999997E-2</v>
      </c>
      <c r="D987" s="3">
        <v>224000</v>
      </c>
      <c r="E987" s="3">
        <v>91400000000</v>
      </c>
      <c r="F987" s="3">
        <v>84200000000</v>
      </c>
      <c r="G987" s="2">
        <v>0</v>
      </c>
      <c r="H987" s="3">
        <v>10600000000</v>
      </c>
      <c r="I987" s="2"/>
      <c r="J987" s="7">
        <f t="shared" si="270"/>
        <v>0.7</v>
      </c>
      <c r="K987" s="7">
        <f t="shared" si="271"/>
        <v>51.339999999999996</v>
      </c>
      <c r="L987" s="7">
        <f t="shared" si="272"/>
        <v>91.4</v>
      </c>
      <c r="M987" s="7">
        <f t="shared" si="273"/>
        <v>224</v>
      </c>
      <c r="O987">
        <f t="shared" si="274"/>
        <v>0.52810267857142856</v>
      </c>
      <c r="P987">
        <f t="shared" si="275"/>
        <v>528.10267857142856</v>
      </c>
      <c r="V987">
        <f t="shared" si="276"/>
        <v>1027.6806430703841</v>
      </c>
      <c r="W987">
        <f t="shared" si="277"/>
        <v>108.98327292161451</v>
      </c>
      <c r="AE987">
        <f t="shared" si="278"/>
        <v>0.75963719121268969</v>
      </c>
      <c r="AF987">
        <f t="shared" si="279"/>
        <v>0.73622676764935224</v>
      </c>
      <c r="AG987">
        <f t="shared" si="280"/>
        <v>0.7381191377639732</v>
      </c>
      <c r="AI987">
        <f t="shared" si="281"/>
        <v>0.38395522236220181</v>
      </c>
      <c r="AJ987">
        <f t="shared" si="282"/>
        <v>28.320043747824617</v>
      </c>
      <c r="AL987">
        <f t="shared" si="283"/>
        <v>0.39616417044697938</v>
      </c>
      <c r="AM987">
        <f t="shared" si="284"/>
        <v>30.149710864811954</v>
      </c>
      <c r="AO987">
        <f t="shared" si="285"/>
        <v>0.39514849533671392</v>
      </c>
      <c r="AP987">
        <f t="shared" si="286"/>
        <v>29.995314991295597</v>
      </c>
    </row>
    <row r="988" spans="1:42" x14ac:dyDescent="0.2">
      <c r="A988" s="3">
        <v>990</v>
      </c>
      <c r="B988" s="3">
        <v>7.0100000000000004E-7</v>
      </c>
      <c r="C988" s="2">
        <v>5.1400000000000001E-2</v>
      </c>
      <c r="D988" s="3">
        <v>221000</v>
      </c>
      <c r="E988" s="3">
        <v>90400000000</v>
      </c>
      <c r="F988" s="3">
        <v>83400000000</v>
      </c>
      <c r="G988" s="2">
        <v>0</v>
      </c>
      <c r="H988" s="3">
        <v>10600000000</v>
      </c>
      <c r="I988" s="2"/>
      <c r="J988" s="7">
        <f t="shared" si="270"/>
        <v>0.70100000000000007</v>
      </c>
      <c r="K988" s="7">
        <f t="shared" si="271"/>
        <v>51.4</v>
      </c>
      <c r="L988" s="7">
        <f t="shared" si="272"/>
        <v>90.4</v>
      </c>
      <c r="M988" s="7">
        <f t="shared" si="273"/>
        <v>221</v>
      </c>
      <c r="O988">
        <f t="shared" si="274"/>
        <v>0.52656561085972853</v>
      </c>
      <c r="P988">
        <f t="shared" si="275"/>
        <v>526.56561085972851</v>
      </c>
      <c r="V988">
        <f t="shared" si="276"/>
        <v>1026.3544445186701</v>
      </c>
      <c r="W988">
        <f t="shared" si="277"/>
        <v>107.66261167390495</v>
      </c>
      <c r="AE988">
        <f t="shared" si="278"/>
        <v>0.74946347883037678</v>
      </c>
      <c r="AF988">
        <f t="shared" si="279"/>
        <v>0.72636658772547702</v>
      </c>
      <c r="AG988">
        <f t="shared" si="280"/>
        <v>0.72823361359749139</v>
      </c>
      <c r="AI988">
        <f t="shared" si="281"/>
        <v>0.38972323746737159</v>
      </c>
      <c r="AJ988">
        <f t="shared" si="282"/>
        <v>29.128134001100559</v>
      </c>
      <c r="AL988">
        <f t="shared" si="283"/>
        <v>0.40211559599396568</v>
      </c>
      <c r="AM988">
        <f t="shared" si="284"/>
        <v>31.010009235319007</v>
      </c>
      <c r="AO988">
        <f t="shared" si="285"/>
        <v>0.40108466277797139</v>
      </c>
      <c r="AP988">
        <f t="shared" si="286"/>
        <v>30.851207796555453</v>
      </c>
    </row>
    <row r="989" spans="1:42" x14ac:dyDescent="0.2">
      <c r="A989" s="3">
        <v>990</v>
      </c>
      <c r="B989" s="3">
        <v>7.0200000000000001E-7</v>
      </c>
      <c r="C989" s="2">
        <v>5.1450000000000003E-2</v>
      </c>
      <c r="D989" s="3">
        <v>245000</v>
      </c>
      <c r="E989" s="3">
        <v>99300000000</v>
      </c>
      <c r="F989" s="3">
        <v>90900000000</v>
      </c>
      <c r="G989" s="3">
        <v>11900000000</v>
      </c>
      <c r="H989" s="3">
        <v>10300000000</v>
      </c>
      <c r="I989" s="2"/>
      <c r="J989" s="7">
        <f t="shared" si="270"/>
        <v>0.70199999999999996</v>
      </c>
      <c r="K989" s="7">
        <f t="shared" si="271"/>
        <v>51.45</v>
      </c>
      <c r="L989" s="7">
        <f t="shared" si="272"/>
        <v>99.300000000000011</v>
      </c>
      <c r="M989" s="7">
        <f t="shared" si="273"/>
        <v>245</v>
      </c>
      <c r="O989">
        <f t="shared" si="274"/>
        <v>0.54449999999999998</v>
      </c>
      <c r="P989">
        <f t="shared" si="275"/>
        <v>544.5</v>
      </c>
      <c r="V989">
        <f t="shared" si="276"/>
        <v>1041.6966479193873</v>
      </c>
      <c r="W989">
        <f t="shared" si="277"/>
        <v>117.59661533391034</v>
      </c>
      <c r="AE989">
        <f t="shared" si="278"/>
        <v>0.83085317788887925</v>
      </c>
      <c r="AF989">
        <f t="shared" si="279"/>
        <v>0.80524802711647903</v>
      </c>
      <c r="AG989">
        <f t="shared" si="280"/>
        <v>0.80731780692934574</v>
      </c>
      <c r="AI989">
        <f t="shared" si="281"/>
        <v>0.35204775980181641</v>
      </c>
      <c r="AJ989">
        <f t="shared" si="282"/>
        <v>23.723966527199874</v>
      </c>
      <c r="AL989">
        <f t="shared" si="283"/>
        <v>0.36324211938452838</v>
      </c>
      <c r="AM989">
        <f t="shared" si="284"/>
        <v>25.256695848730676</v>
      </c>
      <c r="AO989">
        <f t="shared" si="285"/>
        <v>0.36231084894873228</v>
      </c>
      <c r="AP989">
        <f t="shared" si="286"/>
        <v>25.127356975957166</v>
      </c>
    </row>
    <row r="990" spans="1:42" x14ac:dyDescent="0.2">
      <c r="A990" s="3">
        <v>990</v>
      </c>
      <c r="B990" s="3">
        <v>7.0299999999999998E-7</v>
      </c>
      <c r="C990" s="2">
        <v>5.1499999999999997E-2</v>
      </c>
      <c r="D990" s="3">
        <v>218000</v>
      </c>
      <c r="E990" s="3">
        <v>89000000000</v>
      </c>
      <c r="F990" s="3">
        <v>82200000000</v>
      </c>
      <c r="G990" s="3">
        <v>3810000000</v>
      </c>
      <c r="H990" s="3">
        <v>10600000000</v>
      </c>
      <c r="I990" s="2"/>
      <c r="J990" s="7">
        <f t="shared" si="270"/>
        <v>0.70299999999999996</v>
      </c>
      <c r="K990" s="7">
        <f t="shared" si="271"/>
        <v>51.5</v>
      </c>
      <c r="L990" s="7">
        <f t="shared" si="272"/>
        <v>89</v>
      </c>
      <c r="M990" s="7">
        <f t="shared" si="273"/>
        <v>218</v>
      </c>
      <c r="O990">
        <f t="shared" si="274"/>
        <v>0.52582110091743117</v>
      </c>
      <c r="P990">
        <f t="shared" si="275"/>
        <v>525.82110091743118</v>
      </c>
      <c r="V990">
        <f t="shared" si="276"/>
        <v>1025.7112981715438</v>
      </c>
      <c r="W990">
        <f t="shared" si="277"/>
        <v>106.26771899101225</v>
      </c>
      <c r="AE990">
        <f t="shared" si="278"/>
        <v>0.73928976644806399</v>
      </c>
      <c r="AF990">
        <f t="shared" si="279"/>
        <v>0.71650640780160169</v>
      </c>
      <c r="AG990">
        <f t="shared" si="280"/>
        <v>0.71834808943100958</v>
      </c>
      <c r="AI990">
        <f t="shared" si="281"/>
        <v>0.39621360927798588</v>
      </c>
      <c r="AJ990">
        <f t="shared" si="282"/>
        <v>29.993581955277172</v>
      </c>
      <c r="AL990">
        <f t="shared" si="283"/>
        <v>0.40881234763189211</v>
      </c>
      <c r="AM990">
        <f t="shared" si="284"/>
        <v>31.93137100365923</v>
      </c>
      <c r="AO990">
        <f t="shared" si="285"/>
        <v>0.40776424546306039</v>
      </c>
      <c r="AP990">
        <f t="shared" si="286"/>
        <v>31.767851295599979</v>
      </c>
    </row>
    <row r="991" spans="1:42" x14ac:dyDescent="0.2">
      <c r="A991" s="3">
        <v>990</v>
      </c>
      <c r="B991" s="3">
        <v>7.0399999999999995E-7</v>
      </c>
      <c r="C991" s="2">
        <v>5.1549999999999999E-2</v>
      </c>
      <c r="D991" s="3">
        <v>203000</v>
      </c>
      <c r="E991" s="3">
        <v>83400000000</v>
      </c>
      <c r="F991" s="3">
        <v>77400000000</v>
      </c>
      <c r="G991" s="3">
        <v>5040000000</v>
      </c>
      <c r="H991" s="3">
        <v>10900000000</v>
      </c>
      <c r="I991" s="2"/>
      <c r="J991" s="7">
        <f t="shared" si="270"/>
        <v>0.70399999999999996</v>
      </c>
      <c r="K991" s="7">
        <f t="shared" si="271"/>
        <v>51.55</v>
      </c>
      <c r="L991" s="7">
        <f t="shared" si="272"/>
        <v>83.4</v>
      </c>
      <c r="M991" s="7">
        <f t="shared" si="273"/>
        <v>203</v>
      </c>
      <c r="O991">
        <f t="shared" si="274"/>
        <v>0.51354433497536944</v>
      </c>
      <c r="P991">
        <f t="shared" si="275"/>
        <v>513.54433497536945</v>
      </c>
      <c r="V991">
        <f t="shared" si="276"/>
        <v>1015.031977024231</v>
      </c>
      <c r="W991">
        <f t="shared" si="277"/>
        <v>99.996849653512925</v>
      </c>
      <c r="AE991">
        <f t="shared" si="278"/>
        <v>0.68842120453650002</v>
      </c>
      <c r="AF991">
        <f t="shared" si="279"/>
        <v>0.66720550818222546</v>
      </c>
      <c r="AG991">
        <f t="shared" si="280"/>
        <v>0.66892046859860066</v>
      </c>
      <c r="AI991">
        <f t="shared" si="281"/>
        <v>0.42609572657023059</v>
      </c>
      <c r="AJ991">
        <f t="shared" si="282"/>
        <v>34.623477562911312</v>
      </c>
      <c r="AL991">
        <f t="shared" si="283"/>
        <v>0.4396446518142636</v>
      </c>
      <c r="AM991">
        <f t="shared" si="284"/>
        <v>36.860389304174909</v>
      </c>
      <c r="AO991">
        <f t="shared" si="285"/>
        <v>0.43851750260815231</v>
      </c>
      <c r="AP991">
        <f t="shared" si="286"/>
        <v>36.671628223503546</v>
      </c>
    </row>
    <row r="992" spans="1:42" x14ac:dyDescent="0.2">
      <c r="A992" s="3">
        <v>990</v>
      </c>
      <c r="B992" s="3">
        <v>7.0399999999999995E-7</v>
      </c>
      <c r="C992" s="2">
        <v>5.16E-2</v>
      </c>
      <c r="D992" s="3">
        <v>204000</v>
      </c>
      <c r="E992" s="3">
        <v>84000000000</v>
      </c>
      <c r="F992" s="3">
        <v>77900000000</v>
      </c>
      <c r="G992" s="3">
        <v>5660000000</v>
      </c>
      <c r="H992" s="3">
        <v>10900000000</v>
      </c>
      <c r="I992" s="2"/>
      <c r="J992" s="7">
        <f t="shared" si="270"/>
        <v>0.70399999999999996</v>
      </c>
      <c r="K992" s="7">
        <f t="shared" si="271"/>
        <v>51.6</v>
      </c>
      <c r="L992" s="7">
        <f t="shared" si="272"/>
        <v>84</v>
      </c>
      <c r="M992" s="7">
        <f t="shared" si="273"/>
        <v>204</v>
      </c>
      <c r="O992">
        <f t="shared" si="274"/>
        <v>0.51429411764705879</v>
      </c>
      <c r="P992">
        <f t="shared" si="275"/>
        <v>514.29411764705878</v>
      </c>
      <c r="V992">
        <f t="shared" si="276"/>
        <v>1015.6882492536708</v>
      </c>
      <c r="W992">
        <f t="shared" si="277"/>
        <v>100.42451517475934</v>
      </c>
      <c r="AE992">
        <f t="shared" si="278"/>
        <v>0.69181244199727088</v>
      </c>
      <c r="AF992">
        <f t="shared" si="279"/>
        <v>0.67049223482351727</v>
      </c>
      <c r="AG992">
        <f t="shared" si="280"/>
        <v>0.67221564332076134</v>
      </c>
      <c r="AI992">
        <f t="shared" si="281"/>
        <v>0.42400702202821972</v>
      </c>
      <c r="AJ992">
        <f t="shared" si="282"/>
        <v>34.318117669584595</v>
      </c>
      <c r="AL992">
        <f t="shared" si="283"/>
        <v>0.4374895309720368</v>
      </c>
      <c r="AM992">
        <f t="shared" si="284"/>
        <v>36.535301088369522</v>
      </c>
      <c r="AO992">
        <f t="shared" si="285"/>
        <v>0.43636790700713191</v>
      </c>
      <c r="AP992">
        <f t="shared" si="286"/>
        <v>36.348204775870371</v>
      </c>
    </row>
    <row r="993" spans="1:42" x14ac:dyDescent="0.2">
      <c r="A993" s="3">
        <v>990</v>
      </c>
      <c r="B993" s="3">
        <v>7.0500000000000003E-7</v>
      </c>
      <c r="C993" s="2">
        <v>5.1659999999999998E-2</v>
      </c>
      <c r="D993" s="3">
        <v>221000</v>
      </c>
      <c r="E993" s="3">
        <v>90000000000</v>
      </c>
      <c r="F993" s="3">
        <v>83000000000</v>
      </c>
      <c r="G993" s="2">
        <v>0</v>
      </c>
      <c r="H993" s="3">
        <v>10600000000</v>
      </c>
      <c r="I993" s="2"/>
      <c r="J993" s="7">
        <f t="shared" si="270"/>
        <v>0.70500000000000007</v>
      </c>
      <c r="K993" s="7">
        <f t="shared" si="271"/>
        <v>51.66</v>
      </c>
      <c r="L993" s="7">
        <f t="shared" si="272"/>
        <v>90</v>
      </c>
      <c r="M993" s="7">
        <f t="shared" si="273"/>
        <v>221</v>
      </c>
      <c r="O993">
        <f t="shared" si="274"/>
        <v>0.52968325791855209</v>
      </c>
      <c r="P993">
        <f t="shared" si="275"/>
        <v>529.68325791855204</v>
      </c>
      <c r="V993">
        <f t="shared" si="276"/>
        <v>1029.0421437625193</v>
      </c>
      <c r="W993">
        <f t="shared" si="277"/>
        <v>107.38141355025108</v>
      </c>
      <c r="AE993">
        <f t="shared" si="278"/>
        <v>0.74946347883037678</v>
      </c>
      <c r="AF993">
        <f t="shared" si="279"/>
        <v>0.72636658772547702</v>
      </c>
      <c r="AG993">
        <f t="shared" si="280"/>
        <v>0.72823361359749139</v>
      </c>
      <c r="AI993">
        <f t="shared" si="281"/>
        <v>0.3919470505199672</v>
      </c>
      <c r="AJ993">
        <f t="shared" si="282"/>
        <v>29.275474756748146</v>
      </c>
      <c r="AL993">
        <f t="shared" si="283"/>
        <v>0.40441012150605682</v>
      </c>
      <c r="AM993">
        <f t="shared" si="284"/>
        <v>31.166869204213615</v>
      </c>
      <c r="AO993">
        <f t="shared" si="285"/>
        <v>0.40337330564688989</v>
      </c>
      <c r="AP993">
        <f t="shared" si="286"/>
        <v>31.007264489689781</v>
      </c>
    </row>
    <row r="994" spans="1:42" x14ac:dyDescent="0.2">
      <c r="A994" s="3">
        <v>990</v>
      </c>
      <c r="B994" s="3">
        <v>7.06E-7</v>
      </c>
      <c r="C994" s="2">
        <v>5.1709999999999999E-2</v>
      </c>
      <c r="D994" s="3">
        <v>229000</v>
      </c>
      <c r="E994" s="3">
        <v>92900000000</v>
      </c>
      <c r="F994" s="3">
        <v>85500000000</v>
      </c>
      <c r="G994" s="3">
        <v>5840000000</v>
      </c>
      <c r="H994" s="3">
        <v>10500000000</v>
      </c>
      <c r="I994" s="2"/>
      <c r="J994" s="7">
        <f t="shared" si="270"/>
        <v>0.70599999999999996</v>
      </c>
      <c r="K994" s="7">
        <f t="shared" si="271"/>
        <v>51.71</v>
      </c>
      <c r="L994" s="7">
        <f t="shared" si="272"/>
        <v>92.9</v>
      </c>
      <c r="M994" s="7">
        <f t="shared" si="273"/>
        <v>229</v>
      </c>
      <c r="O994">
        <f t="shared" si="274"/>
        <v>0.53664410480349334</v>
      </c>
      <c r="P994">
        <f t="shared" si="275"/>
        <v>536.64410480349329</v>
      </c>
      <c r="V994">
        <f t="shared" si="276"/>
        <v>1035.0114076564093</v>
      </c>
      <c r="W994">
        <f t="shared" si="277"/>
        <v>110.62680000722304</v>
      </c>
      <c r="AE994">
        <f t="shared" si="278"/>
        <v>0.77659337851654431</v>
      </c>
      <c r="AF994">
        <f t="shared" si="279"/>
        <v>0.75266040085581098</v>
      </c>
      <c r="AG994">
        <f t="shared" si="280"/>
        <v>0.75459501137477614</v>
      </c>
      <c r="AI994">
        <f t="shared" si="281"/>
        <v>0.37879110845444819</v>
      </c>
      <c r="AJ994">
        <f t="shared" si="282"/>
        <v>27.292144708181695</v>
      </c>
      <c r="AL994">
        <f t="shared" si="283"/>
        <v>0.39083584885319467</v>
      </c>
      <c r="AM994">
        <f t="shared" si="284"/>
        <v>29.055402567854159</v>
      </c>
      <c r="AO994">
        <f t="shared" si="285"/>
        <v>0.38983383435139918</v>
      </c>
      <c r="AP994">
        <f t="shared" si="286"/>
        <v>28.906610618241508</v>
      </c>
    </row>
    <row r="995" spans="1:42" x14ac:dyDescent="0.2">
      <c r="A995" s="3">
        <v>990</v>
      </c>
      <c r="B995" s="3">
        <v>7.06E-7</v>
      </c>
      <c r="C995" s="2">
        <v>5.176E-2</v>
      </c>
      <c r="D995" s="3">
        <v>230000</v>
      </c>
      <c r="E995" s="3">
        <v>93200000000</v>
      </c>
      <c r="F995" s="3">
        <v>85700000000</v>
      </c>
      <c r="G995" s="3">
        <v>31300000</v>
      </c>
      <c r="H995" s="3">
        <v>10500000000</v>
      </c>
      <c r="I995" s="2"/>
      <c r="J995" s="7">
        <f t="shared" si="270"/>
        <v>0.70599999999999996</v>
      </c>
      <c r="K995" s="7">
        <f t="shared" si="271"/>
        <v>51.76</v>
      </c>
      <c r="L995" s="7">
        <f t="shared" si="272"/>
        <v>93.2</v>
      </c>
      <c r="M995" s="7">
        <f t="shared" si="273"/>
        <v>230</v>
      </c>
      <c r="O995">
        <f t="shared" si="274"/>
        <v>0.53721739130434776</v>
      </c>
      <c r="P995">
        <f t="shared" si="275"/>
        <v>537.21739130434776</v>
      </c>
      <c r="V995">
        <f t="shared" si="276"/>
        <v>1035.5011015284877</v>
      </c>
      <c r="W995">
        <f t="shared" si="277"/>
        <v>111.05734202527668</v>
      </c>
      <c r="AE995">
        <f t="shared" si="278"/>
        <v>0.77998461597731528</v>
      </c>
      <c r="AF995">
        <f t="shared" si="279"/>
        <v>0.7559471274971028</v>
      </c>
      <c r="AG995">
        <f t="shared" si="280"/>
        <v>0.75789018609693681</v>
      </c>
      <c r="AI995">
        <f t="shared" si="281"/>
        <v>0.37714419059160276</v>
      </c>
      <c r="AJ995">
        <f t="shared" si="282"/>
        <v>27.08149827389747</v>
      </c>
      <c r="AL995">
        <f t="shared" si="283"/>
        <v>0.38913656255383294</v>
      </c>
      <c r="AM995">
        <f t="shared" si="284"/>
        <v>28.831146943642391</v>
      </c>
      <c r="AO995">
        <f t="shared" si="285"/>
        <v>0.38813890463682782</v>
      </c>
      <c r="AP995">
        <f t="shared" si="286"/>
        <v>28.683503401161939</v>
      </c>
    </row>
    <row r="996" spans="1:42" x14ac:dyDescent="0.2">
      <c r="A996" s="3">
        <v>990</v>
      </c>
      <c r="B996" s="3">
        <v>7.0699999999999996E-7</v>
      </c>
      <c r="C996" s="2">
        <v>5.1810000000000002E-2</v>
      </c>
      <c r="D996" s="3">
        <v>230000</v>
      </c>
      <c r="E996" s="3">
        <v>93400000000</v>
      </c>
      <c r="F996" s="3">
        <v>85900000000</v>
      </c>
      <c r="G996" s="3">
        <v>6520000000</v>
      </c>
      <c r="H996" s="3">
        <v>10400000000</v>
      </c>
      <c r="I996" s="2"/>
      <c r="J996" s="7">
        <f t="shared" si="270"/>
        <v>0.70699999999999996</v>
      </c>
      <c r="K996" s="7">
        <f t="shared" si="271"/>
        <v>51.81</v>
      </c>
      <c r="L996" s="7">
        <f t="shared" si="272"/>
        <v>93.4</v>
      </c>
      <c r="M996" s="7">
        <f t="shared" si="273"/>
        <v>230</v>
      </c>
      <c r="O996">
        <f t="shared" si="274"/>
        <v>0.53805434782608685</v>
      </c>
      <c r="P996">
        <f t="shared" si="275"/>
        <v>538.05434782608688</v>
      </c>
      <c r="V996">
        <f t="shared" si="276"/>
        <v>1036.215496542806</v>
      </c>
      <c r="W996">
        <f t="shared" si="277"/>
        <v>110.98077608729271</v>
      </c>
      <c r="AE996">
        <f t="shared" si="278"/>
        <v>0.77998461597731528</v>
      </c>
      <c r="AF996">
        <f t="shared" si="279"/>
        <v>0.7559471274971028</v>
      </c>
      <c r="AG996">
        <f t="shared" si="280"/>
        <v>0.75789018609693681</v>
      </c>
      <c r="AI996">
        <f t="shared" si="281"/>
        <v>0.37767838916184582</v>
      </c>
      <c r="AJ996">
        <f t="shared" si="282"/>
        <v>27.107658917515998</v>
      </c>
      <c r="AL996">
        <f t="shared" si="283"/>
        <v>0.38968774748662877</v>
      </c>
      <c r="AM996">
        <f t="shared" si="284"/>
        <v>28.858997742467398</v>
      </c>
      <c r="AO996">
        <f t="shared" si="285"/>
        <v>0.38868867645642674</v>
      </c>
      <c r="AP996">
        <f t="shared" si="286"/>
        <v>28.711211576781302</v>
      </c>
    </row>
    <row r="997" spans="1:42" x14ac:dyDescent="0.2">
      <c r="A997" s="3">
        <v>1000</v>
      </c>
      <c r="B997" s="3">
        <v>7.0800000000000004E-7</v>
      </c>
      <c r="C997" s="2">
        <v>5.1860000000000003E-2</v>
      </c>
      <c r="D997" s="3">
        <v>229000</v>
      </c>
      <c r="E997" s="3">
        <v>92700000000</v>
      </c>
      <c r="F997" s="3">
        <v>85300000000</v>
      </c>
      <c r="G997" s="2">
        <v>0</v>
      </c>
      <c r="H997" s="3">
        <v>10500000000</v>
      </c>
      <c r="I997" s="2"/>
      <c r="J997" s="7">
        <f t="shared" si="270"/>
        <v>0.70800000000000007</v>
      </c>
      <c r="K997" s="7">
        <f t="shared" si="271"/>
        <v>51.860000000000007</v>
      </c>
      <c r="L997" s="7">
        <f t="shared" si="272"/>
        <v>92.7</v>
      </c>
      <c r="M997" s="7">
        <f t="shared" si="273"/>
        <v>229</v>
      </c>
      <c r="O997">
        <f t="shared" si="274"/>
        <v>0.5381528384279477</v>
      </c>
      <c r="P997">
        <f t="shared" si="275"/>
        <v>538.1528384279477</v>
      </c>
      <c r="V997">
        <f t="shared" si="276"/>
        <v>1036.2995237490286</v>
      </c>
      <c r="W997">
        <f t="shared" si="277"/>
        <v>110.48929134481553</v>
      </c>
      <c r="AE997">
        <f t="shared" si="278"/>
        <v>0.77659337851654431</v>
      </c>
      <c r="AF997">
        <f t="shared" si="279"/>
        <v>0.75266040085581098</v>
      </c>
      <c r="AG997">
        <f t="shared" si="280"/>
        <v>0.75459501137477614</v>
      </c>
      <c r="AI997">
        <f t="shared" si="281"/>
        <v>0.37986417108463083</v>
      </c>
      <c r="AJ997">
        <f t="shared" si="282"/>
        <v>27.371313567323593</v>
      </c>
      <c r="AL997">
        <f t="shared" si="283"/>
        <v>0.39194303256099416</v>
      </c>
      <c r="AM997">
        <f t="shared" si="284"/>
        <v>29.139686272846973</v>
      </c>
      <c r="AO997">
        <f t="shared" si="285"/>
        <v>0.39093817949120491</v>
      </c>
      <c r="AP997">
        <f t="shared" si="286"/>
        <v>28.990462708605776</v>
      </c>
    </row>
    <row r="998" spans="1:42" x14ac:dyDescent="0.2">
      <c r="A998" s="3">
        <v>1000</v>
      </c>
      <c r="B998" s="3">
        <v>7.0900000000000001E-7</v>
      </c>
      <c r="C998" s="2">
        <v>5.1920000000000001E-2</v>
      </c>
      <c r="D998" s="3">
        <v>216000</v>
      </c>
      <c r="E998" s="3">
        <v>88000000000</v>
      </c>
      <c r="F998" s="3">
        <v>81300000000</v>
      </c>
      <c r="G998" s="2">
        <v>0</v>
      </c>
      <c r="H998" s="3">
        <v>10700000000</v>
      </c>
      <c r="I998" s="2"/>
      <c r="J998" s="7">
        <f t="shared" si="270"/>
        <v>0.70899999999999996</v>
      </c>
      <c r="K998" s="7">
        <f t="shared" si="271"/>
        <v>51.92</v>
      </c>
      <c r="L998" s="7">
        <f t="shared" si="272"/>
        <v>88</v>
      </c>
      <c r="M998" s="7">
        <f t="shared" si="273"/>
        <v>216</v>
      </c>
      <c r="O998">
        <f t="shared" si="274"/>
        <v>0.5287222222222222</v>
      </c>
      <c r="P998">
        <f t="shared" si="275"/>
        <v>528.72222222222217</v>
      </c>
      <c r="V998">
        <f t="shared" si="276"/>
        <v>1028.214584013308</v>
      </c>
      <c r="W998">
        <f t="shared" si="277"/>
        <v>105.03644052436643</v>
      </c>
      <c r="AE998">
        <f t="shared" si="278"/>
        <v>0.73250729152652216</v>
      </c>
      <c r="AF998">
        <f t="shared" si="279"/>
        <v>0.70993295451901828</v>
      </c>
      <c r="AG998">
        <f t="shared" si="280"/>
        <v>0.71175773998668845</v>
      </c>
      <c r="AI998">
        <f t="shared" si="281"/>
        <v>0.40329518911822382</v>
      </c>
      <c r="AJ998">
        <f t="shared" si="282"/>
        <v>30.800748723442222</v>
      </c>
      <c r="AL998">
        <f t="shared" si="283"/>
        <v>0.41611910643986422</v>
      </c>
      <c r="AM998">
        <f t="shared" si="284"/>
        <v>32.790686225646844</v>
      </c>
      <c r="AO998">
        <f t="shared" si="285"/>
        <v>0.41505227139811879</v>
      </c>
      <c r="AP998">
        <f t="shared" si="286"/>
        <v>32.622765987018013</v>
      </c>
    </row>
    <row r="999" spans="1:42" x14ac:dyDescent="0.2">
      <c r="A999" s="3">
        <v>1000</v>
      </c>
      <c r="B999" s="3">
        <v>7.0999999999999998E-7</v>
      </c>
      <c r="C999" s="2">
        <v>5.1970000000000002E-2</v>
      </c>
      <c r="D999" s="3">
        <v>225000</v>
      </c>
      <c r="E999" s="3">
        <v>91000000000</v>
      </c>
      <c r="F999" s="3">
        <v>83900000000</v>
      </c>
      <c r="G999" s="3">
        <v>926000000</v>
      </c>
      <c r="H999" s="3">
        <v>10500000000</v>
      </c>
      <c r="I999" s="2"/>
      <c r="J999" s="7">
        <f t="shared" si="270"/>
        <v>0.71</v>
      </c>
      <c r="K999" s="7">
        <f t="shared" si="271"/>
        <v>51.97</v>
      </c>
      <c r="L999" s="7">
        <f t="shared" si="272"/>
        <v>91</v>
      </c>
      <c r="M999" s="7">
        <f t="shared" si="273"/>
        <v>225</v>
      </c>
      <c r="O999">
        <f t="shared" si="274"/>
        <v>0.53676666666666661</v>
      </c>
      <c r="P999">
        <f t="shared" si="275"/>
        <v>536.76666666666665</v>
      </c>
      <c r="V999">
        <f t="shared" si="276"/>
        <v>1035.1161228839449</v>
      </c>
      <c r="W999">
        <f t="shared" si="277"/>
        <v>108.68345832210872</v>
      </c>
      <c r="AE999">
        <f t="shared" si="278"/>
        <v>0.76302842867346055</v>
      </c>
      <c r="AF999">
        <f t="shared" si="279"/>
        <v>0.73951349429064395</v>
      </c>
      <c r="AG999">
        <f t="shared" si="280"/>
        <v>0.74141431248613376</v>
      </c>
      <c r="AI999">
        <f t="shared" si="281"/>
        <v>0.3877094512030767</v>
      </c>
      <c r="AJ999">
        <f t="shared" si="282"/>
        <v>28.41330628125117</v>
      </c>
      <c r="AL999">
        <f t="shared" si="283"/>
        <v>0.40003777566912763</v>
      </c>
      <c r="AM999">
        <f t="shared" si="284"/>
        <v>30.248998791143148</v>
      </c>
      <c r="AO999">
        <f t="shared" si="285"/>
        <v>0.39901216951333957</v>
      </c>
      <c r="AP999">
        <f t="shared" si="286"/>
        <v>30.094094466776816</v>
      </c>
    </row>
    <row r="1000" spans="1:42" x14ac:dyDescent="0.2">
      <c r="A1000" s="3">
        <v>1000</v>
      </c>
      <c r="B1000" s="3">
        <v>7.1099999999999995E-7</v>
      </c>
      <c r="C1000" s="2">
        <v>5.2019999999999997E-2</v>
      </c>
      <c r="D1000" s="3">
        <v>220000</v>
      </c>
      <c r="E1000" s="3">
        <v>89200000000</v>
      </c>
      <c r="F1000" s="3">
        <v>82300000000</v>
      </c>
      <c r="G1000" s="3">
        <v>2900000000</v>
      </c>
      <c r="H1000" s="3">
        <v>10600000000</v>
      </c>
      <c r="I1000" s="2"/>
      <c r="J1000" s="7">
        <f t="shared" si="270"/>
        <v>0.71099999999999997</v>
      </c>
      <c r="K1000" s="7">
        <f t="shared" si="271"/>
        <v>52.019999999999996</v>
      </c>
      <c r="L1000" s="7">
        <f t="shared" si="272"/>
        <v>89.2</v>
      </c>
      <c r="M1000" s="7">
        <f t="shared" si="273"/>
        <v>220</v>
      </c>
      <c r="O1000">
        <f t="shared" si="274"/>
        <v>0.53365909090909092</v>
      </c>
      <c r="P1000">
        <f t="shared" si="275"/>
        <v>533.65909090909088</v>
      </c>
      <c r="V1000">
        <f t="shared" si="276"/>
        <v>1032.4569268774428</v>
      </c>
      <c r="W1000">
        <f t="shared" si="277"/>
        <v>106.54197491093736</v>
      </c>
      <c r="AE1000">
        <f t="shared" si="278"/>
        <v>0.74607224136960593</v>
      </c>
      <c r="AF1000">
        <f t="shared" si="279"/>
        <v>0.7230798610841852</v>
      </c>
      <c r="AG1000">
        <f t="shared" si="280"/>
        <v>0.72493843887533083</v>
      </c>
      <c r="AI1000">
        <f t="shared" si="281"/>
        <v>0.39707950996294616</v>
      </c>
      <c r="AJ1000">
        <f t="shared" si="282"/>
        <v>29.748089432557023</v>
      </c>
      <c r="AL1000">
        <f t="shared" si="283"/>
        <v>0.40970578209134889</v>
      </c>
      <c r="AM1000">
        <f t="shared" si="284"/>
        <v>31.670017997096373</v>
      </c>
      <c r="AO1000">
        <f t="shared" si="285"/>
        <v>0.40865538935913254</v>
      </c>
      <c r="AP1000">
        <f t="shared" si="286"/>
        <v>31.507836670885137</v>
      </c>
    </row>
    <row r="1001" spans="1:42" x14ac:dyDescent="0.2">
      <c r="A1001" s="3">
        <v>1000</v>
      </c>
      <c r="B1001" s="3">
        <v>7.1200000000000002E-7</v>
      </c>
      <c r="C1001" s="2">
        <v>5.2069999999999998E-2</v>
      </c>
      <c r="D1001" s="3">
        <v>250000</v>
      </c>
      <c r="E1001" s="3">
        <v>100000000000</v>
      </c>
      <c r="F1001" s="3">
        <v>91900000000</v>
      </c>
      <c r="G1001" s="3">
        <v>11200000000</v>
      </c>
      <c r="H1001" s="3">
        <v>10200000000</v>
      </c>
      <c r="I1001" s="2"/>
      <c r="J1001" s="7">
        <f t="shared" si="270"/>
        <v>0.71200000000000008</v>
      </c>
      <c r="K1001" s="7">
        <f t="shared" si="271"/>
        <v>52.07</v>
      </c>
      <c r="L1001" s="7">
        <f t="shared" si="272"/>
        <v>100</v>
      </c>
      <c r="M1001" s="7">
        <f t="shared" si="273"/>
        <v>250</v>
      </c>
      <c r="O1001">
        <f t="shared" si="274"/>
        <v>0.55579000000000012</v>
      </c>
      <c r="P1001">
        <f t="shared" si="275"/>
        <v>555.79000000000008</v>
      </c>
      <c r="V1001">
        <f t="shared" si="276"/>
        <v>1051.2108504833298</v>
      </c>
      <c r="W1001">
        <f t="shared" si="277"/>
        <v>118.91049254536046</v>
      </c>
      <c r="AE1001">
        <f t="shared" si="278"/>
        <v>0.84780936519273398</v>
      </c>
      <c r="AF1001">
        <f t="shared" si="279"/>
        <v>0.82168166032293777</v>
      </c>
      <c r="AG1001">
        <f t="shared" si="280"/>
        <v>0.82379368054014868</v>
      </c>
      <c r="AI1001">
        <f t="shared" si="281"/>
        <v>0.34992143145201632</v>
      </c>
      <c r="AJ1001">
        <f t="shared" si="282"/>
        <v>23.059062825330887</v>
      </c>
      <c r="AL1001">
        <f t="shared" si="283"/>
        <v>0.36104817837855918</v>
      </c>
      <c r="AM1001">
        <f t="shared" si="284"/>
        <v>24.548834853076915</v>
      </c>
      <c r="AO1001">
        <f t="shared" si="285"/>
        <v>0.36012253271006767</v>
      </c>
      <c r="AP1001">
        <f t="shared" si="286"/>
        <v>24.423120917777677</v>
      </c>
    </row>
    <row r="1002" spans="1:42" x14ac:dyDescent="0.2">
      <c r="A1002" s="3">
        <v>1000</v>
      </c>
      <c r="B1002" s="3">
        <v>7.1299999999999999E-7</v>
      </c>
      <c r="C1002" s="2">
        <v>5.2130000000000003E-2</v>
      </c>
      <c r="D1002" s="3">
        <v>230000</v>
      </c>
      <c r="E1002" s="3">
        <v>92800000000</v>
      </c>
      <c r="F1002" s="3">
        <v>85500000000</v>
      </c>
      <c r="G1002" s="2">
        <v>0</v>
      </c>
      <c r="H1002" s="3">
        <v>10400000000</v>
      </c>
      <c r="I1002" s="2"/>
      <c r="J1002" s="7">
        <f t="shared" si="270"/>
        <v>0.71299999999999997</v>
      </c>
      <c r="K1002" s="7">
        <f t="shared" si="271"/>
        <v>52.13</v>
      </c>
      <c r="L1002" s="7">
        <f t="shared" si="272"/>
        <v>92.800000000000011</v>
      </c>
      <c r="M1002" s="7">
        <f t="shared" si="273"/>
        <v>230</v>
      </c>
      <c r="O1002">
        <f t="shared" si="274"/>
        <v>0.54301086956521738</v>
      </c>
      <c r="P1002">
        <f t="shared" si="275"/>
        <v>543.01086956521738</v>
      </c>
      <c r="V1002">
        <f t="shared" si="276"/>
        <v>1040.4335687547855</v>
      </c>
      <c r="W1002">
        <f t="shared" si="277"/>
        <v>110.53084353827089</v>
      </c>
      <c r="AE1002">
        <f t="shared" si="278"/>
        <v>0.77998461597731528</v>
      </c>
      <c r="AF1002">
        <f t="shared" si="279"/>
        <v>0.7559471274971028</v>
      </c>
      <c r="AG1002">
        <f t="shared" si="280"/>
        <v>0.75789018609693681</v>
      </c>
      <c r="AI1002">
        <f t="shared" si="281"/>
        <v>0.38088358058330418</v>
      </c>
      <c r="AJ1002">
        <f t="shared" si="282"/>
        <v>27.275087036674559</v>
      </c>
      <c r="AL1002">
        <f t="shared" si="283"/>
        <v>0.39299485708340354</v>
      </c>
      <c r="AM1002">
        <f t="shared" si="284"/>
        <v>29.037242854947412</v>
      </c>
      <c r="AO1002">
        <f t="shared" si="285"/>
        <v>0.39198730737402016</v>
      </c>
      <c r="AP1002">
        <f t="shared" si="286"/>
        <v>28.888543900745209</v>
      </c>
    </row>
    <row r="1003" spans="1:42" x14ac:dyDescent="0.2">
      <c r="A1003" s="3">
        <v>1000</v>
      </c>
      <c r="B1003" s="3">
        <v>7.1299999999999999E-7</v>
      </c>
      <c r="C1003" s="2">
        <v>5.2179999999999997E-2</v>
      </c>
      <c r="D1003" s="3">
        <v>246000</v>
      </c>
      <c r="E1003" s="3">
        <v>98700000000</v>
      </c>
      <c r="F1003" s="3">
        <v>90400000000</v>
      </c>
      <c r="G1003" s="3">
        <v>7350000000</v>
      </c>
      <c r="H1003" s="3">
        <v>10200000000</v>
      </c>
      <c r="I1003" s="2"/>
      <c r="J1003" s="7">
        <f t="shared" si="270"/>
        <v>0.71299999999999997</v>
      </c>
      <c r="K1003" s="7">
        <f t="shared" si="271"/>
        <v>52.18</v>
      </c>
      <c r="L1003" s="7">
        <f t="shared" si="272"/>
        <v>98.7</v>
      </c>
      <c r="M1003" s="7">
        <f t="shared" si="273"/>
        <v>246</v>
      </c>
      <c r="O1003">
        <f t="shared" si="274"/>
        <v>0.55391463414634146</v>
      </c>
      <c r="P1003">
        <f t="shared" si="275"/>
        <v>553.91463414634143</v>
      </c>
      <c r="V1003">
        <f t="shared" si="276"/>
        <v>1049.6379651247264</v>
      </c>
      <c r="W1003">
        <f t="shared" si="277"/>
        <v>117.18326135943848</v>
      </c>
      <c r="AE1003">
        <f t="shared" si="278"/>
        <v>0.83424441534965021</v>
      </c>
      <c r="AF1003">
        <f t="shared" si="279"/>
        <v>0.80853475375777073</v>
      </c>
      <c r="AG1003">
        <f t="shared" si="280"/>
        <v>0.8106129816515063</v>
      </c>
      <c r="AI1003">
        <f t="shared" si="281"/>
        <v>0.35611066477300801</v>
      </c>
      <c r="AJ1003">
        <f t="shared" si="282"/>
        <v>23.865357959671893</v>
      </c>
      <c r="AL1003">
        <f t="shared" si="283"/>
        <v>0.36743421597228793</v>
      </c>
      <c r="AM1003">
        <f t="shared" si="284"/>
        <v>25.407222127777128</v>
      </c>
      <c r="AO1003">
        <f t="shared" si="285"/>
        <v>0.36649219795131971</v>
      </c>
      <c r="AP1003">
        <f t="shared" si="286"/>
        <v>25.277112413901875</v>
      </c>
    </row>
    <row r="1004" spans="1:42" x14ac:dyDescent="0.2">
      <c r="A1004" s="3">
        <v>1000</v>
      </c>
      <c r="B1004" s="3">
        <v>7.1399999999999996E-7</v>
      </c>
      <c r="C1004" s="2">
        <v>5.2229999999999999E-2</v>
      </c>
      <c r="D1004" s="3">
        <v>217000</v>
      </c>
      <c r="E1004" s="3">
        <v>87800000000</v>
      </c>
      <c r="F1004" s="3">
        <v>81100000000</v>
      </c>
      <c r="G1004" s="3">
        <v>5030000000</v>
      </c>
      <c r="H1004" s="3">
        <v>10600000000</v>
      </c>
      <c r="I1004" s="2"/>
      <c r="J1004" s="7">
        <f t="shared" si="270"/>
        <v>0.71399999999999997</v>
      </c>
      <c r="K1004" s="7">
        <f t="shared" si="271"/>
        <v>52.23</v>
      </c>
      <c r="L1004" s="7">
        <f t="shared" si="272"/>
        <v>87.800000000000011</v>
      </c>
      <c r="M1004" s="7">
        <f t="shared" si="273"/>
        <v>217</v>
      </c>
      <c r="O1004">
        <f t="shared" si="274"/>
        <v>0.53348156682027648</v>
      </c>
      <c r="P1004">
        <f t="shared" si="275"/>
        <v>533.4815668202765</v>
      </c>
      <c r="V1004">
        <f t="shared" si="276"/>
        <v>1032.3047569288876</v>
      </c>
      <c r="W1004">
        <f t="shared" si="277"/>
        <v>105.10462077379948</v>
      </c>
      <c r="AE1004">
        <f t="shared" si="278"/>
        <v>0.73589852898729313</v>
      </c>
      <c r="AF1004">
        <f t="shared" si="279"/>
        <v>0.71321968116030998</v>
      </c>
      <c r="AG1004">
        <f t="shared" si="280"/>
        <v>0.71505291470884902</v>
      </c>
      <c r="AI1004">
        <f t="shared" si="281"/>
        <v>0.40426769219039566</v>
      </c>
      <c r="AJ1004">
        <f t="shared" si="282"/>
        <v>30.699736675973664</v>
      </c>
      <c r="AL1004">
        <f t="shared" si="283"/>
        <v>0.41712253301256152</v>
      </c>
      <c r="AM1004">
        <f t="shared" si="284"/>
        <v>32.683148114047938</v>
      </c>
      <c r="AO1004">
        <f t="shared" si="285"/>
        <v>0.41605312541259165</v>
      </c>
      <c r="AP1004">
        <f t="shared" si="286"/>
        <v>32.51577857525006</v>
      </c>
    </row>
    <row r="1005" spans="1:42" x14ac:dyDescent="0.2">
      <c r="A1005" s="3">
        <v>1000</v>
      </c>
      <c r="B1005" s="3">
        <v>7.1500000000000004E-7</v>
      </c>
      <c r="C1005" s="2">
        <v>5.228E-2</v>
      </c>
      <c r="D1005" s="3">
        <v>221000</v>
      </c>
      <c r="E1005" s="3">
        <v>89300000000</v>
      </c>
      <c r="F1005" s="3">
        <v>82500000000</v>
      </c>
      <c r="G1005" s="2">
        <v>0</v>
      </c>
      <c r="H1005" s="3">
        <v>10500000000</v>
      </c>
      <c r="I1005" s="2"/>
      <c r="J1005" s="7">
        <f t="shared" si="270"/>
        <v>0.71500000000000008</v>
      </c>
      <c r="K1005" s="7">
        <f t="shared" si="271"/>
        <v>52.28</v>
      </c>
      <c r="L1005" s="7">
        <f t="shared" si="272"/>
        <v>89.300000000000011</v>
      </c>
      <c r="M1005" s="7">
        <f t="shared" si="273"/>
        <v>221</v>
      </c>
      <c r="O1005">
        <f t="shared" si="274"/>
        <v>0.53757918552036199</v>
      </c>
      <c r="P1005">
        <f t="shared" si="275"/>
        <v>537.57918552036199</v>
      </c>
      <c r="V1005">
        <f t="shared" si="276"/>
        <v>1035.8099916517713</v>
      </c>
      <c r="W1005">
        <f t="shared" si="277"/>
        <v>106.67979734757083</v>
      </c>
      <c r="AE1005">
        <f t="shared" si="278"/>
        <v>0.74946347883037678</v>
      </c>
      <c r="AF1005">
        <f t="shared" si="279"/>
        <v>0.72636658772547702</v>
      </c>
      <c r="AG1005">
        <f t="shared" si="280"/>
        <v>0.72823361359749139</v>
      </c>
      <c r="AI1005">
        <f t="shared" si="281"/>
        <v>0.39750658315145609</v>
      </c>
      <c r="AJ1005">
        <f t="shared" si="282"/>
        <v>29.626825789446251</v>
      </c>
      <c r="AL1005">
        <f t="shared" si="283"/>
        <v>0.41014643528628453</v>
      </c>
      <c r="AM1005">
        <f t="shared" si="284"/>
        <v>31.540919899269994</v>
      </c>
      <c r="AO1005">
        <f t="shared" si="285"/>
        <v>0.40909491281918625</v>
      </c>
      <c r="AP1005">
        <f t="shared" si="286"/>
        <v>31.379399681010103</v>
      </c>
    </row>
    <row r="1006" spans="1:42" x14ac:dyDescent="0.2">
      <c r="A1006" s="3">
        <v>1000</v>
      </c>
      <c r="B1006" s="3">
        <v>7.1600000000000001E-7</v>
      </c>
      <c r="C1006" s="2">
        <v>5.2330000000000002E-2</v>
      </c>
      <c r="D1006" s="3">
        <v>253000</v>
      </c>
      <c r="E1006" s="3">
        <v>101000000000</v>
      </c>
      <c r="F1006" s="3">
        <v>92500000000</v>
      </c>
      <c r="G1006" s="3">
        <v>6140000000</v>
      </c>
      <c r="H1006" s="3">
        <v>10100000000</v>
      </c>
      <c r="I1006" s="2"/>
      <c r="J1006" s="7">
        <f t="shared" si="270"/>
        <v>0.71599999999999997</v>
      </c>
      <c r="K1006" s="7">
        <f t="shared" si="271"/>
        <v>52.33</v>
      </c>
      <c r="L1006" s="7">
        <f t="shared" si="272"/>
        <v>101</v>
      </c>
      <c r="M1006" s="7">
        <f t="shared" si="273"/>
        <v>253</v>
      </c>
      <c r="O1006">
        <f t="shared" si="274"/>
        <v>0.56087154150197627</v>
      </c>
      <c r="P1006">
        <f t="shared" si="275"/>
        <v>560.87154150197625</v>
      </c>
      <c r="V1006">
        <f t="shared" si="276"/>
        <v>1055.4579841617851</v>
      </c>
      <c r="W1006">
        <f t="shared" si="277"/>
        <v>119.85318401893822</v>
      </c>
      <c r="AE1006">
        <f t="shared" si="278"/>
        <v>0.85798307757504677</v>
      </c>
      <c r="AF1006">
        <f t="shared" si="279"/>
        <v>0.83154184024681299</v>
      </c>
      <c r="AG1006">
        <f t="shared" si="280"/>
        <v>0.83367920470663048</v>
      </c>
      <c r="AI1006">
        <f t="shared" si="281"/>
        <v>0.34771470572184854</v>
      </c>
      <c r="AJ1006">
        <f t="shared" si="282"/>
        <v>22.627875711693104</v>
      </c>
      <c r="AL1006">
        <f t="shared" si="283"/>
        <v>0.35877128352890086</v>
      </c>
      <c r="AM1006">
        <f t="shared" si="284"/>
        <v>24.089790124171422</v>
      </c>
      <c r="AO1006">
        <f t="shared" si="285"/>
        <v>0.35785147530256084</v>
      </c>
      <c r="AP1006">
        <f t="shared" si="286"/>
        <v>23.966426944812106</v>
      </c>
    </row>
    <row r="1007" spans="1:42" x14ac:dyDescent="0.2">
      <c r="A1007" s="3">
        <v>1000</v>
      </c>
      <c r="B1007" s="3">
        <v>7.1699999999999997E-7</v>
      </c>
      <c r="C1007" s="2">
        <v>5.2389999999999999E-2</v>
      </c>
      <c r="D1007" s="3">
        <v>219000</v>
      </c>
      <c r="E1007" s="3">
        <v>88300000000</v>
      </c>
      <c r="F1007" s="3">
        <v>81600000000</v>
      </c>
      <c r="G1007" s="3">
        <v>9040000000</v>
      </c>
      <c r="H1007" s="3">
        <v>10600000000</v>
      </c>
      <c r="I1007" s="2"/>
      <c r="J1007" s="7">
        <f t="shared" si="270"/>
        <v>0.71699999999999997</v>
      </c>
      <c r="K1007" s="7">
        <f t="shared" si="271"/>
        <v>52.39</v>
      </c>
      <c r="L1007" s="7">
        <f t="shared" si="272"/>
        <v>88.300000000000011</v>
      </c>
      <c r="M1007" s="7">
        <f t="shared" si="273"/>
        <v>219</v>
      </c>
      <c r="O1007">
        <f t="shared" si="274"/>
        <v>0.53758219178082189</v>
      </c>
      <c r="P1007">
        <f t="shared" si="275"/>
        <v>537.58219178082186</v>
      </c>
      <c r="V1007">
        <f t="shared" si="276"/>
        <v>1035.8125578305676</v>
      </c>
      <c r="W1007">
        <f t="shared" si="277"/>
        <v>105.71410741470406</v>
      </c>
      <c r="AE1007">
        <f t="shared" si="278"/>
        <v>0.74268100390883496</v>
      </c>
      <c r="AF1007">
        <f t="shared" si="279"/>
        <v>0.7197931344428935</v>
      </c>
      <c r="AG1007">
        <f t="shared" si="280"/>
        <v>0.72164326415317026</v>
      </c>
      <c r="AI1007">
        <f t="shared" si="281"/>
        <v>0.40225884118166017</v>
      </c>
      <c r="AJ1007">
        <f t="shared" si="282"/>
        <v>30.233906175573239</v>
      </c>
      <c r="AL1007">
        <f t="shared" si="283"/>
        <v>0.41504980487376691</v>
      </c>
      <c r="AM1007">
        <f t="shared" si="284"/>
        <v>32.187221800369045</v>
      </c>
      <c r="AO1007">
        <f t="shared" si="285"/>
        <v>0.41398571127879286</v>
      </c>
      <c r="AP1007">
        <f t="shared" si="286"/>
        <v>32.022391887133196</v>
      </c>
    </row>
    <row r="1008" spans="1:42" x14ac:dyDescent="0.2">
      <c r="A1008" s="3">
        <v>1000</v>
      </c>
      <c r="B1008" s="3">
        <v>7.1800000000000005E-7</v>
      </c>
      <c r="C1008" s="2">
        <v>5.2440000000000001E-2</v>
      </c>
      <c r="D1008" s="3">
        <v>213000</v>
      </c>
      <c r="E1008" s="3">
        <v>86200000000</v>
      </c>
      <c r="F1008" s="3">
        <v>79800000000</v>
      </c>
      <c r="G1008" s="2">
        <v>0</v>
      </c>
      <c r="H1008" s="3">
        <v>10700000000</v>
      </c>
      <c r="I1008" s="2"/>
      <c r="J1008" s="7">
        <f t="shared" si="270"/>
        <v>0.71800000000000008</v>
      </c>
      <c r="K1008" s="7">
        <f t="shared" si="271"/>
        <v>52.44</v>
      </c>
      <c r="L1008" s="7">
        <f t="shared" si="272"/>
        <v>86.2</v>
      </c>
      <c r="M1008" s="7">
        <f t="shared" si="273"/>
        <v>213</v>
      </c>
      <c r="O1008">
        <f t="shared" si="274"/>
        <v>0.53335211267605642</v>
      </c>
      <c r="P1008">
        <f t="shared" si="275"/>
        <v>533.35211267605644</v>
      </c>
      <c r="V1008">
        <f t="shared" si="276"/>
        <v>1032.1937737518408</v>
      </c>
      <c r="W1008">
        <f t="shared" si="277"/>
        <v>103.17830111771693</v>
      </c>
      <c r="AE1008">
        <f t="shared" si="278"/>
        <v>0.72233357914420937</v>
      </c>
      <c r="AF1008">
        <f t="shared" si="279"/>
        <v>0.70007277459514294</v>
      </c>
      <c r="AG1008">
        <f t="shared" si="280"/>
        <v>0.70187221582020665</v>
      </c>
      <c r="AI1008">
        <f t="shared" si="281"/>
        <v>0.41416691028140606</v>
      </c>
      <c r="AJ1008">
        <f t="shared" si="282"/>
        <v>31.991718400980577</v>
      </c>
      <c r="AL1008">
        <f t="shared" si="283"/>
        <v>0.42733652489153989</v>
      </c>
      <c r="AM1008">
        <f t="shared" si="284"/>
        <v>34.058600630944973</v>
      </c>
      <c r="AO1008">
        <f t="shared" si="285"/>
        <v>0.42624093093222254</v>
      </c>
      <c r="AP1008">
        <f t="shared" si="286"/>
        <v>33.884187436114075</v>
      </c>
    </row>
    <row r="1009" spans="1:42" x14ac:dyDescent="0.2">
      <c r="A1009" s="3">
        <v>1000</v>
      </c>
      <c r="B1009" s="3">
        <v>7.1900000000000002E-7</v>
      </c>
      <c r="C1009" s="2">
        <v>5.2490000000000002E-2</v>
      </c>
      <c r="D1009" s="3">
        <v>220000</v>
      </c>
      <c r="E1009" s="3">
        <v>88600000000</v>
      </c>
      <c r="F1009" s="3">
        <v>81800000000</v>
      </c>
      <c r="G1009" s="3">
        <v>8930000</v>
      </c>
      <c r="H1009" s="3">
        <v>10600000000</v>
      </c>
      <c r="I1009" s="2"/>
      <c r="J1009" s="7">
        <f t="shared" si="270"/>
        <v>0.71899999999999997</v>
      </c>
      <c r="K1009" s="7">
        <f t="shared" si="271"/>
        <v>52.49</v>
      </c>
      <c r="L1009" s="7">
        <f t="shared" si="272"/>
        <v>88.600000000000009</v>
      </c>
      <c r="M1009" s="7">
        <f t="shared" si="273"/>
        <v>220</v>
      </c>
      <c r="O1009">
        <f t="shared" si="274"/>
        <v>0.54005681818181817</v>
      </c>
      <c r="P1009">
        <f t="shared" si="275"/>
        <v>540.05681818181813</v>
      </c>
      <c r="V1009">
        <f t="shared" si="276"/>
        <v>1037.9222228203325</v>
      </c>
      <c r="W1009">
        <f t="shared" si="277"/>
        <v>105.9809661855957</v>
      </c>
      <c r="AE1009">
        <f t="shared" si="278"/>
        <v>0.74607224136960593</v>
      </c>
      <c r="AF1009">
        <f t="shared" si="279"/>
        <v>0.7230798610841852</v>
      </c>
      <c r="AG1009">
        <f t="shared" si="280"/>
        <v>0.72493843887533083</v>
      </c>
      <c r="AI1009">
        <f t="shared" si="281"/>
        <v>0.40154735255043356</v>
      </c>
      <c r="AJ1009">
        <f t="shared" si="282"/>
        <v>30.016863020279093</v>
      </c>
      <c r="AL1009">
        <f t="shared" si="283"/>
        <v>0.4143156924383683</v>
      </c>
      <c r="AM1009">
        <f t="shared" si="284"/>
        <v>31.956156183536887</v>
      </c>
      <c r="AO1009">
        <f t="shared" si="285"/>
        <v>0.41325348094123249</v>
      </c>
      <c r="AP1009">
        <f t="shared" si="286"/>
        <v>31.792509551225702</v>
      </c>
    </row>
    <row r="1010" spans="1:42" x14ac:dyDescent="0.2">
      <c r="A1010" s="3">
        <v>1000</v>
      </c>
      <c r="B1010" s="3">
        <v>7.1999999999999999E-7</v>
      </c>
      <c r="C1010" s="2">
        <v>5.2540000000000003E-2</v>
      </c>
      <c r="D1010" s="3">
        <v>223000</v>
      </c>
      <c r="E1010" s="3">
        <v>89800000000</v>
      </c>
      <c r="F1010" s="3">
        <v>82900000000</v>
      </c>
      <c r="G1010" s="2">
        <v>0</v>
      </c>
      <c r="H1010" s="3">
        <v>10500000000</v>
      </c>
      <c r="I1010" s="2"/>
      <c r="J1010" s="7">
        <f t="shared" si="270"/>
        <v>0.72</v>
      </c>
      <c r="K1010" s="7">
        <f t="shared" si="271"/>
        <v>52.540000000000006</v>
      </c>
      <c r="L1010" s="7">
        <f t="shared" si="272"/>
        <v>89.800000000000011</v>
      </c>
      <c r="M1010" s="7">
        <f t="shared" si="273"/>
        <v>223</v>
      </c>
      <c r="O1010">
        <f t="shared" si="274"/>
        <v>0.54329596412556047</v>
      </c>
      <c r="P1010">
        <f t="shared" si="275"/>
        <v>543.29596412556043</v>
      </c>
      <c r="V1010">
        <f t="shared" si="276"/>
        <v>1040.6755349019006</v>
      </c>
      <c r="W1010">
        <f t="shared" si="277"/>
        <v>107.14194411278301</v>
      </c>
      <c r="AE1010">
        <f t="shared" si="278"/>
        <v>0.75624595375191872</v>
      </c>
      <c r="AF1010">
        <f t="shared" si="279"/>
        <v>0.73294004100806054</v>
      </c>
      <c r="AG1010">
        <f t="shared" si="280"/>
        <v>0.73482396304181263</v>
      </c>
      <c r="AI1010">
        <f t="shared" si="281"/>
        <v>0.39669633736435561</v>
      </c>
      <c r="AJ1010">
        <f t="shared" si="282"/>
        <v>29.242495691225006</v>
      </c>
      <c r="AL1010">
        <f t="shared" si="283"/>
        <v>0.40931042543042173</v>
      </c>
      <c r="AM1010">
        <f t="shared" si="284"/>
        <v>31.131759467132412</v>
      </c>
      <c r="AO1010">
        <f t="shared" si="285"/>
        <v>0.40826104630304433</v>
      </c>
      <c r="AP1010">
        <f t="shared" si="286"/>
        <v>30.972334548645414</v>
      </c>
    </row>
    <row r="1011" spans="1:42" x14ac:dyDescent="0.2">
      <c r="A1011" s="3">
        <v>1000</v>
      </c>
      <c r="B1011" s="3">
        <v>7.1999999999999999E-7</v>
      </c>
      <c r="C1011" s="2">
        <v>5.2589999999999998E-2</v>
      </c>
      <c r="D1011" s="3">
        <v>210000</v>
      </c>
      <c r="E1011" s="3">
        <v>85100000000</v>
      </c>
      <c r="F1011" s="3">
        <v>78900000000</v>
      </c>
      <c r="G1011" s="3">
        <v>8770000000</v>
      </c>
      <c r="H1011" s="3">
        <v>10700000000</v>
      </c>
      <c r="I1011" s="2"/>
      <c r="J1011" s="7">
        <f t="shared" si="270"/>
        <v>0.72</v>
      </c>
      <c r="K1011" s="7">
        <f t="shared" si="271"/>
        <v>52.589999999999996</v>
      </c>
      <c r="L1011" s="7">
        <f t="shared" si="272"/>
        <v>85.100000000000009</v>
      </c>
      <c r="M1011" s="7">
        <f t="shared" si="273"/>
        <v>210</v>
      </c>
      <c r="O1011">
        <f t="shared" si="274"/>
        <v>0.53217857142857139</v>
      </c>
      <c r="P1011">
        <f t="shared" si="275"/>
        <v>532.17857142857144</v>
      </c>
      <c r="V1011">
        <f t="shared" si="276"/>
        <v>1031.1869921978621</v>
      </c>
      <c r="W1011">
        <f t="shared" si="277"/>
        <v>101.82440313391076</v>
      </c>
      <c r="AE1011">
        <f t="shared" si="278"/>
        <v>0.71215986676189658</v>
      </c>
      <c r="AF1011">
        <f t="shared" si="279"/>
        <v>0.69021259467126772</v>
      </c>
      <c r="AG1011">
        <f t="shared" si="280"/>
        <v>0.69198669165372484</v>
      </c>
      <c r="AI1011">
        <f t="shared" si="281"/>
        <v>0.42125372967738706</v>
      </c>
      <c r="AJ1011">
        <f t="shared" si="282"/>
        <v>33.006439144588391</v>
      </c>
      <c r="AL1011">
        <f t="shared" si="283"/>
        <v>0.43464868986182881</v>
      </c>
      <c r="AM1011">
        <f t="shared" si="284"/>
        <v>35.138879224464176</v>
      </c>
      <c r="AO1011">
        <f t="shared" si="285"/>
        <v>0.43353434916942329</v>
      </c>
      <c r="AP1011">
        <f t="shared" si="286"/>
        <v>34.95893395147057</v>
      </c>
    </row>
    <row r="1012" spans="1:42" x14ac:dyDescent="0.2">
      <c r="A1012" s="3">
        <v>1000</v>
      </c>
      <c r="B1012" s="3">
        <v>7.2200000000000003E-7</v>
      </c>
      <c r="C1012" s="2">
        <v>5.2650000000000002E-2</v>
      </c>
      <c r="D1012" s="3">
        <v>239000</v>
      </c>
      <c r="E1012" s="3">
        <v>95700000000</v>
      </c>
      <c r="F1012" s="3">
        <v>87800000000</v>
      </c>
      <c r="G1012" s="2">
        <v>0</v>
      </c>
      <c r="H1012" s="3">
        <v>10300000000</v>
      </c>
      <c r="I1012" s="2"/>
      <c r="J1012" s="7">
        <f t="shared" si="270"/>
        <v>0.72200000000000009</v>
      </c>
      <c r="K1012" s="7">
        <f t="shared" si="271"/>
        <v>52.650000000000006</v>
      </c>
      <c r="L1012" s="7">
        <f t="shared" si="272"/>
        <v>95.7</v>
      </c>
      <c r="M1012" s="7">
        <f t="shared" si="273"/>
        <v>239</v>
      </c>
      <c r="O1012">
        <f t="shared" si="274"/>
        <v>0.55678033472803357</v>
      </c>
      <c r="P1012">
        <f t="shared" si="275"/>
        <v>556.78033472803361</v>
      </c>
      <c r="V1012">
        <f t="shared" si="276"/>
        <v>1052.0402601347416</v>
      </c>
      <c r="W1012">
        <f t="shared" si="277"/>
        <v>113.58880883959219</v>
      </c>
      <c r="AE1012">
        <f t="shared" si="278"/>
        <v>0.81050575312425366</v>
      </c>
      <c r="AF1012">
        <f t="shared" si="279"/>
        <v>0.78552766726872847</v>
      </c>
      <c r="AG1012">
        <f t="shared" si="280"/>
        <v>0.78754675859638212</v>
      </c>
      <c r="AI1012">
        <f t="shared" si="281"/>
        <v>0.37116742499817207</v>
      </c>
      <c r="AJ1012">
        <f t="shared" si="282"/>
        <v>25.511539432664915</v>
      </c>
      <c r="AL1012">
        <f t="shared" si="283"/>
        <v>0.38296974870322231</v>
      </c>
      <c r="AM1012">
        <f t="shared" si="284"/>
        <v>27.159758101368702</v>
      </c>
      <c r="AO1012">
        <f t="shared" si="285"/>
        <v>0.38198790109872133</v>
      </c>
      <c r="AP1012">
        <f t="shared" si="286"/>
        <v>27.020673697032077</v>
      </c>
    </row>
    <row r="1013" spans="1:42" x14ac:dyDescent="0.2">
      <c r="A1013" s="3">
        <v>1000</v>
      </c>
      <c r="B1013" s="3">
        <v>7.2200000000000003E-7</v>
      </c>
      <c r="C1013" s="2">
        <v>5.2699999999999997E-2</v>
      </c>
      <c r="D1013" s="3">
        <v>231000</v>
      </c>
      <c r="E1013" s="3">
        <v>92500000000</v>
      </c>
      <c r="F1013" s="3">
        <v>85200000000</v>
      </c>
      <c r="G1013" s="2">
        <v>0</v>
      </c>
      <c r="H1013" s="3">
        <v>10400000000</v>
      </c>
      <c r="I1013" s="2"/>
      <c r="J1013" s="7">
        <f t="shared" si="270"/>
        <v>0.72200000000000009</v>
      </c>
      <c r="K1013" s="7">
        <f t="shared" si="271"/>
        <v>52.699999999999996</v>
      </c>
      <c r="L1013" s="7">
        <f t="shared" si="272"/>
        <v>92.5</v>
      </c>
      <c r="M1013" s="7">
        <f t="shared" si="273"/>
        <v>231</v>
      </c>
      <c r="O1013">
        <f t="shared" si="274"/>
        <v>0.55089610389610399</v>
      </c>
      <c r="P1013">
        <f t="shared" si="275"/>
        <v>550.89610389610402</v>
      </c>
      <c r="V1013">
        <f t="shared" si="276"/>
        <v>1047.1000562890238</v>
      </c>
      <c r="W1013">
        <f t="shared" si="277"/>
        <v>110.30464501103926</v>
      </c>
      <c r="AE1013">
        <f t="shared" si="278"/>
        <v>0.78337585343808624</v>
      </c>
      <c r="AF1013">
        <f t="shared" si="279"/>
        <v>0.7592338541383945</v>
      </c>
      <c r="AG1013">
        <f t="shared" si="280"/>
        <v>0.76118536081909738</v>
      </c>
      <c r="AI1013">
        <f t="shared" si="281"/>
        <v>0.38402170811499187</v>
      </c>
      <c r="AJ1013">
        <f t="shared" si="282"/>
        <v>27.335105076379225</v>
      </c>
      <c r="AL1013">
        <f t="shared" si="283"/>
        <v>0.39623277030333393</v>
      </c>
      <c r="AM1013">
        <f t="shared" si="284"/>
        <v>29.101138467534788</v>
      </c>
      <c r="AO1013">
        <f t="shared" si="285"/>
        <v>0.39521691931859049</v>
      </c>
      <c r="AP1013">
        <f t="shared" si="286"/>
        <v>28.952112305587093</v>
      </c>
    </row>
    <row r="1014" spans="1:42" x14ac:dyDescent="0.2">
      <c r="A1014" s="3">
        <v>1000</v>
      </c>
      <c r="B1014" s="3">
        <v>7.23E-7</v>
      </c>
      <c r="C1014" s="2">
        <v>5.2749999999999998E-2</v>
      </c>
      <c r="D1014" s="3">
        <v>229000</v>
      </c>
      <c r="E1014" s="3">
        <v>91800000000</v>
      </c>
      <c r="F1014" s="3">
        <v>84600000000</v>
      </c>
      <c r="G1014" s="3">
        <v>362000000</v>
      </c>
      <c r="H1014" s="3">
        <v>10400000000</v>
      </c>
      <c r="I1014" s="2"/>
      <c r="J1014" s="7">
        <f t="shared" si="270"/>
        <v>0.72299999999999998</v>
      </c>
      <c r="K1014" s="7">
        <f t="shared" si="271"/>
        <v>52.75</v>
      </c>
      <c r="L1014" s="7">
        <f t="shared" si="272"/>
        <v>91.800000000000011</v>
      </c>
      <c r="M1014" s="7">
        <f t="shared" si="273"/>
        <v>229</v>
      </c>
      <c r="O1014">
        <f t="shared" si="274"/>
        <v>0.55023799126637551</v>
      </c>
      <c r="P1014">
        <f t="shared" si="275"/>
        <v>550.2379912663755</v>
      </c>
      <c r="V1014">
        <f t="shared" si="276"/>
        <v>1046.5457030476191</v>
      </c>
      <c r="W1014">
        <f t="shared" si="277"/>
        <v>109.40754872583918</v>
      </c>
      <c r="AE1014">
        <f t="shared" si="278"/>
        <v>0.77659337851654431</v>
      </c>
      <c r="AF1014">
        <f t="shared" si="279"/>
        <v>0.75266040085581098</v>
      </c>
      <c r="AG1014">
        <f t="shared" si="280"/>
        <v>0.75459501137477614</v>
      </c>
      <c r="AI1014">
        <f t="shared" si="281"/>
        <v>0.38791214081100006</v>
      </c>
      <c r="AJ1014">
        <f t="shared" si="282"/>
        <v>27.841048798232151</v>
      </c>
      <c r="AL1014">
        <f t="shared" si="283"/>
        <v>0.40024691036948973</v>
      </c>
      <c r="AM1014">
        <f t="shared" si="284"/>
        <v>29.639769589137632</v>
      </c>
      <c r="AO1014">
        <f t="shared" si="285"/>
        <v>0.39922076803974738</v>
      </c>
      <c r="AP1014">
        <f t="shared" si="286"/>
        <v>29.487985111433755</v>
      </c>
    </row>
    <row r="1015" spans="1:42" x14ac:dyDescent="0.2">
      <c r="A1015" s="3">
        <v>1000</v>
      </c>
      <c r="B1015" s="3">
        <v>7.2399999999999997E-7</v>
      </c>
      <c r="C1015" s="2">
        <v>5.28E-2</v>
      </c>
      <c r="D1015" s="3">
        <v>246000</v>
      </c>
      <c r="E1015" s="3">
        <v>97900000000</v>
      </c>
      <c r="F1015" s="3">
        <v>89700000000</v>
      </c>
      <c r="G1015" s="3">
        <v>18500000000</v>
      </c>
      <c r="H1015" s="3">
        <v>10200000000</v>
      </c>
      <c r="I1015" s="2"/>
      <c r="J1015" s="7">
        <f t="shared" si="270"/>
        <v>0.72399999999999998</v>
      </c>
      <c r="K1015" s="7">
        <f t="shared" si="271"/>
        <v>52.8</v>
      </c>
      <c r="L1015" s="7">
        <f t="shared" si="272"/>
        <v>97.9</v>
      </c>
      <c r="M1015" s="7">
        <f t="shared" si="273"/>
        <v>246</v>
      </c>
      <c r="O1015">
        <f t="shared" si="274"/>
        <v>0.56302439024390238</v>
      </c>
      <c r="P1015">
        <f t="shared" si="275"/>
        <v>563.02439024390242</v>
      </c>
      <c r="V1015">
        <f t="shared" si="276"/>
        <v>1057.2508625367911</v>
      </c>
      <c r="W1015">
        <f t="shared" si="277"/>
        <v>116.33946526642795</v>
      </c>
      <c r="AE1015">
        <f t="shared" si="278"/>
        <v>0.83424441534965021</v>
      </c>
      <c r="AF1015">
        <f t="shared" si="279"/>
        <v>0.80853475375777073</v>
      </c>
      <c r="AG1015">
        <f t="shared" si="280"/>
        <v>0.8106129816515063</v>
      </c>
      <c r="AI1015">
        <f t="shared" si="281"/>
        <v>0.36160465819867854</v>
      </c>
      <c r="AJ1015">
        <f t="shared" si="282"/>
        <v>24.148924880618548</v>
      </c>
      <c r="AL1015">
        <f t="shared" si="283"/>
        <v>0.37310290654128536</v>
      </c>
      <c r="AM1015">
        <f t="shared" si="284"/>
        <v>25.70910939721411</v>
      </c>
      <c r="AO1015">
        <f t="shared" si="285"/>
        <v>0.37214635528296697</v>
      </c>
      <c r="AP1015">
        <f t="shared" si="286"/>
        <v>25.577453726600591</v>
      </c>
    </row>
    <row r="1016" spans="1:42" x14ac:dyDescent="0.2">
      <c r="A1016" s="3">
        <v>1000</v>
      </c>
      <c r="B1016" s="3">
        <v>7.2399999999999997E-7</v>
      </c>
      <c r="C1016" s="2">
        <v>5.2859999999999997E-2</v>
      </c>
      <c r="D1016" s="3">
        <v>228000</v>
      </c>
      <c r="E1016" s="3">
        <v>91300000000</v>
      </c>
      <c r="F1016" s="3">
        <v>84200000000</v>
      </c>
      <c r="G1016" s="2">
        <v>0</v>
      </c>
      <c r="H1016" s="3">
        <v>10400000000</v>
      </c>
      <c r="I1016" s="2"/>
      <c r="J1016" s="7">
        <f t="shared" si="270"/>
        <v>0.72399999999999998</v>
      </c>
      <c r="K1016" s="7">
        <f t="shared" si="271"/>
        <v>52.86</v>
      </c>
      <c r="L1016" s="7">
        <f t="shared" si="272"/>
        <v>91.300000000000011</v>
      </c>
      <c r="M1016" s="7">
        <f t="shared" si="273"/>
        <v>228</v>
      </c>
      <c r="O1016">
        <f t="shared" si="274"/>
        <v>0.55011842105263153</v>
      </c>
      <c r="P1016">
        <f t="shared" si="275"/>
        <v>550.11842105263156</v>
      </c>
      <c r="V1016">
        <f t="shared" si="276"/>
        <v>1046.4449448827791</v>
      </c>
      <c r="W1016">
        <f t="shared" si="277"/>
        <v>108.9402749351234</v>
      </c>
      <c r="AE1016">
        <f t="shared" si="278"/>
        <v>0.77320214105577334</v>
      </c>
      <c r="AF1016">
        <f t="shared" si="279"/>
        <v>0.74937367421451928</v>
      </c>
      <c r="AG1016">
        <f t="shared" si="280"/>
        <v>0.75129983665261557</v>
      </c>
      <c r="AI1016">
        <f t="shared" si="281"/>
        <v>0.3901523943722584</v>
      </c>
      <c r="AJ1016">
        <f t="shared" si="282"/>
        <v>28.144371647668827</v>
      </c>
      <c r="AL1016">
        <f t="shared" si="283"/>
        <v>0.40255839916296571</v>
      </c>
      <c r="AM1016">
        <f t="shared" si="284"/>
        <v>29.962689154186293</v>
      </c>
      <c r="AO1016">
        <f t="shared" si="285"/>
        <v>0.40152633070004334</v>
      </c>
      <c r="AP1016">
        <f t="shared" si="286"/>
        <v>29.809251013913482</v>
      </c>
    </row>
    <row r="1017" spans="1:42" x14ac:dyDescent="0.2">
      <c r="A1017" s="3">
        <v>1000</v>
      </c>
      <c r="B1017" s="3">
        <v>7.2500000000000005E-7</v>
      </c>
      <c r="C1017" s="2">
        <v>5.2909999999999999E-2</v>
      </c>
      <c r="D1017" s="3">
        <v>208000</v>
      </c>
      <c r="E1017" s="3">
        <v>84000000000</v>
      </c>
      <c r="F1017" s="3">
        <v>77900000000</v>
      </c>
      <c r="G1017" s="3">
        <v>3140000000</v>
      </c>
      <c r="H1017" s="3">
        <v>10700000000</v>
      </c>
      <c r="I1017" s="2"/>
      <c r="J1017" s="7">
        <f t="shared" si="270"/>
        <v>0.72500000000000009</v>
      </c>
      <c r="K1017" s="7">
        <f t="shared" si="271"/>
        <v>52.91</v>
      </c>
      <c r="L1017" s="7">
        <f t="shared" si="272"/>
        <v>84</v>
      </c>
      <c r="M1017" s="7">
        <f t="shared" si="273"/>
        <v>208</v>
      </c>
      <c r="O1017">
        <f t="shared" si="274"/>
        <v>0.53421875000000019</v>
      </c>
      <c r="P1017">
        <f t="shared" si="275"/>
        <v>534.21875000000023</v>
      </c>
      <c r="V1017">
        <f t="shared" si="276"/>
        <v>1032.936470519114</v>
      </c>
      <c r="W1017">
        <f t="shared" si="277"/>
        <v>100.68383000140717</v>
      </c>
      <c r="AE1017">
        <f t="shared" si="278"/>
        <v>0.70537739184035464</v>
      </c>
      <c r="AF1017">
        <f t="shared" si="279"/>
        <v>0.6836391413886842</v>
      </c>
      <c r="AG1017">
        <f t="shared" si="280"/>
        <v>0.68539634220940371</v>
      </c>
      <c r="AI1017">
        <f t="shared" si="281"/>
        <v>0.42825774801937905</v>
      </c>
      <c r="AJ1017">
        <f t="shared" si="282"/>
        <v>33.848948635813521</v>
      </c>
      <c r="AL1017">
        <f t="shared" si="283"/>
        <v>0.44187542088316939</v>
      </c>
      <c r="AM1017">
        <f t="shared" si="284"/>
        <v>36.035820549395872</v>
      </c>
      <c r="AO1017">
        <f t="shared" si="285"/>
        <v>0.44074255249095023</v>
      </c>
      <c r="AP1017">
        <f t="shared" si="286"/>
        <v>35.851282063552667</v>
      </c>
    </row>
    <row r="1018" spans="1:42" x14ac:dyDescent="0.2">
      <c r="A1018" s="3">
        <v>1000</v>
      </c>
      <c r="B1018" s="3">
        <v>7.2600000000000002E-7</v>
      </c>
      <c r="C1018" s="2">
        <v>5.296E-2</v>
      </c>
      <c r="D1018" s="3">
        <v>237000</v>
      </c>
      <c r="E1018" s="3">
        <v>94300000000</v>
      </c>
      <c r="F1018" s="3">
        <v>86700000000</v>
      </c>
      <c r="G1018" s="2">
        <v>0</v>
      </c>
      <c r="H1018" s="3">
        <v>10300000000</v>
      </c>
      <c r="I1018" s="2"/>
      <c r="J1018" s="7">
        <f t="shared" si="270"/>
        <v>0.72599999999999998</v>
      </c>
      <c r="K1018" s="7">
        <f t="shared" si="271"/>
        <v>52.96</v>
      </c>
      <c r="L1018" s="7">
        <f t="shared" si="272"/>
        <v>94.300000000000011</v>
      </c>
      <c r="M1018" s="7">
        <f t="shared" si="273"/>
        <v>237</v>
      </c>
      <c r="O1018">
        <f t="shared" si="274"/>
        <v>0.55840506329113926</v>
      </c>
      <c r="P1018">
        <f t="shared" si="275"/>
        <v>558.4050632911393</v>
      </c>
      <c r="V1018">
        <f t="shared" si="276"/>
        <v>1053.3991994994681</v>
      </c>
      <c r="W1018">
        <f t="shared" si="277"/>
        <v>112.49296568319619</v>
      </c>
      <c r="AE1018">
        <f t="shared" si="278"/>
        <v>0.80372327820271183</v>
      </c>
      <c r="AF1018">
        <f t="shared" si="279"/>
        <v>0.77895421398614506</v>
      </c>
      <c r="AG1018">
        <f t="shared" si="280"/>
        <v>0.78095640915206088</v>
      </c>
      <c r="AI1018">
        <f t="shared" si="281"/>
        <v>0.37637332176872035</v>
      </c>
      <c r="AJ1018">
        <f t="shared" si="282"/>
        <v>26.096686995090813</v>
      </c>
      <c r="AL1018">
        <f t="shared" si="283"/>
        <v>0.3883411817647352</v>
      </c>
      <c r="AM1018">
        <f t="shared" si="284"/>
        <v>27.782710169433415</v>
      </c>
      <c r="AO1018">
        <f t="shared" si="285"/>
        <v>0.38734556302373585</v>
      </c>
      <c r="AP1018">
        <f t="shared" si="286"/>
        <v>27.640435643999481</v>
      </c>
    </row>
    <row r="1019" spans="1:42" x14ac:dyDescent="0.2">
      <c r="A1019" s="3">
        <v>1000</v>
      </c>
      <c r="B1019" s="3">
        <v>7.2699999999999999E-7</v>
      </c>
      <c r="C1019" s="2">
        <v>5.3010000000000002E-2</v>
      </c>
      <c r="D1019" s="3">
        <v>207000</v>
      </c>
      <c r="E1019" s="3">
        <v>83600000000</v>
      </c>
      <c r="F1019" s="3">
        <v>77600000000</v>
      </c>
      <c r="G1019" s="3">
        <v>2240000000</v>
      </c>
      <c r="H1019" s="3">
        <v>10700000000</v>
      </c>
      <c r="I1019" s="2"/>
      <c r="J1019" s="7">
        <f t="shared" si="270"/>
        <v>0.72699999999999998</v>
      </c>
      <c r="K1019" s="7">
        <f t="shared" si="271"/>
        <v>53.010000000000005</v>
      </c>
      <c r="L1019" s="7">
        <f t="shared" si="272"/>
        <v>83.600000000000009</v>
      </c>
      <c r="M1019" s="7">
        <f t="shared" si="273"/>
        <v>207</v>
      </c>
      <c r="O1019">
        <f t="shared" si="274"/>
        <v>0.53493478260869565</v>
      </c>
      <c r="P1019">
        <f t="shared" si="275"/>
        <v>534.93478260869563</v>
      </c>
      <c r="V1019">
        <f t="shared" si="276"/>
        <v>1033.5495949077683</v>
      </c>
      <c r="W1019">
        <f t="shared" si="277"/>
        <v>100.14033241359462</v>
      </c>
      <c r="AE1019">
        <f t="shared" si="278"/>
        <v>0.70198615437958378</v>
      </c>
      <c r="AF1019">
        <f t="shared" si="279"/>
        <v>0.6803524147473925</v>
      </c>
      <c r="AG1019">
        <f t="shared" si="280"/>
        <v>0.68210116748724314</v>
      </c>
      <c r="AI1019">
        <f t="shared" si="281"/>
        <v>0.43151373396300785</v>
      </c>
      <c r="AJ1019">
        <f t="shared" si="282"/>
        <v>34.241375758469886</v>
      </c>
      <c r="AL1019">
        <f t="shared" si="283"/>
        <v>0.445234940158383</v>
      </c>
      <c r="AM1019">
        <f t="shared" si="284"/>
        <v>36.453601128725253</v>
      </c>
      <c r="AO1019">
        <f t="shared" si="285"/>
        <v>0.44409345872044986</v>
      </c>
      <c r="AP1019">
        <f t="shared" si="286"/>
        <v>36.26692319956291</v>
      </c>
    </row>
    <row r="1020" spans="1:42" x14ac:dyDescent="0.2">
      <c r="A1020" s="3">
        <v>1000</v>
      </c>
      <c r="B1020" s="3">
        <v>7.2799999999999995E-7</v>
      </c>
      <c r="C1020" s="2">
        <v>5.3060000000000003E-2</v>
      </c>
      <c r="D1020" s="3">
        <v>214000</v>
      </c>
      <c r="E1020" s="3">
        <v>86000000000</v>
      </c>
      <c r="F1020" s="3">
        <v>79700000000</v>
      </c>
      <c r="G1020" s="3">
        <v>1790000000</v>
      </c>
      <c r="H1020" s="3">
        <v>10600000000</v>
      </c>
      <c r="I1020" s="2"/>
      <c r="J1020" s="7">
        <f t="shared" si="270"/>
        <v>0.72799999999999998</v>
      </c>
      <c r="K1020" s="7">
        <f t="shared" si="271"/>
        <v>53.06</v>
      </c>
      <c r="L1020" s="7">
        <f t="shared" si="272"/>
        <v>86</v>
      </c>
      <c r="M1020" s="7">
        <f t="shared" si="273"/>
        <v>214</v>
      </c>
      <c r="O1020">
        <f t="shared" si="274"/>
        <v>0.5420420560747663</v>
      </c>
      <c r="P1020">
        <f t="shared" si="275"/>
        <v>542.04205607476626</v>
      </c>
      <c r="V1020">
        <f t="shared" si="276"/>
        <v>1039.6107858176445</v>
      </c>
      <c r="W1020">
        <f t="shared" si="277"/>
        <v>102.92313379169636</v>
      </c>
      <c r="AE1020">
        <f t="shared" si="278"/>
        <v>0.72572481660498034</v>
      </c>
      <c r="AF1020">
        <f t="shared" si="279"/>
        <v>0.70335950123643476</v>
      </c>
      <c r="AG1020">
        <f t="shared" si="280"/>
        <v>0.70516739054236721</v>
      </c>
      <c r="AI1020">
        <f t="shared" si="281"/>
        <v>0.41797293739018004</v>
      </c>
      <c r="AJ1020">
        <f t="shared" si="282"/>
        <v>32.068141495372871</v>
      </c>
      <c r="AL1020">
        <f t="shared" si="283"/>
        <v>0.4312635754548052</v>
      </c>
      <c r="AM1020">
        <f t="shared" si="284"/>
        <v>34.139961176141824</v>
      </c>
      <c r="AO1020">
        <f t="shared" si="285"/>
        <v>0.4301579134282284</v>
      </c>
      <c r="AP1020">
        <f t="shared" si="286"/>
        <v>33.965131336106545</v>
      </c>
    </row>
    <row r="1021" spans="1:42" x14ac:dyDescent="0.2">
      <c r="A1021" s="3">
        <v>1000</v>
      </c>
      <c r="B1021" s="3">
        <v>7.2900000000000003E-7</v>
      </c>
      <c r="C1021" s="2">
        <v>5.3109999999999997E-2</v>
      </c>
      <c r="D1021" s="3">
        <v>215000</v>
      </c>
      <c r="E1021" s="3">
        <v>86100000000</v>
      </c>
      <c r="F1021" s="3">
        <v>79700000000</v>
      </c>
      <c r="G1021" s="3">
        <v>7720000000</v>
      </c>
      <c r="H1021" s="3">
        <v>10600000000</v>
      </c>
      <c r="I1021" s="2"/>
      <c r="J1021" s="7">
        <f t="shared" si="270"/>
        <v>0.72899999999999998</v>
      </c>
      <c r="K1021" s="7">
        <f t="shared" si="271"/>
        <v>53.11</v>
      </c>
      <c r="L1021" s="7">
        <f t="shared" si="272"/>
        <v>86.100000000000009</v>
      </c>
      <c r="M1021" s="7">
        <f t="shared" si="273"/>
        <v>215</v>
      </c>
      <c r="O1021">
        <f t="shared" si="274"/>
        <v>0.54373255813953492</v>
      </c>
      <c r="P1021">
        <f t="shared" si="275"/>
        <v>543.73255813953494</v>
      </c>
      <c r="V1021">
        <f t="shared" si="276"/>
        <v>1041.0459449952307</v>
      </c>
      <c r="W1021">
        <f t="shared" si="277"/>
        <v>103.26153280438788</v>
      </c>
      <c r="AE1021">
        <f t="shared" si="278"/>
        <v>0.7291160540657512</v>
      </c>
      <c r="AF1021">
        <f t="shared" si="279"/>
        <v>0.70664622787772646</v>
      </c>
      <c r="AG1021">
        <f t="shared" si="280"/>
        <v>0.70846256526452789</v>
      </c>
      <c r="AI1021">
        <f t="shared" si="281"/>
        <v>0.41660034545420671</v>
      </c>
      <c r="AJ1021">
        <f t="shared" si="282"/>
        <v>31.800465245419492</v>
      </c>
      <c r="AL1021">
        <f t="shared" si="283"/>
        <v>0.42984733805521558</v>
      </c>
      <c r="AM1021">
        <f t="shared" si="284"/>
        <v>33.854991222940697</v>
      </c>
      <c r="AO1021">
        <f t="shared" si="285"/>
        <v>0.42874530694022617</v>
      </c>
      <c r="AP1021">
        <f t="shared" si="286"/>
        <v>33.681620706513769</v>
      </c>
    </row>
    <row r="1022" spans="1:42" x14ac:dyDescent="0.2">
      <c r="A1022" s="3">
        <v>1000</v>
      </c>
      <c r="B1022" s="3">
        <v>7.2900000000000003E-7</v>
      </c>
      <c r="C1022" s="2">
        <v>5.3170000000000002E-2</v>
      </c>
      <c r="D1022" s="3">
        <v>235000</v>
      </c>
      <c r="E1022" s="3">
        <v>93400000000</v>
      </c>
      <c r="F1022" s="3">
        <v>85900000000</v>
      </c>
      <c r="G1022" s="3">
        <v>8890000000</v>
      </c>
      <c r="H1022" s="3">
        <v>10300000000</v>
      </c>
      <c r="I1022" s="2"/>
      <c r="J1022" s="7">
        <f t="shared" si="270"/>
        <v>0.72899999999999998</v>
      </c>
      <c r="K1022" s="7">
        <f t="shared" si="271"/>
        <v>53.17</v>
      </c>
      <c r="L1022" s="7">
        <f t="shared" si="272"/>
        <v>93.4</v>
      </c>
      <c r="M1022" s="7">
        <f t="shared" si="273"/>
        <v>235</v>
      </c>
      <c r="O1022">
        <f t="shared" si="274"/>
        <v>0.55930851063829778</v>
      </c>
      <c r="P1022">
        <f t="shared" si="275"/>
        <v>559.30851063829778</v>
      </c>
      <c r="V1022">
        <f t="shared" si="276"/>
        <v>1054.1538993358681</v>
      </c>
      <c r="W1022">
        <f t="shared" si="277"/>
        <v>111.46380056462976</v>
      </c>
      <c r="AE1022">
        <f t="shared" si="278"/>
        <v>0.7969408032811699</v>
      </c>
      <c r="AF1022">
        <f t="shared" si="279"/>
        <v>0.77238076070356154</v>
      </c>
      <c r="AG1022">
        <f t="shared" si="280"/>
        <v>0.77436605970773975</v>
      </c>
      <c r="AI1022">
        <f t="shared" si="281"/>
        <v>0.38114499690491255</v>
      </c>
      <c r="AJ1022">
        <f t="shared" si="282"/>
        <v>26.648025054348942</v>
      </c>
      <c r="AL1022">
        <f t="shared" si="283"/>
        <v>0.39326458588030361</v>
      </c>
      <c r="AM1022">
        <f t="shared" si="284"/>
        <v>28.369668410861834</v>
      </c>
      <c r="AO1022">
        <f t="shared" si="285"/>
        <v>0.39225634464744097</v>
      </c>
      <c r="AP1022">
        <f t="shared" si="286"/>
        <v>28.224388087766709</v>
      </c>
    </row>
    <row r="1023" spans="1:42" x14ac:dyDescent="0.2">
      <c r="A1023" s="3">
        <v>1000</v>
      </c>
      <c r="B1023" s="3">
        <v>7.3E-7</v>
      </c>
      <c r="C1023" s="2">
        <v>5.3220000000000003E-2</v>
      </c>
      <c r="D1023" s="3">
        <v>218000</v>
      </c>
      <c r="E1023" s="3">
        <v>87300000000</v>
      </c>
      <c r="F1023" s="3">
        <v>80800000000</v>
      </c>
      <c r="G1023" s="3">
        <v>6510000000</v>
      </c>
      <c r="H1023" s="3">
        <v>10600000000</v>
      </c>
      <c r="I1023" s="2"/>
      <c r="J1023" s="7">
        <f t="shared" si="270"/>
        <v>0.73</v>
      </c>
      <c r="K1023" s="7">
        <f t="shared" si="271"/>
        <v>53.220000000000006</v>
      </c>
      <c r="L1023" s="7">
        <f t="shared" si="272"/>
        <v>87.300000000000011</v>
      </c>
      <c r="M1023" s="7">
        <f t="shared" si="273"/>
        <v>218</v>
      </c>
      <c r="O1023">
        <f t="shared" si="274"/>
        <v>0.54690366972477067</v>
      </c>
      <c r="P1023">
        <f t="shared" si="275"/>
        <v>546.90366972477068</v>
      </c>
      <c r="V1023">
        <f t="shared" si="276"/>
        <v>1043.7313858829953</v>
      </c>
      <c r="W1023">
        <f t="shared" si="277"/>
        <v>104.43300017061972</v>
      </c>
      <c r="AE1023">
        <f t="shared" si="278"/>
        <v>0.73928976644806399</v>
      </c>
      <c r="AF1023">
        <f t="shared" si="279"/>
        <v>0.71650640780160169</v>
      </c>
      <c r="AG1023">
        <f t="shared" si="280"/>
        <v>0.71834808943100958</v>
      </c>
      <c r="AI1023">
        <f t="shared" si="281"/>
        <v>0.41143091717344193</v>
      </c>
      <c r="AJ1023">
        <f t="shared" si="282"/>
        <v>30.995309352618474</v>
      </c>
      <c r="AL1023">
        <f t="shared" si="283"/>
        <v>0.42451353310281831</v>
      </c>
      <c r="AM1023">
        <f t="shared" si="284"/>
        <v>32.997816792519309</v>
      </c>
      <c r="AO1023">
        <f t="shared" si="285"/>
        <v>0.42342517665438706</v>
      </c>
      <c r="AP1023">
        <f t="shared" si="286"/>
        <v>32.828835843724875</v>
      </c>
    </row>
    <row r="1024" spans="1:42" x14ac:dyDescent="0.2">
      <c r="A1024" s="3">
        <v>1000</v>
      </c>
      <c r="B1024" s="3">
        <v>7.3099999999999997E-7</v>
      </c>
      <c r="C1024" s="2">
        <v>5.3269999999999998E-2</v>
      </c>
      <c r="D1024" s="3">
        <v>223000</v>
      </c>
      <c r="E1024" s="3">
        <v>89000000000</v>
      </c>
      <c r="F1024" s="3">
        <v>82200000000</v>
      </c>
      <c r="G1024" s="3">
        <v>311000000</v>
      </c>
      <c r="H1024" s="3">
        <v>10500000000</v>
      </c>
      <c r="I1024" s="2"/>
      <c r="J1024" s="7">
        <f t="shared" si="270"/>
        <v>0.73099999999999998</v>
      </c>
      <c r="K1024" s="7">
        <f t="shared" si="271"/>
        <v>53.269999999999996</v>
      </c>
      <c r="L1024" s="7">
        <f t="shared" si="272"/>
        <v>89</v>
      </c>
      <c r="M1024" s="7">
        <f t="shared" si="273"/>
        <v>223</v>
      </c>
      <c r="O1024">
        <f t="shared" si="274"/>
        <v>0.55184080717488793</v>
      </c>
      <c r="P1024">
        <f t="shared" si="275"/>
        <v>551.84080717488791</v>
      </c>
      <c r="V1024">
        <f t="shared" si="276"/>
        <v>1047.8951713267143</v>
      </c>
      <c r="W1024">
        <f t="shared" si="277"/>
        <v>106.40377305950614</v>
      </c>
      <c r="AE1024">
        <f t="shared" si="278"/>
        <v>0.75624595375191872</v>
      </c>
      <c r="AF1024">
        <f t="shared" si="279"/>
        <v>0.73294004100806054</v>
      </c>
      <c r="AG1024">
        <f t="shared" si="280"/>
        <v>0.73482396304181263</v>
      </c>
      <c r="AI1024">
        <f t="shared" si="281"/>
        <v>0.40275697585186659</v>
      </c>
      <c r="AJ1024">
        <f t="shared" si="282"/>
        <v>29.648796069119825</v>
      </c>
      <c r="AL1024">
        <f t="shared" si="283"/>
        <v>0.41556377915227538</v>
      </c>
      <c r="AM1024">
        <f t="shared" si="284"/>
        <v>31.564309608186967</v>
      </c>
      <c r="AO1024">
        <f t="shared" si="285"/>
        <v>0.4144983678437853</v>
      </c>
      <c r="AP1024">
        <f t="shared" si="286"/>
        <v>31.402669611845088</v>
      </c>
    </row>
    <row r="1025" spans="1:42" x14ac:dyDescent="0.2">
      <c r="A1025" s="3">
        <v>1000</v>
      </c>
      <c r="B1025" s="3">
        <v>7.3200000000000004E-7</v>
      </c>
      <c r="C1025" s="2">
        <v>5.3319999999999999E-2</v>
      </c>
      <c r="D1025" s="3">
        <v>232000</v>
      </c>
      <c r="E1025" s="3">
        <v>92200000000</v>
      </c>
      <c r="F1025" s="3">
        <v>84900000000</v>
      </c>
      <c r="G1025" s="3">
        <v>2190000000</v>
      </c>
      <c r="H1025" s="3">
        <v>10300000000</v>
      </c>
      <c r="I1025" s="2"/>
      <c r="J1025" s="7">
        <f t="shared" si="270"/>
        <v>0.7320000000000001</v>
      </c>
      <c r="K1025" s="7">
        <f t="shared" si="271"/>
        <v>53.32</v>
      </c>
      <c r="L1025" s="7">
        <f t="shared" si="272"/>
        <v>92.2</v>
      </c>
      <c r="M1025" s="7">
        <f t="shared" si="273"/>
        <v>232</v>
      </c>
      <c r="O1025">
        <f t="shared" si="274"/>
        <v>0.55962931034482766</v>
      </c>
      <c r="P1025">
        <f t="shared" si="275"/>
        <v>559.62931034482767</v>
      </c>
      <c r="V1025">
        <f t="shared" si="276"/>
        <v>1054.42171780991</v>
      </c>
      <c r="W1025">
        <f t="shared" si="277"/>
        <v>110.01290853619572</v>
      </c>
      <c r="AE1025">
        <f t="shared" si="278"/>
        <v>0.7867670908988571</v>
      </c>
      <c r="AF1025">
        <f t="shared" si="279"/>
        <v>0.76252058077968621</v>
      </c>
      <c r="AG1025">
        <f t="shared" si="280"/>
        <v>0.76448053554125794</v>
      </c>
      <c r="AI1025">
        <f t="shared" si="281"/>
        <v>0.38766237623328526</v>
      </c>
      <c r="AJ1025">
        <f t="shared" si="282"/>
        <v>27.418788603015013</v>
      </c>
      <c r="AL1025">
        <f t="shared" si="283"/>
        <v>0.39998920381681241</v>
      </c>
      <c r="AM1025">
        <f t="shared" si="284"/>
        <v>29.190228518195838</v>
      </c>
      <c r="AO1025">
        <f t="shared" si="285"/>
        <v>0.39896372218824089</v>
      </c>
      <c r="AP1025">
        <f t="shared" si="286"/>
        <v>29.040746128450298</v>
      </c>
    </row>
    <row r="1026" spans="1:42" x14ac:dyDescent="0.2">
      <c r="A1026" s="3">
        <v>1000</v>
      </c>
      <c r="B1026" s="3">
        <v>7.3300000000000001E-7</v>
      </c>
      <c r="C1026" s="2">
        <v>5.3379999999999997E-2</v>
      </c>
      <c r="D1026" s="3">
        <v>247000</v>
      </c>
      <c r="E1026" s="3">
        <v>97600000000</v>
      </c>
      <c r="F1026" s="3">
        <v>89500000000</v>
      </c>
      <c r="G1026" s="3">
        <v>7380000000</v>
      </c>
      <c r="H1026" s="3">
        <v>10200000000</v>
      </c>
      <c r="I1026" s="2"/>
      <c r="J1026" s="7">
        <f t="shared" si="270"/>
        <v>0.73299999999999998</v>
      </c>
      <c r="K1026" s="7">
        <f t="shared" si="271"/>
        <v>53.379999999999995</v>
      </c>
      <c r="L1026" s="7">
        <f t="shared" si="272"/>
        <v>97.600000000000009</v>
      </c>
      <c r="M1026" s="7">
        <f t="shared" si="273"/>
        <v>247</v>
      </c>
      <c r="O1026">
        <f t="shared" si="274"/>
        <v>0.57091497975708505</v>
      </c>
      <c r="P1026">
        <f t="shared" si="275"/>
        <v>570.91497975708501</v>
      </c>
      <c r="V1026">
        <f t="shared" si="276"/>
        <v>1063.7896549256557</v>
      </c>
      <c r="W1026">
        <f t="shared" si="277"/>
        <v>116.09437958731698</v>
      </c>
      <c r="AE1026">
        <f t="shared" si="278"/>
        <v>0.83763565281042118</v>
      </c>
      <c r="AF1026">
        <f t="shared" si="279"/>
        <v>0.81182148039906254</v>
      </c>
      <c r="AG1026">
        <f t="shared" si="280"/>
        <v>0.81390815637366687</v>
      </c>
      <c r="AI1026">
        <f t="shared" si="281"/>
        <v>0.36461755853149008</v>
      </c>
      <c r="AJ1026">
        <f t="shared" si="282"/>
        <v>24.216911528226717</v>
      </c>
      <c r="AL1026">
        <f t="shared" si="283"/>
        <v>0.3762116106074635</v>
      </c>
      <c r="AM1026">
        <f t="shared" si="284"/>
        <v>25.781488443881781</v>
      </c>
      <c r="AO1026">
        <f t="shared" si="285"/>
        <v>0.3752470893367596</v>
      </c>
      <c r="AP1026">
        <f t="shared" si="286"/>
        <v>25.64946212208077</v>
      </c>
    </row>
    <row r="1027" spans="1:42" x14ac:dyDescent="0.2">
      <c r="A1027" s="3">
        <v>1000</v>
      </c>
      <c r="B1027" s="3">
        <v>7.3399999999999998E-7</v>
      </c>
      <c r="C1027" s="2">
        <v>5.3429999999999998E-2</v>
      </c>
      <c r="D1027" s="3">
        <v>218000</v>
      </c>
      <c r="E1027" s="3">
        <v>87000000000</v>
      </c>
      <c r="F1027" s="3">
        <v>80500000000</v>
      </c>
      <c r="G1027" s="3">
        <v>2900000000</v>
      </c>
      <c r="H1027" s="3">
        <v>10500000000</v>
      </c>
      <c r="I1027" s="2"/>
      <c r="J1027" s="7">
        <f t="shared" si="270"/>
        <v>0.73399999999999999</v>
      </c>
      <c r="K1027" s="7">
        <f t="shared" si="271"/>
        <v>53.43</v>
      </c>
      <c r="L1027" s="7">
        <f t="shared" si="272"/>
        <v>87</v>
      </c>
      <c r="M1027" s="7">
        <f t="shared" si="273"/>
        <v>218</v>
      </c>
      <c r="O1027">
        <f t="shared" si="274"/>
        <v>0.55018119266055043</v>
      </c>
      <c r="P1027">
        <f t="shared" si="275"/>
        <v>550.18119266055044</v>
      </c>
      <c r="V1027">
        <f t="shared" si="276"/>
        <v>1046.4978421191267</v>
      </c>
      <c r="W1027">
        <f t="shared" si="277"/>
        <v>104.15692762373813</v>
      </c>
      <c r="AE1027">
        <f t="shared" si="278"/>
        <v>0.73928976644806399</v>
      </c>
      <c r="AF1027">
        <f t="shared" si="279"/>
        <v>0.71650640780160169</v>
      </c>
      <c r="AG1027">
        <f t="shared" si="280"/>
        <v>0.71834808943100958</v>
      </c>
      <c r="AI1027">
        <f t="shared" si="281"/>
        <v>0.41368533315795397</v>
      </c>
      <c r="AJ1027">
        <f t="shared" si="282"/>
        <v>31.117613279038046</v>
      </c>
      <c r="AL1027">
        <f t="shared" si="283"/>
        <v>0.42683963465406666</v>
      </c>
      <c r="AM1027">
        <f t="shared" si="284"/>
        <v>33.128022383019662</v>
      </c>
      <c r="AO1027">
        <f t="shared" si="285"/>
        <v>0.42574531460865767</v>
      </c>
      <c r="AP1027">
        <f t="shared" si="286"/>
        <v>32.958374654833143</v>
      </c>
    </row>
    <row r="1028" spans="1:42" x14ac:dyDescent="0.2">
      <c r="A1028" s="3">
        <v>1000</v>
      </c>
      <c r="B1028" s="3">
        <v>7.3499999999999995E-7</v>
      </c>
      <c r="C1028" s="2">
        <v>5.348E-2</v>
      </c>
      <c r="D1028" s="3">
        <v>216000</v>
      </c>
      <c r="E1028" s="3">
        <v>86100000000</v>
      </c>
      <c r="F1028" s="3">
        <v>79700000000</v>
      </c>
      <c r="G1028" s="3">
        <v>8740000000</v>
      </c>
      <c r="H1028" s="3">
        <v>10600000000</v>
      </c>
      <c r="I1028" s="2"/>
      <c r="J1028" s="7">
        <f t="shared" si="270"/>
        <v>0.73499999999999999</v>
      </c>
      <c r="K1028" s="7">
        <f t="shared" si="271"/>
        <v>53.48</v>
      </c>
      <c r="L1028" s="7">
        <f t="shared" si="272"/>
        <v>86.100000000000009</v>
      </c>
      <c r="M1028" s="7">
        <f t="shared" si="273"/>
        <v>216</v>
      </c>
      <c r="O1028">
        <f t="shared" si="274"/>
        <v>0.54930555555555549</v>
      </c>
      <c r="P1028">
        <f t="shared" si="275"/>
        <v>549.30555555555554</v>
      </c>
      <c r="V1028">
        <f t="shared" si="276"/>
        <v>1045.7596444080905</v>
      </c>
      <c r="W1028">
        <f t="shared" si="277"/>
        <v>103.27420892314981</v>
      </c>
      <c r="AE1028">
        <f t="shared" si="278"/>
        <v>0.73250729152652216</v>
      </c>
      <c r="AF1028">
        <f t="shared" si="279"/>
        <v>0.70993295451901828</v>
      </c>
      <c r="AG1028">
        <f t="shared" si="280"/>
        <v>0.71175773998668845</v>
      </c>
      <c r="AI1028">
        <f t="shared" si="281"/>
        <v>0.4180845754610642</v>
      </c>
      <c r="AJ1028">
        <f t="shared" si="282"/>
        <v>31.726194948568757</v>
      </c>
      <c r="AL1028">
        <f t="shared" si="283"/>
        <v>0.43137876337559977</v>
      </c>
      <c r="AM1028">
        <f t="shared" si="284"/>
        <v>33.775922560623904</v>
      </c>
      <c r="AO1028">
        <f t="shared" si="285"/>
        <v>0.43027280603331075</v>
      </c>
      <c r="AP1028">
        <f t="shared" si="286"/>
        <v>33.602956952729649</v>
      </c>
    </row>
    <row r="1029" spans="1:42" x14ac:dyDescent="0.2">
      <c r="A1029" s="3">
        <v>1000</v>
      </c>
      <c r="B1029" s="3">
        <v>7.3499999999999995E-7</v>
      </c>
      <c r="C1029" s="2">
        <v>5.3530000000000001E-2</v>
      </c>
      <c r="D1029" s="3">
        <v>207000</v>
      </c>
      <c r="E1029" s="3">
        <v>82900000000</v>
      </c>
      <c r="F1029" s="3">
        <v>77000000000</v>
      </c>
      <c r="G1029" s="3">
        <v>7840000000</v>
      </c>
      <c r="H1029" s="3">
        <v>10700000000</v>
      </c>
      <c r="I1029" s="2"/>
      <c r="J1029" s="7">
        <f t="shared" ref="J1029:J1092" si="287">B1029*(10^6)</f>
        <v>0.73499999999999999</v>
      </c>
      <c r="K1029" s="7">
        <f t="shared" ref="K1029:K1092" si="288">C1029*1000</f>
        <v>53.53</v>
      </c>
      <c r="L1029" s="7">
        <f t="shared" ref="L1029:L1092" si="289">E1029*(10^-9)</f>
        <v>82.9</v>
      </c>
      <c r="M1029" s="7">
        <f t="shared" ref="M1029:M1092" si="290">D1029*(10^-3)</f>
        <v>207</v>
      </c>
      <c r="O1029">
        <f t="shared" ref="O1029:O1092" si="291">J1029-(0.75*(K1029/M1029))</f>
        <v>0.54105072463768111</v>
      </c>
      <c r="P1029">
        <f t="shared" ref="P1029:P1092" si="292">O1029*1000</f>
        <v>541.05072463768113</v>
      </c>
      <c r="V1029">
        <f t="shared" ref="V1029:V1092" si="293">$S$3*(P1029^$S$4)</f>
        <v>1038.7680307839755</v>
      </c>
      <c r="W1029">
        <f t="shared" ref="W1029:W1092" si="294">M1029/(2*(V1029/1000))</f>
        <v>99.637259650633283</v>
      </c>
      <c r="AE1029">
        <f t="shared" si="278"/>
        <v>0.70198615437958378</v>
      </c>
      <c r="AF1029">
        <f t="shared" si="279"/>
        <v>0.6803524147473925</v>
      </c>
      <c r="AG1029">
        <f t="shared" si="280"/>
        <v>0.68210116748724314</v>
      </c>
      <c r="AI1029">
        <f t="shared" si="281"/>
        <v>0.43626216569850174</v>
      </c>
      <c r="AJ1029">
        <f t="shared" si="282"/>
        <v>34.577265503695394</v>
      </c>
      <c r="AL1029">
        <f t="shared" si="283"/>
        <v>0.45013436178323457</v>
      </c>
      <c r="AM1029">
        <f t="shared" si="284"/>
        <v>36.811191632157374</v>
      </c>
      <c r="AO1029">
        <f t="shared" si="285"/>
        <v>0.44898031933910681</v>
      </c>
      <c r="AP1029">
        <f t="shared" si="286"/>
        <v>36.62268249146581</v>
      </c>
    </row>
    <row r="1030" spans="1:42" x14ac:dyDescent="0.2">
      <c r="A1030" s="3">
        <v>1000</v>
      </c>
      <c r="B1030" s="3">
        <v>7.3600000000000003E-7</v>
      </c>
      <c r="C1030" s="2">
        <v>5.3580000000000003E-2</v>
      </c>
      <c r="D1030" s="3">
        <v>206000</v>
      </c>
      <c r="E1030" s="3">
        <v>82600000000</v>
      </c>
      <c r="F1030" s="3">
        <v>76700000000</v>
      </c>
      <c r="G1030" s="3">
        <v>1240000000</v>
      </c>
      <c r="H1030" s="3">
        <v>10700000000</v>
      </c>
      <c r="I1030" s="2"/>
      <c r="J1030" s="7">
        <f t="shared" si="287"/>
        <v>0.73599999999999999</v>
      </c>
      <c r="K1030" s="7">
        <f t="shared" si="288"/>
        <v>53.580000000000005</v>
      </c>
      <c r="L1030" s="7">
        <f t="shared" si="289"/>
        <v>82.600000000000009</v>
      </c>
      <c r="M1030" s="7">
        <f t="shared" si="290"/>
        <v>206</v>
      </c>
      <c r="O1030">
        <f t="shared" si="291"/>
        <v>0.5409271844660194</v>
      </c>
      <c r="P1030">
        <f t="shared" si="292"/>
        <v>540.92718446601941</v>
      </c>
      <c r="V1030">
        <f t="shared" si="293"/>
        <v>1038.66294602219</v>
      </c>
      <c r="W1030">
        <f t="shared" si="294"/>
        <v>99.165952144979585</v>
      </c>
      <c r="AE1030">
        <f t="shared" si="278"/>
        <v>0.69859491691881281</v>
      </c>
      <c r="AF1030">
        <f t="shared" si="279"/>
        <v>0.67706568810610068</v>
      </c>
      <c r="AG1030">
        <f t="shared" si="280"/>
        <v>0.67880599276508247</v>
      </c>
      <c r="AI1030">
        <f t="shared" si="281"/>
        <v>0.43897637849876586</v>
      </c>
      <c r="AJ1030">
        <f t="shared" si="282"/>
        <v>34.946393336206619</v>
      </c>
      <c r="AL1030">
        <f t="shared" si="283"/>
        <v>0.45293488069743976</v>
      </c>
      <c r="AM1030">
        <f t="shared" si="284"/>
        <v>37.204167628997894</v>
      </c>
      <c r="AO1030">
        <f t="shared" si="285"/>
        <v>0.45177365835778088</v>
      </c>
      <c r="AP1030">
        <f t="shared" si="286"/>
        <v>37.013646068599364</v>
      </c>
    </row>
    <row r="1031" spans="1:42" x14ac:dyDescent="0.2">
      <c r="A1031" s="3">
        <v>1000</v>
      </c>
      <c r="B1031" s="3">
        <v>7.37E-7</v>
      </c>
      <c r="C1031" s="2">
        <v>5.364E-2</v>
      </c>
      <c r="D1031" s="3">
        <v>229000</v>
      </c>
      <c r="E1031" s="3">
        <v>90700000000</v>
      </c>
      <c r="F1031" s="3">
        <v>83600000000</v>
      </c>
      <c r="G1031" s="2">
        <v>0</v>
      </c>
      <c r="H1031" s="3">
        <v>10400000000</v>
      </c>
      <c r="I1031" s="2"/>
      <c r="J1031" s="7">
        <f t="shared" si="287"/>
        <v>0.73699999999999999</v>
      </c>
      <c r="K1031" s="7">
        <f t="shared" si="288"/>
        <v>53.64</v>
      </c>
      <c r="L1031" s="7">
        <f t="shared" si="289"/>
        <v>90.7</v>
      </c>
      <c r="M1031" s="7">
        <f t="shared" si="290"/>
        <v>229</v>
      </c>
      <c r="O1031">
        <f t="shared" si="291"/>
        <v>0.56132314410480344</v>
      </c>
      <c r="P1031">
        <f t="shared" si="292"/>
        <v>561.32314410480342</v>
      </c>
      <c r="V1031">
        <f t="shared" si="293"/>
        <v>1055.8343931280078</v>
      </c>
      <c r="W1031">
        <f t="shared" si="294"/>
        <v>108.44503716229879</v>
      </c>
      <c r="AE1031">
        <f t="shared" si="278"/>
        <v>0.77659337851654431</v>
      </c>
      <c r="AF1031">
        <f t="shared" si="279"/>
        <v>0.75266040085581098</v>
      </c>
      <c r="AG1031">
        <f t="shared" si="280"/>
        <v>0.75459501137477614</v>
      </c>
      <c r="AI1031">
        <f t="shared" si="281"/>
        <v>0.39542357922227805</v>
      </c>
      <c r="AJ1031">
        <f t="shared" si="282"/>
        <v>28.310784029140713</v>
      </c>
      <c r="AL1031">
        <f t="shared" si="283"/>
        <v>0.40799719632408571</v>
      </c>
      <c r="AM1031">
        <f t="shared" si="284"/>
        <v>30.139852905428295</v>
      </c>
      <c r="AO1031">
        <f t="shared" si="285"/>
        <v>0.40695118401838698</v>
      </c>
      <c r="AP1031">
        <f t="shared" si="286"/>
        <v>29.985507514261737</v>
      </c>
    </row>
    <row r="1032" spans="1:42" x14ac:dyDescent="0.2">
      <c r="A1032" s="3">
        <v>1000</v>
      </c>
      <c r="B1032" s="3">
        <v>7.3799999999999996E-7</v>
      </c>
      <c r="C1032" s="2">
        <v>5.3690000000000002E-2</v>
      </c>
      <c r="D1032" s="3">
        <v>231000</v>
      </c>
      <c r="E1032" s="3">
        <v>91300000000</v>
      </c>
      <c r="F1032" s="3">
        <v>84200000000</v>
      </c>
      <c r="G1032" s="2">
        <v>0</v>
      </c>
      <c r="H1032" s="3">
        <v>10400000000</v>
      </c>
      <c r="I1032" s="2"/>
      <c r="J1032" s="7">
        <f t="shared" si="287"/>
        <v>0.73799999999999999</v>
      </c>
      <c r="K1032" s="7">
        <f t="shared" si="288"/>
        <v>53.690000000000005</v>
      </c>
      <c r="L1032" s="7">
        <f t="shared" si="289"/>
        <v>91.300000000000011</v>
      </c>
      <c r="M1032" s="7">
        <f t="shared" si="290"/>
        <v>231</v>
      </c>
      <c r="O1032">
        <f t="shared" si="291"/>
        <v>0.56368181818181817</v>
      </c>
      <c r="P1032">
        <f t="shared" si="292"/>
        <v>563.68181818181813</v>
      </c>
      <c r="V1032">
        <f t="shared" si="293"/>
        <v>1057.7976029344429</v>
      </c>
      <c r="W1032">
        <f t="shared" si="294"/>
        <v>109.18913001843711</v>
      </c>
      <c r="AE1032">
        <f t="shared" si="278"/>
        <v>0.78337585343808624</v>
      </c>
      <c r="AF1032">
        <f t="shared" si="279"/>
        <v>0.7592338541383945</v>
      </c>
      <c r="AG1032">
        <f t="shared" si="280"/>
        <v>0.76118536081909738</v>
      </c>
      <c r="AI1032">
        <f t="shared" si="281"/>
        <v>0.39253188447211074</v>
      </c>
      <c r="AJ1032">
        <f t="shared" si="282"/>
        <v>27.848610845366238</v>
      </c>
      <c r="AL1032">
        <f t="shared" si="283"/>
        <v>0.40501355191670413</v>
      </c>
      <c r="AM1032">
        <f t="shared" si="284"/>
        <v>29.647820195862295</v>
      </c>
      <c r="AO1032">
        <f t="shared" si="285"/>
        <v>0.40397518899878077</v>
      </c>
      <c r="AP1032">
        <f t="shared" si="286"/>
        <v>29.495994491213878</v>
      </c>
    </row>
    <row r="1033" spans="1:42" x14ac:dyDescent="0.2">
      <c r="A1033" s="3">
        <v>1000</v>
      </c>
      <c r="B1033" s="3">
        <v>7.3799999999999996E-7</v>
      </c>
      <c r="C1033" s="2">
        <v>5.3740000000000003E-2</v>
      </c>
      <c r="D1033" s="3">
        <v>224000</v>
      </c>
      <c r="E1033" s="3">
        <v>88700000000</v>
      </c>
      <c r="F1033" s="3">
        <v>81900000000</v>
      </c>
      <c r="G1033" s="3">
        <v>4020000000</v>
      </c>
      <c r="H1033" s="3">
        <v>10500000000</v>
      </c>
      <c r="I1033" s="2"/>
      <c r="J1033" s="7">
        <f t="shared" si="287"/>
        <v>0.73799999999999999</v>
      </c>
      <c r="K1033" s="7">
        <f t="shared" si="288"/>
        <v>53.74</v>
      </c>
      <c r="L1033" s="7">
        <f t="shared" si="289"/>
        <v>88.7</v>
      </c>
      <c r="M1033" s="7">
        <f t="shared" si="290"/>
        <v>224</v>
      </c>
      <c r="O1033">
        <f t="shared" si="291"/>
        <v>0.55806696428571434</v>
      </c>
      <c r="P1033">
        <f t="shared" si="292"/>
        <v>558.06696428571433</v>
      </c>
      <c r="V1033">
        <f t="shared" si="293"/>
        <v>1053.116591722305</v>
      </c>
      <c r="W1033">
        <f t="shared" si="294"/>
        <v>106.3509974872119</v>
      </c>
      <c r="AE1033">
        <f t="shared" si="278"/>
        <v>0.75963719121268969</v>
      </c>
      <c r="AF1033">
        <f t="shared" si="279"/>
        <v>0.73622676764935224</v>
      </c>
      <c r="AG1033">
        <f t="shared" si="280"/>
        <v>0.7381191377639732</v>
      </c>
      <c r="AI1033">
        <f t="shared" si="281"/>
        <v>0.40479850586186422</v>
      </c>
      <c r="AJ1033">
        <f t="shared" si="282"/>
        <v>29.643925808494256</v>
      </c>
      <c r="AL1033">
        <f t="shared" si="283"/>
        <v>0.41767022541410109</v>
      </c>
      <c r="AM1033">
        <f t="shared" si="284"/>
        <v>31.559124695656305</v>
      </c>
      <c r="AO1033">
        <f t="shared" si="285"/>
        <v>0.4165994136549927</v>
      </c>
      <c r="AP1033">
        <f t="shared" si="286"/>
        <v>31.39751125111464</v>
      </c>
    </row>
    <row r="1034" spans="1:42" x14ac:dyDescent="0.2">
      <c r="A1034" s="3">
        <v>1000</v>
      </c>
      <c r="B1034" s="3">
        <v>7.3900000000000004E-7</v>
      </c>
      <c r="C1034" s="2">
        <v>5.3789999999999998E-2</v>
      </c>
      <c r="D1034" s="3">
        <v>229000</v>
      </c>
      <c r="E1034" s="3">
        <v>90500000000</v>
      </c>
      <c r="F1034" s="3">
        <v>83500000000</v>
      </c>
      <c r="G1034" s="3">
        <v>2130000000</v>
      </c>
      <c r="H1034" s="3">
        <v>10400000000</v>
      </c>
      <c r="I1034" s="2"/>
      <c r="J1034" s="7">
        <f t="shared" si="287"/>
        <v>0.73899999999999999</v>
      </c>
      <c r="K1034" s="7">
        <f t="shared" si="288"/>
        <v>53.79</v>
      </c>
      <c r="L1034" s="7">
        <f t="shared" si="289"/>
        <v>90.5</v>
      </c>
      <c r="M1034" s="7">
        <f t="shared" si="290"/>
        <v>229</v>
      </c>
      <c r="O1034">
        <f t="shared" si="291"/>
        <v>0.56283187772925758</v>
      </c>
      <c r="P1034">
        <f t="shared" si="292"/>
        <v>562.8318777292576</v>
      </c>
      <c r="V1034">
        <f t="shared" si="293"/>
        <v>1057.0906949991202</v>
      </c>
      <c r="W1034">
        <f t="shared" si="294"/>
        <v>108.31615540811785</v>
      </c>
      <c r="AE1034">
        <f t="shared" si="278"/>
        <v>0.77659337851654431</v>
      </c>
      <c r="AF1034">
        <f t="shared" si="279"/>
        <v>0.75266040085581098</v>
      </c>
      <c r="AG1034">
        <f t="shared" si="280"/>
        <v>0.75459501137477614</v>
      </c>
      <c r="AI1034">
        <f t="shared" si="281"/>
        <v>0.39649664185246064</v>
      </c>
      <c r="AJ1034">
        <f t="shared" si="282"/>
        <v>28.389952888282604</v>
      </c>
      <c r="AL1034">
        <f t="shared" si="283"/>
        <v>0.4091043800318851</v>
      </c>
      <c r="AM1034">
        <f t="shared" si="284"/>
        <v>30.224136610421102</v>
      </c>
      <c r="AO1034">
        <f t="shared" si="285"/>
        <v>0.40805552915819265</v>
      </c>
      <c r="AP1034">
        <f t="shared" si="286"/>
        <v>30.069359604626005</v>
      </c>
    </row>
    <row r="1035" spans="1:42" x14ac:dyDescent="0.2">
      <c r="A1035" s="3">
        <v>1000</v>
      </c>
      <c r="B1035" s="3">
        <v>7.4000000000000001E-7</v>
      </c>
      <c r="C1035" s="2">
        <v>5.3839999999999999E-2</v>
      </c>
      <c r="D1035" s="3">
        <v>230000</v>
      </c>
      <c r="E1035" s="3">
        <v>90700000000</v>
      </c>
      <c r="F1035" s="3">
        <v>83700000000</v>
      </c>
      <c r="G1035" s="3">
        <v>8720000000</v>
      </c>
      <c r="H1035" s="3">
        <v>10400000000</v>
      </c>
      <c r="I1035" s="2"/>
      <c r="J1035" s="7">
        <f t="shared" si="287"/>
        <v>0.74</v>
      </c>
      <c r="K1035" s="7">
        <f t="shared" si="288"/>
        <v>53.839999999999996</v>
      </c>
      <c r="L1035" s="7">
        <f t="shared" si="289"/>
        <v>90.7</v>
      </c>
      <c r="M1035" s="7">
        <f t="shared" si="290"/>
        <v>230</v>
      </c>
      <c r="O1035">
        <f t="shared" si="291"/>
        <v>0.56443478260869573</v>
      </c>
      <c r="P1035">
        <f t="shared" si="292"/>
        <v>564.43478260869574</v>
      </c>
      <c r="V1035">
        <f t="shared" si="293"/>
        <v>1058.4233587077426</v>
      </c>
      <c r="W1035">
        <f t="shared" si="294"/>
        <v>108.65217500528954</v>
      </c>
      <c r="AE1035">
        <f t="shared" si="278"/>
        <v>0.77998461597731528</v>
      </c>
      <c r="AF1035">
        <f t="shared" si="279"/>
        <v>0.7559471274971028</v>
      </c>
      <c r="AG1035">
        <f t="shared" si="280"/>
        <v>0.75789018609693681</v>
      </c>
      <c r="AI1035">
        <f t="shared" si="281"/>
        <v>0.39530694197986693</v>
      </c>
      <c r="AJ1035">
        <f t="shared" si="282"/>
        <v>28.169781048428124</v>
      </c>
      <c r="AL1035">
        <f t="shared" si="283"/>
        <v>0.40787685026889009</v>
      </c>
      <c r="AM1035">
        <f t="shared" si="284"/>
        <v>29.989740174762488</v>
      </c>
      <c r="AO1035">
        <f t="shared" si="285"/>
        <v>0.40683114650319069</v>
      </c>
      <c r="AP1035">
        <f t="shared" si="286"/>
        <v>29.836163506927331</v>
      </c>
    </row>
    <row r="1036" spans="1:42" x14ac:dyDescent="0.2">
      <c r="A1036" s="3">
        <v>1000</v>
      </c>
      <c r="B1036" s="3">
        <v>7.4099999999999998E-7</v>
      </c>
      <c r="C1036" s="2">
        <v>5.3900000000000003E-2</v>
      </c>
      <c r="D1036" s="3">
        <v>220000</v>
      </c>
      <c r="E1036" s="3">
        <v>87200000000</v>
      </c>
      <c r="F1036" s="3">
        <v>80700000000</v>
      </c>
      <c r="G1036" s="3">
        <v>10200000000</v>
      </c>
      <c r="H1036" s="3">
        <v>10500000000</v>
      </c>
      <c r="I1036" s="2"/>
      <c r="J1036" s="7">
        <f t="shared" si="287"/>
        <v>0.74099999999999999</v>
      </c>
      <c r="K1036" s="7">
        <f t="shared" si="288"/>
        <v>53.900000000000006</v>
      </c>
      <c r="L1036" s="7">
        <f t="shared" si="289"/>
        <v>87.2</v>
      </c>
      <c r="M1036" s="7">
        <f t="shared" si="290"/>
        <v>220</v>
      </c>
      <c r="O1036">
        <f t="shared" si="291"/>
        <v>0.55725000000000002</v>
      </c>
      <c r="P1036">
        <f t="shared" si="292"/>
        <v>557.25</v>
      </c>
      <c r="V1036">
        <f t="shared" si="293"/>
        <v>1052.4333196039047</v>
      </c>
      <c r="W1036">
        <f t="shared" si="294"/>
        <v>104.51968590409106</v>
      </c>
      <c r="AE1036">
        <f t="shared" si="278"/>
        <v>0.74607224136960593</v>
      </c>
      <c r="AF1036">
        <f t="shared" si="279"/>
        <v>0.7230798610841852</v>
      </c>
      <c r="AG1036">
        <f t="shared" si="280"/>
        <v>0.72493843887533083</v>
      </c>
      <c r="AI1036">
        <f t="shared" si="281"/>
        <v>0.41383391966602406</v>
      </c>
      <c r="AJ1036">
        <f t="shared" si="282"/>
        <v>30.823183783445288</v>
      </c>
      <c r="AL1036">
        <f t="shared" si="283"/>
        <v>0.42699294589267162</v>
      </c>
      <c r="AM1036">
        <f t="shared" si="284"/>
        <v>32.814570742858422</v>
      </c>
      <c r="AO1036">
        <f t="shared" si="285"/>
        <v>0.42589823279200734</v>
      </c>
      <c r="AP1036">
        <f t="shared" si="286"/>
        <v>32.646528192247388</v>
      </c>
    </row>
    <row r="1037" spans="1:42" x14ac:dyDescent="0.2">
      <c r="A1037" s="3">
        <v>1000</v>
      </c>
      <c r="B1037" s="3">
        <v>7.4099999999999998E-7</v>
      </c>
      <c r="C1037" s="2">
        <v>5.3949999999999998E-2</v>
      </c>
      <c r="D1037" s="3">
        <v>215000</v>
      </c>
      <c r="E1037" s="3">
        <v>85400000000</v>
      </c>
      <c r="F1037" s="3">
        <v>79100000000</v>
      </c>
      <c r="G1037" s="3">
        <v>7230000000</v>
      </c>
      <c r="H1037" s="3">
        <v>10600000000</v>
      </c>
      <c r="I1037" s="2"/>
      <c r="J1037" s="7">
        <f t="shared" si="287"/>
        <v>0.74099999999999999</v>
      </c>
      <c r="K1037" s="7">
        <f t="shared" si="288"/>
        <v>53.949999999999996</v>
      </c>
      <c r="L1037" s="7">
        <f t="shared" si="289"/>
        <v>85.4</v>
      </c>
      <c r="M1037" s="7">
        <f t="shared" si="290"/>
        <v>215</v>
      </c>
      <c r="O1037">
        <f t="shared" si="291"/>
        <v>0.55280232558139542</v>
      </c>
      <c r="P1037">
        <f t="shared" si="292"/>
        <v>552.80232558139539</v>
      </c>
      <c r="V1037">
        <f t="shared" si="293"/>
        <v>1048.7036607929101</v>
      </c>
      <c r="W1037">
        <f t="shared" si="294"/>
        <v>102.5075090504793</v>
      </c>
      <c r="AE1037">
        <f t="shared" si="278"/>
        <v>0.7291160540657512</v>
      </c>
      <c r="AF1037">
        <f t="shared" si="279"/>
        <v>0.70664622787772646</v>
      </c>
      <c r="AG1037">
        <f t="shared" si="280"/>
        <v>0.70846256526452789</v>
      </c>
      <c r="AI1037">
        <f t="shared" si="281"/>
        <v>0.42345796430942001</v>
      </c>
      <c r="AJ1037">
        <f t="shared" si="282"/>
        <v>32.30342873263757</v>
      </c>
      <c r="AL1037">
        <f t="shared" si="283"/>
        <v>0.43692301440180353</v>
      </c>
      <c r="AM1037">
        <f t="shared" si="284"/>
        <v>34.390449566515727</v>
      </c>
      <c r="AO1037">
        <f t="shared" si="285"/>
        <v>0.43580284285693771</v>
      </c>
      <c r="AP1037">
        <f t="shared" si="286"/>
        <v>34.214336982045147</v>
      </c>
    </row>
    <row r="1038" spans="1:42" x14ac:dyDescent="0.2">
      <c r="A1038" s="3">
        <v>1000</v>
      </c>
      <c r="B1038" s="3">
        <v>7.4199999999999995E-7</v>
      </c>
      <c r="C1038" s="2">
        <v>5.3999999999999999E-2</v>
      </c>
      <c r="D1038" s="3">
        <v>239000</v>
      </c>
      <c r="E1038" s="3">
        <v>93900000000</v>
      </c>
      <c r="F1038" s="3">
        <v>86300000000</v>
      </c>
      <c r="G1038" s="3">
        <v>12300000000</v>
      </c>
      <c r="H1038" s="3">
        <v>10200000000</v>
      </c>
      <c r="I1038" s="2"/>
      <c r="J1038" s="7">
        <f t="shared" si="287"/>
        <v>0.74199999999999999</v>
      </c>
      <c r="K1038" s="7">
        <f t="shared" si="288"/>
        <v>54</v>
      </c>
      <c r="L1038" s="7">
        <f t="shared" si="289"/>
        <v>93.9</v>
      </c>
      <c r="M1038" s="7">
        <f t="shared" si="290"/>
        <v>239</v>
      </c>
      <c r="O1038">
        <f t="shared" si="291"/>
        <v>0.57254393305439333</v>
      </c>
      <c r="P1038">
        <f t="shared" si="292"/>
        <v>572.54393305439328</v>
      </c>
      <c r="V1038">
        <f t="shared" si="293"/>
        <v>1065.1332598118322</v>
      </c>
      <c r="W1038">
        <f t="shared" si="294"/>
        <v>112.19253450137406</v>
      </c>
      <c r="AE1038">
        <f t="shared" si="278"/>
        <v>0.81050575312425366</v>
      </c>
      <c r="AF1038">
        <f t="shared" si="279"/>
        <v>0.78552766726872847</v>
      </c>
      <c r="AG1038">
        <f t="shared" si="280"/>
        <v>0.78754675859638212</v>
      </c>
      <c r="AI1038">
        <f t="shared" si="281"/>
        <v>0.38144907112000503</v>
      </c>
      <c r="AJ1038">
        <f t="shared" si="282"/>
        <v>26.165681469399907</v>
      </c>
      <c r="AL1038">
        <f t="shared" si="283"/>
        <v>0.3935783289997104</v>
      </c>
      <c r="AM1038">
        <f t="shared" si="284"/>
        <v>27.856162155249947</v>
      </c>
      <c r="AO1038">
        <f t="shared" si="285"/>
        <v>0.39256928340062491</v>
      </c>
      <c r="AP1038">
        <f t="shared" si="286"/>
        <v>27.713511484135459</v>
      </c>
    </row>
    <row r="1039" spans="1:42" x14ac:dyDescent="0.2">
      <c r="A1039" s="3">
        <v>1000</v>
      </c>
      <c r="B1039" s="3">
        <v>7.4300000000000002E-7</v>
      </c>
      <c r="C1039" s="2">
        <v>5.4050000000000001E-2</v>
      </c>
      <c r="D1039" s="3">
        <v>209000</v>
      </c>
      <c r="E1039" s="3">
        <v>83300000000</v>
      </c>
      <c r="F1039" s="3">
        <v>77300000000</v>
      </c>
      <c r="G1039" s="3">
        <v>6190000000</v>
      </c>
      <c r="H1039" s="3">
        <v>10700000000</v>
      </c>
      <c r="I1039" s="2"/>
      <c r="J1039" s="7">
        <f t="shared" si="287"/>
        <v>0.74299999999999999</v>
      </c>
      <c r="K1039" s="7">
        <f t="shared" si="288"/>
        <v>54.050000000000004</v>
      </c>
      <c r="L1039" s="7">
        <f t="shared" si="289"/>
        <v>83.300000000000011</v>
      </c>
      <c r="M1039" s="7">
        <f t="shared" si="290"/>
        <v>209</v>
      </c>
      <c r="O1039">
        <f t="shared" si="291"/>
        <v>0.54904066985645938</v>
      </c>
      <c r="P1039">
        <f t="shared" si="292"/>
        <v>549.04066985645943</v>
      </c>
      <c r="V1039">
        <f t="shared" si="293"/>
        <v>1045.5362058782498</v>
      </c>
      <c r="W1039">
        <f t="shared" si="294"/>
        <v>99.948714747969973</v>
      </c>
      <c r="AE1039">
        <f t="shared" si="278"/>
        <v>0.70876862930112561</v>
      </c>
      <c r="AF1039">
        <f t="shared" si="279"/>
        <v>0.68692586802997602</v>
      </c>
      <c r="AG1039">
        <f t="shared" si="280"/>
        <v>0.68869151693156427</v>
      </c>
      <c r="AI1039">
        <f t="shared" si="281"/>
        <v>0.43679040032936417</v>
      </c>
      <c r="AJ1039">
        <f t="shared" si="282"/>
        <v>34.24815799228525</v>
      </c>
      <c r="AL1039">
        <f t="shared" si="283"/>
        <v>0.45067939313623834</v>
      </c>
      <c r="AM1039">
        <f t="shared" si="284"/>
        <v>36.460821540895921</v>
      </c>
      <c r="AO1039">
        <f t="shared" si="285"/>
        <v>0.44952395335529716</v>
      </c>
      <c r="AP1039">
        <f t="shared" si="286"/>
        <v>36.274106636193444</v>
      </c>
    </row>
    <row r="1040" spans="1:42" x14ac:dyDescent="0.2">
      <c r="A1040" s="3">
        <v>1000</v>
      </c>
      <c r="B1040" s="3">
        <v>7.4399999999999999E-7</v>
      </c>
      <c r="C1040" s="2">
        <v>5.4100000000000002E-2</v>
      </c>
      <c r="D1040" s="3">
        <v>244000</v>
      </c>
      <c r="E1040" s="3">
        <v>95600000000</v>
      </c>
      <c r="F1040" s="3">
        <v>87800000000</v>
      </c>
      <c r="G1040" s="3">
        <v>5210000000</v>
      </c>
      <c r="H1040" s="3">
        <v>10200000000</v>
      </c>
      <c r="I1040" s="2"/>
      <c r="J1040" s="7">
        <f t="shared" si="287"/>
        <v>0.74399999999999999</v>
      </c>
      <c r="K1040" s="7">
        <f t="shared" si="288"/>
        <v>54.1</v>
      </c>
      <c r="L1040" s="7">
        <f t="shared" si="289"/>
        <v>95.600000000000009</v>
      </c>
      <c r="M1040" s="7">
        <f t="shared" si="290"/>
        <v>244</v>
      </c>
      <c r="O1040">
        <f t="shared" si="291"/>
        <v>0.57770901639344263</v>
      </c>
      <c r="P1040">
        <f t="shared" si="292"/>
        <v>577.70901639344265</v>
      </c>
      <c r="V1040">
        <f t="shared" si="293"/>
        <v>1069.3795377722602</v>
      </c>
      <c r="W1040">
        <f t="shared" si="294"/>
        <v>114.0848461100643</v>
      </c>
      <c r="AE1040">
        <f t="shared" ref="AE1040:AE1103" si="295">M1040/(2*$Y$5)</f>
        <v>0.82746194042810839</v>
      </c>
      <c r="AF1040">
        <f t="shared" ref="AF1040:AF1103" si="296">M1040/(2*$Y$8)</f>
        <v>0.80196130047518721</v>
      </c>
      <c r="AG1040">
        <f t="shared" ref="AG1040:AG1103" si="297">M1040/(2*$Y$11)</f>
        <v>0.80402263220718506</v>
      </c>
      <c r="AI1040">
        <f t="shared" ref="AI1040:AI1103" si="298">J1040/(2.4*AE1040)</f>
        <v>0.37463958745898773</v>
      </c>
      <c r="AJ1040">
        <f t="shared" ref="AJ1040:AJ1103" si="299">K1040/(3.14159*(AE1040^2))</f>
        <v>25.150794264116367</v>
      </c>
      <c r="AL1040">
        <f t="shared" ref="AL1040:AL1103" si="300">J1040/(2.4*AF1040)</f>
        <v>0.38655231844269206</v>
      </c>
      <c r="AM1040">
        <f t="shared" ref="AM1040:AM1103" si="301">K1040/(3.14159*(AF1040^2))</f>
        <v>26.775706345500499</v>
      </c>
      <c r="AO1040">
        <f t="shared" ref="AO1040:AO1103" si="302">J1040/(2.4*AG1040)</f>
        <v>0.38556128594165928</v>
      </c>
      <c r="AP1040">
        <f t="shared" ref="AP1040:AP1103" si="303">K1040/(3.14159*(AG1040^2))</f>
        <v>26.638588660068365</v>
      </c>
    </row>
    <row r="1041" spans="1:42" x14ac:dyDescent="0.2">
      <c r="A1041" s="3">
        <v>1000</v>
      </c>
      <c r="B1041" s="3">
        <v>7.4499999999999996E-7</v>
      </c>
      <c r="C1041" s="2">
        <v>5.416E-2</v>
      </c>
      <c r="D1041" s="3">
        <v>217000</v>
      </c>
      <c r="E1041" s="3">
        <v>86100000000</v>
      </c>
      <c r="F1041" s="3">
        <v>79700000000</v>
      </c>
      <c r="G1041" s="2">
        <v>0</v>
      </c>
      <c r="H1041" s="3">
        <v>10500000000</v>
      </c>
      <c r="I1041" s="2"/>
      <c r="J1041" s="7">
        <f t="shared" si="287"/>
        <v>0.745</v>
      </c>
      <c r="K1041" s="7">
        <f t="shared" si="288"/>
        <v>54.16</v>
      </c>
      <c r="L1041" s="7">
        <f t="shared" si="289"/>
        <v>86.100000000000009</v>
      </c>
      <c r="M1041" s="7">
        <f t="shared" si="290"/>
        <v>217</v>
      </c>
      <c r="O1041">
        <f t="shared" si="291"/>
        <v>0.55781105990783408</v>
      </c>
      <c r="P1041">
        <f t="shared" si="292"/>
        <v>557.81105990783408</v>
      </c>
      <c r="V1041">
        <f t="shared" si="293"/>
        <v>1052.9026247903921</v>
      </c>
      <c r="W1041">
        <f t="shared" si="294"/>
        <v>103.04846568465889</v>
      </c>
      <c r="AE1041">
        <f t="shared" si="295"/>
        <v>0.73589852898729313</v>
      </c>
      <c r="AF1041">
        <f t="shared" si="296"/>
        <v>0.71321968116030998</v>
      </c>
      <c r="AG1041">
        <f t="shared" si="297"/>
        <v>0.71505291470884902</v>
      </c>
      <c r="AI1041">
        <f t="shared" si="298"/>
        <v>0.42181993092695347</v>
      </c>
      <c r="AJ1041">
        <f t="shared" si="299"/>
        <v>31.834151605796162</v>
      </c>
      <c r="AL1041">
        <f t="shared" si="300"/>
        <v>0.43523289509013774</v>
      </c>
      <c r="AM1041">
        <f t="shared" si="301"/>
        <v>33.890853950925454</v>
      </c>
      <c r="AO1041">
        <f t="shared" si="302"/>
        <v>0.43411705662798433</v>
      </c>
      <c r="AP1041">
        <f t="shared" si="303"/>
        <v>33.717299782415147</v>
      </c>
    </row>
    <row r="1042" spans="1:42" x14ac:dyDescent="0.2">
      <c r="A1042" s="3">
        <v>1000</v>
      </c>
      <c r="B1042" s="3">
        <v>7.4499999999999996E-7</v>
      </c>
      <c r="C1042" s="2">
        <v>5.4210000000000001E-2</v>
      </c>
      <c r="D1042" s="3">
        <v>253000</v>
      </c>
      <c r="E1042" s="3">
        <v>99000000000</v>
      </c>
      <c r="F1042" s="3">
        <v>90600000000</v>
      </c>
      <c r="G1042" s="3">
        <v>3400000000</v>
      </c>
      <c r="H1042" s="3">
        <v>10100000000</v>
      </c>
      <c r="I1042" s="2"/>
      <c r="J1042" s="7">
        <f t="shared" si="287"/>
        <v>0.745</v>
      </c>
      <c r="K1042" s="7">
        <f t="shared" si="288"/>
        <v>54.21</v>
      </c>
      <c r="L1042" s="7">
        <f t="shared" si="289"/>
        <v>99</v>
      </c>
      <c r="M1042" s="7">
        <f t="shared" si="290"/>
        <v>253</v>
      </c>
      <c r="O1042">
        <f t="shared" si="291"/>
        <v>0.58429841897233203</v>
      </c>
      <c r="P1042">
        <f t="shared" si="292"/>
        <v>584.298418972332</v>
      </c>
      <c r="V1042">
        <f t="shared" si="293"/>
        <v>1074.7661846570652</v>
      </c>
      <c r="W1042">
        <f t="shared" si="294"/>
        <v>117.70001866998022</v>
      </c>
      <c r="AE1042">
        <f t="shared" si="295"/>
        <v>0.85798307757504677</v>
      </c>
      <c r="AF1042">
        <f t="shared" si="296"/>
        <v>0.83154184024681299</v>
      </c>
      <c r="AG1042">
        <f t="shared" si="297"/>
        <v>0.83367920470663048</v>
      </c>
      <c r="AI1042">
        <f t="shared" si="298"/>
        <v>0.36179812257371113</v>
      </c>
      <c r="AJ1042">
        <f t="shared" si="299"/>
        <v>23.440801496863813</v>
      </c>
      <c r="AL1042">
        <f t="shared" si="300"/>
        <v>0.37330252266624464</v>
      </c>
      <c r="AM1042">
        <f t="shared" si="301"/>
        <v>24.955236434766537</v>
      </c>
      <c r="AO1042">
        <f t="shared" si="302"/>
        <v>0.37234545963744109</v>
      </c>
      <c r="AP1042">
        <f t="shared" si="303"/>
        <v>24.827441327694711</v>
      </c>
    </row>
    <row r="1043" spans="1:42" x14ac:dyDescent="0.2">
      <c r="A1043" s="3">
        <v>1000</v>
      </c>
      <c r="B1043" s="3">
        <v>7.4600000000000004E-7</v>
      </c>
      <c r="C1043" s="2">
        <v>5.4260000000000003E-2</v>
      </c>
      <c r="D1043" s="3">
        <v>235000</v>
      </c>
      <c r="E1043" s="3">
        <v>92400000000</v>
      </c>
      <c r="F1043" s="3">
        <v>85100000000</v>
      </c>
      <c r="G1043" s="3">
        <v>6500000000</v>
      </c>
      <c r="H1043" s="3">
        <v>10300000000</v>
      </c>
      <c r="I1043" s="2"/>
      <c r="J1043" s="7">
        <f t="shared" si="287"/>
        <v>0.746</v>
      </c>
      <c r="K1043" s="7">
        <f t="shared" si="288"/>
        <v>54.260000000000005</v>
      </c>
      <c r="L1043" s="7">
        <f t="shared" si="289"/>
        <v>92.4</v>
      </c>
      <c r="M1043" s="7">
        <f t="shared" si="290"/>
        <v>235</v>
      </c>
      <c r="O1043">
        <f t="shared" si="291"/>
        <v>0.57282978723404254</v>
      </c>
      <c r="P1043">
        <f t="shared" si="292"/>
        <v>572.82978723404256</v>
      </c>
      <c r="V1043">
        <f t="shared" si="293"/>
        <v>1065.3688204026528</v>
      </c>
      <c r="W1043">
        <f t="shared" si="294"/>
        <v>110.2904437878999</v>
      </c>
      <c r="AE1043">
        <f t="shared" si="295"/>
        <v>0.7969408032811699</v>
      </c>
      <c r="AF1043">
        <f t="shared" si="296"/>
        <v>0.77238076070356154</v>
      </c>
      <c r="AG1043">
        <f t="shared" si="297"/>
        <v>0.77436605970773975</v>
      </c>
      <c r="AI1043">
        <f t="shared" si="298"/>
        <v>0.39003315183959497</v>
      </c>
      <c r="AJ1043">
        <f t="shared" si="299"/>
        <v>27.194317085743346</v>
      </c>
      <c r="AL1043">
        <f t="shared" si="300"/>
        <v>0.40243536497490601</v>
      </c>
      <c r="AM1043">
        <f t="shared" si="301"/>
        <v>28.951254616764402</v>
      </c>
      <c r="AO1043">
        <f t="shared" si="302"/>
        <v>0.40140361194374619</v>
      </c>
      <c r="AP1043">
        <f t="shared" si="303"/>
        <v>28.802996006060216</v>
      </c>
    </row>
    <row r="1044" spans="1:42" x14ac:dyDescent="0.2">
      <c r="A1044" s="3">
        <v>1000</v>
      </c>
      <c r="B1044" s="3">
        <v>7.4600000000000004E-7</v>
      </c>
      <c r="C1044" s="2">
        <v>5.4309999999999997E-2</v>
      </c>
      <c r="D1044" s="3">
        <v>219000</v>
      </c>
      <c r="E1044" s="3">
        <v>86600000000</v>
      </c>
      <c r="F1044" s="3">
        <v>80100000000</v>
      </c>
      <c r="G1044" s="2">
        <v>0</v>
      </c>
      <c r="H1044" s="3">
        <v>10500000000</v>
      </c>
      <c r="I1044" s="2"/>
      <c r="J1044" s="7">
        <f t="shared" si="287"/>
        <v>0.746</v>
      </c>
      <c r="K1044" s="7">
        <f t="shared" si="288"/>
        <v>54.309999999999995</v>
      </c>
      <c r="L1044" s="7">
        <f t="shared" si="289"/>
        <v>86.600000000000009</v>
      </c>
      <c r="M1044" s="7">
        <f t="shared" si="290"/>
        <v>219</v>
      </c>
      <c r="O1044">
        <f t="shared" si="291"/>
        <v>0.5600068493150685</v>
      </c>
      <c r="P1044">
        <f t="shared" si="292"/>
        <v>560.00684931506851</v>
      </c>
      <c r="V1044">
        <f t="shared" si="293"/>
        <v>1054.7367953435084</v>
      </c>
      <c r="W1044">
        <f t="shared" si="294"/>
        <v>103.81736987220386</v>
      </c>
      <c r="AE1044">
        <f t="shared" si="295"/>
        <v>0.74268100390883496</v>
      </c>
      <c r="AF1044">
        <f t="shared" si="296"/>
        <v>0.7197931344428935</v>
      </c>
      <c r="AG1044">
        <f t="shared" si="297"/>
        <v>0.72164326415317026</v>
      </c>
      <c r="AI1044">
        <f t="shared" si="298"/>
        <v>0.41852872457673435</v>
      </c>
      <c r="AJ1044">
        <f t="shared" si="299"/>
        <v>31.341924878705527</v>
      </c>
      <c r="AL1044">
        <f t="shared" si="300"/>
        <v>0.43183703547535579</v>
      </c>
      <c r="AM1044">
        <f t="shared" si="301"/>
        <v>33.366826035083847</v>
      </c>
      <c r="AO1044">
        <f t="shared" si="302"/>
        <v>0.43072990322730753</v>
      </c>
      <c r="AP1044">
        <f t="shared" si="303"/>
        <v>33.195955399698484</v>
      </c>
    </row>
    <row r="1045" spans="1:42" x14ac:dyDescent="0.2">
      <c r="A1045" s="3">
        <v>1000</v>
      </c>
      <c r="B1045" s="3">
        <v>7.4700000000000001E-7</v>
      </c>
      <c r="C1045" s="2">
        <v>5.4370000000000002E-2</v>
      </c>
      <c r="D1045" s="3">
        <v>206000</v>
      </c>
      <c r="E1045" s="3">
        <v>81800000000</v>
      </c>
      <c r="F1045" s="3">
        <v>76000000000</v>
      </c>
      <c r="G1045" s="3">
        <v>1780000000</v>
      </c>
      <c r="H1045" s="3">
        <v>10700000000</v>
      </c>
      <c r="I1045" s="2"/>
      <c r="J1045" s="7">
        <f t="shared" si="287"/>
        <v>0.747</v>
      </c>
      <c r="K1045" s="7">
        <f t="shared" si="288"/>
        <v>54.370000000000005</v>
      </c>
      <c r="L1045" s="7">
        <f t="shared" si="289"/>
        <v>81.800000000000011</v>
      </c>
      <c r="M1045" s="7">
        <f t="shared" si="290"/>
        <v>206</v>
      </c>
      <c r="O1045">
        <f t="shared" si="291"/>
        <v>0.5490509708737864</v>
      </c>
      <c r="P1045">
        <f t="shared" si="292"/>
        <v>549.05097087378635</v>
      </c>
      <c r="V1045">
        <f t="shared" si="293"/>
        <v>1045.5448961977202</v>
      </c>
      <c r="W1045">
        <f t="shared" si="294"/>
        <v>98.513225376141051</v>
      </c>
      <c r="AE1045">
        <f t="shared" si="295"/>
        <v>0.69859491691881281</v>
      </c>
      <c r="AF1045">
        <f t="shared" si="296"/>
        <v>0.67706568810610068</v>
      </c>
      <c r="AG1045">
        <f t="shared" si="297"/>
        <v>0.67880599276508247</v>
      </c>
      <c r="AI1045">
        <f t="shared" si="298"/>
        <v>0.44553716676437244</v>
      </c>
      <c r="AJ1045">
        <f t="shared" si="299"/>
        <v>35.461653708278348</v>
      </c>
      <c r="AL1045">
        <f t="shared" si="300"/>
        <v>0.45970428788177653</v>
      </c>
      <c r="AM1045">
        <f t="shared" si="301"/>
        <v>37.752717319683008</v>
      </c>
      <c r="AO1045">
        <f t="shared" si="302"/>
        <v>0.45852571031693251</v>
      </c>
      <c r="AP1045">
        <f t="shared" si="303"/>
        <v>37.559386650797826</v>
      </c>
    </row>
    <row r="1046" spans="1:42" x14ac:dyDescent="0.2">
      <c r="A1046" s="3">
        <v>1000</v>
      </c>
      <c r="B1046" s="3">
        <v>7.4900000000000005E-7</v>
      </c>
      <c r="C1046" s="2">
        <v>5.4420000000000003E-2</v>
      </c>
      <c r="D1046" s="3">
        <v>226000</v>
      </c>
      <c r="E1046" s="3">
        <v>89100000000</v>
      </c>
      <c r="F1046" s="3">
        <v>82200000000</v>
      </c>
      <c r="G1046" s="2">
        <v>0</v>
      </c>
      <c r="H1046" s="3">
        <v>10400000000</v>
      </c>
      <c r="I1046" s="2"/>
      <c r="J1046" s="7">
        <f t="shared" si="287"/>
        <v>0.749</v>
      </c>
      <c r="K1046" s="7">
        <f t="shared" si="288"/>
        <v>54.42</v>
      </c>
      <c r="L1046" s="7">
        <f t="shared" si="289"/>
        <v>89.100000000000009</v>
      </c>
      <c r="M1046" s="7">
        <f t="shared" si="290"/>
        <v>226</v>
      </c>
      <c r="O1046">
        <f t="shared" si="291"/>
        <v>0.56840265486725661</v>
      </c>
      <c r="P1046">
        <f t="shared" si="292"/>
        <v>568.40265486725662</v>
      </c>
      <c r="V1046">
        <f t="shared" si="293"/>
        <v>1061.7132283514065</v>
      </c>
      <c r="W1046">
        <f t="shared" si="294"/>
        <v>106.43175292773049</v>
      </c>
      <c r="AE1046">
        <f t="shared" si="295"/>
        <v>0.76641966613423151</v>
      </c>
      <c r="AF1046">
        <f t="shared" si="296"/>
        <v>0.74280022093193576</v>
      </c>
      <c r="AG1046">
        <f t="shared" si="297"/>
        <v>0.74470948720829444</v>
      </c>
      <c r="AI1046">
        <f t="shared" si="298"/>
        <v>0.40719640573350679</v>
      </c>
      <c r="AJ1046">
        <f t="shared" si="299"/>
        <v>29.49006646589239</v>
      </c>
      <c r="AL1046">
        <f t="shared" si="300"/>
        <v>0.42014437333067267</v>
      </c>
      <c r="AM1046">
        <f t="shared" si="301"/>
        <v>31.395324994829473</v>
      </c>
      <c r="AO1046">
        <f t="shared" si="302"/>
        <v>0.41906721841727251</v>
      </c>
      <c r="AP1046">
        <f t="shared" si="303"/>
        <v>31.234550364232131</v>
      </c>
    </row>
    <row r="1047" spans="1:42" x14ac:dyDescent="0.2">
      <c r="A1047" s="3">
        <v>1000</v>
      </c>
      <c r="B1047" s="3">
        <v>7.4900000000000005E-7</v>
      </c>
      <c r="C1047" s="2">
        <v>5.4469999999999998E-2</v>
      </c>
      <c r="D1047" s="3">
        <v>228000</v>
      </c>
      <c r="E1047" s="3">
        <v>89700000000</v>
      </c>
      <c r="F1047" s="3">
        <v>82800000000</v>
      </c>
      <c r="G1047" s="3">
        <v>3570000000</v>
      </c>
      <c r="H1047" s="3">
        <v>10400000000</v>
      </c>
      <c r="I1047" s="2"/>
      <c r="J1047" s="7">
        <f t="shared" si="287"/>
        <v>0.749</v>
      </c>
      <c r="K1047" s="7">
        <f t="shared" si="288"/>
        <v>54.47</v>
      </c>
      <c r="L1047" s="7">
        <f t="shared" si="289"/>
        <v>89.7</v>
      </c>
      <c r="M1047" s="7">
        <f t="shared" si="290"/>
        <v>228</v>
      </c>
      <c r="O1047">
        <f t="shared" si="291"/>
        <v>0.56982236842105261</v>
      </c>
      <c r="P1047">
        <f t="shared" si="292"/>
        <v>569.8223684210526</v>
      </c>
      <c r="V1047">
        <f t="shared" si="293"/>
        <v>1062.8872426506975</v>
      </c>
      <c r="W1047">
        <f t="shared" si="294"/>
        <v>107.25502708612757</v>
      </c>
      <c r="AE1047">
        <f t="shared" si="295"/>
        <v>0.77320214105577334</v>
      </c>
      <c r="AF1047">
        <f t="shared" si="296"/>
        <v>0.74937367421451928</v>
      </c>
      <c r="AG1047">
        <f t="shared" si="297"/>
        <v>0.75129983665261557</v>
      </c>
      <c r="AI1047">
        <f t="shared" si="298"/>
        <v>0.40362450743759887</v>
      </c>
      <c r="AJ1047">
        <f t="shared" si="299"/>
        <v>29.00158765888235</v>
      </c>
      <c r="AL1047">
        <f t="shared" si="300"/>
        <v>0.41645889637163164</v>
      </c>
      <c r="AM1047">
        <f t="shared" si="301"/>
        <v>30.875287140153752</v>
      </c>
      <c r="AO1047">
        <f t="shared" si="302"/>
        <v>0.4153911901855421</v>
      </c>
      <c r="AP1047">
        <f t="shared" si="303"/>
        <v>30.717175609683451</v>
      </c>
    </row>
    <row r="1048" spans="1:42" x14ac:dyDescent="0.2">
      <c r="A1048" s="3">
        <v>1000</v>
      </c>
      <c r="B1048" s="3">
        <v>7.5000000000000002E-7</v>
      </c>
      <c r="C1048" s="2">
        <v>5.4519999999999999E-2</v>
      </c>
      <c r="D1048" s="3">
        <v>214000</v>
      </c>
      <c r="E1048" s="3">
        <v>84500000000</v>
      </c>
      <c r="F1048" s="3">
        <v>78300000000</v>
      </c>
      <c r="G1048" s="3">
        <v>5220000000</v>
      </c>
      <c r="H1048" s="3">
        <v>10600000000</v>
      </c>
      <c r="I1048" s="2"/>
      <c r="J1048" s="7">
        <f t="shared" si="287"/>
        <v>0.75</v>
      </c>
      <c r="K1048" s="7">
        <f t="shared" si="288"/>
        <v>54.519999999999996</v>
      </c>
      <c r="L1048" s="7">
        <f t="shared" si="289"/>
        <v>84.5</v>
      </c>
      <c r="M1048" s="7">
        <f t="shared" si="290"/>
        <v>214</v>
      </c>
      <c r="O1048">
        <f t="shared" si="291"/>
        <v>0.5589252336448598</v>
      </c>
      <c r="P1048">
        <f t="shared" si="292"/>
        <v>558.92523364485976</v>
      </c>
      <c r="V1048">
        <f t="shared" si="293"/>
        <v>1053.8338097251583</v>
      </c>
      <c r="W1048">
        <f t="shared" si="294"/>
        <v>101.53403602405372</v>
      </c>
      <c r="AE1048">
        <f t="shared" si="295"/>
        <v>0.72572481660498034</v>
      </c>
      <c r="AF1048">
        <f t="shared" si="296"/>
        <v>0.70335950123643476</v>
      </c>
      <c r="AG1048">
        <f t="shared" si="297"/>
        <v>0.70516739054236721</v>
      </c>
      <c r="AI1048">
        <f t="shared" si="298"/>
        <v>0.43060398769592723</v>
      </c>
      <c r="AJ1048">
        <f t="shared" si="299"/>
        <v>32.95052910530962</v>
      </c>
      <c r="AL1048">
        <f t="shared" si="300"/>
        <v>0.44429626592184601</v>
      </c>
      <c r="AM1048">
        <f t="shared" si="301"/>
        <v>35.07935701702322</v>
      </c>
      <c r="AO1048">
        <f t="shared" si="302"/>
        <v>0.44315719103182871</v>
      </c>
      <c r="AP1048">
        <f t="shared" si="303"/>
        <v>34.899716555682787</v>
      </c>
    </row>
    <row r="1049" spans="1:42" x14ac:dyDescent="0.2">
      <c r="A1049" s="3">
        <v>1000</v>
      </c>
      <c r="B1049" s="3">
        <v>7.5099999999999999E-7</v>
      </c>
      <c r="C1049" s="2">
        <v>5.4579999999999997E-2</v>
      </c>
      <c r="D1049" s="3">
        <v>202000</v>
      </c>
      <c r="E1049" s="3">
        <v>80200000000</v>
      </c>
      <c r="F1049" s="3">
        <v>74600000000</v>
      </c>
      <c r="G1049" s="3">
        <v>7060000000</v>
      </c>
      <c r="H1049" s="3">
        <v>10800000000</v>
      </c>
      <c r="I1049" s="2"/>
      <c r="J1049" s="7">
        <f t="shared" si="287"/>
        <v>0.751</v>
      </c>
      <c r="K1049" s="7">
        <f t="shared" si="288"/>
        <v>54.58</v>
      </c>
      <c r="L1049" s="7">
        <f t="shared" si="289"/>
        <v>80.2</v>
      </c>
      <c r="M1049" s="7">
        <f t="shared" si="290"/>
        <v>202</v>
      </c>
      <c r="O1049">
        <f t="shared" si="291"/>
        <v>0.54835148514851484</v>
      </c>
      <c r="P1049">
        <f t="shared" si="292"/>
        <v>548.35148514851483</v>
      </c>
      <c r="V1049">
        <f t="shared" si="293"/>
        <v>1044.9545777288859</v>
      </c>
      <c r="W1049">
        <f t="shared" si="294"/>
        <v>96.654918933906544</v>
      </c>
      <c r="AE1049">
        <f t="shared" si="295"/>
        <v>0.68502996707572905</v>
      </c>
      <c r="AF1049">
        <f t="shared" si="296"/>
        <v>0.66391878154093376</v>
      </c>
      <c r="AG1049">
        <f t="shared" si="297"/>
        <v>0.66562529387644009</v>
      </c>
      <c r="AI1049">
        <f t="shared" si="298"/>
        <v>0.45679266850536804</v>
      </c>
      <c r="AJ1049">
        <f t="shared" si="299"/>
        <v>37.02242693274345</v>
      </c>
      <c r="AL1049">
        <f t="shared" si="300"/>
        <v>0.4713176903060301</v>
      </c>
      <c r="AM1049">
        <f t="shared" si="301"/>
        <v>39.414327091976432</v>
      </c>
      <c r="AO1049">
        <f t="shared" si="302"/>
        <v>0.47010933861049059</v>
      </c>
      <c r="AP1049">
        <f t="shared" si="303"/>
        <v>39.212487363306685</v>
      </c>
    </row>
    <row r="1050" spans="1:42" x14ac:dyDescent="0.2">
      <c r="A1050" s="3">
        <v>1000</v>
      </c>
      <c r="B1050" s="3">
        <v>7.5199999999999996E-7</v>
      </c>
      <c r="C1050" s="2">
        <v>5.4629999999999998E-2</v>
      </c>
      <c r="D1050" s="3">
        <v>223000</v>
      </c>
      <c r="E1050" s="3">
        <v>87500000000</v>
      </c>
      <c r="F1050" s="3">
        <v>81000000000</v>
      </c>
      <c r="G1050" s="3">
        <v>3370000000</v>
      </c>
      <c r="H1050" s="3">
        <v>10500000000</v>
      </c>
      <c r="I1050" s="2"/>
      <c r="J1050" s="7">
        <f t="shared" si="287"/>
        <v>0.752</v>
      </c>
      <c r="K1050" s="7">
        <f t="shared" si="288"/>
        <v>54.629999999999995</v>
      </c>
      <c r="L1050" s="7">
        <f t="shared" si="289"/>
        <v>87.5</v>
      </c>
      <c r="M1050" s="7">
        <f t="shared" si="290"/>
        <v>223</v>
      </c>
      <c r="O1050">
        <f t="shared" si="291"/>
        <v>0.56826681614349783</v>
      </c>
      <c r="P1050">
        <f t="shared" si="292"/>
        <v>568.26681614349786</v>
      </c>
      <c r="V1050">
        <f t="shared" si="293"/>
        <v>1061.6008126530107</v>
      </c>
      <c r="W1050">
        <f t="shared" si="294"/>
        <v>105.03006277976947</v>
      </c>
      <c r="AE1050">
        <f t="shared" si="295"/>
        <v>0.75624595375191872</v>
      </c>
      <c r="AF1050">
        <f t="shared" si="296"/>
        <v>0.73294004100806054</v>
      </c>
      <c r="AG1050">
        <f t="shared" si="297"/>
        <v>0.73482396304181263</v>
      </c>
      <c r="AI1050">
        <f t="shared" si="298"/>
        <v>0.41432728569166033</v>
      </c>
      <c r="AJ1050">
        <f t="shared" si="299"/>
        <v>30.405739238896491</v>
      </c>
      <c r="AL1050">
        <f t="shared" si="300"/>
        <v>0.42750199989399601</v>
      </c>
      <c r="AM1050">
        <f t="shared" si="301"/>
        <v>32.370156446316017</v>
      </c>
      <c r="AO1050">
        <f t="shared" si="302"/>
        <v>0.42640598169429078</v>
      </c>
      <c r="AP1050">
        <f t="shared" si="303"/>
        <v>32.204389729586957</v>
      </c>
    </row>
    <row r="1051" spans="1:42" x14ac:dyDescent="0.2">
      <c r="A1051" s="3">
        <v>1000</v>
      </c>
      <c r="B1051" s="3">
        <v>7.5199999999999996E-7</v>
      </c>
      <c r="C1051" s="2">
        <v>5.4679999999999999E-2</v>
      </c>
      <c r="D1051" s="3">
        <v>203000</v>
      </c>
      <c r="E1051" s="3">
        <v>80600000000</v>
      </c>
      <c r="F1051" s="3">
        <v>75000000000</v>
      </c>
      <c r="G1051" s="3">
        <v>7750000000</v>
      </c>
      <c r="H1051" s="3">
        <v>10800000000</v>
      </c>
      <c r="I1051" s="2"/>
      <c r="J1051" s="7">
        <f t="shared" si="287"/>
        <v>0.752</v>
      </c>
      <c r="K1051" s="7">
        <f t="shared" si="288"/>
        <v>54.68</v>
      </c>
      <c r="L1051" s="7">
        <f t="shared" si="289"/>
        <v>80.600000000000009</v>
      </c>
      <c r="M1051" s="7">
        <f t="shared" si="290"/>
        <v>203</v>
      </c>
      <c r="O1051">
        <f t="shared" si="291"/>
        <v>0.54998029556650252</v>
      </c>
      <c r="P1051">
        <f t="shared" si="292"/>
        <v>549.98029556650249</v>
      </c>
      <c r="V1051">
        <f t="shared" si="293"/>
        <v>1046.3285355716064</v>
      </c>
      <c r="W1051">
        <f t="shared" si="294"/>
        <v>97.005860539348504</v>
      </c>
      <c r="AE1051">
        <f t="shared" si="295"/>
        <v>0.68842120453650002</v>
      </c>
      <c r="AF1051">
        <f t="shared" si="296"/>
        <v>0.66720550818222546</v>
      </c>
      <c r="AG1051">
        <f t="shared" si="297"/>
        <v>0.66892046859860066</v>
      </c>
      <c r="AI1051">
        <f t="shared" si="298"/>
        <v>0.45514770792729181</v>
      </c>
      <c r="AJ1051">
        <f t="shared" si="299"/>
        <v>36.725737209311163</v>
      </c>
      <c r="AL1051">
        <f t="shared" si="300"/>
        <v>0.46962042352887251</v>
      </c>
      <c r="AM1051">
        <f t="shared" si="301"/>
        <v>39.098469197910454</v>
      </c>
      <c r="AO1051">
        <f t="shared" si="302"/>
        <v>0.46841642324052635</v>
      </c>
      <c r="AP1051">
        <f t="shared" si="303"/>
        <v>38.898246969178928</v>
      </c>
    </row>
    <row r="1052" spans="1:42" x14ac:dyDescent="0.2">
      <c r="A1052" s="3">
        <v>1100</v>
      </c>
      <c r="B1052" s="3">
        <v>7.5300000000000003E-7</v>
      </c>
      <c r="C1052" s="2">
        <v>5.4730000000000001E-2</v>
      </c>
      <c r="D1052" s="3">
        <v>223000</v>
      </c>
      <c r="E1052" s="3">
        <v>87300000000</v>
      </c>
      <c r="F1052" s="3">
        <v>80800000000</v>
      </c>
      <c r="G1052" s="3">
        <v>5000000000</v>
      </c>
      <c r="H1052" s="3">
        <v>10500000000</v>
      </c>
      <c r="I1052" s="2"/>
      <c r="J1052" s="7">
        <f t="shared" si="287"/>
        <v>0.753</v>
      </c>
      <c r="K1052" s="7">
        <f t="shared" si="288"/>
        <v>54.730000000000004</v>
      </c>
      <c r="L1052" s="7">
        <f t="shared" si="289"/>
        <v>87.300000000000011</v>
      </c>
      <c r="M1052" s="7">
        <f t="shared" si="290"/>
        <v>223</v>
      </c>
      <c r="O1052">
        <f t="shared" si="291"/>
        <v>0.56893049327354261</v>
      </c>
      <c r="P1052">
        <f t="shared" si="292"/>
        <v>568.93049327354265</v>
      </c>
      <c r="V1052">
        <f t="shared" si="293"/>
        <v>1062.149908223791</v>
      </c>
      <c r="W1052">
        <f t="shared" si="294"/>
        <v>104.9757657904042</v>
      </c>
      <c r="AE1052">
        <f t="shared" si="295"/>
        <v>0.75624595375191872</v>
      </c>
      <c r="AF1052">
        <f t="shared" si="296"/>
        <v>0.73294004100806054</v>
      </c>
      <c r="AG1052">
        <f t="shared" si="297"/>
        <v>0.73482396304181263</v>
      </c>
      <c r="AI1052">
        <f t="shared" si="298"/>
        <v>0.41487825282688856</v>
      </c>
      <c r="AJ1052">
        <f t="shared" si="299"/>
        <v>30.461396824909485</v>
      </c>
      <c r="AL1052">
        <f t="shared" si="300"/>
        <v>0.42807048659598274</v>
      </c>
      <c r="AM1052">
        <f t="shared" si="301"/>
        <v>32.429409890296093</v>
      </c>
      <c r="AO1052">
        <f t="shared" si="302"/>
        <v>0.42697301092526724</v>
      </c>
      <c r="AP1052">
        <f t="shared" si="303"/>
        <v>32.263339738244454</v>
      </c>
    </row>
    <row r="1053" spans="1:42" x14ac:dyDescent="0.2">
      <c r="A1053" s="3">
        <v>1100</v>
      </c>
      <c r="B1053" s="3">
        <v>7.54E-7</v>
      </c>
      <c r="C1053" s="2">
        <v>5.4780000000000002E-2</v>
      </c>
      <c r="D1053" s="3">
        <v>239000</v>
      </c>
      <c r="E1053" s="3">
        <v>93400000000</v>
      </c>
      <c r="F1053" s="3">
        <v>85900000000</v>
      </c>
      <c r="G1053" s="2">
        <v>0</v>
      </c>
      <c r="H1053" s="3">
        <v>10200000000</v>
      </c>
      <c r="I1053" s="2"/>
      <c r="J1053" s="7">
        <f t="shared" si="287"/>
        <v>0.754</v>
      </c>
      <c r="K1053" s="7">
        <f t="shared" si="288"/>
        <v>54.78</v>
      </c>
      <c r="L1053" s="7">
        <f t="shared" si="289"/>
        <v>93.4</v>
      </c>
      <c r="M1053" s="7">
        <f t="shared" si="290"/>
        <v>239</v>
      </c>
      <c r="O1053">
        <f t="shared" si="291"/>
        <v>0.58209623430962343</v>
      </c>
      <c r="P1053">
        <f t="shared" si="292"/>
        <v>582.09623430962347</v>
      </c>
      <c r="V1053">
        <f t="shared" si="293"/>
        <v>1072.9697441329013</v>
      </c>
      <c r="W1053">
        <f t="shared" si="294"/>
        <v>111.37313111896877</v>
      </c>
      <c r="AE1053">
        <f t="shared" si="295"/>
        <v>0.81050575312425366</v>
      </c>
      <c r="AF1053">
        <f t="shared" si="296"/>
        <v>0.78552766726872847</v>
      </c>
      <c r="AG1053">
        <f t="shared" si="297"/>
        <v>0.78754675859638212</v>
      </c>
      <c r="AI1053">
        <f t="shared" si="298"/>
        <v>0.38761805879310485</v>
      </c>
      <c r="AJ1053">
        <f t="shared" si="299"/>
        <v>26.543630201735684</v>
      </c>
      <c r="AL1053">
        <f t="shared" si="300"/>
        <v>0.39994347717760331</v>
      </c>
      <c r="AM1053">
        <f t="shared" si="301"/>
        <v>28.258528941936895</v>
      </c>
      <c r="AO1053">
        <f t="shared" si="302"/>
        <v>0.39891811278176709</v>
      </c>
      <c r="AP1053">
        <f t="shared" si="303"/>
        <v>28.113817761128526</v>
      </c>
    </row>
    <row r="1054" spans="1:42" x14ac:dyDescent="0.2">
      <c r="A1054" s="3">
        <v>1100</v>
      </c>
      <c r="B1054" s="3">
        <v>7.5499999999999997E-7</v>
      </c>
      <c r="C1054" s="2">
        <v>5.484E-2</v>
      </c>
      <c r="D1054" s="3">
        <v>217000</v>
      </c>
      <c r="E1054" s="3">
        <v>85400000000</v>
      </c>
      <c r="F1054" s="3">
        <v>79100000000</v>
      </c>
      <c r="G1054" s="2">
        <v>0</v>
      </c>
      <c r="H1054" s="3">
        <v>10500000000</v>
      </c>
      <c r="I1054" s="2"/>
      <c r="J1054" s="7">
        <f t="shared" si="287"/>
        <v>0.755</v>
      </c>
      <c r="K1054" s="7">
        <f t="shared" si="288"/>
        <v>54.84</v>
      </c>
      <c r="L1054" s="7">
        <f t="shared" si="289"/>
        <v>85.4</v>
      </c>
      <c r="M1054" s="7">
        <f t="shared" si="290"/>
        <v>217</v>
      </c>
      <c r="O1054">
        <f t="shared" si="291"/>
        <v>0.56546082949308762</v>
      </c>
      <c r="P1054">
        <f t="shared" si="292"/>
        <v>565.46082949308766</v>
      </c>
      <c r="V1054">
        <f t="shared" si="293"/>
        <v>1059.2753133562051</v>
      </c>
      <c r="W1054">
        <f t="shared" si="294"/>
        <v>102.42851752697692</v>
      </c>
      <c r="AE1054">
        <f t="shared" si="295"/>
        <v>0.73589852898729313</v>
      </c>
      <c r="AF1054">
        <f t="shared" si="296"/>
        <v>0.71321968116030998</v>
      </c>
      <c r="AG1054">
        <f t="shared" si="297"/>
        <v>0.71505291470884902</v>
      </c>
      <c r="AI1054">
        <f t="shared" si="298"/>
        <v>0.42748194342261731</v>
      </c>
      <c r="AJ1054">
        <f t="shared" si="299"/>
        <v>32.233841840137771</v>
      </c>
      <c r="AL1054">
        <f t="shared" si="300"/>
        <v>0.44107494737322683</v>
      </c>
      <c r="AM1054">
        <f t="shared" si="301"/>
        <v>34.316366888270899</v>
      </c>
      <c r="AO1054">
        <f t="shared" si="302"/>
        <v>0.43994413121359488</v>
      </c>
      <c r="AP1054">
        <f t="shared" si="303"/>
        <v>34.14063367924016</v>
      </c>
    </row>
    <row r="1055" spans="1:42" x14ac:dyDescent="0.2">
      <c r="A1055" s="3">
        <v>1100</v>
      </c>
      <c r="B1055" s="3">
        <v>7.5499999999999997E-7</v>
      </c>
      <c r="C1055" s="2">
        <v>5.4890000000000001E-2</v>
      </c>
      <c r="D1055" s="3">
        <v>230000</v>
      </c>
      <c r="E1055" s="3">
        <v>89900000000</v>
      </c>
      <c r="F1055" s="3">
        <v>83000000000</v>
      </c>
      <c r="G1055" s="3">
        <v>188000000</v>
      </c>
      <c r="H1055" s="3">
        <v>10300000000</v>
      </c>
      <c r="I1055" s="2"/>
      <c r="J1055" s="7">
        <f t="shared" si="287"/>
        <v>0.755</v>
      </c>
      <c r="K1055" s="7">
        <f t="shared" si="288"/>
        <v>54.89</v>
      </c>
      <c r="L1055" s="7">
        <f t="shared" si="289"/>
        <v>89.9</v>
      </c>
      <c r="M1055" s="7">
        <f t="shared" si="290"/>
        <v>230</v>
      </c>
      <c r="O1055">
        <f t="shared" si="291"/>
        <v>0.57601086956521741</v>
      </c>
      <c r="P1055">
        <f t="shared" si="292"/>
        <v>576.01086956521738</v>
      </c>
      <c r="V1055">
        <f t="shared" si="293"/>
        <v>1067.9858123903039</v>
      </c>
      <c r="W1055">
        <f t="shared" si="294"/>
        <v>107.67933306399799</v>
      </c>
      <c r="AE1055">
        <f t="shared" si="295"/>
        <v>0.77998461597731528</v>
      </c>
      <c r="AF1055">
        <f t="shared" si="296"/>
        <v>0.7559471274971028</v>
      </c>
      <c r="AG1055">
        <f t="shared" si="297"/>
        <v>0.75789018609693681</v>
      </c>
      <c r="AI1055">
        <f t="shared" si="298"/>
        <v>0.4033199205335129</v>
      </c>
      <c r="AJ1055">
        <f t="shared" si="299"/>
        <v>28.71915456441716</v>
      </c>
      <c r="AL1055">
        <f t="shared" si="300"/>
        <v>0.41614462426082705</v>
      </c>
      <c r="AM1055">
        <f t="shared" si="301"/>
        <v>30.574606950087539</v>
      </c>
      <c r="AO1055">
        <f t="shared" si="302"/>
        <v>0.41507772379717428</v>
      </c>
      <c r="AP1055">
        <f t="shared" si="303"/>
        <v>30.418035194933903</v>
      </c>
    </row>
    <row r="1056" spans="1:42" x14ac:dyDescent="0.2">
      <c r="A1056" s="3">
        <v>1100</v>
      </c>
      <c r="B1056" s="3">
        <v>7.5600000000000005E-7</v>
      </c>
      <c r="C1056" s="2">
        <v>5.4940000000000003E-2</v>
      </c>
      <c r="D1056" s="3">
        <v>268000</v>
      </c>
      <c r="E1056" s="3">
        <v>104000000000</v>
      </c>
      <c r="F1056" s="3">
        <v>94400000000</v>
      </c>
      <c r="G1056" s="3">
        <v>7960000000</v>
      </c>
      <c r="H1056" s="3">
        <v>9910000000</v>
      </c>
      <c r="I1056" s="2"/>
      <c r="J1056" s="7">
        <f t="shared" si="287"/>
        <v>0.75600000000000001</v>
      </c>
      <c r="K1056" s="7">
        <f t="shared" si="288"/>
        <v>54.940000000000005</v>
      </c>
      <c r="L1056" s="7">
        <f t="shared" si="289"/>
        <v>104</v>
      </c>
      <c r="M1056" s="7">
        <f t="shared" si="290"/>
        <v>268</v>
      </c>
      <c r="O1056">
        <f t="shared" si="291"/>
        <v>0.60224999999999995</v>
      </c>
      <c r="P1056">
        <f t="shared" si="292"/>
        <v>602.25</v>
      </c>
      <c r="V1056">
        <f t="shared" si="293"/>
        <v>1089.2716631086089</v>
      </c>
      <c r="W1056">
        <f t="shared" si="294"/>
        <v>123.01798030583595</v>
      </c>
      <c r="AE1056">
        <f t="shared" si="295"/>
        <v>0.90885163948661085</v>
      </c>
      <c r="AF1056">
        <f t="shared" si="296"/>
        <v>0.88084273986618933</v>
      </c>
      <c r="AG1056">
        <f t="shared" si="297"/>
        <v>0.88310682553903941</v>
      </c>
      <c r="AI1056">
        <f t="shared" si="298"/>
        <v>0.346591221618895</v>
      </c>
      <c r="AJ1056">
        <f t="shared" si="299"/>
        <v>21.171574606052125</v>
      </c>
      <c r="AL1056">
        <f t="shared" si="300"/>
        <v>0.3576120750542286</v>
      </c>
      <c r="AM1056">
        <f t="shared" si="301"/>
        <v>22.539402078935641</v>
      </c>
      <c r="AO1056">
        <f t="shared" si="302"/>
        <v>0.35669523877558895</v>
      </c>
      <c r="AP1056">
        <f t="shared" si="303"/>
        <v>22.423978395832425</v>
      </c>
    </row>
    <row r="1057" spans="1:42" x14ac:dyDescent="0.2">
      <c r="A1057" s="3">
        <v>1100</v>
      </c>
      <c r="B1057" s="3">
        <v>7.5700000000000002E-7</v>
      </c>
      <c r="C1057" s="2">
        <v>5.4989999999999997E-2</v>
      </c>
      <c r="D1057" s="3">
        <v>241000</v>
      </c>
      <c r="E1057" s="3">
        <v>93800000000</v>
      </c>
      <c r="F1057" s="3">
        <v>86300000000</v>
      </c>
      <c r="G1057" s="3">
        <v>10900000000</v>
      </c>
      <c r="H1057" s="3">
        <v>10200000000</v>
      </c>
      <c r="I1057" s="2"/>
      <c r="J1057" s="7">
        <f t="shared" si="287"/>
        <v>0.75700000000000001</v>
      </c>
      <c r="K1057" s="7">
        <f t="shared" si="288"/>
        <v>54.989999999999995</v>
      </c>
      <c r="L1057" s="7">
        <f t="shared" si="289"/>
        <v>93.800000000000011</v>
      </c>
      <c r="M1057" s="7">
        <f t="shared" si="290"/>
        <v>241</v>
      </c>
      <c r="O1057">
        <f t="shared" si="291"/>
        <v>0.58586929460580917</v>
      </c>
      <c r="P1057">
        <f t="shared" si="292"/>
        <v>585.86929460580916</v>
      </c>
      <c r="V1057">
        <f t="shared" si="293"/>
        <v>1076.0453290961791</v>
      </c>
      <c r="W1057">
        <f t="shared" si="294"/>
        <v>111.98412998197166</v>
      </c>
      <c r="AE1057">
        <f t="shared" si="295"/>
        <v>0.8172882280457956</v>
      </c>
      <c r="AF1057">
        <f t="shared" si="296"/>
        <v>0.79210112055131199</v>
      </c>
      <c r="AG1057">
        <f t="shared" si="297"/>
        <v>0.79413710804070337</v>
      </c>
      <c r="AI1057">
        <f t="shared" si="298"/>
        <v>0.38593075960589113</v>
      </c>
      <c r="AJ1057">
        <f t="shared" si="299"/>
        <v>26.204973615339053</v>
      </c>
      <c r="AL1057">
        <f t="shared" si="300"/>
        <v>0.39820252551483937</v>
      </c>
      <c r="AM1057">
        <f t="shared" si="301"/>
        <v>27.897992840607362</v>
      </c>
      <c r="AO1057">
        <f t="shared" si="302"/>
        <v>0.39718162452433847</v>
      </c>
      <c r="AP1057">
        <f t="shared" si="303"/>
        <v>27.755127955657297</v>
      </c>
    </row>
    <row r="1058" spans="1:42" x14ac:dyDescent="0.2">
      <c r="A1058" s="3">
        <v>1100</v>
      </c>
      <c r="B1058" s="3">
        <v>7.5799999999999998E-7</v>
      </c>
      <c r="C1058" s="2">
        <v>5.5039999999999999E-2</v>
      </c>
      <c r="D1058" s="3">
        <v>220000</v>
      </c>
      <c r="E1058" s="3">
        <v>86000000000</v>
      </c>
      <c r="F1058" s="3">
        <v>79600000000</v>
      </c>
      <c r="G1058" s="3">
        <v>8590000000</v>
      </c>
      <c r="H1058" s="3">
        <v>10500000000</v>
      </c>
      <c r="I1058" s="2"/>
      <c r="J1058" s="7">
        <f t="shared" si="287"/>
        <v>0.75800000000000001</v>
      </c>
      <c r="K1058" s="7">
        <f t="shared" si="288"/>
        <v>55.04</v>
      </c>
      <c r="L1058" s="7">
        <f t="shared" si="289"/>
        <v>86</v>
      </c>
      <c r="M1058" s="7">
        <f t="shared" si="290"/>
        <v>220</v>
      </c>
      <c r="O1058">
        <f t="shared" si="291"/>
        <v>0.57036363636363641</v>
      </c>
      <c r="P1058">
        <f t="shared" si="292"/>
        <v>570.36363636363637</v>
      </c>
      <c r="V1058">
        <f t="shared" si="293"/>
        <v>1063.3344083629238</v>
      </c>
      <c r="W1058">
        <f t="shared" si="294"/>
        <v>103.44817127600766</v>
      </c>
      <c r="AE1058">
        <f t="shared" si="295"/>
        <v>0.74607224136960593</v>
      </c>
      <c r="AF1058">
        <f t="shared" si="296"/>
        <v>0.7230798610841852</v>
      </c>
      <c r="AG1058">
        <f t="shared" si="297"/>
        <v>0.72493843887533083</v>
      </c>
      <c r="AI1058">
        <f t="shared" si="298"/>
        <v>0.42332808516443488</v>
      </c>
      <c r="AJ1058">
        <f t="shared" si="299"/>
        <v>31.475102698345612</v>
      </c>
      <c r="AL1058">
        <f t="shared" si="300"/>
        <v>0.43678900538008786</v>
      </c>
      <c r="AM1058">
        <f t="shared" si="301"/>
        <v>33.508608046139649</v>
      </c>
      <c r="AO1058">
        <f t="shared" si="302"/>
        <v>0.43566917740396971</v>
      </c>
      <c r="AP1058">
        <f t="shared" si="303"/>
        <v>33.337011348818109</v>
      </c>
    </row>
    <row r="1059" spans="1:42" x14ac:dyDescent="0.2">
      <c r="A1059" s="3">
        <v>1100</v>
      </c>
      <c r="B1059" s="3">
        <v>7.5899999999999995E-7</v>
      </c>
      <c r="C1059" s="2">
        <v>5.5100000000000003E-2</v>
      </c>
      <c r="D1059" s="3">
        <v>240000</v>
      </c>
      <c r="E1059" s="3">
        <v>93400000000</v>
      </c>
      <c r="F1059" s="3">
        <v>85900000000</v>
      </c>
      <c r="G1059" s="3">
        <v>3690000000</v>
      </c>
      <c r="H1059" s="3">
        <v>10200000000</v>
      </c>
      <c r="I1059" s="2"/>
      <c r="J1059" s="7">
        <f t="shared" si="287"/>
        <v>0.75900000000000001</v>
      </c>
      <c r="K1059" s="7">
        <f t="shared" si="288"/>
        <v>55.1</v>
      </c>
      <c r="L1059" s="7">
        <f t="shared" si="289"/>
        <v>93.4</v>
      </c>
      <c r="M1059" s="7">
        <f t="shared" si="290"/>
        <v>240</v>
      </c>
      <c r="O1059">
        <f t="shared" si="291"/>
        <v>0.58681249999999996</v>
      </c>
      <c r="P1059">
        <f t="shared" si="292"/>
        <v>586.8125</v>
      </c>
      <c r="V1059">
        <f t="shared" si="293"/>
        <v>1076.8124518098052</v>
      </c>
      <c r="W1059">
        <f t="shared" si="294"/>
        <v>111.44001891723603</v>
      </c>
      <c r="AE1059">
        <f t="shared" si="295"/>
        <v>0.81389699058502463</v>
      </c>
      <c r="AF1059">
        <f t="shared" si="296"/>
        <v>0.78881439391002028</v>
      </c>
      <c r="AG1059">
        <f t="shared" si="297"/>
        <v>0.79084193331854269</v>
      </c>
      <c r="AI1059">
        <f t="shared" si="298"/>
        <v>0.38856268503054825</v>
      </c>
      <c r="AJ1059">
        <f t="shared" si="299"/>
        <v>26.476660560014437</v>
      </c>
      <c r="AL1059">
        <f t="shared" si="300"/>
        <v>0.40091814049234314</v>
      </c>
      <c r="AM1059">
        <f t="shared" si="301"/>
        <v>28.187232606641835</v>
      </c>
      <c r="AO1059">
        <f t="shared" si="302"/>
        <v>0.39989027728075455</v>
      </c>
      <c r="AP1059">
        <f t="shared" si="303"/>
        <v>28.042886532484609</v>
      </c>
    </row>
    <row r="1060" spans="1:42" x14ac:dyDescent="0.2">
      <c r="A1060" s="3">
        <v>1100</v>
      </c>
      <c r="B1060" s="3">
        <v>7.6000000000000003E-7</v>
      </c>
      <c r="C1060" s="2">
        <v>5.5149999999999998E-2</v>
      </c>
      <c r="D1060" s="3">
        <v>229000</v>
      </c>
      <c r="E1060" s="3">
        <v>89100000000</v>
      </c>
      <c r="F1060" s="3">
        <v>82300000000</v>
      </c>
      <c r="G1060" s="3">
        <v>1870000000</v>
      </c>
      <c r="H1060" s="3">
        <v>10300000000</v>
      </c>
      <c r="I1060" s="2"/>
      <c r="J1060" s="7">
        <f t="shared" si="287"/>
        <v>0.76</v>
      </c>
      <c r="K1060" s="7">
        <f t="shared" si="288"/>
        <v>55.15</v>
      </c>
      <c r="L1060" s="7">
        <f t="shared" si="289"/>
        <v>89.100000000000009</v>
      </c>
      <c r="M1060" s="7">
        <f t="shared" si="290"/>
        <v>229</v>
      </c>
      <c r="O1060">
        <f t="shared" si="291"/>
        <v>0.57937772925764186</v>
      </c>
      <c r="P1060">
        <f t="shared" si="292"/>
        <v>579.37772925764182</v>
      </c>
      <c r="V1060">
        <f t="shared" si="293"/>
        <v>1070.7468846359764</v>
      </c>
      <c r="W1060">
        <f t="shared" si="294"/>
        <v>106.93470290966735</v>
      </c>
      <c r="AE1060">
        <f t="shared" si="295"/>
        <v>0.77659337851654431</v>
      </c>
      <c r="AF1060">
        <f t="shared" si="296"/>
        <v>0.75266040085581098</v>
      </c>
      <c r="AG1060">
        <f t="shared" si="297"/>
        <v>0.75459501137477614</v>
      </c>
      <c r="AI1060">
        <f t="shared" si="298"/>
        <v>0.40776379946937769</v>
      </c>
      <c r="AJ1060">
        <f t="shared" si="299"/>
        <v>29.107750544502426</v>
      </c>
      <c r="AL1060">
        <f t="shared" si="300"/>
        <v>0.42072980896377898</v>
      </c>
      <c r="AM1060">
        <f t="shared" si="301"/>
        <v>30.988308869022568</v>
      </c>
      <c r="AO1060">
        <f t="shared" si="302"/>
        <v>0.41965115312615214</v>
      </c>
      <c r="AP1060">
        <f t="shared" si="303"/>
        <v>30.82961855726202</v>
      </c>
    </row>
    <row r="1061" spans="1:42" x14ac:dyDescent="0.2">
      <c r="A1061" s="3">
        <v>1100</v>
      </c>
      <c r="B1061" s="3">
        <v>7.61E-7</v>
      </c>
      <c r="C1061" s="2">
        <v>5.5199999999999999E-2</v>
      </c>
      <c r="D1061" s="3">
        <v>227000</v>
      </c>
      <c r="E1061" s="3">
        <v>88500000000</v>
      </c>
      <c r="F1061" s="3">
        <v>81700000000</v>
      </c>
      <c r="G1061" s="3">
        <v>9220000000</v>
      </c>
      <c r="H1061" s="3">
        <v>10400000000</v>
      </c>
      <c r="I1061" s="2"/>
      <c r="J1061" s="7">
        <f t="shared" si="287"/>
        <v>0.76100000000000001</v>
      </c>
      <c r="K1061" s="7">
        <f t="shared" si="288"/>
        <v>55.199999999999996</v>
      </c>
      <c r="L1061" s="7">
        <f t="shared" si="289"/>
        <v>88.5</v>
      </c>
      <c r="M1061" s="7">
        <f t="shared" si="290"/>
        <v>227</v>
      </c>
      <c r="O1061">
        <f t="shared" si="291"/>
        <v>0.57862114537444942</v>
      </c>
      <c r="P1061">
        <f t="shared" si="292"/>
        <v>578.62114537444938</v>
      </c>
      <c r="V1061">
        <f t="shared" si="293"/>
        <v>1070.1272103744109</v>
      </c>
      <c r="W1061">
        <f t="shared" si="294"/>
        <v>106.06215681618747</v>
      </c>
      <c r="AE1061">
        <f t="shared" si="295"/>
        <v>0.76981090359500248</v>
      </c>
      <c r="AF1061">
        <f t="shared" si="296"/>
        <v>0.74608694757322747</v>
      </c>
      <c r="AG1061">
        <f t="shared" si="297"/>
        <v>0.74800466193045501</v>
      </c>
      <c r="AI1061">
        <f t="shared" si="298"/>
        <v>0.41189769052706338</v>
      </c>
      <c r="AJ1061">
        <f t="shared" si="299"/>
        <v>29.649778655740874</v>
      </c>
      <c r="AL1061">
        <f t="shared" si="300"/>
        <v>0.42499514884250406</v>
      </c>
      <c r="AM1061">
        <f t="shared" si="301"/>
        <v>31.565355676575425</v>
      </c>
      <c r="AO1061">
        <f t="shared" si="302"/>
        <v>0.42390555764051358</v>
      </c>
      <c r="AP1061">
        <f t="shared" si="303"/>
        <v>31.403710323344939</v>
      </c>
    </row>
    <row r="1062" spans="1:42" x14ac:dyDescent="0.2">
      <c r="A1062" s="3">
        <v>1100</v>
      </c>
      <c r="B1062" s="3">
        <v>7.6199999999999997E-7</v>
      </c>
      <c r="C1062" s="2">
        <v>5.525E-2</v>
      </c>
      <c r="D1062" s="3">
        <v>240000</v>
      </c>
      <c r="E1062" s="3">
        <v>93100000000</v>
      </c>
      <c r="F1062" s="3">
        <v>85700000000</v>
      </c>
      <c r="G1062" s="3">
        <v>3050000000</v>
      </c>
      <c r="H1062" s="3">
        <v>10200000000</v>
      </c>
      <c r="I1062" s="2"/>
      <c r="J1062" s="7">
        <f t="shared" si="287"/>
        <v>0.76200000000000001</v>
      </c>
      <c r="K1062" s="7">
        <f t="shared" si="288"/>
        <v>55.25</v>
      </c>
      <c r="L1062" s="7">
        <f t="shared" si="289"/>
        <v>93.100000000000009</v>
      </c>
      <c r="M1062" s="7">
        <f t="shared" si="290"/>
        <v>240</v>
      </c>
      <c r="O1062">
        <f t="shared" si="291"/>
        <v>0.58934375000000006</v>
      </c>
      <c r="P1062">
        <f t="shared" si="292"/>
        <v>589.34375</v>
      </c>
      <c r="V1062">
        <f t="shared" si="293"/>
        <v>1078.8677660338003</v>
      </c>
      <c r="W1062">
        <f t="shared" si="294"/>
        <v>111.22771833396351</v>
      </c>
      <c r="AE1062">
        <f t="shared" si="295"/>
        <v>0.81389699058502463</v>
      </c>
      <c r="AF1062">
        <f t="shared" si="296"/>
        <v>0.78881439391002028</v>
      </c>
      <c r="AG1062">
        <f t="shared" si="297"/>
        <v>0.79084193331854269</v>
      </c>
      <c r="AI1062">
        <f t="shared" si="298"/>
        <v>0.39009850591999706</v>
      </c>
      <c r="AJ1062">
        <f t="shared" si="299"/>
        <v>26.548738583317562</v>
      </c>
      <c r="AL1062">
        <f t="shared" si="300"/>
        <v>0.40250279717413107</v>
      </c>
      <c r="AM1062">
        <f t="shared" si="301"/>
        <v>28.263967359654472</v>
      </c>
      <c r="AO1062">
        <f t="shared" si="302"/>
        <v>0.4014708712621014</v>
      </c>
      <c r="AP1062">
        <f t="shared" si="303"/>
        <v>28.119228328852532</v>
      </c>
    </row>
    <row r="1063" spans="1:42" x14ac:dyDescent="0.2">
      <c r="A1063" s="3">
        <v>1100</v>
      </c>
      <c r="B1063" s="3">
        <v>7.6300000000000004E-7</v>
      </c>
      <c r="C1063" s="2">
        <v>5.5309999999999998E-2</v>
      </c>
      <c r="D1063" s="3">
        <v>232000</v>
      </c>
      <c r="E1063" s="3">
        <v>90000000000</v>
      </c>
      <c r="F1063" s="3">
        <v>83000000000</v>
      </c>
      <c r="G1063" s="3">
        <v>935000000</v>
      </c>
      <c r="H1063" s="3">
        <v>10300000000</v>
      </c>
      <c r="I1063" s="2"/>
      <c r="J1063" s="7">
        <f t="shared" si="287"/>
        <v>0.76300000000000001</v>
      </c>
      <c r="K1063" s="7">
        <f t="shared" si="288"/>
        <v>55.309999999999995</v>
      </c>
      <c r="L1063" s="7">
        <f t="shared" si="289"/>
        <v>90</v>
      </c>
      <c r="M1063" s="7">
        <f t="shared" si="290"/>
        <v>232</v>
      </c>
      <c r="O1063">
        <f t="shared" si="291"/>
        <v>0.58419612068965521</v>
      </c>
      <c r="P1063">
        <f t="shared" si="292"/>
        <v>584.19612068965523</v>
      </c>
      <c r="V1063">
        <f t="shared" si="293"/>
        <v>1074.6828180483596</v>
      </c>
      <c r="W1063">
        <f t="shared" si="294"/>
        <v>107.93882441580091</v>
      </c>
      <c r="AE1063">
        <f t="shared" si="295"/>
        <v>0.7867670908988571</v>
      </c>
      <c r="AF1063">
        <f t="shared" si="296"/>
        <v>0.76252058077968621</v>
      </c>
      <c r="AG1063">
        <f t="shared" si="297"/>
        <v>0.76448053554125794</v>
      </c>
      <c r="AI1063">
        <f t="shared" si="298"/>
        <v>0.40407977194808281</v>
      </c>
      <c r="AJ1063">
        <f t="shared" si="299"/>
        <v>28.442107982609908</v>
      </c>
      <c r="AL1063">
        <f t="shared" si="300"/>
        <v>0.41692863731178664</v>
      </c>
      <c r="AM1063">
        <f t="shared" si="301"/>
        <v>30.279661277970959</v>
      </c>
      <c r="AO1063">
        <f t="shared" si="302"/>
        <v>0.41585972681643141</v>
      </c>
      <c r="AP1063">
        <f t="shared" si="303"/>
        <v>30.124599931818942</v>
      </c>
    </row>
    <row r="1064" spans="1:42" x14ac:dyDescent="0.2">
      <c r="A1064" s="3">
        <v>1100</v>
      </c>
      <c r="B1064" s="3">
        <v>7.6400000000000001E-7</v>
      </c>
      <c r="C1064" s="2">
        <v>5.5359999999999999E-2</v>
      </c>
      <c r="D1064" s="3">
        <v>197000</v>
      </c>
      <c r="E1064" s="3">
        <v>77600000000</v>
      </c>
      <c r="F1064" s="3">
        <v>72400000000</v>
      </c>
      <c r="G1064" s="2">
        <v>0</v>
      </c>
      <c r="H1064" s="3">
        <v>10900000000</v>
      </c>
      <c r="I1064" s="2"/>
      <c r="J1064" s="7">
        <f t="shared" si="287"/>
        <v>0.76400000000000001</v>
      </c>
      <c r="K1064" s="7">
        <f t="shared" si="288"/>
        <v>55.36</v>
      </c>
      <c r="L1064" s="7">
        <f t="shared" si="289"/>
        <v>77.600000000000009</v>
      </c>
      <c r="M1064" s="7">
        <f t="shared" si="290"/>
        <v>197</v>
      </c>
      <c r="O1064">
        <f t="shared" si="291"/>
        <v>0.5532385786802031</v>
      </c>
      <c r="P1064">
        <f t="shared" si="292"/>
        <v>553.23857868020309</v>
      </c>
      <c r="V1064">
        <f t="shared" si="293"/>
        <v>1049.0702244137906</v>
      </c>
      <c r="W1064">
        <f t="shared" si="294"/>
        <v>93.892665817525</v>
      </c>
      <c r="AE1064">
        <f t="shared" si="295"/>
        <v>0.66807377977187432</v>
      </c>
      <c r="AF1064">
        <f t="shared" si="296"/>
        <v>0.64748514833447501</v>
      </c>
      <c r="AG1064">
        <f t="shared" si="297"/>
        <v>0.64914942026563716</v>
      </c>
      <c r="AI1064">
        <f t="shared" si="298"/>
        <v>0.47649427798533556</v>
      </c>
      <c r="AJ1064">
        <f t="shared" si="299"/>
        <v>39.481870651225641</v>
      </c>
      <c r="AL1064">
        <f t="shared" si="300"/>
        <v>0.49164576848161173</v>
      </c>
      <c r="AM1064">
        <f t="shared" si="301"/>
        <v>42.032667574102689</v>
      </c>
      <c r="AO1064">
        <f t="shared" si="302"/>
        <v>0.49038530020263865</v>
      </c>
      <c r="AP1064">
        <f t="shared" si="303"/>
        <v>41.817419392936863</v>
      </c>
    </row>
    <row r="1065" spans="1:42" x14ac:dyDescent="0.2">
      <c r="A1065" s="3">
        <v>1100</v>
      </c>
      <c r="B1065" s="3">
        <v>7.6499999999999998E-7</v>
      </c>
      <c r="C1065" s="2">
        <v>5.5410000000000001E-2</v>
      </c>
      <c r="D1065" s="3">
        <v>226000</v>
      </c>
      <c r="E1065" s="3">
        <v>88000000000</v>
      </c>
      <c r="F1065" s="3">
        <v>81300000000</v>
      </c>
      <c r="G1065" s="3">
        <v>5110000000</v>
      </c>
      <c r="H1065" s="3">
        <v>10400000000</v>
      </c>
      <c r="I1065" s="2"/>
      <c r="J1065" s="7">
        <f t="shared" si="287"/>
        <v>0.76500000000000001</v>
      </c>
      <c r="K1065" s="7">
        <f t="shared" si="288"/>
        <v>55.410000000000004</v>
      </c>
      <c r="L1065" s="7">
        <f t="shared" si="289"/>
        <v>88</v>
      </c>
      <c r="M1065" s="7">
        <f t="shared" si="290"/>
        <v>226</v>
      </c>
      <c r="O1065">
        <f t="shared" si="291"/>
        <v>0.58111725663716807</v>
      </c>
      <c r="P1065">
        <f t="shared" si="292"/>
        <v>581.11725663716811</v>
      </c>
      <c r="V1065">
        <f t="shared" si="293"/>
        <v>1072.1699239747691</v>
      </c>
      <c r="W1065">
        <f t="shared" si="294"/>
        <v>105.3937416758383</v>
      </c>
      <c r="AE1065">
        <f t="shared" si="295"/>
        <v>0.76641966613423151</v>
      </c>
      <c r="AF1065">
        <f t="shared" si="296"/>
        <v>0.74280022093193576</v>
      </c>
      <c r="AG1065">
        <f t="shared" si="297"/>
        <v>0.74470948720829444</v>
      </c>
      <c r="AI1065">
        <f t="shared" si="298"/>
        <v>0.41589486032861506</v>
      </c>
      <c r="AJ1065">
        <f t="shared" si="299"/>
        <v>30.02654507304479</v>
      </c>
      <c r="AL1065">
        <f t="shared" si="300"/>
        <v>0.42911942002398473</v>
      </c>
      <c r="AM1065">
        <f t="shared" si="301"/>
        <v>31.966463762651621</v>
      </c>
      <c r="AO1065">
        <f t="shared" si="302"/>
        <v>0.4280192551257857</v>
      </c>
      <c r="AP1065">
        <f t="shared" si="303"/>
        <v>31.802764345499863</v>
      </c>
    </row>
    <row r="1066" spans="1:42" x14ac:dyDescent="0.2">
      <c r="A1066" s="3">
        <v>1100</v>
      </c>
      <c r="B1066" s="3">
        <v>7.6599999999999995E-7</v>
      </c>
      <c r="C1066" s="2">
        <v>5.5460000000000002E-2</v>
      </c>
      <c r="D1066" s="3">
        <v>205000</v>
      </c>
      <c r="E1066" s="3">
        <v>80400000000</v>
      </c>
      <c r="F1066" s="3">
        <v>74800000000</v>
      </c>
      <c r="G1066" s="3">
        <v>14100000000</v>
      </c>
      <c r="H1066" s="3">
        <v>10700000000</v>
      </c>
      <c r="I1066" s="2"/>
      <c r="J1066" s="7">
        <f t="shared" si="287"/>
        <v>0.7659999999999999</v>
      </c>
      <c r="K1066" s="7">
        <f t="shared" si="288"/>
        <v>55.46</v>
      </c>
      <c r="L1066" s="7">
        <f t="shared" si="289"/>
        <v>80.400000000000006</v>
      </c>
      <c r="M1066" s="7">
        <f t="shared" si="290"/>
        <v>205</v>
      </c>
      <c r="O1066">
        <f t="shared" si="291"/>
        <v>0.5630975609756097</v>
      </c>
      <c r="P1066">
        <f t="shared" si="292"/>
        <v>563.09756097560967</v>
      </c>
      <c r="V1066">
        <f t="shared" si="293"/>
        <v>1057.3117314927249</v>
      </c>
      <c r="W1066">
        <f t="shared" si="294"/>
        <v>96.943973046898208</v>
      </c>
      <c r="AE1066">
        <f t="shared" si="295"/>
        <v>0.69520367945804185</v>
      </c>
      <c r="AF1066">
        <f t="shared" si="296"/>
        <v>0.67377896146480898</v>
      </c>
      <c r="AG1066">
        <f t="shared" si="297"/>
        <v>0.6755108180429219</v>
      </c>
      <c r="AI1066">
        <f t="shared" si="298"/>
        <v>0.45909806880694098</v>
      </c>
      <c r="AJ1066">
        <f t="shared" si="299"/>
        <v>36.526346560339221</v>
      </c>
      <c r="AL1066">
        <f t="shared" si="300"/>
        <v>0.47369639736567598</v>
      </c>
      <c r="AM1066">
        <f t="shared" si="301"/>
        <v>38.886196559168035</v>
      </c>
      <c r="AO1066">
        <f t="shared" si="302"/>
        <v>0.47248194720456244</v>
      </c>
      <c r="AP1066">
        <f t="shared" si="303"/>
        <v>38.687061373016419</v>
      </c>
    </row>
    <row r="1067" spans="1:42" x14ac:dyDescent="0.2">
      <c r="A1067" s="3">
        <v>1100</v>
      </c>
      <c r="B1067" s="3">
        <v>7.6700000000000003E-7</v>
      </c>
      <c r="C1067" s="2">
        <v>5.5509999999999997E-2</v>
      </c>
      <c r="D1067" s="3">
        <v>247000</v>
      </c>
      <c r="E1067" s="3">
        <v>95400000000</v>
      </c>
      <c r="F1067" s="3">
        <v>87600000000</v>
      </c>
      <c r="G1067" s="3">
        <v>3020000000</v>
      </c>
      <c r="H1067" s="3">
        <v>10100000000</v>
      </c>
      <c r="I1067" s="2"/>
      <c r="J1067" s="7">
        <f t="shared" si="287"/>
        <v>0.76700000000000002</v>
      </c>
      <c r="K1067" s="7">
        <f t="shared" si="288"/>
        <v>55.51</v>
      </c>
      <c r="L1067" s="7">
        <f t="shared" si="289"/>
        <v>95.4</v>
      </c>
      <c r="M1067" s="7">
        <f t="shared" si="290"/>
        <v>247</v>
      </c>
      <c r="O1067">
        <f t="shared" si="291"/>
        <v>0.59844736842105262</v>
      </c>
      <c r="P1067">
        <f t="shared" si="292"/>
        <v>598.4473684210526</v>
      </c>
      <c r="V1067">
        <f t="shared" si="293"/>
        <v>1086.2193261149482</v>
      </c>
      <c r="W1067">
        <f t="shared" si="294"/>
        <v>113.69711165213674</v>
      </c>
      <c r="AE1067">
        <f t="shared" si="295"/>
        <v>0.83763565281042118</v>
      </c>
      <c r="AF1067">
        <f t="shared" si="296"/>
        <v>0.81182148039906254</v>
      </c>
      <c r="AG1067">
        <f t="shared" si="297"/>
        <v>0.81390815637366687</v>
      </c>
      <c r="AI1067">
        <f t="shared" si="298"/>
        <v>0.38153024201044056</v>
      </c>
      <c r="AJ1067">
        <f t="shared" si="299"/>
        <v>25.183228904680874</v>
      </c>
      <c r="AL1067">
        <f t="shared" si="300"/>
        <v>0.39366208094941951</v>
      </c>
      <c r="AM1067">
        <f t="shared" si="301"/>
        <v>26.810236484074142</v>
      </c>
      <c r="AO1067">
        <f t="shared" si="302"/>
        <v>0.39265282062932416</v>
      </c>
      <c r="AP1067">
        <f t="shared" si="303"/>
        <v>26.672941970713818</v>
      </c>
    </row>
    <row r="1068" spans="1:42" x14ac:dyDescent="0.2">
      <c r="A1068" s="3">
        <v>1100</v>
      </c>
      <c r="B1068" s="3">
        <v>7.6799999999999999E-7</v>
      </c>
      <c r="C1068" s="2">
        <v>5.5570000000000001E-2</v>
      </c>
      <c r="D1068" s="3">
        <v>201000</v>
      </c>
      <c r="E1068" s="3">
        <v>79000000000</v>
      </c>
      <c r="F1068" s="3">
        <v>73600000000</v>
      </c>
      <c r="G1068" s="3">
        <v>508000000</v>
      </c>
      <c r="H1068" s="3">
        <v>10800000000</v>
      </c>
      <c r="I1068" s="2"/>
      <c r="J1068" s="7">
        <f t="shared" si="287"/>
        <v>0.76800000000000002</v>
      </c>
      <c r="K1068" s="7">
        <f t="shared" si="288"/>
        <v>55.57</v>
      </c>
      <c r="L1068" s="7">
        <f t="shared" si="289"/>
        <v>79</v>
      </c>
      <c r="M1068" s="7">
        <f t="shared" si="290"/>
        <v>201</v>
      </c>
      <c r="O1068">
        <f t="shared" si="291"/>
        <v>0.56064925373134322</v>
      </c>
      <c r="P1068">
        <f t="shared" si="292"/>
        <v>560.64925373134326</v>
      </c>
      <c r="V1068">
        <f t="shared" si="293"/>
        <v>1055.272646197101</v>
      </c>
      <c r="W1068">
        <f t="shared" si="294"/>
        <v>95.236051424409666</v>
      </c>
      <c r="AE1068">
        <f t="shared" si="295"/>
        <v>0.68163872961495808</v>
      </c>
      <c r="AF1068">
        <f t="shared" si="296"/>
        <v>0.66063205489964194</v>
      </c>
      <c r="AG1068">
        <f t="shared" si="297"/>
        <v>0.66233011915427953</v>
      </c>
      <c r="AI1068">
        <f t="shared" si="298"/>
        <v>0.46945689277479963</v>
      </c>
      <c r="AJ1068">
        <f t="shared" si="299"/>
        <v>38.069955939273285</v>
      </c>
      <c r="AL1068">
        <f t="shared" si="300"/>
        <v>0.48438460959726198</v>
      </c>
      <c r="AM1068">
        <f t="shared" si="301"/>
        <v>40.529533584967965</v>
      </c>
      <c r="AO1068">
        <f t="shared" si="302"/>
        <v>0.48314275728333739</v>
      </c>
      <c r="AP1068">
        <f t="shared" si="303"/>
        <v>40.321982913284238</v>
      </c>
    </row>
    <row r="1069" spans="1:42" x14ac:dyDescent="0.2">
      <c r="A1069" s="3">
        <v>1100</v>
      </c>
      <c r="B1069" s="3">
        <v>7.6899999999999996E-7</v>
      </c>
      <c r="C1069" s="2">
        <v>5.5620000000000003E-2</v>
      </c>
      <c r="D1069" s="3">
        <v>216000</v>
      </c>
      <c r="E1069" s="3">
        <v>83900000000</v>
      </c>
      <c r="F1069" s="3">
        <v>77800000000</v>
      </c>
      <c r="G1069" s="3">
        <v>2090000000</v>
      </c>
      <c r="H1069" s="3">
        <v>10500000000</v>
      </c>
      <c r="I1069" s="2"/>
      <c r="J1069" s="7">
        <f t="shared" si="287"/>
        <v>0.76900000000000002</v>
      </c>
      <c r="K1069" s="7">
        <f t="shared" si="288"/>
        <v>55.620000000000005</v>
      </c>
      <c r="L1069" s="7">
        <f t="shared" si="289"/>
        <v>83.9</v>
      </c>
      <c r="M1069" s="7">
        <f t="shared" si="290"/>
        <v>216</v>
      </c>
      <c r="O1069">
        <f t="shared" si="291"/>
        <v>0.57587500000000003</v>
      </c>
      <c r="P1069">
        <f t="shared" si="292"/>
        <v>575.875</v>
      </c>
      <c r="V1069">
        <f t="shared" si="293"/>
        <v>1067.8742009135406</v>
      </c>
      <c r="W1069">
        <f t="shared" si="294"/>
        <v>101.13550819713467</v>
      </c>
      <c r="AE1069">
        <f t="shared" si="295"/>
        <v>0.73250729152652216</v>
      </c>
      <c r="AF1069">
        <f t="shared" si="296"/>
        <v>0.70993295451901828</v>
      </c>
      <c r="AG1069">
        <f t="shared" si="297"/>
        <v>0.71175773998668845</v>
      </c>
      <c r="AI1069">
        <f t="shared" si="298"/>
        <v>0.43742454221708627</v>
      </c>
      <c r="AJ1069">
        <f t="shared" si="299"/>
        <v>32.995717334319266</v>
      </c>
      <c r="AL1069">
        <f t="shared" si="300"/>
        <v>0.45133369936848466</v>
      </c>
      <c r="AM1069">
        <f t="shared" si="301"/>
        <v>35.127464712451413</v>
      </c>
      <c r="AO1069">
        <f t="shared" si="302"/>
        <v>0.45017658209471562</v>
      </c>
      <c r="AP1069">
        <f t="shared" si="303"/>
        <v>34.947577892872538</v>
      </c>
    </row>
    <row r="1070" spans="1:42" x14ac:dyDescent="0.2">
      <c r="A1070" s="3">
        <v>1100</v>
      </c>
      <c r="B1070" s="3">
        <v>7.7000000000000004E-7</v>
      </c>
      <c r="C1070" s="2">
        <v>5.5669999999999997E-2</v>
      </c>
      <c r="D1070" s="3">
        <v>231000</v>
      </c>
      <c r="E1070" s="3">
        <v>89300000000</v>
      </c>
      <c r="F1070" s="3">
        <v>82500000000</v>
      </c>
      <c r="G1070" s="3">
        <v>3320000000</v>
      </c>
      <c r="H1070" s="3">
        <v>10300000000</v>
      </c>
      <c r="I1070" s="2"/>
      <c r="J1070" s="7">
        <f t="shared" si="287"/>
        <v>0.77</v>
      </c>
      <c r="K1070" s="7">
        <f t="shared" si="288"/>
        <v>55.669999999999995</v>
      </c>
      <c r="L1070" s="7">
        <f t="shared" si="289"/>
        <v>89.300000000000011</v>
      </c>
      <c r="M1070" s="7">
        <f t="shared" si="290"/>
        <v>231</v>
      </c>
      <c r="O1070">
        <f t="shared" si="291"/>
        <v>0.58925324675324675</v>
      </c>
      <c r="P1070">
        <f t="shared" si="292"/>
        <v>589.2532467532468</v>
      </c>
      <c r="V1070">
        <f t="shared" si="293"/>
        <v>1078.7943644210545</v>
      </c>
      <c r="W1070">
        <f t="shared" si="294"/>
        <v>107.06396307695231</v>
      </c>
      <c r="AE1070">
        <f t="shared" si="295"/>
        <v>0.78337585343808624</v>
      </c>
      <c r="AF1070">
        <f t="shared" si="296"/>
        <v>0.7592338541383945</v>
      </c>
      <c r="AG1070">
        <f t="shared" si="297"/>
        <v>0.76118536081909738</v>
      </c>
      <c r="AI1070">
        <f t="shared" si="298"/>
        <v>0.40955223718634864</v>
      </c>
      <c r="AJ1070">
        <f t="shared" si="299"/>
        <v>28.875622383340254</v>
      </c>
      <c r="AL1070">
        <f t="shared" si="300"/>
        <v>0.4225751151434447</v>
      </c>
      <c r="AM1070">
        <f t="shared" si="301"/>
        <v>30.741183652517297</v>
      </c>
      <c r="AO1070">
        <f t="shared" si="302"/>
        <v>0.42149172835916154</v>
      </c>
      <c r="AP1070">
        <f t="shared" si="303"/>
        <v>30.58375886246743</v>
      </c>
    </row>
    <row r="1071" spans="1:42" x14ac:dyDescent="0.2">
      <c r="A1071" s="3">
        <v>1100</v>
      </c>
      <c r="B1071" s="3">
        <v>7.7100000000000001E-7</v>
      </c>
      <c r="C1071" s="2">
        <v>5.5719999999999999E-2</v>
      </c>
      <c r="D1071" s="3">
        <v>226000</v>
      </c>
      <c r="E1071" s="3">
        <v>87300000000</v>
      </c>
      <c r="F1071" s="3">
        <v>80800000000</v>
      </c>
      <c r="G1071" s="2">
        <v>0</v>
      </c>
      <c r="H1071" s="3">
        <v>10300000000</v>
      </c>
      <c r="I1071" s="2"/>
      <c r="J1071" s="7">
        <f t="shared" si="287"/>
        <v>0.77100000000000002</v>
      </c>
      <c r="K1071" s="7">
        <f t="shared" si="288"/>
        <v>55.72</v>
      </c>
      <c r="L1071" s="7">
        <f t="shared" si="289"/>
        <v>87.300000000000011</v>
      </c>
      <c r="M1071" s="7">
        <f t="shared" si="290"/>
        <v>226</v>
      </c>
      <c r="O1071">
        <f t="shared" si="291"/>
        <v>0.58608849557522125</v>
      </c>
      <c r="P1071">
        <f t="shared" si="292"/>
        <v>586.08849557522126</v>
      </c>
      <c r="V1071">
        <f t="shared" si="293"/>
        <v>1076.2236697634678</v>
      </c>
      <c r="W1071">
        <f t="shared" si="294"/>
        <v>104.99676152340631</v>
      </c>
      <c r="AE1071">
        <f t="shared" si="295"/>
        <v>0.76641966613423151</v>
      </c>
      <c r="AF1071">
        <f t="shared" si="296"/>
        <v>0.74280022093193576</v>
      </c>
      <c r="AG1071">
        <f t="shared" si="297"/>
        <v>0.74470948720829444</v>
      </c>
      <c r="AI1071">
        <f t="shared" si="298"/>
        <v>0.4191567808017807</v>
      </c>
      <c r="AJ1071">
        <f t="shared" si="299"/>
        <v>30.194533323769274</v>
      </c>
      <c r="AL1071">
        <f t="shared" si="300"/>
        <v>0.43248506253397678</v>
      </c>
      <c r="AM1071">
        <f t="shared" si="301"/>
        <v>32.145305194999963</v>
      </c>
      <c r="AO1071">
        <f t="shared" si="302"/>
        <v>0.43137626889147812</v>
      </c>
      <c r="AP1071">
        <f t="shared" si="303"/>
        <v>31.980689935593794</v>
      </c>
    </row>
    <row r="1072" spans="1:42" x14ac:dyDescent="0.2">
      <c r="A1072" s="3">
        <v>1100</v>
      </c>
      <c r="B1072" s="3">
        <v>7.7199999999999998E-7</v>
      </c>
      <c r="C1072" s="2">
        <v>5.5780000000000003E-2</v>
      </c>
      <c r="D1072" s="3">
        <v>225000</v>
      </c>
      <c r="E1072" s="3">
        <v>87000000000</v>
      </c>
      <c r="F1072" s="3">
        <v>80500000000</v>
      </c>
      <c r="G1072" s="3">
        <v>2000000000</v>
      </c>
      <c r="H1072" s="3">
        <v>10300000000</v>
      </c>
      <c r="I1072" s="2"/>
      <c r="J1072" s="7">
        <f t="shared" si="287"/>
        <v>0.77200000000000002</v>
      </c>
      <c r="K1072" s="7">
        <f t="shared" si="288"/>
        <v>55.78</v>
      </c>
      <c r="L1072" s="7">
        <f t="shared" si="289"/>
        <v>87</v>
      </c>
      <c r="M1072" s="7">
        <f t="shared" si="290"/>
        <v>225</v>
      </c>
      <c r="O1072">
        <f t="shared" si="291"/>
        <v>0.58606666666666674</v>
      </c>
      <c r="P1072">
        <f t="shared" si="292"/>
        <v>586.06666666666672</v>
      </c>
      <c r="V1072">
        <f t="shared" si="293"/>
        <v>1076.2059115528807</v>
      </c>
      <c r="W1072">
        <f t="shared" si="294"/>
        <v>104.53389894288102</v>
      </c>
      <c r="AE1072">
        <f t="shared" si="295"/>
        <v>0.76302842867346055</v>
      </c>
      <c r="AF1072">
        <f t="shared" si="296"/>
        <v>0.73951349429064395</v>
      </c>
      <c r="AG1072">
        <f t="shared" si="297"/>
        <v>0.74141431248613376</v>
      </c>
      <c r="AI1072">
        <f t="shared" si="298"/>
        <v>0.42156576947714824</v>
      </c>
      <c r="AJ1072">
        <f t="shared" si="299"/>
        <v>30.496329120034449</v>
      </c>
      <c r="AL1072">
        <f t="shared" si="300"/>
        <v>0.4349706518543191</v>
      </c>
      <c r="AM1072">
        <f t="shared" si="301"/>
        <v>32.466599048873675</v>
      </c>
      <c r="AO1072">
        <f t="shared" si="302"/>
        <v>0.43385548572436361</v>
      </c>
      <c r="AP1072">
        <f t="shared" si="303"/>
        <v>32.300338452122588</v>
      </c>
    </row>
    <row r="1073" spans="1:42" x14ac:dyDescent="0.2">
      <c r="A1073" s="3">
        <v>1100</v>
      </c>
      <c r="B1073" s="3">
        <v>7.7300000000000005E-7</v>
      </c>
      <c r="C1073" s="2">
        <v>5.5829999999999998E-2</v>
      </c>
      <c r="D1073" s="3">
        <v>253000</v>
      </c>
      <c r="E1073" s="3">
        <v>96900000000</v>
      </c>
      <c r="F1073" s="3">
        <v>88900000000</v>
      </c>
      <c r="G1073" s="3">
        <v>8810000000</v>
      </c>
      <c r="H1073" s="3">
        <v>9990000000</v>
      </c>
      <c r="I1073" s="2"/>
      <c r="J1073" s="7">
        <f t="shared" si="287"/>
        <v>0.77300000000000002</v>
      </c>
      <c r="K1073" s="7">
        <f t="shared" si="288"/>
        <v>55.83</v>
      </c>
      <c r="L1073" s="7">
        <f t="shared" si="289"/>
        <v>96.9</v>
      </c>
      <c r="M1073" s="7">
        <f t="shared" si="290"/>
        <v>253</v>
      </c>
      <c r="O1073">
        <f t="shared" si="291"/>
        <v>0.60749604743083008</v>
      </c>
      <c r="P1073">
        <f t="shared" si="292"/>
        <v>607.49604743083012</v>
      </c>
      <c r="V1073">
        <f t="shared" si="293"/>
        <v>1093.4650494368714</v>
      </c>
      <c r="W1073">
        <f t="shared" si="294"/>
        <v>115.68728242859414</v>
      </c>
      <c r="AE1073">
        <f t="shared" si="295"/>
        <v>0.85798307757504677</v>
      </c>
      <c r="AF1073">
        <f t="shared" si="296"/>
        <v>0.83154184024681299</v>
      </c>
      <c r="AG1073">
        <f t="shared" si="297"/>
        <v>0.83367920470663048</v>
      </c>
      <c r="AI1073">
        <f t="shared" si="298"/>
        <v>0.37539590436171644</v>
      </c>
      <c r="AJ1073">
        <f t="shared" si="299"/>
        <v>24.141301375574738</v>
      </c>
      <c r="AL1073">
        <f t="shared" si="300"/>
        <v>0.38733268459195586</v>
      </c>
      <c r="AM1073">
        <f t="shared" si="301"/>
        <v>25.700993361981475</v>
      </c>
      <c r="AO1073">
        <f t="shared" si="302"/>
        <v>0.38633965140904963</v>
      </c>
      <c r="AP1073">
        <f t="shared" si="303"/>
        <v>25.569379253370148</v>
      </c>
    </row>
    <row r="1074" spans="1:42" x14ac:dyDescent="0.2">
      <c r="A1074" s="3">
        <v>1100</v>
      </c>
      <c r="B1074" s="3">
        <v>7.7400000000000002E-7</v>
      </c>
      <c r="C1074" s="2">
        <v>5.5879999999999999E-2</v>
      </c>
      <c r="D1074" s="3">
        <v>217000</v>
      </c>
      <c r="E1074" s="3">
        <v>84000000000</v>
      </c>
      <c r="F1074" s="3">
        <v>77900000000</v>
      </c>
      <c r="G1074" s="3">
        <v>3780000000</v>
      </c>
      <c r="H1074" s="3">
        <v>10500000000</v>
      </c>
      <c r="I1074" s="2"/>
      <c r="J1074" s="7">
        <f t="shared" si="287"/>
        <v>0.77400000000000002</v>
      </c>
      <c r="K1074" s="7">
        <f t="shared" si="288"/>
        <v>55.88</v>
      </c>
      <c r="L1074" s="7">
        <f t="shared" si="289"/>
        <v>84</v>
      </c>
      <c r="M1074" s="7">
        <f t="shared" si="290"/>
        <v>217</v>
      </c>
      <c r="O1074">
        <f t="shared" si="291"/>
        <v>0.5808663594470046</v>
      </c>
      <c r="P1074">
        <f t="shared" si="292"/>
        <v>580.86635944700458</v>
      </c>
      <c r="V1074">
        <f t="shared" si="293"/>
        <v>1071.9648213558801</v>
      </c>
      <c r="W1074">
        <f t="shared" si="294"/>
        <v>101.21600806149891</v>
      </c>
      <c r="AE1074">
        <f t="shared" si="295"/>
        <v>0.73589852898729313</v>
      </c>
      <c r="AF1074">
        <f t="shared" si="296"/>
        <v>0.71321968116030998</v>
      </c>
      <c r="AG1074">
        <f t="shared" si="297"/>
        <v>0.71505291470884902</v>
      </c>
      <c r="AI1074">
        <f t="shared" si="298"/>
        <v>0.43823976716437851</v>
      </c>
      <c r="AJ1074">
        <f t="shared" si="299"/>
        <v>32.845132786777874</v>
      </c>
      <c r="AL1074">
        <f t="shared" si="300"/>
        <v>0.45217484671109615</v>
      </c>
      <c r="AM1074">
        <f t="shared" si="301"/>
        <v>34.967151380681585</v>
      </c>
      <c r="AO1074">
        <f t="shared" si="302"/>
        <v>0.45101557292625488</v>
      </c>
      <c r="AP1074">
        <f t="shared" si="303"/>
        <v>34.788085521443108</v>
      </c>
    </row>
    <row r="1075" spans="1:42" x14ac:dyDescent="0.2">
      <c r="A1075" s="3">
        <v>1100</v>
      </c>
      <c r="B1075" s="3">
        <v>7.7400000000000002E-7</v>
      </c>
      <c r="C1075" s="2">
        <v>5.5930000000000001E-2</v>
      </c>
      <c r="D1075" s="3">
        <v>220000</v>
      </c>
      <c r="E1075" s="3">
        <v>85000000000</v>
      </c>
      <c r="F1075" s="3">
        <v>78800000000</v>
      </c>
      <c r="G1075" s="3">
        <v>5570000000</v>
      </c>
      <c r="H1075" s="3">
        <v>10400000000</v>
      </c>
      <c r="I1075" s="2"/>
      <c r="J1075" s="7">
        <f t="shared" si="287"/>
        <v>0.77400000000000002</v>
      </c>
      <c r="K1075" s="7">
        <f t="shared" si="288"/>
        <v>55.93</v>
      </c>
      <c r="L1075" s="7">
        <f t="shared" si="289"/>
        <v>85</v>
      </c>
      <c r="M1075" s="7">
        <f t="shared" si="290"/>
        <v>220</v>
      </c>
      <c r="O1075">
        <f t="shared" si="291"/>
        <v>0.58332954545454552</v>
      </c>
      <c r="P1075">
        <f t="shared" si="292"/>
        <v>583.3295454545455</v>
      </c>
      <c r="V1075">
        <f t="shared" si="293"/>
        <v>1073.9762878124934</v>
      </c>
      <c r="W1075">
        <f t="shared" si="294"/>
        <v>102.42311794802401</v>
      </c>
      <c r="AE1075">
        <f t="shared" si="295"/>
        <v>0.74607224136960593</v>
      </c>
      <c r="AF1075">
        <f t="shared" si="296"/>
        <v>0.7230798610841852</v>
      </c>
      <c r="AG1075">
        <f t="shared" si="297"/>
        <v>0.72493843887533083</v>
      </c>
      <c r="AI1075">
        <f t="shared" si="298"/>
        <v>0.43226377033940977</v>
      </c>
      <c r="AJ1075">
        <f t="shared" si="299"/>
        <v>31.984056938925693</v>
      </c>
      <c r="AL1075">
        <f t="shared" si="300"/>
        <v>0.44600882607412667</v>
      </c>
      <c r="AM1075">
        <f t="shared" si="301"/>
        <v>34.050444186420613</v>
      </c>
      <c r="AO1075">
        <f t="shared" si="302"/>
        <v>0.44486536056816961</v>
      </c>
      <c r="AP1075">
        <f t="shared" si="303"/>
        <v>33.876072760526831</v>
      </c>
    </row>
    <row r="1076" spans="1:42" x14ac:dyDescent="0.2">
      <c r="A1076" s="3">
        <v>1100</v>
      </c>
      <c r="B1076" s="3">
        <v>7.7599999999999996E-7</v>
      </c>
      <c r="C1076" s="2">
        <v>5.5980000000000002E-2</v>
      </c>
      <c r="D1076" s="3">
        <v>197000</v>
      </c>
      <c r="E1076" s="3">
        <v>77200000000</v>
      </c>
      <c r="F1076" s="3">
        <v>72000000000</v>
      </c>
      <c r="G1076" s="2">
        <v>0</v>
      </c>
      <c r="H1076" s="3">
        <v>10800000000</v>
      </c>
      <c r="I1076" s="2"/>
      <c r="J1076" s="7">
        <f t="shared" si="287"/>
        <v>0.77599999999999991</v>
      </c>
      <c r="K1076" s="7">
        <f t="shared" si="288"/>
        <v>55.980000000000004</v>
      </c>
      <c r="L1076" s="7">
        <f t="shared" si="289"/>
        <v>77.2</v>
      </c>
      <c r="M1076" s="7">
        <f t="shared" si="290"/>
        <v>197</v>
      </c>
      <c r="O1076">
        <f t="shared" si="291"/>
        <v>0.56287817258883233</v>
      </c>
      <c r="P1076">
        <f t="shared" si="292"/>
        <v>562.87817258883229</v>
      </c>
      <c r="V1076">
        <f t="shared" si="293"/>
        <v>1057.1292144173117</v>
      </c>
      <c r="W1076">
        <f t="shared" si="294"/>
        <v>93.176878149463576</v>
      </c>
      <c r="AE1076">
        <f t="shared" si="295"/>
        <v>0.66807377977187432</v>
      </c>
      <c r="AF1076">
        <f t="shared" si="296"/>
        <v>0.64748514833447501</v>
      </c>
      <c r="AG1076">
        <f t="shared" si="297"/>
        <v>0.64914942026563716</v>
      </c>
      <c r="AI1076">
        <f t="shared" si="298"/>
        <v>0.4839784813044769</v>
      </c>
      <c r="AJ1076">
        <f t="shared" si="299"/>
        <v>39.924044780628819</v>
      </c>
      <c r="AL1076">
        <f t="shared" si="300"/>
        <v>0.49936795332687256</v>
      </c>
      <c r="AM1076">
        <f t="shared" si="301"/>
        <v>42.503409154593001</v>
      </c>
      <c r="AO1076">
        <f t="shared" si="302"/>
        <v>0.49808768711681617</v>
      </c>
      <c r="AP1076">
        <f t="shared" si="303"/>
        <v>42.285750318219037</v>
      </c>
    </row>
    <row r="1077" spans="1:42" x14ac:dyDescent="0.2">
      <c r="A1077" s="3">
        <v>1100</v>
      </c>
      <c r="B1077" s="3">
        <v>7.7700000000000004E-7</v>
      </c>
      <c r="C1077" s="2">
        <v>5.6030000000000003E-2</v>
      </c>
      <c r="D1077" s="3">
        <v>202000</v>
      </c>
      <c r="E1077" s="3">
        <v>78800000000</v>
      </c>
      <c r="F1077" s="3">
        <v>73500000000</v>
      </c>
      <c r="G1077" s="3">
        <v>14900000000</v>
      </c>
      <c r="H1077" s="3">
        <v>10700000000</v>
      </c>
      <c r="I1077" s="2"/>
      <c r="J1077" s="7">
        <f t="shared" si="287"/>
        <v>0.77700000000000002</v>
      </c>
      <c r="K1077" s="7">
        <f t="shared" si="288"/>
        <v>56.03</v>
      </c>
      <c r="L1077" s="7">
        <f t="shared" si="289"/>
        <v>78.800000000000011</v>
      </c>
      <c r="M1077" s="7">
        <f t="shared" si="290"/>
        <v>202</v>
      </c>
      <c r="O1077">
        <f t="shared" si="291"/>
        <v>0.5689678217821782</v>
      </c>
      <c r="P1077">
        <f t="shared" si="292"/>
        <v>568.96782178217825</v>
      </c>
      <c r="V1077">
        <f t="shared" si="293"/>
        <v>1062.1807814945</v>
      </c>
      <c r="W1077">
        <f t="shared" si="294"/>
        <v>95.087391675352933</v>
      </c>
      <c r="AE1077">
        <f t="shared" si="295"/>
        <v>0.68502996707572905</v>
      </c>
      <c r="AF1077">
        <f t="shared" si="296"/>
        <v>0.66391878154093376</v>
      </c>
      <c r="AG1077">
        <f t="shared" si="297"/>
        <v>0.66562529387644009</v>
      </c>
      <c r="AI1077">
        <f t="shared" si="298"/>
        <v>0.4726070618224647</v>
      </c>
      <c r="AJ1077">
        <f t="shared" si="299"/>
        <v>38.00598352952759</v>
      </c>
      <c r="AL1077">
        <f t="shared" si="300"/>
        <v>0.48763494722741069</v>
      </c>
      <c r="AM1077">
        <f t="shared" si="301"/>
        <v>40.461428123185037</v>
      </c>
      <c r="AO1077">
        <f t="shared" si="302"/>
        <v>0.4863847617847552</v>
      </c>
      <c r="AP1077">
        <f t="shared" si="303"/>
        <v>40.254226217773429</v>
      </c>
    </row>
    <row r="1078" spans="1:42" x14ac:dyDescent="0.2">
      <c r="A1078" s="3">
        <v>1100</v>
      </c>
      <c r="B1078" s="3">
        <v>7.7700000000000004E-7</v>
      </c>
      <c r="C1078" s="2">
        <v>5.6090000000000001E-2</v>
      </c>
      <c r="D1078" s="3">
        <v>224000</v>
      </c>
      <c r="E1078" s="3">
        <v>86200000000</v>
      </c>
      <c r="F1078" s="3">
        <v>79800000000</v>
      </c>
      <c r="G1078" s="3">
        <v>7080000000</v>
      </c>
      <c r="H1078" s="3">
        <v>10300000000</v>
      </c>
      <c r="I1078" s="2"/>
      <c r="J1078" s="7">
        <f t="shared" si="287"/>
        <v>0.77700000000000002</v>
      </c>
      <c r="K1078" s="7">
        <f t="shared" si="288"/>
        <v>56.09</v>
      </c>
      <c r="L1078" s="7">
        <f t="shared" si="289"/>
        <v>86.2</v>
      </c>
      <c r="M1078" s="7">
        <f t="shared" si="290"/>
        <v>224</v>
      </c>
      <c r="O1078">
        <f t="shared" si="291"/>
        <v>0.58919866071428573</v>
      </c>
      <c r="P1078">
        <f t="shared" si="292"/>
        <v>589.19866071428578</v>
      </c>
      <c r="V1078">
        <f t="shared" si="293"/>
        <v>1078.7500900089731</v>
      </c>
      <c r="W1078">
        <f t="shared" si="294"/>
        <v>103.82386155728467</v>
      </c>
      <c r="AE1078">
        <f t="shared" si="295"/>
        <v>0.75963719121268969</v>
      </c>
      <c r="AF1078">
        <f t="shared" si="296"/>
        <v>0.73622676764935224</v>
      </c>
      <c r="AG1078">
        <f t="shared" si="297"/>
        <v>0.7381191377639732</v>
      </c>
      <c r="AI1078">
        <f t="shared" si="298"/>
        <v>0.42619029682204401</v>
      </c>
      <c r="AJ1078">
        <f t="shared" si="299"/>
        <v>30.940226992899941</v>
      </c>
      <c r="AL1078">
        <f t="shared" si="300"/>
        <v>0.43974222919614714</v>
      </c>
      <c r="AM1078">
        <f t="shared" si="301"/>
        <v>32.93917573835806</v>
      </c>
      <c r="AO1078">
        <f t="shared" si="302"/>
        <v>0.43861482982375249</v>
      </c>
      <c r="AP1078">
        <f t="shared" si="303"/>
        <v>32.770495088854119</v>
      </c>
    </row>
    <row r="1079" spans="1:42" x14ac:dyDescent="0.2">
      <c r="A1079" s="3">
        <v>1100</v>
      </c>
      <c r="B1079" s="3">
        <v>7.7800000000000001E-7</v>
      </c>
      <c r="C1079" s="2">
        <v>5.6140000000000002E-2</v>
      </c>
      <c r="D1079" s="3">
        <v>220000</v>
      </c>
      <c r="E1079" s="3">
        <v>84900000000</v>
      </c>
      <c r="F1079" s="3">
        <v>78700000000</v>
      </c>
      <c r="G1079" s="2">
        <v>0</v>
      </c>
      <c r="H1079" s="3">
        <v>10400000000</v>
      </c>
      <c r="I1079" s="2"/>
      <c r="J1079" s="7">
        <f t="shared" si="287"/>
        <v>0.77800000000000002</v>
      </c>
      <c r="K1079" s="7">
        <f t="shared" si="288"/>
        <v>56.14</v>
      </c>
      <c r="L1079" s="7">
        <f t="shared" si="289"/>
        <v>84.9</v>
      </c>
      <c r="M1079" s="7">
        <f t="shared" si="290"/>
        <v>220</v>
      </c>
      <c r="O1079">
        <f t="shared" si="291"/>
        <v>0.58661363636363639</v>
      </c>
      <c r="P1079">
        <f t="shared" si="292"/>
        <v>586.61363636363637</v>
      </c>
      <c r="V1079">
        <f t="shared" si="293"/>
        <v>1076.6507702782585</v>
      </c>
      <c r="W1079">
        <f t="shared" si="294"/>
        <v>102.16869112680865</v>
      </c>
      <c r="AE1079">
        <f t="shared" si="295"/>
        <v>0.74607224136960593</v>
      </c>
      <c r="AF1079">
        <f t="shared" si="296"/>
        <v>0.7230798610841852</v>
      </c>
      <c r="AG1079">
        <f t="shared" si="297"/>
        <v>0.72493843887533083</v>
      </c>
      <c r="AI1079">
        <f t="shared" si="298"/>
        <v>0.43449769163315349</v>
      </c>
      <c r="AJ1079">
        <f t="shared" si="299"/>
        <v>32.104147265354698</v>
      </c>
      <c r="AL1079">
        <f t="shared" si="300"/>
        <v>0.44831378124763638</v>
      </c>
      <c r="AM1079">
        <f t="shared" si="301"/>
        <v>34.17829316334084</v>
      </c>
      <c r="AO1079">
        <f t="shared" si="302"/>
        <v>0.44716440635921956</v>
      </c>
      <c r="AP1079">
        <f t="shared" si="303"/>
        <v>34.003267026210914</v>
      </c>
    </row>
    <row r="1080" spans="1:42" x14ac:dyDescent="0.2">
      <c r="A1080" s="3">
        <v>1100</v>
      </c>
      <c r="B1080" s="3">
        <v>7.7899999999999997E-7</v>
      </c>
      <c r="C1080" s="2">
        <v>5.6189999999999997E-2</v>
      </c>
      <c r="D1080" s="3">
        <v>240000</v>
      </c>
      <c r="E1080" s="3">
        <v>91700000000</v>
      </c>
      <c r="F1080" s="3">
        <v>84500000000</v>
      </c>
      <c r="G1080" s="3">
        <v>7170000000</v>
      </c>
      <c r="H1080" s="3">
        <v>10100000000</v>
      </c>
      <c r="I1080" s="2"/>
      <c r="J1080" s="7">
        <f t="shared" si="287"/>
        <v>0.77900000000000003</v>
      </c>
      <c r="K1080" s="7">
        <f t="shared" si="288"/>
        <v>56.19</v>
      </c>
      <c r="L1080" s="7">
        <f t="shared" si="289"/>
        <v>91.7</v>
      </c>
      <c r="M1080" s="7">
        <f t="shared" si="290"/>
        <v>240</v>
      </c>
      <c r="O1080">
        <f t="shared" si="291"/>
        <v>0.60340625000000003</v>
      </c>
      <c r="P1080">
        <f t="shared" si="292"/>
        <v>603.40625</v>
      </c>
      <c r="V1080">
        <f t="shared" si="293"/>
        <v>1090.1976448881765</v>
      </c>
      <c r="W1080">
        <f t="shared" si="294"/>
        <v>110.07178428853477</v>
      </c>
      <c r="AE1080">
        <f t="shared" si="295"/>
        <v>0.81389699058502463</v>
      </c>
      <c r="AF1080">
        <f t="shared" si="296"/>
        <v>0.78881439391002028</v>
      </c>
      <c r="AG1080">
        <f t="shared" si="297"/>
        <v>0.79084193331854269</v>
      </c>
      <c r="AI1080">
        <f t="shared" si="298"/>
        <v>0.39880149096020695</v>
      </c>
      <c r="AJ1080">
        <f t="shared" si="299"/>
        <v>27.000427529350475</v>
      </c>
      <c r="AL1080">
        <f t="shared" si="300"/>
        <v>0.41148251837092925</v>
      </c>
      <c r="AM1080">
        <f t="shared" si="301"/>
        <v>28.744838478533662</v>
      </c>
      <c r="AO1080">
        <f t="shared" si="302"/>
        <v>0.41042757048973361</v>
      </c>
      <c r="AP1080">
        <f t="shared" si="303"/>
        <v>28.597636919424865</v>
      </c>
    </row>
    <row r="1081" spans="1:42" x14ac:dyDescent="0.2">
      <c r="A1081" s="3">
        <v>1100</v>
      </c>
      <c r="B1081" s="3">
        <v>7.8000000000000005E-7</v>
      </c>
      <c r="C1081" s="2">
        <v>5.6239999999999998E-2</v>
      </c>
      <c r="D1081" s="3">
        <v>248000</v>
      </c>
      <c r="E1081" s="3">
        <v>94600000000</v>
      </c>
      <c r="F1081" s="3">
        <v>86900000000</v>
      </c>
      <c r="G1081" s="3">
        <v>18900000000</v>
      </c>
      <c r="H1081" s="3">
        <v>10000000000</v>
      </c>
      <c r="I1081" s="2"/>
      <c r="J1081" s="7">
        <f t="shared" si="287"/>
        <v>0.78</v>
      </c>
      <c r="K1081" s="7">
        <f t="shared" si="288"/>
        <v>56.239999999999995</v>
      </c>
      <c r="L1081" s="7">
        <f t="shared" si="289"/>
        <v>94.600000000000009</v>
      </c>
      <c r="M1081" s="7">
        <f t="shared" si="290"/>
        <v>248</v>
      </c>
      <c r="O1081">
        <f t="shared" si="291"/>
        <v>0.60991935483870974</v>
      </c>
      <c r="P1081">
        <f t="shared" si="292"/>
        <v>609.91935483870975</v>
      </c>
      <c r="V1081">
        <f t="shared" si="293"/>
        <v>1095.3952905607521</v>
      </c>
      <c r="W1081">
        <f t="shared" si="294"/>
        <v>113.20114397837354</v>
      </c>
      <c r="AE1081">
        <f t="shared" si="295"/>
        <v>0.84102689027119215</v>
      </c>
      <c r="AF1081">
        <f t="shared" si="296"/>
        <v>0.81510820704035425</v>
      </c>
      <c r="AG1081">
        <f t="shared" si="297"/>
        <v>0.81720333109582743</v>
      </c>
      <c r="AI1081">
        <f t="shared" si="298"/>
        <v>0.38643235282905475</v>
      </c>
      <c r="AJ1081">
        <f t="shared" si="299"/>
        <v>25.309061585230346</v>
      </c>
      <c r="AL1081">
        <f t="shared" si="300"/>
        <v>0.3987200683208309</v>
      </c>
      <c r="AM1081">
        <f t="shared" si="301"/>
        <v>26.944198810181152</v>
      </c>
      <c r="AO1081">
        <f t="shared" si="302"/>
        <v>0.39769784046791856</v>
      </c>
      <c r="AP1081">
        <f t="shared" si="303"/>
        <v>26.806218279284863</v>
      </c>
    </row>
    <row r="1082" spans="1:42" x14ac:dyDescent="0.2">
      <c r="A1082" s="3">
        <v>1100</v>
      </c>
      <c r="B1082" s="3">
        <v>7.8100000000000002E-7</v>
      </c>
      <c r="C1082" s="2">
        <v>5.6300000000000003E-2</v>
      </c>
      <c r="D1082" s="3">
        <v>210000</v>
      </c>
      <c r="E1082" s="3">
        <v>81300000000</v>
      </c>
      <c r="F1082" s="3">
        <v>75500000000</v>
      </c>
      <c r="G1082" s="3">
        <v>11100000000</v>
      </c>
      <c r="H1082" s="3">
        <v>10500000000</v>
      </c>
      <c r="I1082" s="2"/>
      <c r="J1082" s="7">
        <f t="shared" si="287"/>
        <v>0.78100000000000003</v>
      </c>
      <c r="K1082" s="7">
        <f t="shared" si="288"/>
        <v>56.300000000000004</v>
      </c>
      <c r="L1082" s="7">
        <f t="shared" si="289"/>
        <v>81.300000000000011</v>
      </c>
      <c r="M1082" s="7">
        <f t="shared" si="290"/>
        <v>210</v>
      </c>
      <c r="O1082">
        <f t="shared" si="291"/>
        <v>0.57992857142857146</v>
      </c>
      <c r="P1082">
        <f t="shared" si="292"/>
        <v>579.92857142857144</v>
      </c>
      <c r="V1082">
        <f t="shared" si="293"/>
        <v>1071.1977642377451</v>
      </c>
      <c r="W1082">
        <f t="shared" si="294"/>
        <v>98.021115713135458</v>
      </c>
      <c r="AE1082">
        <f t="shared" si="295"/>
        <v>0.71215986676189658</v>
      </c>
      <c r="AF1082">
        <f t="shared" si="296"/>
        <v>0.69021259467126772</v>
      </c>
      <c r="AG1082">
        <f t="shared" si="297"/>
        <v>0.69198669165372484</v>
      </c>
      <c r="AI1082">
        <f t="shared" si="298"/>
        <v>0.45694328177505461</v>
      </c>
      <c r="AJ1082">
        <f t="shared" si="299"/>
        <v>35.334902525961716</v>
      </c>
      <c r="AL1082">
        <f t="shared" si="300"/>
        <v>0.47147309275290045</v>
      </c>
      <c r="AM1082">
        <f t="shared" si="301"/>
        <v>37.617777150358116</v>
      </c>
      <c r="AO1082">
        <f t="shared" si="302"/>
        <v>0.4702643426407217</v>
      </c>
      <c r="AP1082">
        <f t="shared" si="303"/>
        <v>37.425137506518226</v>
      </c>
    </row>
    <row r="1083" spans="1:42" x14ac:dyDescent="0.2">
      <c r="A1083" s="3">
        <v>1100</v>
      </c>
      <c r="B1083" s="3">
        <v>7.8199999999999999E-7</v>
      </c>
      <c r="C1083" s="2">
        <v>5.6349999999999997E-2</v>
      </c>
      <c r="D1083" s="3">
        <v>233000</v>
      </c>
      <c r="E1083" s="3">
        <v>89000000000</v>
      </c>
      <c r="F1083" s="3">
        <v>82200000000</v>
      </c>
      <c r="G1083" s="3">
        <v>5720000000</v>
      </c>
      <c r="H1083" s="3">
        <v>10200000000</v>
      </c>
      <c r="I1083" s="2"/>
      <c r="J1083" s="7">
        <f t="shared" si="287"/>
        <v>0.78200000000000003</v>
      </c>
      <c r="K1083" s="7">
        <f t="shared" si="288"/>
        <v>56.349999999999994</v>
      </c>
      <c r="L1083" s="7">
        <f t="shared" si="289"/>
        <v>89</v>
      </c>
      <c r="M1083" s="7">
        <f t="shared" si="290"/>
        <v>233</v>
      </c>
      <c r="O1083">
        <f t="shared" si="291"/>
        <v>0.6006158798283262</v>
      </c>
      <c r="P1083">
        <f t="shared" si="292"/>
        <v>600.61587982832623</v>
      </c>
      <c r="V1083">
        <f t="shared" si="293"/>
        <v>1087.9612892177049</v>
      </c>
      <c r="W1083">
        <f t="shared" si="294"/>
        <v>107.08101579953177</v>
      </c>
      <c r="AE1083">
        <f t="shared" si="295"/>
        <v>0.79015832835962807</v>
      </c>
      <c r="AF1083">
        <f t="shared" si="296"/>
        <v>0.76580730742097802</v>
      </c>
      <c r="AG1083">
        <f t="shared" si="297"/>
        <v>0.76777571026341851</v>
      </c>
      <c r="AI1083">
        <f t="shared" si="298"/>
        <v>0.41236461306402311</v>
      </c>
      <c r="AJ1083">
        <f t="shared" si="299"/>
        <v>28.728712988677845</v>
      </c>
      <c r="AL1083">
        <f t="shared" si="300"/>
        <v>0.42547691850923663</v>
      </c>
      <c r="AM1083">
        <f t="shared" si="301"/>
        <v>30.584782913456412</v>
      </c>
      <c r="AO1083">
        <f t="shared" si="302"/>
        <v>0.42438609215905282</v>
      </c>
      <c r="AP1083">
        <f t="shared" si="303"/>
        <v>30.428159047462977</v>
      </c>
    </row>
    <row r="1084" spans="1:42" x14ac:dyDescent="0.2">
      <c r="A1084" s="3">
        <v>1100</v>
      </c>
      <c r="B1084" s="3">
        <v>7.8299999999999996E-7</v>
      </c>
      <c r="C1084" s="2">
        <v>5.6399999999999999E-2</v>
      </c>
      <c r="D1084" s="3">
        <v>239000</v>
      </c>
      <c r="E1084" s="3">
        <v>91300000000</v>
      </c>
      <c r="F1084" s="3">
        <v>84100000000</v>
      </c>
      <c r="G1084" s="3">
        <v>2480000000</v>
      </c>
      <c r="H1084" s="3">
        <v>10100000000</v>
      </c>
      <c r="I1084" s="2"/>
      <c r="J1084" s="7">
        <f t="shared" si="287"/>
        <v>0.78299999999999992</v>
      </c>
      <c r="K1084" s="7">
        <f t="shared" si="288"/>
        <v>56.4</v>
      </c>
      <c r="L1084" s="7">
        <f t="shared" si="289"/>
        <v>91.300000000000011</v>
      </c>
      <c r="M1084" s="7">
        <f t="shared" si="290"/>
        <v>239</v>
      </c>
      <c r="O1084">
        <f t="shared" si="291"/>
        <v>0.60601255230125517</v>
      </c>
      <c r="P1084">
        <f t="shared" si="292"/>
        <v>606.01255230125514</v>
      </c>
      <c r="V1084">
        <f t="shared" si="293"/>
        <v>1092.2812816130843</v>
      </c>
      <c r="W1084">
        <f t="shared" si="294"/>
        <v>109.40405370997665</v>
      </c>
      <c r="AE1084">
        <f t="shared" si="295"/>
        <v>0.81050575312425366</v>
      </c>
      <c r="AF1084">
        <f t="shared" si="296"/>
        <v>0.78552766726872847</v>
      </c>
      <c r="AG1084">
        <f t="shared" si="297"/>
        <v>0.78754675859638212</v>
      </c>
      <c r="AI1084">
        <f t="shared" si="298"/>
        <v>0.4025264456697627</v>
      </c>
      <c r="AJ1084">
        <f t="shared" si="299"/>
        <v>27.32860064581768</v>
      </c>
      <c r="AL1084">
        <f t="shared" si="300"/>
        <v>0.41532591860751111</v>
      </c>
      <c r="AM1084">
        <f t="shared" si="301"/>
        <v>29.094213806594389</v>
      </c>
      <c r="AO1084">
        <f t="shared" si="302"/>
        <v>0.41426111711952734</v>
      </c>
      <c r="AP1084">
        <f t="shared" si="303"/>
        <v>28.945223105652591</v>
      </c>
    </row>
    <row r="1085" spans="1:42" x14ac:dyDescent="0.2">
      <c r="A1085" s="3">
        <v>1100</v>
      </c>
      <c r="B1085" s="3">
        <v>7.8299999999999996E-7</v>
      </c>
      <c r="C1085" s="2">
        <v>5.645E-2</v>
      </c>
      <c r="D1085" s="3">
        <v>202000</v>
      </c>
      <c r="E1085" s="3">
        <v>78400000000</v>
      </c>
      <c r="F1085" s="3">
        <v>73000000000</v>
      </c>
      <c r="G1085" s="3">
        <v>8270000000</v>
      </c>
      <c r="H1085" s="3">
        <v>10700000000</v>
      </c>
      <c r="I1085" s="2"/>
      <c r="J1085" s="7">
        <f t="shared" si="287"/>
        <v>0.78299999999999992</v>
      </c>
      <c r="K1085" s="7">
        <f t="shared" si="288"/>
        <v>56.45</v>
      </c>
      <c r="L1085" s="7">
        <f t="shared" si="289"/>
        <v>78.400000000000006</v>
      </c>
      <c r="M1085" s="7">
        <f t="shared" si="290"/>
        <v>202</v>
      </c>
      <c r="O1085">
        <f t="shared" si="291"/>
        <v>0.57340841584158408</v>
      </c>
      <c r="P1085">
        <f t="shared" si="292"/>
        <v>573.40841584158409</v>
      </c>
      <c r="V1085">
        <f t="shared" si="293"/>
        <v>1065.8454439549294</v>
      </c>
      <c r="W1085">
        <f t="shared" si="294"/>
        <v>94.7604557235138</v>
      </c>
      <c r="AE1085">
        <f t="shared" si="295"/>
        <v>0.68502996707572905</v>
      </c>
      <c r="AF1085">
        <f t="shared" si="296"/>
        <v>0.66391878154093376</v>
      </c>
      <c r="AG1085">
        <f t="shared" si="297"/>
        <v>0.66562529387644009</v>
      </c>
      <c r="AI1085">
        <f t="shared" si="298"/>
        <v>0.47625653720333311</v>
      </c>
      <c r="AJ1085">
        <f t="shared" si="299"/>
        <v>38.290875785147819</v>
      </c>
      <c r="AL1085">
        <f t="shared" si="300"/>
        <v>0.49140046805542148</v>
      </c>
      <c r="AM1085">
        <f t="shared" si="301"/>
        <v>40.76472635291443</v>
      </c>
      <c r="AO1085">
        <f t="shared" si="302"/>
        <v>0.49014062867112396</v>
      </c>
      <c r="AP1085">
        <f t="shared" si="303"/>
        <v>40.555971265274138</v>
      </c>
    </row>
    <row r="1086" spans="1:42" x14ac:dyDescent="0.2">
      <c r="A1086" s="3">
        <v>1100</v>
      </c>
      <c r="B1086" s="3">
        <v>7.8400000000000003E-7</v>
      </c>
      <c r="C1086" s="2">
        <v>5.6500000000000002E-2</v>
      </c>
      <c r="D1086" s="3">
        <v>245000</v>
      </c>
      <c r="E1086" s="3">
        <v>93300000000</v>
      </c>
      <c r="F1086" s="3">
        <v>85800000000</v>
      </c>
      <c r="G1086" s="3">
        <v>5080000000</v>
      </c>
      <c r="H1086" s="3">
        <v>10100000000</v>
      </c>
      <c r="I1086" s="2"/>
      <c r="J1086" s="7">
        <f t="shared" si="287"/>
        <v>0.78400000000000003</v>
      </c>
      <c r="K1086" s="7">
        <f t="shared" si="288"/>
        <v>56.5</v>
      </c>
      <c r="L1086" s="7">
        <f t="shared" si="289"/>
        <v>93.300000000000011</v>
      </c>
      <c r="M1086" s="7">
        <f t="shared" si="290"/>
        <v>245</v>
      </c>
      <c r="O1086">
        <f t="shared" si="291"/>
        <v>0.61104081632653062</v>
      </c>
      <c r="P1086">
        <f t="shared" si="292"/>
        <v>611.0408163265306</v>
      </c>
      <c r="V1086">
        <f t="shared" si="293"/>
        <v>1096.2871243465395</v>
      </c>
      <c r="W1086">
        <f t="shared" si="294"/>
        <v>111.74079972253455</v>
      </c>
      <c r="AE1086">
        <f t="shared" si="295"/>
        <v>0.83085317788887925</v>
      </c>
      <c r="AF1086">
        <f t="shared" si="296"/>
        <v>0.80524802711647903</v>
      </c>
      <c r="AG1086">
        <f t="shared" si="297"/>
        <v>0.80731780692934574</v>
      </c>
      <c r="AI1086">
        <f t="shared" si="298"/>
        <v>0.39317014769889475</v>
      </c>
      <c r="AJ1086">
        <f t="shared" si="299"/>
        <v>26.052557993912398</v>
      </c>
      <c r="AL1086">
        <f t="shared" si="300"/>
        <v>0.40567211053770691</v>
      </c>
      <c r="AM1086">
        <f t="shared" si="301"/>
        <v>27.735730135146415</v>
      </c>
      <c r="AO1086">
        <f t="shared" si="302"/>
        <v>0.40463205922479506</v>
      </c>
      <c r="AP1086">
        <f t="shared" si="303"/>
        <v>27.593696193227984</v>
      </c>
    </row>
    <row r="1087" spans="1:42" x14ac:dyDescent="0.2">
      <c r="A1087" s="3">
        <v>1100</v>
      </c>
      <c r="B1087" s="3">
        <v>7.85E-7</v>
      </c>
      <c r="C1087" s="2">
        <v>5.6559999999999999E-2</v>
      </c>
      <c r="D1087" s="3">
        <v>220000</v>
      </c>
      <c r="E1087" s="3">
        <v>84400000000</v>
      </c>
      <c r="F1087" s="3">
        <v>78300000000</v>
      </c>
      <c r="G1087" s="3">
        <v>9650000000</v>
      </c>
      <c r="H1087" s="3">
        <v>10400000000</v>
      </c>
      <c r="I1087" s="2"/>
      <c r="J1087" s="7">
        <f t="shared" si="287"/>
        <v>0.78500000000000003</v>
      </c>
      <c r="K1087" s="7">
        <f t="shared" si="288"/>
        <v>56.56</v>
      </c>
      <c r="L1087" s="7">
        <f t="shared" si="289"/>
        <v>84.4</v>
      </c>
      <c r="M1087" s="7">
        <f t="shared" si="290"/>
        <v>220</v>
      </c>
      <c r="O1087">
        <f t="shared" si="291"/>
        <v>0.59218181818181814</v>
      </c>
      <c r="P1087">
        <f t="shared" si="292"/>
        <v>592.18181818181813</v>
      </c>
      <c r="V1087">
        <f t="shared" si="293"/>
        <v>1081.1663708873216</v>
      </c>
      <c r="W1087">
        <f t="shared" si="294"/>
        <v>101.74197326330281</v>
      </c>
      <c r="AE1087">
        <f t="shared" si="295"/>
        <v>0.74607224136960593</v>
      </c>
      <c r="AF1087">
        <f t="shared" si="296"/>
        <v>0.7230798610841852</v>
      </c>
      <c r="AG1087">
        <f t="shared" si="297"/>
        <v>0.72493843887533083</v>
      </c>
      <c r="AI1087">
        <f t="shared" si="298"/>
        <v>0.43840705389720497</v>
      </c>
      <c r="AJ1087">
        <f t="shared" si="299"/>
        <v>32.344327918212713</v>
      </c>
      <c r="AL1087">
        <f t="shared" si="300"/>
        <v>0.45234745280127836</v>
      </c>
      <c r="AM1087">
        <f t="shared" si="301"/>
        <v>34.4339911171813</v>
      </c>
      <c r="AO1087">
        <f t="shared" si="302"/>
        <v>0.45118773649355703</v>
      </c>
      <c r="AP1087">
        <f t="shared" si="303"/>
        <v>34.257655557579078</v>
      </c>
    </row>
    <row r="1088" spans="1:42" x14ac:dyDescent="0.2">
      <c r="A1088" s="3">
        <v>1100</v>
      </c>
      <c r="B1088" s="3">
        <v>7.8599999999999997E-7</v>
      </c>
      <c r="C1088" s="2">
        <v>5.6610000000000001E-2</v>
      </c>
      <c r="D1088" s="3">
        <v>219000</v>
      </c>
      <c r="E1088" s="3">
        <v>84000000000</v>
      </c>
      <c r="F1088" s="3">
        <v>77900000000</v>
      </c>
      <c r="G1088" s="2">
        <v>0</v>
      </c>
      <c r="H1088" s="3">
        <v>10400000000</v>
      </c>
      <c r="I1088" s="2"/>
      <c r="J1088" s="7">
        <f t="shared" si="287"/>
        <v>0.78599999999999992</v>
      </c>
      <c r="K1088" s="7">
        <f t="shared" si="288"/>
        <v>56.61</v>
      </c>
      <c r="L1088" s="7">
        <f t="shared" si="289"/>
        <v>84</v>
      </c>
      <c r="M1088" s="7">
        <f t="shared" si="290"/>
        <v>219</v>
      </c>
      <c r="O1088">
        <f t="shared" si="291"/>
        <v>0.59213013698630124</v>
      </c>
      <c r="P1088">
        <f t="shared" si="292"/>
        <v>592.13013698630118</v>
      </c>
      <c r="V1088">
        <f t="shared" si="293"/>
        <v>1081.1245682290828</v>
      </c>
      <c r="W1088">
        <f t="shared" si="294"/>
        <v>101.28342581222121</v>
      </c>
      <c r="AE1088">
        <f t="shared" si="295"/>
        <v>0.74268100390883496</v>
      </c>
      <c r="AF1088">
        <f t="shared" si="296"/>
        <v>0.7197931344428935</v>
      </c>
      <c r="AG1088">
        <f t="shared" si="297"/>
        <v>0.72164326415317026</v>
      </c>
      <c r="AI1088">
        <f t="shared" si="298"/>
        <v>0.4409699430526986</v>
      </c>
      <c r="AJ1088">
        <f t="shared" si="299"/>
        <v>32.669238950166083</v>
      </c>
      <c r="AL1088">
        <f t="shared" si="300"/>
        <v>0.45499183630513357</v>
      </c>
      <c r="AM1088">
        <f t="shared" si="301"/>
        <v>34.779893607919291</v>
      </c>
      <c r="AO1088">
        <f t="shared" si="302"/>
        <v>0.45382534039767247</v>
      </c>
      <c r="AP1088">
        <f t="shared" si="303"/>
        <v>34.601786690792331</v>
      </c>
    </row>
    <row r="1089" spans="1:42" x14ac:dyDescent="0.2">
      <c r="A1089" s="3">
        <v>1100</v>
      </c>
      <c r="B1089" s="3">
        <v>7.8700000000000005E-7</v>
      </c>
      <c r="C1089" s="2">
        <v>5.6660000000000002E-2</v>
      </c>
      <c r="D1089" s="3">
        <v>223000</v>
      </c>
      <c r="E1089" s="3">
        <v>85500000000</v>
      </c>
      <c r="F1089" s="3">
        <v>79200000000</v>
      </c>
      <c r="G1089" s="3">
        <v>8610000000</v>
      </c>
      <c r="H1089" s="3">
        <v>10300000000</v>
      </c>
      <c r="I1089" s="2"/>
      <c r="J1089" s="7">
        <f t="shared" si="287"/>
        <v>0.78700000000000003</v>
      </c>
      <c r="K1089" s="7">
        <f t="shared" si="288"/>
        <v>56.660000000000004</v>
      </c>
      <c r="L1089" s="7">
        <f t="shared" si="289"/>
        <v>85.5</v>
      </c>
      <c r="M1089" s="7">
        <f t="shared" si="290"/>
        <v>223</v>
      </c>
      <c r="O1089">
        <f t="shared" si="291"/>
        <v>0.59643946188340813</v>
      </c>
      <c r="P1089">
        <f t="shared" si="292"/>
        <v>596.43946188340817</v>
      </c>
      <c r="V1089">
        <f t="shared" si="293"/>
        <v>1084.6032392222046</v>
      </c>
      <c r="W1089">
        <f t="shared" si="294"/>
        <v>102.80256961057884</v>
      </c>
      <c r="AE1089">
        <f t="shared" si="295"/>
        <v>0.75624595375191872</v>
      </c>
      <c r="AF1089">
        <f t="shared" si="296"/>
        <v>0.73294004100806054</v>
      </c>
      <c r="AG1089">
        <f t="shared" si="297"/>
        <v>0.73482396304181263</v>
      </c>
      <c r="AI1089">
        <f t="shared" si="298"/>
        <v>0.43361113542464985</v>
      </c>
      <c r="AJ1089">
        <f t="shared" si="299"/>
        <v>31.535588234960194</v>
      </c>
      <c r="AL1089">
        <f t="shared" si="300"/>
        <v>0.44739903446353041</v>
      </c>
      <c r="AM1089">
        <f t="shared" si="301"/>
        <v>33.573001359111579</v>
      </c>
      <c r="AO1089">
        <f t="shared" si="302"/>
        <v>0.44625200477846655</v>
      </c>
      <c r="AP1089">
        <f t="shared" si="303"/>
        <v>33.401074905334013</v>
      </c>
    </row>
    <row r="1090" spans="1:42" x14ac:dyDescent="0.2">
      <c r="A1090" s="3">
        <v>1100</v>
      </c>
      <c r="B1090" s="3">
        <v>7.8700000000000005E-7</v>
      </c>
      <c r="C1090" s="2">
        <v>5.6710000000000003E-2</v>
      </c>
      <c r="D1090" s="3">
        <v>240000</v>
      </c>
      <c r="E1090" s="3">
        <v>91300000000</v>
      </c>
      <c r="F1090" s="3">
        <v>84100000000</v>
      </c>
      <c r="G1090" s="3">
        <v>1650000000</v>
      </c>
      <c r="H1090" s="3">
        <v>10100000000</v>
      </c>
      <c r="I1090" s="2"/>
      <c r="J1090" s="7">
        <f t="shared" si="287"/>
        <v>0.78700000000000003</v>
      </c>
      <c r="K1090" s="7">
        <f t="shared" si="288"/>
        <v>56.71</v>
      </c>
      <c r="L1090" s="7">
        <f t="shared" si="289"/>
        <v>91.300000000000011</v>
      </c>
      <c r="M1090" s="7">
        <f t="shared" si="290"/>
        <v>240</v>
      </c>
      <c r="O1090">
        <f t="shared" si="291"/>
        <v>0.60978125000000005</v>
      </c>
      <c r="P1090">
        <f t="shared" si="292"/>
        <v>609.78125</v>
      </c>
      <c r="V1090">
        <f t="shared" si="293"/>
        <v>1095.2854005868039</v>
      </c>
      <c r="W1090">
        <f t="shared" si="294"/>
        <v>109.5604852723404</v>
      </c>
      <c r="AE1090">
        <f t="shared" si="295"/>
        <v>0.81389699058502463</v>
      </c>
      <c r="AF1090">
        <f t="shared" si="296"/>
        <v>0.78881439391002028</v>
      </c>
      <c r="AG1090">
        <f t="shared" si="297"/>
        <v>0.79084193331854269</v>
      </c>
      <c r="AI1090">
        <f t="shared" si="298"/>
        <v>0.40289701333207045</v>
      </c>
      <c r="AJ1090">
        <f t="shared" si="299"/>
        <v>27.250298010134642</v>
      </c>
      <c r="AL1090">
        <f t="shared" si="300"/>
        <v>0.41570826952236373</v>
      </c>
      <c r="AM1090">
        <f t="shared" si="301"/>
        <v>29.010852288977468</v>
      </c>
      <c r="AO1090">
        <f t="shared" si="302"/>
        <v>0.41464248777332519</v>
      </c>
      <c r="AP1090">
        <f t="shared" si="303"/>
        <v>28.862288480167006</v>
      </c>
    </row>
    <row r="1091" spans="1:42" x14ac:dyDescent="0.2">
      <c r="A1091" s="3">
        <v>1100</v>
      </c>
      <c r="B1091" s="3">
        <v>7.8800000000000002E-7</v>
      </c>
      <c r="C1091" s="2">
        <v>5.6759999999999998E-2</v>
      </c>
      <c r="D1091" s="3">
        <v>247000</v>
      </c>
      <c r="E1091" s="3">
        <v>93900000000</v>
      </c>
      <c r="F1091" s="3">
        <v>86300000000</v>
      </c>
      <c r="G1091" s="3">
        <v>1590000000</v>
      </c>
      <c r="H1091" s="3">
        <v>10000000000</v>
      </c>
      <c r="I1091" s="2"/>
      <c r="J1091" s="7">
        <f t="shared" si="287"/>
        <v>0.78800000000000003</v>
      </c>
      <c r="K1091" s="7">
        <f t="shared" si="288"/>
        <v>56.76</v>
      </c>
      <c r="L1091" s="7">
        <f t="shared" si="289"/>
        <v>93.9</v>
      </c>
      <c r="M1091" s="7">
        <f t="shared" si="290"/>
        <v>247</v>
      </c>
      <c r="O1091">
        <f t="shared" si="291"/>
        <v>0.61565182186234824</v>
      </c>
      <c r="P1091">
        <f t="shared" si="292"/>
        <v>615.65182186234824</v>
      </c>
      <c r="V1091">
        <f t="shared" si="293"/>
        <v>1099.9444446022524</v>
      </c>
      <c r="W1091">
        <f t="shared" si="294"/>
        <v>112.27839788277531</v>
      </c>
      <c r="AE1091">
        <f t="shared" si="295"/>
        <v>0.83763565281042118</v>
      </c>
      <c r="AF1091">
        <f t="shared" si="296"/>
        <v>0.81182148039906254</v>
      </c>
      <c r="AG1091">
        <f t="shared" si="297"/>
        <v>0.81390815637366687</v>
      </c>
      <c r="AI1091">
        <f t="shared" si="298"/>
        <v>0.39197631121802756</v>
      </c>
      <c r="AJ1091">
        <f t="shared" si="299"/>
        <v>25.750316566919231</v>
      </c>
      <c r="AL1091">
        <f t="shared" si="300"/>
        <v>0.40444031263121588</v>
      </c>
      <c r="AM1091">
        <f t="shared" si="301"/>
        <v>27.413961859773885</v>
      </c>
      <c r="AO1091">
        <f t="shared" si="302"/>
        <v>0.40340341936884938</v>
      </c>
      <c r="AP1091">
        <f t="shared" si="303"/>
        <v>27.273575684700347</v>
      </c>
    </row>
    <row r="1092" spans="1:42" x14ac:dyDescent="0.2">
      <c r="A1092" s="3">
        <v>1100</v>
      </c>
      <c r="B1092" s="3">
        <v>7.8899999999999998E-7</v>
      </c>
      <c r="C1092" s="2">
        <v>5.6820000000000002E-2</v>
      </c>
      <c r="D1092" s="3">
        <v>214000</v>
      </c>
      <c r="E1092" s="3">
        <v>82100000000</v>
      </c>
      <c r="F1092" s="3">
        <v>76300000000</v>
      </c>
      <c r="G1092" s="3">
        <v>5420000000</v>
      </c>
      <c r="H1092" s="3">
        <v>10500000000</v>
      </c>
      <c r="I1092" s="2"/>
      <c r="J1092" s="7">
        <f t="shared" si="287"/>
        <v>0.78900000000000003</v>
      </c>
      <c r="K1092" s="7">
        <f t="shared" si="288"/>
        <v>56.82</v>
      </c>
      <c r="L1092" s="7">
        <f t="shared" si="289"/>
        <v>82.100000000000009</v>
      </c>
      <c r="M1092" s="7">
        <f t="shared" si="290"/>
        <v>214</v>
      </c>
      <c r="O1092">
        <f t="shared" si="291"/>
        <v>0.58986448598130847</v>
      </c>
      <c r="P1092">
        <f t="shared" si="292"/>
        <v>589.86448598130846</v>
      </c>
      <c r="V1092">
        <f t="shared" si="293"/>
        <v>1079.289981000743</v>
      </c>
      <c r="W1092">
        <f t="shared" si="294"/>
        <v>99.139250695894617</v>
      </c>
      <c r="AE1092">
        <f t="shared" si="295"/>
        <v>0.72572481660498034</v>
      </c>
      <c r="AF1092">
        <f t="shared" si="296"/>
        <v>0.70335950123643476</v>
      </c>
      <c r="AG1092">
        <f t="shared" si="297"/>
        <v>0.70516739054236721</v>
      </c>
      <c r="AI1092">
        <f t="shared" si="298"/>
        <v>0.45299539505611547</v>
      </c>
      <c r="AJ1092">
        <f t="shared" si="299"/>
        <v>34.340591778497668</v>
      </c>
      <c r="AL1092">
        <f t="shared" si="300"/>
        <v>0.46739967174978203</v>
      </c>
      <c r="AM1092">
        <f t="shared" si="301"/>
        <v>36.55922717731584</v>
      </c>
      <c r="AO1092">
        <f t="shared" si="302"/>
        <v>0.46620136496548387</v>
      </c>
      <c r="AP1092">
        <f t="shared" si="303"/>
        <v>36.372008339946738</v>
      </c>
    </row>
    <row r="1093" spans="1:42" x14ac:dyDescent="0.2">
      <c r="A1093" s="3">
        <v>1100</v>
      </c>
      <c r="B1093" s="3">
        <v>7.8999999999999995E-7</v>
      </c>
      <c r="C1093" s="2">
        <v>5.6869999999999997E-2</v>
      </c>
      <c r="D1093" s="3">
        <v>225000</v>
      </c>
      <c r="E1093" s="3">
        <v>85900000000</v>
      </c>
      <c r="F1093" s="3">
        <v>79600000000</v>
      </c>
      <c r="G1093" s="3">
        <v>7790000000</v>
      </c>
      <c r="H1093" s="3">
        <v>10300000000</v>
      </c>
      <c r="I1093" s="2"/>
      <c r="J1093" s="7">
        <f t="shared" ref="J1093:J1156" si="304">B1093*(10^6)</f>
        <v>0.78999999999999992</v>
      </c>
      <c r="K1093" s="7">
        <f t="shared" ref="K1093:K1156" si="305">C1093*1000</f>
        <v>56.87</v>
      </c>
      <c r="L1093" s="7">
        <f t="shared" ref="L1093:L1156" si="306">E1093*(10^-9)</f>
        <v>85.9</v>
      </c>
      <c r="M1093" s="7">
        <f t="shared" ref="M1093:M1156" si="307">D1093*(10^-3)</f>
        <v>225</v>
      </c>
      <c r="O1093">
        <f t="shared" ref="O1093:O1156" si="308">J1093-(0.75*(K1093/M1093))</f>
        <v>0.60043333333333326</v>
      </c>
      <c r="P1093">
        <f t="shared" ref="P1093:P1156" si="309">O1093*1000</f>
        <v>600.43333333333328</v>
      </c>
      <c r="V1093">
        <f t="shared" ref="V1093:V1156" si="310">$S$3*(P1093^$S$4)</f>
        <v>1087.8147849662578</v>
      </c>
      <c r="W1093">
        <f t="shared" ref="W1093:W1156" si="311">M1093/(2*(V1093/1000))</f>
        <v>103.41834065390972</v>
      </c>
      <c r="AE1093">
        <f t="shared" si="295"/>
        <v>0.76302842867346055</v>
      </c>
      <c r="AF1093">
        <f t="shared" si="296"/>
        <v>0.73951349429064395</v>
      </c>
      <c r="AG1093">
        <f t="shared" si="297"/>
        <v>0.74141431248613376</v>
      </c>
      <c r="AI1093">
        <f t="shared" si="298"/>
        <v>0.43139502316962053</v>
      </c>
      <c r="AJ1093">
        <f t="shared" si="299"/>
        <v>31.092259538479006</v>
      </c>
      <c r="AL1093">
        <f t="shared" si="300"/>
        <v>0.44511245461776172</v>
      </c>
      <c r="AM1093">
        <f t="shared" si="301"/>
        <v>33.101030618670599</v>
      </c>
      <c r="AO1093">
        <f t="shared" si="302"/>
        <v>0.44397128720498341</v>
      </c>
      <c r="AP1093">
        <f t="shared" si="303"/>
        <v>32.931521114596833</v>
      </c>
    </row>
    <row r="1094" spans="1:42" x14ac:dyDescent="0.2">
      <c r="A1094" s="3">
        <v>1100</v>
      </c>
      <c r="B1094" s="3">
        <v>7.9100000000000003E-7</v>
      </c>
      <c r="C1094" s="2">
        <v>5.6919999999999998E-2</v>
      </c>
      <c r="D1094" s="3">
        <v>209000</v>
      </c>
      <c r="E1094" s="3">
        <v>80300000000</v>
      </c>
      <c r="F1094" s="3">
        <v>74700000000</v>
      </c>
      <c r="G1094" s="3">
        <v>6940000000</v>
      </c>
      <c r="H1094" s="3">
        <v>10500000000</v>
      </c>
      <c r="I1094" s="2"/>
      <c r="J1094" s="7">
        <f t="shared" si="304"/>
        <v>0.79100000000000004</v>
      </c>
      <c r="K1094" s="7">
        <f t="shared" si="305"/>
        <v>56.92</v>
      </c>
      <c r="L1094" s="7">
        <f t="shared" si="306"/>
        <v>80.300000000000011</v>
      </c>
      <c r="M1094" s="7">
        <f t="shared" si="307"/>
        <v>209</v>
      </c>
      <c r="O1094">
        <f t="shared" si="308"/>
        <v>0.58674162679425845</v>
      </c>
      <c r="P1094">
        <f t="shared" si="309"/>
        <v>586.74162679425842</v>
      </c>
      <c r="V1094">
        <f t="shared" si="310"/>
        <v>1076.7548334713026</v>
      </c>
      <c r="W1094">
        <f t="shared" si="311"/>
        <v>97.050876161945837</v>
      </c>
      <c r="AE1094">
        <f t="shared" si="295"/>
        <v>0.70876862930112561</v>
      </c>
      <c r="AF1094">
        <f t="shared" si="296"/>
        <v>0.68692586802997602</v>
      </c>
      <c r="AG1094">
        <f t="shared" si="297"/>
        <v>0.68869151693156427</v>
      </c>
      <c r="AI1094">
        <f t="shared" si="298"/>
        <v>0.4650083535134954</v>
      </c>
      <c r="AJ1094">
        <f t="shared" si="299"/>
        <v>36.06670033156108</v>
      </c>
      <c r="AL1094">
        <f t="shared" si="300"/>
        <v>0.47979461638057136</v>
      </c>
      <c r="AM1094">
        <f t="shared" si="301"/>
        <v>38.396854063048949</v>
      </c>
      <c r="AO1094">
        <f t="shared" si="302"/>
        <v>0.47856453176855995</v>
      </c>
      <c r="AP1094">
        <f t="shared" si="303"/>
        <v>38.200224786903433</v>
      </c>
    </row>
    <row r="1095" spans="1:42" x14ac:dyDescent="0.2">
      <c r="A1095" s="3">
        <v>1100</v>
      </c>
      <c r="B1095" s="3">
        <v>7.92E-7</v>
      </c>
      <c r="C1095" s="2">
        <v>5.697E-2</v>
      </c>
      <c r="D1095" s="3">
        <v>249000</v>
      </c>
      <c r="E1095" s="3">
        <v>94200000000</v>
      </c>
      <c r="F1095" s="3">
        <v>86600000000</v>
      </c>
      <c r="G1095" s="3">
        <v>5500000000</v>
      </c>
      <c r="H1095" s="3">
        <v>10000000000</v>
      </c>
      <c r="I1095" s="2"/>
      <c r="J1095" s="7">
        <f t="shared" si="304"/>
        <v>0.79200000000000004</v>
      </c>
      <c r="K1095" s="7">
        <f t="shared" si="305"/>
        <v>56.97</v>
      </c>
      <c r="L1095" s="7">
        <f t="shared" si="306"/>
        <v>94.2</v>
      </c>
      <c r="M1095" s="7">
        <f t="shared" si="307"/>
        <v>249</v>
      </c>
      <c r="O1095">
        <f t="shared" si="308"/>
        <v>0.62040361445783132</v>
      </c>
      <c r="P1095">
        <f t="shared" si="309"/>
        <v>620.40361445783128</v>
      </c>
      <c r="V1095">
        <f t="shared" si="310"/>
        <v>1103.6975054970824</v>
      </c>
      <c r="W1095">
        <f t="shared" si="311"/>
        <v>112.80264690271977</v>
      </c>
      <c r="AE1095">
        <f t="shared" si="295"/>
        <v>0.84441812773196301</v>
      </c>
      <c r="AF1095">
        <f t="shared" si="296"/>
        <v>0.81839493368164606</v>
      </c>
      <c r="AG1095">
        <f t="shared" si="297"/>
        <v>0.82049850581798811</v>
      </c>
      <c r="AI1095">
        <f t="shared" si="298"/>
        <v>0.39080165283323876</v>
      </c>
      <c r="AJ1095">
        <f t="shared" si="299"/>
        <v>25.432064567189876</v>
      </c>
      <c r="AL1095">
        <f t="shared" si="300"/>
        <v>0.40322830264290144</v>
      </c>
      <c r="AM1095">
        <f t="shared" si="301"/>
        <v>27.075148619955868</v>
      </c>
      <c r="AO1095">
        <f t="shared" si="302"/>
        <v>0.40219451669934447</v>
      </c>
      <c r="AP1095">
        <f t="shared" si="303"/>
        <v>26.936497498540231</v>
      </c>
    </row>
    <row r="1096" spans="1:42" x14ac:dyDescent="0.2">
      <c r="A1096" s="3">
        <v>1100</v>
      </c>
      <c r="B1096" s="3">
        <v>7.9299999999999997E-7</v>
      </c>
      <c r="C1096" s="2">
        <v>5.7029999999999997E-2</v>
      </c>
      <c r="D1096" s="3">
        <v>234000</v>
      </c>
      <c r="E1096" s="3">
        <v>88700000000</v>
      </c>
      <c r="F1096" s="3">
        <v>82000000000</v>
      </c>
      <c r="G1096" s="3">
        <v>5370000000</v>
      </c>
      <c r="H1096" s="3">
        <v>10200000000</v>
      </c>
      <c r="I1096" s="2"/>
      <c r="J1096" s="7">
        <f t="shared" si="304"/>
        <v>0.79299999999999993</v>
      </c>
      <c r="K1096" s="7">
        <f t="shared" si="305"/>
        <v>57.029999999999994</v>
      </c>
      <c r="L1096" s="7">
        <f t="shared" si="306"/>
        <v>88.7</v>
      </c>
      <c r="M1096" s="7">
        <f t="shared" si="307"/>
        <v>234</v>
      </c>
      <c r="O1096">
        <f t="shared" si="308"/>
        <v>0.61021153846153842</v>
      </c>
      <c r="P1096">
        <f t="shared" si="309"/>
        <v>610.21153846153845</v>
      </c>
      <c r="V1096">
        <f t="shared" si="310"/>
        <v>1095.6277353030716</v>
      </c>
      <c r="W1096">
        <f t="shared" si="311"/>
        <v>106.78809620279972</v>
      </c>
      <c r="AE1096">
        <f t="shared" si="295"/>
        <v>0.79354956582039904</v>
      </c>
      <c r="AF1096">
        <f t="shared" si="296"/>
        <v>0.76909403406226973</v>
      </c>
      <c r="AG1096">
        <f t="shared" si="297"/>
        <v>0.77107088498557919</v>
      </c>
      <c r="AI1096">
        <f t="shared" si="298"/>
        <v>0.416378107806121</v>
      </c>
      <c r="AJ1096">
        <f t="shared" si="299"/>
        <v>28.827418235211542</v>
      </c>
      <c r="AL1096">
        <f t="shared" si="300"/>
        <v>0.42961803372916879</v>
      </c>
      <c r="AM1096">
        <f t="shared" si="301"/>
        <v>30.689865189117086</v>
      </c>
      <c r="AO1096">
        <f t="shared" si="302"/>
        <v>0.42851659049848084</v>
      </c>
      <c r="AP1096">
        <f t="shared" si="303"/>
        <v>30.532703199563699</v>
      </c>
    </row>
    <row r="1097" spans="1:42" x14ac:dyDescent="0.2">
      <c r="A1097" s="3">
        <v>1100</v>
      </c>
      <c r="B1097" s="3">
        <v>7.9400000000000004E-7</v>
      </c>
      <c r="C1097" s="2">
        <v>5.7079999999999999E-2</v>
      </c>
      <c r="D1097" s="3">
        <v>234000</v>
      </c>
      <c r="E1097" s="3">
        <v>88900000000</v>
      </c>
      <c r="F1097" s="3">
        <v>82100000000</v>
      </c>
      <c r="G1097" s="3">
        <v>6200000000</v>
      </c>
      <c r="H1097" s="3">
        <v>10200000000</v>
      </c>
      <c r="I1097" s="2"/>
      <c r="J1097" s="7">
        <f t="shared" si="304"/>
        <v>0.79400000000000004</v>
      </c>
      <c r="K1097" s="7">
        <f t="shared" si="305"/>
        <v>57.08</v>
      </c>
      <c r="L1097" s="7">
        <f t="shared" si="306"/>
        <v>88.9</v>
      </c>
      <c r="M1097" s="7">
        <f t="shared" si="307"/>
        <v>234</v>
      </c>
      <c r="O1097">
        <f t="shared" si="308"/>
        <v>0.61105128205128212</v>
      </c>
      <c r="P1097">
        <f t="shared" si="309"/>
        <v>611.0512820512821</v>
      </c>
      <c r="V1097">
        <f t="shared" si="310"/>
        <v>1096.2954428396656</v>
      </c>
      <c r="W1097">
        <f t="shared" si="311"/>
        <v>106.72305605589513</v>
      </c>
      <c r="AE1097">
        <f t="shared" si="295"/>
        <v>0.79354956582039904</v>
      </c>
      <c r="AF1097">
        <f t="shared" si="296"/>
        <v>0.76909403406226973</v>
      </c>
      <c r="AG1097">
        <f t="shared" si="297"/>
        <v>0.77107088498557919</v>
      </c>
      <c r="AI1097">
        <f t="shared" si="298"/>
        <v>0.41690317477687283</v>
      </c>
      <c r="AJ1097">
        <f t="shared" si="299"/>
        <v>28.852692142133524</v>
      </c>
      <c r="AL1097">
        <f t="shared" si="300"/>
        <v>0.43015979669730142</v>
      </c>
      <c r="AM1097">
        <f t="shared" si="301"/>
        <v>30.716771962034077</v>
      </c>
      <c r="AO1097">
        <f t="shared" si="302"/>
        <v>0.42905696450919778</v>
      </c>
      <c r="AP1097">
        <f t="shared" si="303"/>
        <v>30.559472183606804</v>
      </c>
    </row>
    <row r="1098" spans="1:42" x14ac:dyDescent="0.2">
      <c r="A1098" s="3">
        <v>1100</v>
      </c>
      <c r="B1098" s="3">
        <v>7.9500000000000001E-7</v>
      </c>
      <c r="C1098" s="2">
        <v>5.713E-2</v>
      </c>
      <c r="D1098" s="3">
        <v>230000</v>
      </c>
      <c r="E1098" s="3">
        <v>87300000000</v>
      </c>
      <c r="F1098" s="3">
        <v>80700000000</v>
      </c>
      <c r="G1098" s="3">
        <v>7830000000</v>
      </c>
      <c r="H1098" s="3">
        <v>10200000000</v>
      </c>
      <c r="I1098" s="2"/>
      <c r="J1098" s="7">
        <f t="shared" si="304"/>
        <v>0.79500000000000004</v>
      </c>
      <c r="K1098" s="7">
        <f t="shared" si="305"/>
        <v>57.13</v>
      </c>
      <c r="L1098" s="7">
        <f t="shared" si="306"/>
        <v>87.300000000000011</v>
      </c>
      <c r="M1098" s="7">
        <f t="shared" si="307"/>
        <v>230</v>
      </c>
      <c r="O1098">
        <f t="shared" si="308"/>
        <v>0.60870652173913042</v>
      </c>
      <c r="P1098">
        <f t="shared" si="309"/>
        <v>608.70652173913038</v>
      </c>
      <c r="V1098">
        <f t="shared" si="310"/>
        <v>1094.429765582006</v>
      </c>
      <c r="W1098">
        <f t="shared" si="311"/>
        <v>105.07755144876222</v>
      </c>
      <c r="AE1098">
        <f t="shared" si="295"/>
        <v>0.77998461597731528</v>
      </c>
      <c r="AF1098">
        <f t="shared" si="296"/>
        <v>0.7559471274971028</v>
      </c>
      <c r="AG1098">
        <f t="shared" si="297"/>
        <v>0.75789018609693681</v>
      </c>
      <c r="AI1098">
        <f t="shared" si="298"/>
        <v>0.42468786334323544</v>
      </c>
      <c r="AJ1098">
        <f t="shared" si="299"/>
        <v>29.891151398527096</v>
      </c>
      <c r="AL1098">
        <f t="shared" si="300"/>
        <v>0.43819202157265896</v>
      </c>
      <c r="AM1098">
        <f t="shared" si="301"/>
        <v>31.822322737447642</v>
      </c>
      <c r="AO1098">
        <f t="shared" si="302"/>
        <v>0.43706859658113056</v>
      </c>
      <c r="AP1098">
        <f t="shared" si="303"/>
        <v>31.659361462681254</v>
      </c>
    </row>
    <row r="1099" spans="1:42" x14ac:dyDescent="0.2">
      <c r="A1099" s="3">
        <v>1100</v>
      </c>
      <c r="B1099" s="3">
        <v>7.9500000000000001E-7</v>
      </c>
      <c r="C1099" s="2">
        <v>5.7180000000000002E-2</v>
      </c>
      <c r="D1099" s="3">
        <v>229000</v>
      </c>
      <c r="E1099" s="3">
        <v>86900000000</v>
      </c>
      <c r="F1099" s="3">
        <v>80400000000</v>
      </c>
      <c r="G1099" s="3">
        <v>6140000000</v>
      </c>
      <c r="H1099" s="3">
        <v>10200000000</v>
      </c>
      <c r="I1099" s="2"/>
      <c r="J1099" s="7">
        <f t="shared" si="304"/>
        <v>0.79500000000000004</v>
      </c>
      <c r="K1099" s="7">
        <f t="shared" si="305"/>
        <v>57.18</v>
      </c>
      <c r="L1099" s="7">
        <f t="shared" si="306"/>
        <v>86.9</v>
      </c>
      <c r="M1099" s="7">
        <f t="shared" si="307"/>
        <v>229</v>
      </c>
      <c r="O1099">
        <f t="shared" si="308"/>
        <v>0.60772925764192143</v>
      </c>
      <c r="P1099">
        <f t="shared" si="309"/>
        <v>607.72925764192144</v>
      </c>
      <c r="V1099">
        <f t="shared" si="310"/>
        <v>1093.6509950433094</v>
      </c>
      <c r="W1099">
        <f t="shared" si="311"/>
        <v>104.69519117062178</v>
      </c>
      <c r="AE1099">
        <f t="shared" si="295"/>
        <v>0.77659337851654431</v>
      </c>
      <c r="AF1099">
        <f t="shared" si="296"/>
        <v>0.75266040085581098</v>
      </c>
      <c r="AG1099">
        <f t="shared" si="297"/>
        <v>0.75459501137477614</v>
      </c>
      <c r="AI1099">
        <f t="shared" si="298"/>
        <v>0.42654239549757272</v>
      </c>
      <c r="AJ1099">
        <f t="shared" si="299"/>
        <v>30.179169104889372</v>
      </c>
      <c r="AL1099">
        <f t="shared" si="300"/>
        <v>0.44010552385026885</v>
      </c>
      <c r="AM1099">
        <f t="shared" si="301"/>
        <v>32.128948343258571</v>
      </c>
      <c r="AO1099">
        <f t="shared" si="302"/>
        <v>0.43897719307275129</v>
      </c>
      <c r="AP1099">
        <f t="shared" si="303"/>
        <v>31.96441684685843</v>
      </c>
    </row>
    <row r="1100" spans="1:42" x14ac:dyDescent="0.2">
      <c r="A1100" s="3">
        <v>1100</v>
      </c>
      <c r="B1100" s="3">
        <v>7.9599999999999998E-7</v>
      </c>
      <c r="C1100" s="2">
        <v>5.7230000000000003E-2</v>
      </c>
      <c r="D1100" s="3">
        <v>245000</v>
      </c>
      <c r="E1100" s="3">
        <v>92500000000</v>
      </c>
      <c r="F1100" s="3">
        <v>85100000000</v>
      </c>
      <c r="G1100" s="3">
        <v>738000000</v>
      </c>
      <c r="H1100" s="3">
        <v>10000000000</v>
      </c>
      <c r="I1100" s="2"/>
      <c r="J1100" s="7">
        <f t="shared" si="304"/>
        <v>0.79599999999999993</v>
      </c>
      <c r="K1100" s="7">
        <f t="shared" si="305"/>
        <v>57.230000000000004</v>
      </c>
      <c r="L1100" s="7">
        <f t="shared" si="306"/>
        <v>92.5</v>
      </c>
      <c r="M1100" s="7">
        <f t="shared" si="307"/>
        <v>245</v>
      </c>
      <c r="O1100">
        <f t="shared" si="308"/>
        <v>0.62080612244897948</v>
      </c>
      <c r="P1100">
        <f t="shared" si="309"/>
        <v>620.80612244897952</v>
      </c>
      <c r="V1100">
        <f t="shared" si="310"/>
        <v>1104.014677710129</v>
      </c>
      <c r="W1100">
        <f t="shared" si="311"/>
        <v>110.95866972899404</v>
      </c>
      <c r="AE1100">
        <f t="shared" si="295"/>
        <v>0.83085317788887925</v>
      </c>
      <c r="AF1100">
        <f t="shared" si="296"/>
        <v>0.80524802711647903</v>
      </c>
      <c r="AG1100">
        <f t="shared" si="297"/>
        <v>0.80731780692934574</v>
      </c>
      <c r="AI1100">
        <f t="shared" si="298"/>
        <v>0.39918805812285735</v>
      </c>
      <c r="AJ1100">
        <f t="shared" si="299"/>
        <v>26.389166265338172</v>
      </c>
      <c r="AL1100">
        <f t="shared" si="300"/>
        <v>0.41188137753573301</v>
      </c>
      <c r="AM1100">
        <f t="shared" si="301"/>
        <v>28.094085586450078</v>
      </c>
      <c r="AO1100">
        <f t="shared" si="302"/>
        <v>0.41082540707007248</v>
      </c>
      <c r="AP1100">
        <f t="shared" si="303"/>
        <v>27.950216515724559</v>
      </c>
    </row>
    <row r="1101" spans="1:42" x14ac:dyDescent="0.2">
      <c r="A1101" s="3">
        <v>1100</v>
      </c>
      <c r="B1101" s="3">
        <v>7.9800000000000003E-7</v>
      </c>
      <c r="C1101" s="2">
        <v>5.7279999999999998E-2</v>
      </c>
      <c r="D1101" s="3">
        <v>247000</v>
      </c>
      <c r="E1101" s="3">
        <v>93300000000</v>
      </c>
      <c r="F1101" s="3">
        <v>85800000000</v>
      </c>
      <c r="G1101" s="3">
        <v>3830000000</v>
      </c>
      <c r="H1101" s="3">
        <v>9990000000</v>
      </c>
      <c r="I1101" s="2"/>
      <c r="J1101" s="7">
        <f t="shared" si="304"/>
        <v>0.79800000000000004</v>
      </c>
      <c r="K1101" s="7">
        <f t="shared" si="305"/>
        <v>57.28</v>
      </c>
      <c r="L1101" s="7">
        <f t="shared" si="306"/>
        <v>93.300000000000011</v>
      </c>
      <c r="M1101" s="7">
        <f t="shared" si="307"/>
        <v>247</v>
      </c>
      <c r="O1101">
        <f t="shared" si="308"/>
        <v>0.62407287449392723</v>
      </c>
      <c r="P1101">
        <f t="shared" si="309"/>
        <v>624.0728744939272</v>
      </c>
      <c r="V1101">
        <f t="shared" si="310"/>
        <v>1106.5846189487047</v>
      </c>
      <c r="W1101">
        <f t="shared" si="311"/>
        <v>111.60465985631487</v>
      </c>
      <c r="AE1101">
        <f t="shared" si="295"/>
        <v>0.83763565281042118</v>
      </c>
      <c r="AF1101">
        <f t="shared" si="296"/>
        <v>0.81182148039906254</v>
      </c>
      <c r="AG1101">
        <f t="shared" si="297"/>
        <v>0.81390815637366687</v>
      </c>
      <c r="AI1101">
        <f t="shared" si="298"/>
        <v>0.39695062988830709</v>
      </c>
      <c r="AJ1101">
        <f t="shared" si="299"/>
        <v>25.986225034410388</v>
      </c>
      <c r="AL1101">
        <f t="shared" si="300"/>
        <v>0.40957280390826178</v>
      </c>
      <c r="AM1101">
        <f t="shared" si="301"/>
        <v>27.66511161606498</v>
      </c>
      <c r="AO1101">
        <f t="shared" si="302"/>
        <v>0.4085227521019566</v>
      </c>
      <c r="AP1101">
        <f t="shared" si="303"/>
        <v>27.523439309718746</v>
      </c>
    </row>
    <row r="1102" spans="1:42" x14ac:dyDescent="0.2">
      <c r="A1102" s="3">
        <v>1100</v>
      </c>
      <c r="B1102" s="3">
        <v>7.9800000000000003E-7</v>
      </c>
      <c r="C1102" s="2">
        <v>5.7340000000000002E-2</v>
      </c>
      <c r="D1102" s="3">
        <v>250000</v>
      </c>
      <c r="E1102" s="3">
        <v>94000000000</v>
      </c>
      <c r="F1102" s="3">
        <v>86500000000</v>
      </c>
      <c r="G1102" s="3">
        <v>7480000000</v>
      </c>
      <c r="H1102" s="3">
        <v>9970000000</v>
      </c>
      <c r="I1102" s="2"/>
      <c r="J1102" s="7">
        <f t="shared" si="304"/>
        <v>0.79800000000000004</v>
      </c>
      <c r="K1102" s="7">
        <f t="shared" si="305"/>
        <v>57.34</v>
      </c>
      <c r="L1102" s="7">
        <f t="shared" si="306"/>
        <v>94</v>
      </c>
      <c r="M1102" s="7">
        <f t="shared" si="307"/>
        <v>250</v>
      </c>
      <c r="O1102">
        <f t="shared" si="308"/>
        <v>0.62597999999999998</v>
      </c>
      <c r="P1102">
        <f t="shared" si="309"/>
        <v>625.98</v>
      </c>
      <c r="V1102">
        <f t="shared" si="310"/>
        <v>1108.0814843616065</v>
      </c>
      <c r="W1102">
        <f t="shared" si="311"/>
        <v>112.80758839862362</v>
      </c>
      <c r="AE1102">
        <f t="shared" si="295"/>
        <v>0.84780936519273398</v>
      </c>
      <c r="AF1102">
        <f t="shared" si="296"/>
        <v>0.82168166032293777</v>
      </c>
      <c r="AG1102">
        <f t="shared" si="297"/>
        <v>0.82379368054014868</v>
      </c>
      <c r="AI1102">
        <f t="shared" si="298"/>
        <v>0.39218722232964748</v>
      </c>
      <c r="AJ1102">
        <f t="shared" si="299"/>
        <v>25.392868492499961</v>
      </c>
      <c r="AL1102">
        <f t="shared" si="300"/>
        <v>0.40465793026136265</v>
      </c>
      <c r="AM1102">
        <f t="shared" si="301"/>
        <v>27.033420212702715</v>
      </c>
      <c r="AO1102">
        <f t="shared" si="302"/>
        <v>0.4036204790767331</v>
      </c>
      <c r="AP1102">
        <f t="shared" si="303"/>
        <v>26.894982781359168</v>
      </c>
    </row>
    <row r="1103" spans="1:42" x14ac:dyDescent="0.2">
      <c r="A1103" s="3">
        <v>1100</v>
      </c>
      <c r="B1103" s="3">
        <v>7.9899999999999999E-7</v>
      </c>
      <c r="C1103" s="2">
        <v>5.7389999999999997E-2</v>
      </c>
      <c r="D1103" s="3">
        <v>235000</v>
      </c>
      <c r="E1103" s="3">
        <v>89000000000</v>
      </c>
      <c r="F1103" s="3">
        <v>82200000000</v>
      </c>
      <c r="G1103" s="3">
        <v>6030000000</v>
      </c>
      <c r="H1103" s="3">
        <v>10100000000</v>
      </c>
      <c r="I1103" s="2"/>
      <c r="J1103" s="7">
        <f t="shared" si="304"/>
        <v>0.79900000000000004</v>
      </c>
      <c r="K1103" s="7">
        <f t="shared" si="305"/>
        <v>57.389999999999993</v>
      </c>
      <c r="L1103" s="7">
        <f t="shared" si="306"/>
        <v>89</v>
      </c>
      <c r="M1103" s="7">
        <f t="shared" si="307"/>
        <v>235</v>
      </c>
      <c r="O1103">
        <f t="shared" si="308"/>
        <v>0.61584042553191498</v>
      </c>
      <c r="P1103">
        <f t="shared" si="309"/>
        <v>615.840425531915</v>
      </c>
      <c r="V1103">
        <f t="shared" si="310"/>
        <v>1100.093714420922</v>
      </c>
      <c r="W1103">
        <f t="shared" si="311"/>
        <v>106.80908222609997</v>
      </c>
      <c r="AE1103">
        <f t="shared" si="295"/>
        <v>0.7969408032811699</v>
      </c>
      <c r="AF1103">
        <f t="shared" si="296"/>
        <v>0.77238076070356154</v>
      </c>
      <c r="AG1103">
        <f t="shared" si="297"/>
        <v>0.77436605970773975</v>
      </c>
      <c r="AI1103">
        <f t="shared" si="298"/>
        <v>0.41774328193007565</v>
      </c>
      <c r="AJ1103">
        <f t="shared" si="299"/>
        <v>28.763027230940107</v>
      </c>
      <c r="AL1103">
        <f t="shared" si="300"/>
        <v>0.43102661744631354</v>
      </c>
      <c r="AM1103">
        <f t="shared" si="301"/>
        <v>30.621314088759835</v>
      </c>
      <c r="AO1103">
        <f t="shared" si="302"/>
        <v>0.42992156292634481</v>
      </c>
      <c r="AP1103">
        <f t="shared" si="303"/>
        <v>30.464503147581929</v>
      </c>
    </row>
    <row r="1104" spans="1:42" x14ac:dyDescent="0.2">
      <c r="A1104" s="3">
        <v>1100</v>
      </c>
      <c r="B1104" s="3">
        <v>7.9999999999999996E-7</v>
      </c>
      <c r="C1104" s="2">
        <v>5.7439999999999998E-2</v>
      </c>
      <c r="D1104" s="3">
        <v>224000</v>
      </c>
      <c r="E1104" s="3">
        <v>85000000000</v>
      </c>
      <c r="F1104" s="3">
        <v>78700000000</v>
      </c>
      <c r="G1104" s="3">
        <v>1420000000</v>
      </c>
      <c r="H1104" s="3">
        <v>10300000000</v>
      </c>
      <c r="I1104" s="2"/>
      <c r="J1104" s="7">
        <f t="shared" si="304"/>
        <v>0.79999999999999993</v>
      </c>
      <c r="K1104" s="7">
        <f t="shared" si="305"/>
        <v>57.44</v>
      </c>
      <c r="L1104" s="7">
        <f t="shared" si="306"/>
        <v>85</v>
      </c>
      <c r="M1104" s="7">
        <f t="shared" si="307"/>
        <v>224</v>
      </c>
      <c r="O1104">
        <f t="shared" si="308"/>
        <v>0.6076785714285714</v>
      </c>
      <c r="P1104">
        <f t="shared" si="309"/>
        <v>607.67857142857144</v>
      </c>
      <c r="V1104">
        <f t="shared" si="310"/>
        <v>1093.6105847618655</v>
      </c>
      <c r="W1104">
        <f t="shared" si="311"/>
        <v>102.41305411687111</v>
      </c>
      <c r="AE1104">
        <f t="shared" ref="AE1104:AE1167" si="312">M1104/(2*$Y$5)</f>
        <v>0.75963719121268969</v>
      </c>
      <c r="AF1104">
        <f t="shared" ref="AF1104:AF1167" si="313">M1104/(2*$Y$8)</f>
        <v>0.73622676764935224</v>
      </c>
      <c r="AG1104">
        <f t="shared" ref="AG1104:AG1167" si="314">M1104/(2*$Y$11)</f>
        <v>0.7381191377639732</v>
      </c>
      <c r="AI1104">
        <f t="shared" ref="AI1104:AI1167" si="315">J1104/(2.4*AE1104)</f>
        <v>0.43880596841394492</v>
      </c>
      <c r="AJ1104">
        <f t="shared" ref="AJ1104:AJ1167" si="316">K1104/(3.14159*(AE1104^2))</f>
        <v>31.684910652026609</v>
      </c>
      <c r="AL1104">
        <f t="shared" ref="AL1104:AL1167" si="317">J1104/(2.4*AF1104)</f>
        <v>0.45275905193940497</v>
      </c>
      <c r="AM1104">
        <f t="shared" ref="AM1104:AM1167" si="318">K1104/(3.14159*(AF1104^2))</f>
        <v>33.731971018208</v>
      </c>
      <c r="AO1104">
        <f t="shared" ref="AO1104:AO1167" si="319">J1104/(2.4*AG1104)</f>
        <v>0.45159828038481592</v>
      </c>
      <c r="AP1104">
        <f t="shared" ref="AP1104:AP1167" si="320">K1104/(3.14159*(AG1104^2))</f>
        <v>33.559230485002324</v>
      </c>
    </row>
    <row r="1105" spans="1:42" x14ac:dyDescent="0.2">
      <c r="A1105" s="3">
        <v>1100</v>
      </c>
      <c r="B1105" s="3">
        <v>7.9999999999999996E-7</v>
      </c>
      <c r="C1105" s="2">
        <v>5.7489999999999999E-2</v>
      </c>
      <c r="D1105" s="3">
        <v>231000</v>
      </c>
      <c r="E1105" s="3">
        <v>87200000000</v>
      </c>
      <c r="F1105" s="3">
        <v>80700000000</v>
      </c>
      <c r="G1105" s="3">
        <v>5820000000</v>
      </c>
      <c r="H1105" s="3">
        <v>10200000000</v>
      </c>
      <c r="I1105" s="2"/>
      <c r="J1105" s="7">
        <f t="shared" si="304"/>
        <v>0.79999999999999993</v>
      </c>
      <c r="K1105" s="7">
        <f t="shared" si="305"/>
        <v>57.49</v>
      </c>
      <c r="L1105" s="7">
        <f t="shared" si="306"/>
        <v>87.2</v>
      </c>
      <c r="M1105" s="7">
        <f t="shared" si="307"/>
        <v>231</v>
      </c>
      <c r="O1105">
        <f t="shared" si="308"/>
        <v>0.6133441558441558</v>
      </c>
      <c r="P1105">
        <f t="shared" si="309"/>
        <v>613.34415584415581</v>
      </c>
      <c r="V1105">
        <f t="shared" si="310"/>
        <v>1098.1159829187118</v>
      </c>
      <c r="W1105">
        <f t="shared" si="311"/>
        <v>105.18014653881048</v>
      </c>
      <c r="AE1105">
        <f t="shared" si="312"/>
        <v>0.78337585343808624</v>
      </c>
      <c r="AF1105">
        <f t="shared" si="313"/>
        <v>0.7592338541383945</v>
      </c>
      <c r="AG1105">
        <f t="shared" si="314"/>
        <v>0.76118536081909738</v>
      </c>
      <c r="AI1105">
        <f t="shared" si="315"/>
        <v>0.42550881785594658</v>
      </c>
      <c r="AJ1105">
        <f t="shared" si="316"/>
        <v>29.819643089962842</v>
      </c>
      <c r="AL1105">
        <f t="shared" si="317"/>
        <v>0.43903908066851394</v>
      </c>
      <c r="AM1105">
        <f t="shared" si="318"/>
        <v>31.74619450661433</v>
      </c>
      <c r="AO1105">
        <f t="shared" si="319"/>
        <v>0.43791348400951846</v>
      </c>
      <c r="AP1105">
        <f t="shared" si="320"/>
        <v>31.583623082508581</v>
      </c>
    </row>
    <row r="1106" spans="1:42" x14ac:dyDescent="0.2">
      <c r="A1106" s="3">
        <v>1100</v>
      </c>
      <c r="B1106" s="3">
        <v>8.0200000000000001E-7</v>
      </c>
      <c r="C1106" s="2">
        <v>5.7549999999999997E-2</v>
      </c>
      <c r="D1106" s="3">
        <v>221000</v>
      </c>
      <c r="E1106" s="3">
        <v>83600000000</v>
      </c>
      <c r="F1106" s="3">
        <v>77600000000</v>
      </c>
      <c r="G1106" s="3">
        <v>1920000000</v>
      </c>
      <c r="H1106" s="3">
        <v>10300000000</v>
      </c>
      <c r="I1106" s="2"/>
      <c r="J1106" s="7">
        <f t="shared" si="304"/>
        <v>0.80200000000000005</v>
      </c>
      <c r="K1106" s="7">
        <f t="shared" si="305"/>
        <v>57.55</v>
      </c>
      <c r="L1106" s="7">
        <f t="shared" si="306"/>
        <v>83.600000000000009</v>
      </c>
      <c r="M1106" s="7">
        <f t="shared" si="307"/>
        <v>221</v>
      </c>
      <c r="O1106">
        <f t="shared" si="308"/>
        <v>0.60669457013574668</v>
      </c>
      <c r="P1106">
        <f t="shared" si="309"/>
        <v>606.69457013574663</v>
      </c>
      <c r="V1106">
        <f t="shared" si="310"/>
        <v>1092.8257038781949</v>
      </c>
      <c r="W1106">
        <f t="shared" si="311"/>
        <v>101.11401992821008</v>
      </c>
      <c r="AE1106">
        <f t="shared" si="312"/>
        <v>0.74946347883037678</v>
      </c>
      <c r="AF1106">
        <f t="shared" si="313"/>
        <v>0.72636658772547702</v>
      </c>
      <c r="AG1106">
        <f t="shared" si="314"/>
        <v>0.72823361359749139</v>
      </c>
      <c r="AI1106">
        <f t="shared" si="315"/>
        <v>0.44587451704540942</v>
      </c>
      <c r="AJ1106">
        <f t="shared" si="316"/>
        <v>32.613309567380099</v>
      </c>
      <c r="AL1106">
        <f t="shared" si="317"/>
        <v>0.46005236517426601</v>
      </c>
      <c r="AM1106">
        <f t="shared" si="318"/>
        <v>34.720350807249197</v>
      </c>
      <c r="AO1106">
        <f t="shared" si="319"/>
        <v>0.4588728952181641</v>
      </c>
      <c r="AP1106">
        <f t="shared" si="320"/>
        <v>34.542548807232805</v>
      </c>
    </row>
    <row r="1107" spans="1:42" x14ac:dyDescent="0.2">
      <c r="A1107" s="3">
        <v>1100</v>
      </c>
      <c r="B1107" s="3">
        <v>8.0299999999999998E-7</v>
      </c>
      <c r="C1107" s="2">
        <v>5.7599999999999998E-2</v>
      </c>
      <c r="D1107" s="3">
        <v>240000</v>
      </c>
      <c r="E1107" s="3">
        <v>90400000000</v>
      </c>
      <c r="F1107" s="3">
        <v>83400000000</v>
      </c>
      <c r="G1107" s="3">
        <v>4040000000</v>
      </c>
      <c r="H1107" s="3">
        <v>10100000000</v>
      </c>
      <c r="I1107" s="2"/>
      <c r="J1107" s="7">
        <f t="shared" si="304"/>
        <v>0.80299999999999994</v>
      </c>
      <c r="K1107" s="7">
        <f t="shared" si="305"/>
        <v>57.6</v>
      </c>
      <c r="L1107" s="7">
        <f t="shared" si="306"/>
        <v>90.4</v>
      </c>
      <c r="M1107" s="7">
        <f t="shared" si="307"/>
        <v>240</v>
      </c>
      <c r="O1107">
        <f t="shared" si="308"/>
        <v>0.62299999999999989</v>
      </c>
      <c r="P1107">
        <f t="shared" si="309"/>
        <v>622.99999999999989</v>
      </c>
      <c r="V1107">
        <f t="shared" si="310"/>
        <v>1105.741420812607</v>
      </c>
      <c r="W1107">
        <f t="shared" si="311"/>
        <v>108.52446850712371</v>
      </c>
      <c r="AE1107">
        <f t="shared" si="312"/>
        <v>0.81389699058502463</v>
      </c>
      <c r="AF1107">
        <f t="shared" si="313"/>
        <v>0.78881439391002028</v>
      </c>
      <c r="AG1107">
        <f t="shared" si="314"/>
        <v>0.79084193331854269</v>
      </c>
      <c r="AI1107">
        <f t="shared" si="315"/>
        <v>0.41108805807579735</v>
      </c>
      <c r="AJ1107">
        <f t="shared" si="316"/>
        <v>27.677960948399846</v>
      </c>
      <c r="AL1107">
        <f t="shared" si="317"/>
        <v>0.42415977182523257</v>
      </c>
      <c r="AM1107">
        <f t="shared" si="318"/>
        <v>29.466145156852445</v>
      </c>
      <c r="AO1107">
        <f t="shared" si="319"/>
        <v>0.4230723223405084</v>
      </c>
      <c r="AP1107">
        <f t="shared" si="320"/>
        <v>29.315249805283365</v>
      </c>
    </row>
    <row r="1108" spans="1:42" x14ac:dyDescent="0.2">
      <c r="A1108" s="3">
        <v>1100</v>
      </c>
      <c r="B1108" s="3">
        <v>8.0400000000000005E-7</v>
      </c>
      <c r="C1108" s="2">
        <v>5.765E-2</v>
      </c>
      <c r="D1108" s="3">
        <v>254000</v>
      </c>
      <c r="E1108" s="3">
        <v>95300000000</v>
      </c>
      <c r="F1108" s="3">
        <v>87500000000</v>
      </c>
      <c r="G1108" s="2">
        <v>0</v>
      </c>
      <c r="H1108" s="3">
        <v>9900000000</v>
      </c>
      <c r="I1108" s="2"/>
      <c r="J1108" s="7">
        <f t="shared" si="304"/>
        <v>0.80400000000000005</v>
      </c>
      <c r="K1108" s="7">
        <f t="shared" si="305"/>
        <v>57.65</v>
      </c>
      <c r="L1108" s="7">
        <f t="shared" si="306"/>
        <v>95.300000000000011</v>
      </c>
      <c r="M1108" s="7">
        <f t="shared" si="307"/>
        <v>254</v>
      </c>
      <c r="O1108">
        <f t="shared" si="308"/>
        <v>0.63377362204724408</v>
      </c>
      <c r="P1108">
        <f t="shared" si="309"/>
        <v>633.77362204724409</v>
      </c>
      <c r="V1108">
        <f t="shared" si="310"/>
        <v>1114.1722959431402</v>
      </c>
      <c r="W1108">
        <f t="shared" si="311"/>
        <v>113.98596111429541</v>
      </c>
      <c r="AE1108">
        <f t="shared" si="312"/>
        <v>0.86137431503581774</v>
      </c>
      <c r="AF1108">
        <f t="shared" si="313"/>
        <v>0.83482856688810481</v>
      </c>
      <c r="AG1108">
        <f t="shared" si="314"/>
        <v>0.83697437942879105</v>
      </c>
      <c r="AI1108">
        <f t="shared" si="315"/>
        <v>0.38891338428876882</v>
      </c>
      <c r="AJ1108">
        <f t="shared" si="316"/>
        <v>24.732383419233233</v>
      </c>
      <c r="AL1108">
        <f t="shared" si="317"/>
        <v>0.40127999123070413</v>
      </c>
      <c r="AM1108">
        <f t="shared" si="318"/>
        <v>26.330263319061064</v>
      </c>
      <c r="AO1108">
        <f t="shared" si="319"/>
        <v>0.40025120031586525</v>
      </c>
      <c r="AP1108">
        <f t="shared" si="320"/>
        <v>26.195426735609551</v>
      </c>
    </row>
    <row r="1109" spans="1:42" x14ac:dyDescent="0.2">
      <c r="A1109" s="3">
        <v>1100</v>
      </c>
      <c r="B1109" s="3">
        <v>8.0599999999999999E-7</v>
      </c>
      <c r="C1109" s="2">
        <v>5.7700000000000001E-2</v>
      </c>
      <c r="D1109" s="3">
        <v>226000</v>
      </c>
      <c r="E1109" s="3">
        <v>85100000000</v>
      </c>
      <c r="F1109" s="3">
        <v>78900000000</v>
      </c>
      <c r="G1109" s="3">
        <v>7670000000</v>
      </c>
      <c r="H1109" s="3">
        <v>10200000000</v>
      </c>
      <c r="I1109" s="2"/>
      <c r="J1109" s="7">
        <f t="shared" si="304"/>
        <v>0.80599999999999994</v>
      </c>
      <c r="K1109" s="7">
        <f t="shared" si="305"/>
        <v>57.7</v>
      </c>
      <c r="L1109" s="7">
        <f t="shared" si="306"/>
        <v>85.100000000000009</v>
      </c>
      <c r="M1109" s="7">
        <f t="shared" si="307"/>
        <v>226</v>
      </c>
      <c r="O1109">
        <f t="shared" si="308"/>
        <v>0.61451769911504417</v>
      </c>
      <c r="P1109">
        <f t="shared" si="309"/>
        <v>614.51769911504414</v>
      </c>
      <c r="V1109">
        <f t="shared" si="310"/>
        <v>1099.0463089560371</v>
      </c>
      <c r="W1109">
        <f t="shared" si="311"/>
        <v>102.81641372085268</v>
      </c>
      <c r="AE1109">
        <f t="shared" si="312"/>
        <v>0.76641966613423151</v>
      </c>
      <c r="AF1109">
        <f t="shared" si="313"/>
        <v>0.74280022093193576</v>
      </c>
      <c r="AG1109">
        <f t="shared" si="314"/>
        <v>0.74470948720829444</v>
      </c>
      <c r="AI1109">
        <f t="shared" si="315"/>
        <v>0.43818465022858</v>
      </c>
      <c r="AJ1109">
        <f t="shared" si="316"/>
        <v>31.267490538074071</v>
      </c>
      <c r="AL1109">
        <f t="shared" si="317"/>
        <v>0.45211797717559699</v>
      </c>
      <c r="AM1109">
        <f t="shared" si="318"/>
        <v>33.28758273064426</v>
      </c>
      <c r="AO1109">
        <f t="shared" si="319"/>
        <v>0.45095884919135065</v>
      </c>
      <c r="AP1109">
        <f t="shared" si="320"/>
        <v>33.117117898129251</v>
      </c>
    </row>
    <row r="1110" spans="1:42" x14ac:dyDescent="0.2">
      <c r="A1110" s="3">
        <v>1100</v>
      </c>
      <c r="B1110" s="3">
        <v>8.0699999999999996E-7</v>
      </c>
      <c r="C1110" s="2">
        <v>5.7759999999999999E-2</v>
      </c>
      <c r="D1110" s="3">
        <v>229000</v>
      </c>
      <c r="E1110" s="3">
        <v>86300000000</v>
      </c>
      <c r="F1110" s="3">
        <v>79900000000</v>
      </c>
      <c r="G1110" s="3">
        <v>3860000000</v>
      </c>
      <c r="H1110" s="3">
        <v>10200000000</v>
      </c>
      <c r="I1110" s="2"/>
      <c r="J1110" s="7">
        <f t="shared" si="304"/>
        <v>0.80699999999999994</v>
      </c>
      <c r="K1110" s="7">
        <f t="shared" si="305"/>
        <v>57.76</v>
      </c>
      <c r="L1110" s="7">
        <f t="shared" si="306"/>
        <v>86.300000000000011</v>
      </c>
      <c r="M1110" s="7">
        <f t="shared" si="307"/>
        <v>229</v>
      </c>
      <c r="O1110">
        <f t="shared" si="308"/>
        <v>0.61782969432314405</v>
      </c>
      <c r="P1110">
        <f t="shared" si="309"/>
        <v>617.82969432314405</v>
      </c>
      <c r="V1110">
        <f t="shared" si="310"/>
        <v>1101.6665672634649</v>
      </c>
      <c r="W1110">
        <f t="shared" si="311"/>
        <v>103.93344356851776</v>
      </c>
      <c r="AE1110">
        <f t="shared" si="312"/>
        <v>0.77659337851654431</v>
      </c>
      <c r="AF1110">
        <f t="shared" si="313"/>
        <v>0.75266040085581098</v>
      </c>
      <c r="AG1110">
        <f t="shared" si="314"/>
        <v>0.75459501137477614</v>
      </c>
      <c r="AI1110">
        <f t="shared" si="315"/>
        <v>0.43298077127866808</v>
      </c>
      <c r="AJ1110">
        <f t="shared" si="316"/>
        <v>30.485288693571352</v>
      </c>
      <c r="AL1110">
        <f t="shared" si="317"/>
        <v>0.44674862609706528</v>
      </c>
      <c r="AM1110">
        <f t="shared" si="318"/>
        <v>32.454845335897431</v>
      </c>
      <c r="AO1110">
        <f t="shared" si="319"/>
        <v>0.44560326391158522</v>
      </c>
      <c r="AP1110">
        <f t="shared" si="320"/>
        <v>32.28864492960026</v>
      </c>
    </row>
    <row r="1111" spans="1:42" x14ac:dyDescent="0.2">
      <c r="A1111" s="3">
        <v>1100</v>
      </c>
      <c r="B1111" s="3">
        <v>8.09E-7</v>
      </c>
      <c r="C1111" s="2">
        <v>5.781E-2</v>
      </c>
      <c r="D1111" s="3">
        <v>233000</v>
      </c>
      <c r="E1111" s="3">
        <v>87600000000</v>
      </c>
      <c r="F1111" s="3">
        <v>81000000000</v>
      </c>
      <c r="G1111" s="3">
        <v>1340000000</v>
      </c>
      <c r="H1111" s="3">
        <v>10100000000</v>
      </c>
      <c r="I1111" s="2"/>
      <c r="J1111" s="7">
        <f t="shared" si="304"/>
        <v>0.80900000000000005</v>
      </c>
      <c r="K1111" s="7">
        <f t="shared" si="305"/>
        <v>57.81</v>
      </c>
      <c r="L1111" s="7">
        <f t="shared" si="306"/>
        <v>87.600000000000009</v>
      </c>
      <c r="M1111" s="7">
        <f t="shared" si="307"/>
        <v>233</v>
      </c>
      <c r="O1111">
        <f t="shared" si="308"/>
        <v>0.62291630901287554</v>
      </c>
      <c r="P1111">
        <f t="shared" si="309"/>
        <v>622.91630901287556</v>
      </c>
      <c r="V1111">
        <f t="shared" si="310"/>
        <v>1105.6756120381419</v>
      </c>
      <c r="W1111">
        <f t="shared" si="311"/>
        <v>105.36544238798058</v>
      </c>
      <c r="AE1111">
        <f t="shared" si="312"/>
        <v>0.79015832835962807</v>
      </c>
      <c r="AF1111">
        <f t="shared" si="313"/>
        <v>0.76580730742097802</v>
      </c>
      <c r="AG1111">
        <f t="shared" si="314"/>
        <v>0.76777571026341851</v>
      </c>
      <c r="AI1111">
        <f t="shared" si="315"/>
        <v>0.42660226594475026</v>
      </c>
      <c r="AJ1111">
        <f t="shared" si="316"/>
        <v>29.473059412164442</v>
      </c>
      <c r="AL1111">
        <f t="shared" si="317"/>
        <v>0.44016729804855809</v>
      </c>
      <c r="AM1111">
        <f t="shared" si="318"/>
        <v>31.377219169954131</v>
      </c>
      <c r="AO1111">
        <f t="shared" si="319"/>
        <v>0.43903880889600222</v>
      </c>
      <c r="AP1111">
        <f t="shared" si="320"/>
        <v>31.216537258808074</v>
      </c>
    </row>
    <row r="1112" spans="1:42" x14ac:dyDescent="0.2">
      <c r="A1112" s="3">
        <v>1100</v>
      </c>
      <c r="B1112" s="3">
        <v>8.1200000000000002E-7</v>
      </c>
      <c r="C1112" s="2">
        <v>5.7860000000000002E-2</v>
      </c>
      <c r="D1112" s="3">
        <v>247000</v>
      </c>
      <c r="E1112" s="3">
        <v>92300000000</v>
      </c>
      <c r="F1112" s="3">
        <v>85000000000</v>
      </c>
      <c r="G1112" s="3">
        <v>5430000000</v>
      </c>
      <c r="H1112" s="3">
        <v>9890000000</v>
      </c>
      <c r="I1112" s="2"/>
      <c r="J1112" s="7">
        <f t="shared" si="304"/>
        <v>0.81200000000000006</v>
      </c>
      <c r="K1112" s="7">
        <f t="shared" si="305"/>
        <v>57.86</v>
      </c>
      <c r="L1112" s="7">
        <f t="shared" si="306"/>
        <v>92.300000000000011</v>
      </c>
      <c r="M1112" s="7">
        <f t="shared" si="307"/>
        <v>247</v>
      </c>
      <c r="O1112">
        <f t="shared" si="308"/>
        <v>0.63631174089068832</v>
      </c>
      <c r="P1112">
        <f t="shared" si="309"/>
        <v>636.31174089068827</v>
      </c>
      <c r="V1112">
        <f t="shared" si="310"/>
        <v>1116.1468537520732</v>
      </c>
      <c r="W1112">
        <f t="shared" si="311"/>
        <v>110.64852226643713</v>
      </c>
      <c r="AE1112">
        <f t="shared" si="312"/>
        <v>0.83763565281042118</v>
      </c>
      <c r="AF1112">
        <f t="shared" si="313"/>
        <v>0.81182148039906254</v>
      </c>
      <c r="AG1112">
        <f t="shared" si="314"/>
        <v>0.81390815637366687</v>
      </c>
      <c r="AI1112">
        <f t="shared" si="315"/>
        <v>0.40391467602669845</v>
      </c>
      <c r="AJ1112">
        <f t="shared" si="316"/>
        <v>26.249353709688982</v>
      </c>
      <c r="AL1112">
        <f t="shared" si="317"/>
        <v>0.41675829169612599</v>
      </c>
      <c r="AM1112">
        <f t="shared" si="318"/>
        <v>27.945240190389658</v>
      </c>
      <c r="AO1112">
        <f t="shared" si="319"/>
        <v>0.41568981792830673</v>
      </c>
      <c r="AP1112">
        <f t="shared" si="320"/>
        <v>27.802133353008497</v>
      </c>
    </row>
    <row r="1113" spans="1:42" x14ac:dyDescent="0.2">
      <c r="A1113" s="3">
        <v>1100</v>
      </c>
      <c r="B1113" s="3">
        <v>8.1399999999999996E-7</v>
      </c>
      <c r="C1113" s="2">
        <v>5.7910000000000003E-2</v>
      </c>
      <c r="D1113" s="3">
        <v>255000</v>
      </c>
      <c r="E1113" s="3">
        <v>94700000000</v>
      </c>
      <c r="F1113" s="3">
        <v>87000000000</v>
      </c>
      <c r="G1113" s="2">
        <v>0</v>
      </c>
      <c r="H1113" s="3">
        <v>9800000000</v>
      </c>
      <c r="I1113" s="2"/>
      <c r="J1113" s="7">
        <f t="shared" si="304"/>
        <v>0.81399999999999995</v>
      </c>
      <c r="K1113" s="7">
        <f t="shared" si="305"/>
        <v>57.910000000000004</v>
      </c>
      <c r="L1113" s="7">
        <f t="shared" si="306"/>
        <v>94.7</v>
      </c>
      <c r="M1113" s="7">
        <f t="shared" si="307"/>
        <v>255</v>
      </c>
      <c r="O1113">
        <f t="shared" si="308"/>
        <v>0.64367647058823518</v>
      </c>
      <c r="P1113">
        <f t="shared" si="309"/>
        <v>643.67647058823513</v>
      </c>
      <c r="V1113">
        <f t="shared" si="310"/>
        <v>1121.8516194570977</v>
      </c>
      <c r="W1113">
        <f t="shared" si="311"/>
        <v>113.65139363234293</v>
      </c>
      <c r="AE1113">
        <f t="shared" si="312"/>
        <v>0.86476555249658871</v>
      </c>
      <c r="AF1113">
        <f t="shared" si="313"/>
        <v>0.83811529352939651</v>
      </c>
      <c r="AG1113">
        <f t="shared" si="314"/>
        <v>0.84026955415095161</v>
      </c>
      <c r="AI1113">
        <f t="shared" si="315"/>
        <v>0.39220649537610325</v>
      </c>
      <c r="AJ1113">
        <f t="shared" si="316"/>
        <v>24.649453572038993</v>
      </c>
      <c r="AL1113">
        <f t="shared" si="317"/>
        <v>0.40467781614913406</v>
      </c>
      <c r="AM1113">
        <f t="shared" si="318"/>
        <v>26.24197564065091</v>
      </c>
      <c r="AO1113">
        <f t="shared" si="319"/>
        <v>0.40364031398159705</v>
      </c>
      <c r="AP1113">
        <f t="shared" si="320"/>
        <v>26.107591176070123</v>
      </c>
    </row>
    <row r="1114" spans="1:42" x14ac:dyDescent="0.2">
      <c r="A1114" s="3">
        <v>1100</v>
      </c>
      <c r="B1114" s="3">
        <v>8.16E-7</v>
      </c>
      <c r="C1114" s="2">
        <v>5.7959999999999998E-2</v>
      </c>
      <c r="D1114" s="3">
        <v>249000</v>
      </c>
      <c r="E1114" s="3">
        <v>92700000000</v>
      </c>
      <c r="F1114" s="3">
        <v>85400000000</v>
      </c>
      <c r="G1114" s="3">
        <v>5280000000</v>
      </c>
      <c r="H1114" s="3">
        <v>9840000000</v>
      </c>
      <c r="I1114" s="2"/>
      <c r="J1114" s="7">
        <f t="shared" si="304"/>
        <v>0.81599999999999995</v>
      </c>
      <c r="K1114" s="7">
        <f t="shared" si="305"/>
        <v>57.96</v>
      </c>
      <c r="L1114" s="7">
        <f t="shared" si="306"/>
        <v>92.7</v>
      </c>
      <c r="M1114" s="7">
        <f t="shared" si="307"/>
        <v>249</v>
      </c>
      <c r="O1114">
        <f t="shared" si="308"/>
        <v>0.64142168674698796</v>
      </c>
      <c r="P1114">
        <f t="shared" si="309"/>
        <v>641.42168674698792</v>
      </c>
      <c r="V1114">
        <f t="shared" si="310"/>
        <v>1120.1089289319802</v>
      </c>
      <c r="W1114">
        <f t="shared" si="311"/>
        <v>111.14990407112484</v>
      </c>
      <c r="AE1114">
        <f t="shared" si="312"/>
        <v>0.84441812773196301</v>
      </c>
      <c r="AF1114">
        <f t="shared" si="313"/>
        <v>0.81839493368164606</v>
      </c>
      <c r="AG1114">
        <f t="shared" si="314"/>
        <v>0.82049850581798811</v>
      </c>
      <c r="AI1114">
        <f t="shared" si="315"/>
        <v>0.40264412716151865</v>
      </c>
      <c r="AJ1114">
        <f t="shared" si="316"/>
        <v>25.874011976730301</v>
      </c>
      <c r="AL1114">
        <f t="shared" si="317"/>
        <v>0.41544734211692869</v>
      </c>
      <c r="AM1114">
        <f t="shared" si="318"/>
        <v>27.545648832940884</v>
      </c>
      <c r="AO1114">
        <f t="shared" si="319"/>
        <v>0.4143822293265973</v>
      </c>
      <c r="AP1114">
        <f t="shared" si="320"/>
        <v>27.404588292353729</v>
      </c>
    </row>
    <row r="1115" spans="1:42" x14ac:dyDescent="0.2">
      <c r="A1115" s="3">
        <v>1100</v>
      </c>
      <c r="B1115" s="3">
        <v>8.1699999999999997E-7</v>
      </c>
      <c r="C1115" s="2">
        <v>5.8009999999999999E-2</v>
      </c>
      <c r="D1115" s="3">
        <v>219000</v>
      </c>
      <c r="E1115" s="3">
        <v>82000000000</v>
      </c>
      <c r="F1115" s="3">
        <v>76200000000</v>
      </c>
      <c r="G1115" s="2">
        <v>0</v>
      </c>
      <c r="H1115" s="3">
        <v>10200000000</v>
      </c>
      <c r="I1115" s="2"/>
      <c r="J1115" s="7">
        <f t="shared" si="304"/>
        <v>0.81699999999999995</v>
      </c>
      <c r="K1115" s="7">
        <f t="shared" si="305"/>
        <v>58.01</v>
      </c>
      <c r="L1115" s="7">
        <f t="shared" si="306"/>
        <v>82</v>
      </c>
      <c r="M1115" s="7">
        <f t="shared" si="307"/>
        <v>219</v>
      </c>
      <c r="O1115">
        <f t="shared" si="308"/>
        <v>0.61833561643835611</v>
      </c>
      <c r="P1115">
        <f t="shared" si="309"/>
        <v>618.33561643835606</v>
      </c>
      <c r="V1115">
        <f t="shared" si="310"/>
        <v>1102.0661340493673</v>
      </c>
      <c r="W1115">
        <f t="shared" si="311"/>
        <v>99.358828492133767</v>
      </c>
      <c r="AE1115">
        <f t="shared" si="312"/>
        <v>0.74268100390883496</v>
      </c>
      <c r="AF1115">
        <f t="shared" si="313"/>
        <v>0.7197931344428935</v>
      </c>
      <c r="AG1115">
        <f t="shared" si="314"/>
        <v>0.72164326415317026</v>
      </c>
      <c r="AI1115">
        <f t="shared" si="315"/>
        <v>0.45836188737157096</v>
      </c>
      <c r="AJ1115">
        <f t="shared" si="316"/>
        <v>33.477169254533379</v>
      </c>
      <c r="AL1115">
        <f t="shared" si="317"/>
        <v>0.47293680694821139</v>
      </c>
      <c r="AM1115">
        <f t="shared" si="318"/>
        <v>35.640021695732166</v>
      </c>
      <c r="AO1115">
        <f t="shared" si="319"/>
        <v>0.4717243042047054</v>
      </c>
      <c r="AP1115">
        <f t="shared" si="320"/>
        <v>35.45751008537119</v>
      </c>
    </row>
    <row r="1116" spans="1:42" x14ac:dyDescent="0.2">
      <c r="A1116" s="3">
        <v>1100</v>
      </c>
      <c r="B1116" s="3">
        <v>8.1800000000000005E-7</v>
      </c>
      <c r="C1116" s="2">
        <v>5.806E-2</v>
      </c>
      <c r="D1116" s="3">
        <v>242000</v>
      </c>
      <c r="E1116" s="3">
        <v>89900000000</v>
      </c>
      <c r="F1116" s="3">
        <v>83000000000</v>
      </c>
      <c r="G1116" s="3">
        <v>2150000000</v>
      </c>
      <c r="H1116" s="3">
        <v>9910000000</v>
      </c>
      <c r="I1116" s="2"/>
      <c r="J1116" s="7">
        <f t="shared" si="304"/>
        <v>0.81800000000000006</v>
      </c>
      <c r="K1116" s="7">
        <f t="shared" si="305"/>
        <v>58.06</v>
      </c>
      <c r="L1116" s="7">
        <f t="shared" si="306"/>
        <v>89.9</v>
      </c>
      <c r="M1116" s="7">
        <f t="shared" si="307"/>
        <v>242</v>
      </c>
      <c r="O1116">
        <f t="shared" si="308"/>
        <v>0.63806198347107446</v>
      </c>
      <c r="P1116">
        <f t="shared" si="309"/>
        <v>638.06198347107443</v>
      </c>
      <c r="V1116">
        <f t="shared" si="310"/>
        <v>1117.5059200754044</v>
      </c>
      <c r="W1116">
        <f t="shared" si="311"/>
        <v>108.27683131364122</v>
      </c>
      <c r="AE1116">
        <f t="shared" si="312"/>
        <v>0.82067946550656645</v>
      </c>
      <c r="AF1116">
        <f t="shared" si="313"/>
        <v>0.7953878471926038</v>
      </c>
      <c r="AG1116">
        <f t="shared" si="314"/>
        <v>0.79743228276286393</v>
      </c>
      <c r="AI1116">
        <f t="shared" si="315"/>
        <v>0.41530627688235522</v>
      </c>
      <c r="AJ1116">
        <f t="shared" si="316"/>
        <v>27.439765259615044</v>
      </c>
      <c r="AL1116">
        <f t="shared" si="317"/>
        <v>0.42851212089339391</v>
      </c>
      <c r="AM1116">
        <f t="shared" si="318"/>
        <v>29.21256040924208</v>
      </c>
      <c r="AO1116">
        <f t="shared" si="319"/>
        <v>0.4274135129724721</v>
      </c>
      <c r="AP1116">
        <f t="shared" si="320"/>
        <v>29.062963658471961</v>
      </c>
    </row>
    <row r="1117" spans="1:42" x14ac:dyDescent="0.2">
      <c r="A1117" s="3">
        <v>1100</v>
      </c>
      <c r="B1117" s="3">
        <v>8.1999999999999998E-7</v>
      </c>
      <c r="C1117" s="2">
        <v>5.8119999999999998E-2</v>
      </c>
      <c r="D1117" s="3">
        <v>234000</v>
      </c>
      <c r="E1117" s="3">
        <v>87200000000</v>
      </c>
      <c r="F1117" s="3">
        <v>80700000000</v>
      </c>
      <c r="G1117" s="3">
        <v>4930000000</v>
      </c>
      <c r="H1117" s="3">
        <v>9970000000</v>
      </c>
      <c r="I1117" s="2"/>
      <c r="J1117" s="7">
        <f t="shared" si="304"/>
        <v>0.82</v>
      </c>
      <c r="K1117" s="7">
        <f t="shared" si="305"/>
        <v>58.12</v>
      </c>
      <c r="L1117" s="7">
        <f t="shared" si="306"/>
        <v>87.2</v>
      </c>
      <c r="M1117" s="7">
        <f t="shared" si="307"/>
        <v>234</v>
      </c>
      <c r="O1117">
        <f t="shared" si="308"/>
        <v>0.63371794871794873</v>
      </c>
      <c r="P1117">
        <f t="shared" si="309"/>
        <v>633.71794871794873</v>
      </c>
      <c r="V1117">
        <f t="shared" si="310"/>
        <v>1114.1289349374449</v>
      </c>
      <c r="W1117">
        <f t="shared" si="311"/>
        <v>105.0147755174936</v>
      </c>
      <c r="AE1117">
        <f t="shared" si="312"/>
        <v>0.79354956582039904</v>
      </c>
      <c r="AF1117">
        <f t="shared" si="313"/>
        <v>0.76909403406226973</v>
      </c>
      <c r="AG1117">
        <f t="shared" si="314"/>
        <v>0.77107088498557919</v>
      </c>
      <c r="AI1117">
        <f t="shared" si="315"/>
        <v>0.43055491601641771</v>
      </c>
      <c r="AJ1117">
        <f t="shared" si="316"/>
        <v>29.378389406110731</v>
      </c>
      <c r="AL1117">
        <f t="shared" si="317"/>
        <v>0.44424563386874955</v>
      </c>
      <c r="AM1117">
        <f t="shared" si="318"/>
        <v>31.276432838707439</v>
      </c>
      <c r="AO1117">
        <f t="shared" si="319"/>
        <v>0.44310668878783643</v>
      </c>
      <c r="AP1117">
        <f t="shared" si="320"/>
        <v>31.116267051703353</v>
      </c>
    </row>
    <row r="1118" spans="1:42" x14ac:dyDescent="0.2">
      <c r="A1118" s="3">
        <v>1100</v>
      </c>
      <c r="B1118" s="3">
        <v>8.2099999999999995E-7</v>
      </c>
      <c r="C1118" s="2">
        <v>5.8169999999999999E-2</v>
      </c>
      <c r="D1118" s="3">
        <v>244000</v>
      </c>
      <c r="E1118" s="3">
        <v>90400000000</v>
      </c>
      <c r="F1118" s="3">
        <v>83400000000</v>
      </c>
      <c r="G1118" s="3">
        <v>6540000000</v>
      </c>
      <c r="H1118" s="3">
        <v>9860000000</v>
      </c>
      <c r="I1118" s="2"/>
      <c r="J1118" s="7">
        <f t="shared" si="304"/>
        <v>0.82099999999999995</v>
      </c>
      <c r="K1118" s="7">
        <f t="shared" si="305"/>
        <v>58.17</v>
      </c>
      <c r="L1118" s="7">
        <f t="shared" si="306"/>
        <v>90.4</v>
      </c>
      <c r="M1118" s="7">
        <f t="shared" si="307"/>
        <v>244</v>
      </c>
      <c r="O1118">
        <f t="shared" si="308"/>
        <v>0.64219877049180318</v>
      </c>
      <c r="P1118">
        <f t="shared" si="309"/>
        <v>642.1987704918032</v>
      </c>
      <c r="V1118">
        <f t="shared" si="310"/>
        <v>1120.709910727747</v>
      </c>
      <c r="W1118">
        <f t="shared" si="311"/>
        <v>108.85957091320606</v>
      </c>
      <c r="AE1118">
        <f t="shared" si="312"/>
        <v>0.82746194042810839</v>
      </c>
      <c r="AF1118">
        <f t="shared" si="313"/>
        <v>0.80196130047518721</v>
      </c>
      <c r="AG1118">
        <f t="shared" si="314"/>
        <v>0.80402263220718506</v>
      </c>
      <c r="AI1118">
        <f t="shared" si="315"/>
        <v>0.41341277056966252</v>
      </c>
      <c r="AJ1118">
        <f t="shared" si="316"/>
        <v>27.04291501559425</v>
      </c>
      <c r="AL1118">
        <f t="shared" si="317"/>
        <v>0.42655840516323945</v>
      </c>
      <c r="AM1118">
        <f t="shared" si="318"/>
        <v>28.790070944875492</v>
      </c>
      <c r="AO1118">
        <f t="shared" si="319"/>
        <v>0.42546480612648152</v>
      </c>
      <c r="AP1118">
        <f t="shared" si="320"/>
        <v>28.642637751500494</v>
      </c>
    </row>
    <row r="1119" spans="1:42" x14ac:dyDescent="0.2">
      <c r="A1119" s="3">
        <v>1100</v>
      </c>
      <c r="B1119" s="3">
        <v>8.23E-7</v>
      </c>
      <c r="C1119" s="2">
        <v>5.8220000000000001E-2</v>
      </c>
      <c r="D1119" s="3">
        <v>254000</v>
      </c>
      <c r="E1119" s="3">
        <v>93800000000</v>
      </c>
      <c r="F1119" s="3">
        <v>86300000000</v>
      </c>
      <c r="G1119" s="3">
        <v>1780000000</v>
      </c>
      <c r="H1119" s="3">
        <v>9750000000</v>
      </c>
      <c r="I1119" s="2"/>
      <c r="J1119" s="7">
        <f t="shared" si="304"/>
        <v>0.82299999999999995</v>
      </c>
      <c r="K1119" s="7">
        <f t="shared" si="305"/>
        <v>58.22</v>
      </c>
      <c r="L1119" s="7">
        <f t="shared" si="306"/>
        <v>93.800000000000011</v>
      </c>
      <c r="M1119" s="7">
        <f t="shared" si="307"/>
        <v>254</v>
      </c>
      <c r="O1119">
        <f t="shared" si="308"/>
        <v>0.65109055118110226</v>
      </c>
      <c r="P1119">
        <f t="shared" si="309"/>
        <v>651.09055118110223</v>
      </c>
      <c r="V1119">
        <f t="shared" si="310"/>
        <v>1127.5580084192929</v>
      </c>
      <c r="W1119">
        <f t="shared" si="311"/>
        <v>112.63278611983738</v>
      </c>
      <c r="AE1119">
        <f t="shared" si="312"/>
        <v>0.86137431503581774</v>
      </c>
      <c r="AF1119">
        <f t="shared" si="313"/>
        <v>0.83482856688810481</v>
      </c>
      <c r="AG1119">
        <f t="shared" si="314"/>
        <v>0.83697437942879105</v>
      </c>
      <c r="AI1119">
        <f t="shared" si="315"/>
        <v>0.39810412346972229</v>
      </c>
      <c r="AJ1119">
        <f t="shared" si="316"/>
        <v>24.976918693282897</v>
      </c>
      <c r="AL1119">
        <f t="shared" si="317"/>
        <v>0.41076297609809637</v>
      </c>
      <c r="AM1119">
        <f t="shared" si="318"/>
        <v>26.590597232189683</v>
      </c>
      <c r="AO1119">
        <f t="shared" si="319"/>
        <v>0.4097098729601456</v>
      </c>
      <c r="AP1119">
        <f t="shared" si="320"/>
        <v>26.454427485640728</v>
      </c>
    </row>
    <row r="1120" spans="1:42" x14ac:dyDescent="0.2">
      <c r="A1120" s="3">
        <v>1100</v>
      </c>
      <c r="B1120" s="3">
        <v>8.2399999999999997E-7</v>
      </c>
      <c r="C1120" s="2">
        <v>5.8279999999999998E-2</v>
      </c>
      <c r="D1120" s="3">
        <v>222000</v>
      </c>
      <c r="E1120" s="3">
        <v>82900000000</v>
      </c>
      <c r="F1120" s="3">
        <v>77000000000</v>
      </c>
      <c r="G1120" s="3">
        <v>138000000</v>
      </c>
      <c r="H1120" s="3">
        <v>10100000000</v>
      </c>
      <c r="I1120" s="2"/>
      <c r="J1120" s="7">
        <f t="shared" si="304"/>
        <v>0.82399999999999995</v>
      </c>
      <c r="K1120" s="7">
        <f t="shared" si="305"/>
        <v>58.28</v>
      </c>
      <c r="L1120" s="7">
        <f t="shared" si="306"/>
        <v>82.9</v>
      </c>
      <c r="M1120" s="7">
        <f t="shared" si="307"/>
        <v>222</v>
      </c>
      <c r="O1120">
        <f t="shared" si="308"/>
        <v>0.62710810810810802</v>
      </c>
      <c r="P1120">
        <f t="shared" si="309"/>
        <v>627.10810810810801</v>
      </c>
      <c r="V1120">
        <f t="shared" si="310"/>
        <v>1108.9657189090794</v>
      </c>
      <c r="W1120">
        <f t="shared" si="311"/>
        <v>100.09326537991977</v>
      </c>
      <c r="AE1120">
        <f t="shared" si="312"/>
        <v>0.75285471629114775</v>
      </c>
      <c r="AF1120">
        <f t="shared" si="313"/>
        <v>0.72965331436676872</v>
      </c>
      <c r="AG1120">
        <f t="shared" si="314"/>
        <v>0.73152878831965207</v>
      </c>
      <c r="AI1120">
        <f t="shared" si="315"/>
        <v>0.45604195059669089</v>
      </c>
      <c r="AJ1120">
        <f t="shared" si="316"/>
        <v>32.730126695737837</v>
      </c>
      <c r="AL1120">
        <f t="shared" si="317"/>
        <v>0.47054310118675458</v>
      </c>
      <c r="AM1120">
        <f t="shared" si="318"/>
        <v>34.844715115277999</v>
      </c>
      <c r="AO1120">
        <f t="shared" si="319"/>
        <v>0.4693367353620933</v>
      </c>
      <c r="AP1120">
        <f t="shared" si="320"/>
        <v>34.666276248922856</v>
      </c>
    </row>
    <row r="1121" spans="1:42" x14ac:dyDescent="0.2">
      <c r="A1121" s="3">
        <v>1100</v>
      </c>
      <c r="B1121" s="3">
        <v>8.2500000000000004E-7</v>
      </c>
      <c r="C1121" s="2">
        <v>5.833E-2</v>
      </c>
      <c r="D1121" s="3">
        <v>236000</v>
      </c>
      <c r="E1121" s="3">
        <v>87500000000</v>
      </c>
      <c r="F1121" s="3">
        <v>80900000000</v>
      </c>
      <c r="G1121" s="3">
        <v>4920000000</v>
      </c>
      <c r="H1121" s="3">
        <v>9930000000</v>
      </c>
      <c r="I1121" s="2"/>
      <c r="J1121" s="7">
        <f t="shared" si="304"/>
        <v>0.82500000000000007</v>
      </c>
      <c r="K1121" s="7">
        <f t="shared" si="305"/>
        <v>58.33</v>
      </c>
      <c r="L1121" s="7">
        <f t="shared" si="306"/>
        <v>87.5</v>
      </c>
      <c r="M1121" s="7">
        <f t="shared" si="307"/>
        <v>236</v>
      </c>
      <c r="O1121">
        <f t="shared" si="308"/>
        <v>0.63962923728813559</v>
      </c>
      <c r="P1121">
        <f t="shared" si="309"/>
        <v>639.62923728813564</v>
      </c>
      <c r="V1121">
        <f t="shared" si="310"/>
        <v>1118.7211342614987</v>
      </c>
      <c r="W1121">
        <f t="shared" si="311"/>
        <v>105.47758184428628</v>
      </c>
      <c r="AE1121">
        <f t="shared" si="312"/>
        <v>0.80033204074194086</v>
      </c>
      <c r="AF1121">
        <f t="shared" si="313"/>
        <v>0.77566748734485325</v>
      </c>
      <c r="AG1121">
        <f t="shared" si="314"/>
        <v>0.77766123442990032</v>
      </c>
      <c r="AI1121">
        <f t="shared" si="315"/>
        <v>0.4295092317950055</v>
      </c>
      <c r="AJ1121">
        <f t="shared" si="316"/>
        <v>28.98691938595524</v>
      </c>
      <c r="AL1121">
        <f t="shared" si="317"/>
        <v>0.44316669914407869</v>
      </c>
      <c r="AM1121">
        <f t="shared" si="318"/>
        <v>30.859671197199141</v>
      </c>
      <c r="AO1121">
        <f t="shared" si="319"/>
        <v>0.4420305202071716</v>
      </c>
      <c r="AP1121">
        <f t="shared" si="320"/>
        <v>30.701639635560515</v>
      </c>
    </row>
    <row r="1122" spans="1:42" x14ac:dyDescent="0.2">
      <c r="A1122" s="3">
        <v>1100</v>
      </c>
      <c r="B1122" s="3">
        <v>8.2699999999999998E-7</v>
      </c>
      <c r="C1122" s="2">
        <v>5.8380000000000001E-2</v>
      </c>
      <c r="D1122" s="3">
        <v>248000</v>
      </c>
      <c r="E1122" s="3">
        <v>91400000000</v>
      </c>
      <c r="F1122" s="3">
        <v>84300000000</v>
      </c>
      <c r="G1122" s="2">
        <v>0</v>
      </c>
      <c r="H1122" s="3">
        <v>9780000000</v>
      </c>
      <c r="I1122" s="2"/>
      <c r="J1122" s="7">
        <f t="shared" si="304"/>
        <v>0.82699999999999996</v>
      </c>
      <c r="K1122" s="7">
        <f t="shared" si="305"/>
        <v>58.38</v>
      </c>
      <c r="L1122" s="7">
        <f t="shared" si="306"/>
        <v>91.4</v>
      </c>
      <c r="M1122" s="7">
        <f t="shared" si="307"/>
        <v>248</v>
      </c>
      <c r="O1122">
        <f t="shared" si="308"/>
        <v>0.65044758064516128</v>
      </c>
      <c r="P1122">
        <f t="shared" si="309"/>
        <v>650.44758064516134</v>
      </c>
      <c r="V1122">
        <f t="shared" si="310"/>
        <v>1127.0645717860396</v>
      </c>
      <c r="W1122">
        <f t="shared" si="311"/>
        <v>110.020315698061</v>
      </c>
      <c r="AE1122">
        <f t="shared" si="312"/>
        <v>0.84102689027119215</v>
      </c>
      <c r="AF1122">
        <f t="shared" si="313"/>
        <v>0.81510820704035425</v>
      </c>
      <c r="AG1122">
        <f t="shared" si="314"/>
        <v>0.81720333109582743</v>
      </c>
      <c r="AI1122">
        <f t="shared" si="315"/>
        <v>0.40971737921747214</v>
      </c>
      <c r="AJ1122">
        <f t="shared" si="316"/>
        <v>26.27210197983193</v>
      </c>
      <c r="AL1122">
        <f t="shared" si="317"/>
        <v>0.42274550833503477</v>
      </c>
      <c r="AM1122">
        <f t="shared" si="318"/>
        <v>27.969458153242812</v>
      </c>
      <c r="AO1122">
        <f t="shared" si="319"/>
        <v>0.42166168470124188</v>
      </c>
      <c r="AP1122">
        <f t="shared" si="320"/>
        <v>27.826227296313132</v>
      </c>
    </row>
    <row r="1123" spans="1:42" x14ac:dyDescent="0.2">
      <c r="A1123" s="3">
        <v>1100</v>
      </c>
      <c r="B1123" s="3">
        <v>8.2699999999999998E-7</v>
      </c>
      <c r="C1123" s="2">
        <v>5.8430000000000003E-2</v>
      </c>
      <c r="D1123" s="3">
        <v>256000</v>
      </c>
      <c r="E1123" s="3">
        <v>94100000000</v>
      </c>
      <c r="F1123" s="3">
        <v>86500000000</v>
      </c>
      <c r="G1123" s="3">
        <v>9260000000</v>
      </c>
      <c r="H1123" s="3">
        <v>9710000000</v>
      </c>
      <c r="I1123" s="2"/>
      <c r="J1123" s="7">
        <f t="shared" si="304"/>
        <v>0.82699999999999996</v>
      </c>
      <c r="K1123" s="7">
        <f t="shared" si="305"/>
        <v>58.43</v>
      </c>
      <c r="L1123" s="7">
        <f t="shared" si="306"/>
        <v>94.100000000000009</v>
      </c>
      <c r="M1123" s="7">
        <f t="shared" si="307"/>
        <v>256</v>
      </c>
      <c r="O1123">
        <f t="shared" si="308"/>
        <v>0.65581835937499999</v>
      </c>
      <c r="P1123">
        <f t="shared" si="309"/>
        <v>655.818359375</v>
      </c>
      <c r="V1123">
        <f t="shared" si="310"/>
        <v>1131.177977461261</v>
      </c>
      <c r="W1123">
        <f t="shared" si="311"/>
        <v>113.15637552215657</v>
      </c>
      <c r="AE1123">
        <f t="shared" si="312"/>
        <v>0.86815678995735956</v>
      </c>
      <c r="AF1123">
        <f t="shared" si="313"/>
        <v>0.84140202017068833</v>
      </c>
      <c r="AG1123">
        <f t="shared" si="314"/>
        <v>0.84356472887311218</v>
      </c>
      <c r="AI1123">
        <f t="shared" si="315"/>
        <v>0.39691371111692614</v>
      </c>
      <c r="AJ1123">
        <f t="shared" si="316"/>
        <v>24.676868564071707</v>
      </c>
      <c r="AL1123">
        <f t="shared" si="317"/>
        <v>0.40953471119956492</v>
      </c>
      <c r="AM1123">
        <f t="shared" si="318"/>
        <v>26.271161827314579</v>
      </c>
      <c r="AO1123">
        <f t="shared" si="319"/>
        <v>0.40848475705432802</v>
      </c>
      <c r="AP1123">
        <f t="shared" si="320"/>
        <v>26.136627901042285</v>
      </c>
    </row>
    <row r="1124" spans="1:42" x14ac:dyDescent="0.2">
      <c r="A1124" s="3">
        <v>1100</v>
      </c>
      <c r="B1124" s="3">
        <v>8.2900000000000002E-7</v>
      </c>
      <c r="C1124" s="2">
        <v>5.8479999999999997E-2</v>
      </c>
      <c r="D1124" s="3">
        <v>223000</v>
      </c>
      <c r="E1124" s="3">
        <v>82600000000</v>
      </c>
      <c r="F1124" s="3">
        <v>76700000000</v>
      </c>
      <c r="G1124" s="3">
        <v>279000000</v>
      </c>
      <c r="H1124" s="3">
        <v>10100000000</v>
      </c>
      <c r="I1124" s="2"/>
      <c r="J1124" s="7">
        <f t="shared" si="304"/>
        <v>0.82900000000000007</v>
      </c>
      <c r="K1124" s="7">
        <f t="shared" si="305"/>
        <v>58.48</v>
      </c>
      <c r="L1124" s="7">
        <f t="shared" si="306"/>
        <v>82.600000000000009</v>
      </c>
      <c r="M1124" s="7">
        <f t="shared" si="307"/>
        <v>223</v>
      </c>
      <c r="O1124">
        <f t="shared" si="308"/>
        <v>0.63231838565022436</v>
      </c>
      <c r="P1124">
        <f t="shared" si="309"/>
        <v>632.3183856502244</v>
      </c>
      <c r="V1124">
        <f t="shared" si="310"/>
        <v>1113.0381915559103</v>
      </c>
      <c r="W1124">
        <f t="shared" si="311"/>
        <v>100.17625706457991</v>
      </c>
      <c r="AE1124">
        <f t="shared" si="312"/>
        <v>0.75624595375191872</v>
      </c>
      <c r="AF1124">
        <f t="shared" si="313"/>
        <v>0.73294004100806054</v>
      </c>
      <c r="AG1124">
        <f t="shared" si="314"/>
        <v>0.73482396304181263</v>
      </c>
      <c r="AI1124">
        <f t="shared" si="315"/>
        <v>0.45675175510423727</v>
      </c>
      <c r="AJ1124">
        <f t="shared" si="316"/>
        <v>32.548556300396612</v>
      </c>
      <c r="AL1124">
        <f t="shared" si="317"/>
        <v>0.47127547594697172</v>
      </c>
      <c r="AM1124">
        <f t="shared" si="318"/>
        <v>34.651414039548975</v>
      </c>
      <c r="AO1124">
        <f t="shared" si="319"/>
        <v>0.47006723247947751</v>
      </c>
      <c r="AP1124">
        <f t="shared" si="320"/>
        <v>34.473965062900334</v>
      </c>
    </row>
    <row r="1125" spans="1:42" x14ac:dyDescent="0.2">
      <c r="A1125" s="3">
        <v>1100</v>
      </c>
      <c r="B1125" s="3">
        <v>8.2999999999999999E-7</v>
      </c>
      <c r="C1125" s="2">
        <v>5.8540000000000002E-2</v>
      </c>
      <c r="D1125" s="3">
        <v>235000</v>
      </c>
      <c r="E1125" s="3">
        <v>86900000000</v>
      </c>
      <c r="F1125" s="3">
        <v>80400000000</v>
      </c>
      <c r="G1125" s="2">
        <v>0</v>
      </c>
      <c r="H1125" s="3">
        <v>9910000000</v>
      </c>
      <c r="I1125" s="2"/>
      <c r="J1125" s="7">
        <f t="shared" si="304"/>
        <v>0.83</v>
      </c>
      <c r="K1125" s="7">
        <f t="shared" si="305"/>
        <v>58.54</v>
      </c>
      <c r="L1125" s="7">
        <f t="shared" si="306"/>
        <v>86.9</v>
      </c>
      <c r="M1125" s="7">
        <f t="shared" si="307"/>
        <v>235</v>
      </c>
      <c r="O1125">
        <f t="shared" si="308"/>
        <v>0.64317021276595743</v>
      </c>
      <c r="P1125">
        <f t="shared" si="309"/>
        <v>643.17021276595744</v>
      </c>
      <c r="V1125">
        <f t="shared" si="310"/>
        <v>1121.4606363272476</v>
      </c>
      <c r="W1125">
        <f t="shared" si="311"/>
        <v>104.77407426872264</v>
      </c>
      <c r="AE1125">
        <f t="shared" si="312"/>
        <v>0.7969408032811699</v>
      </c>
      <c r="AF1125">
        <f t="shared" si="313"/>
        <v>0.77238076070356154</v>
      </c>
      <c r="AG1125">
        <f t="shared" si="314"/>
        <v>0.77436605970773975</v>
      </c>
      <c r="AI1125">
        <f t="shared" si="315"/>
        <v>0.43395109386979064</v>
      </c>
      <c r="AJ1125">
        <f t="shared" si="316"/>
        <v>29.339390383328702</v>
      </c>
      <c r="AL1125">
        <f t="shared" si="317"/>
        <v>0.44774980285411792</v>
      </c>
      <c r="AM1125">
        <f t="shared" si="318"/>
        <v>31.234914214253369</v>
      </c>
      <c r="AO1125">
        <f t="shared" si="319"/>
        <v>0.4466018738784307</v>
      </c>
      <c r="AP1125">
        <f t="shared" si="320"/>
        <v>31.074961043029209</v>
      </c>
    </row>
    <row r="1126" spans="1:42" x14ac:dyDescent="0.2">
      <c r="A1126" s="3">
        <v>1100</v>
      </c>
      <c r="B1126" s="3">
        <v>8.3099999999999996E-7</v>
      </c>
      <c r="C1126" s="2">
        <v>5.8590000000000003E-2</v>
      </c>
      <c r="D1126" s="3">
        <v>222000</v>
      </c>
      <c r="E1126" s="3">
        <v>82200000000</v>
      </c>
      <c r="F1126" s="3">
        <v>76300000000</v>
      </c>
      <c r="G1126" s="3">
        <v>10400000000</v>
      </c>
      <c r="H1126" s="3">
        <v>10100000000</v>
      </c>
      <c r="I1126" s="2"/>
      <c r="J1126" s="7">
        <f t="shared" si="304"/>
        <v>0.83099999999999996</v>
      </c>
      <c r="K1126" s="7">
        <f t="shared" si="305"/>
        <v>58.59</v>
      </c>
      <c r="L1126" s="7">
        <f t="shared" si="306"/>
        <v>82.2</v>
      </c>
      <c r="M1126" s="7">
        <f t="shared" si="307"/>
        <v>222</v>
      </c>
      <c r="O1126">
        <f t="shared" si="308"/>
        <v>0.63306081081081078</v>
      </c>
      <c r="P1126">
        <f t="shared" si="309"/>
        <v>633.06081081081084</v>
      </c>
      <c r="V1126">
        <f t="shared" si="310"/>
        <v>1113.6169646412943</v>
      </c>
      <c r="W1126">
        <f t="shared" si="311"/>
        <v>99.675205680576227</v>
      </c>
      <c r="AE1126">
        <f t="shared" si="312"/>
        <v>0.75285471629114775</v>
      </c>
      <c r="AF1126">
        <f t="shared" si="313"/>
        <v>0.72965331436676872</v>
      </c>
      <c r="AG1126">
        <f t="shared" si="314"/>
        <v>0.73152878831965207</v>
      </c>
      <c r="AI1126">
        <f t="shared" si="315"/>
        <v>0.45991609338088607</v>
      </c>
      <c r="AJ1126">
        <f t="shared" si="316"/>
        <v>32.90422311433219</v>
      </c>
      <c r="AL1126">
        <f t="shared" si="317"/>
        <v>0.47454043335703039</v>
      </c>
      <c r="AM1126">
        <f t="shared" si="318"/>
        <v>35.030059344614585</v>
      </c>
      <c r="AO1126">
        <f t="shared" si="319"/>
        <v>0.4733238192790043</v>
      </c>
      <c r="AP1126">
        <f t="shared" si="320"/>
        <v>34.850671335353297</v>
      </c>
    </row>
    <row r="1127" spans="1:42" x14ac:dyDescent="0.2">
      <c r="A1127" s="3">
        <v>1100</v>
      </c>
      <c r="B1127" s="3">
        <v>8.3200000000000004E-7</v>
      </c>
      <c r="C1127" s="2">
        <v>5.8639999999999998E-2</v>
      </c>
      <c r="D1127" s="3">
        <v>208000</v>
      </c>
      <c r="E1127" s="3">
        <v>77700000000</v>
      </c>
      <c r="F1127" s="3">
        <v>72500000000</v>
      </c>
      <c r="G1127" s="2">
        <v>0</v>
      </c>
      <c r="H1127" s="3">
        <v>10300000000</v>
      </c>
      <c r="I1127" s="2"/>
      <c r="J1127" s="7">
        <f t="shared" si="304"/>
        <v>0.83200000000000007</v>
      </c>
      <c r="K1127" s="7">
        <f t="shared" si="305"/>
        <v>58.64</v>
      </c>
      <c r="L1127" s="7">
        <f t="shared" si="306"/>
        <v>77.7</v>
      </c>
      <c r="M1127" s="7">
        <f t="shared" si="307"/>
        <v>208</v>
      </c>
      <c r="O1127">
        <f t="shared" si="308"/>
        <v>0.62055769230769231</v>
      </c>
      <c r="P1127">
        <f t="shared" si="309"/>
        <v>620.55769230769226</v>
      </c>
      <c r="V1127">
        <f t="shared" si="310"/>
        <v>1103.8189308150236</v>
      </c>
      <c r="W1127">
        <f t="shared" si="311"/>
        <v>94.218351485609901</v>
      </c>
      <c r="AE1127">
        <f t="shared" si="312"/>
        <v>0.70537739184035464</v>
      </c>
      <c r="AF1127">
        <f t="shared" si="313"/>
        <v>0.6836391413886842</v>
      </c>
      <c r="AG1127">
        <f t="shared" si="314"/>
        <v>0.68539634220940371</v>
      </c>
      <c r="AI1127">
        <f t="shared" si="315"/>
        <v>0.49146268462361842</v>
      </c>
      <c r="AJ1127">
        <f t="shared" si="316"/>
        <v>37.514691891969477</v>
      </c>
      <c r="AL1127">
        <f t="shared" si="317"/>
        <v>0.50709013817213366</v>
      </c>
      <c r="AM1127">
        <f t="shared" si="318"/>
        <v>39.938395710008962</v>
      </c>
      <c r="AO1127">
        <f t="shared" si="319"/>
        <v>0.50579007403099385</v>
      </c>
      <c r="AP1127">
        <f t="shared" si="320"/>
        <v>39.733872239779409</v>
      </c>
    </row>
    <row r="1128" spans="1:42" x14ac:dyDescent="0.2">
      <c r="A1128" s="3">
        <v>1100</v>
      </c>
      <c r="B1128" s="3">
        <v>8.3300000000000001E-7</v>
      </c>
      <c r="C1128" s="2">
        <v>5.8700000000000002E-2</v>
      </c>
      <c r="D1128" s="3">
        <v>234000</v>
      </c>
      <c r="E1128" s="3">
        <v>86400000000</v>
      </c>
      <c r="F1128" s="3">
        <v>80000000000</v>
      </c>
      <c r="G1128" s="3">
        <v>4840000000</v>
      </c>
      <c r="H1128" s="3">
        <v>9910000000</v>
      </c>
      <c r="I1128" s="2"/>
      <c r="J1128" s="7">
        <f t="shared" si="304"/>
        <v>0.83299999999999996</v>
      </c>
      <c r="K1128" s="7">
        <f t="shared" si="305"/>
        <v>58.7</v>
      </c>
      <c r="L1128" s="7">
        <f t="shared" si="306"/>
        <v>86.4</v>
      </c>
      <c r="M1128" s="7">
        <f t="shared" si="307"/>
        <v>234</v>
      </c>
      <c r="O1128">
        <f t="shared" si="308"/>
        <v>0.64485897435897432</v>
      </c>
      <c r="P1128">
        <f t="shared" si="309"/>
        <v>644.85897435897436</v>
      </c>
      <c r="V1128">
        <f t="shared" si="310"/>
        <v>1122.7642008615824</v>
      </c>
      <c r="W1128">
        <f t="shared" si="311"/>
        <v>104.20709879262004</v>
      </c>
      <c r="AE1128">
        <f t="shared" si="312"/>
        <v>0.79354956582039904</v>
      </c>
      <c r="AF1128">
        <f t="shared" si="313"/>
        <v>0.76909403406226973</v>
      </c>
      <c r="AG1128">
        <f t="shared" si="314"/>
        <v>0.77107088498557919</v>
      </c>
      <c r="AI1128">
        <f t="shared" si="315"/>
        <v>0.43738078663619018</v>
      </c>
      <c r="AJ1128">
        <f t="shared" si="316"/>
        <v>29.671566726405711</v>
      </c>
      <c r="AL1128">
        <f t="shared" si="317"/>
        <v>0.45128855245447363</v>
      </c>
      <c r="AM1128">
        <f t="shared" si="318"/>
        <v>31.588551404544507</v>
      </c>
      <c r="AO1128">
        <f t="shared" si="319"/>
        <v>0.45013155092715579</v>
      </c>
      <c r="AP1128">
        <f t="shared" si="320"/>
        <v>31.426787266603355</v>
      </c>
    </row>
    <row r="1129" spans="1:42" x14ac:dyDescent="0.2">
      <c r="A1129" s="3">
        <v>1100</v>
      </c>
      <c r="B1129" s="3">
        <v>8.3399999999999998E-7</v>
      </c>
      <c r="C1129" s="2">
        <v>5.8749999999999997E-2</v>
      </c>
      <c r="D1129" s="3">
        <v>237000</v>
      </c>
      <c r="E1129" s="3">
        <v>87100000000</v>
      </c>
      <c r="F1129" s="3">
        <v>80600000000</v>
      </c>
      <c r="G1129" s="3">
        <v>8090000000</v>
      </c>
      <c r="H1129" s="3">
        <v>9870000000</v>
      </c>
      <c r="I1129" s="2"/>
      <c r="J1129" s="7">
        <f t="shared" si="304"/>
        <v>0.83399999999999996</v>
      </c>
      <c r="K1129" s="7">
        <f t="shared" si="305"/>
        <v>58.75</v>
      </c>
      <c r="L1129" s="7">
        <f t="shared" si="306"/>
        <v>87.100000000000009</v>
      </c>
      <c r="M1129" s="7">
        <f t="shared" si="307"/>
        <v>237</v>
      </c>
      <c r="O1129">
        <f t="shared" si="308"/>
        <v>0.64808227848101263</v>
      </c>
      <c r="P1129">
        <f t="shared" si="309"/>
        <v>648.08227848101262</v>
      </c>
      <c r="V1129">
        <f t="shared" si="310"/>
        <v>1125.2470196414702</v>
      </c>
      <c r="W1129">
        <f t="shared" si="311"/>
        <v>105.31021005303961</v>
      </c>
      <c r="AE1129">
        <f t="shared" si="312"/>
        <v>0.80372327820271183</v>
      </c>
      <c r="AF1129">
        <f t="shared" si="313"/>
        <v>0.77895421398614506</v>
      </c>
      <c r="AG1129">
        <f t="shared" si="314"/>
        <v>0.78095640915206088</v>
      </c>
      <c r="AI1129">
        <f t="shared" si="315"/>
        <v>0.43236274153596799</v>
      </c>
      <c r="AJ1129">
        <f t="shared" si="316"/>
        <v>28.949780229637184</v>
      </c>
      <c r="AL1129">
        <f t="shared" si="317"/>
        <v>0.44611094434130738</v>
      </c>
      <c r="AM1129">
        <f t="shared" si="318"/>
        <v>30.820132599210972</v>
      </c>
      <c r="AO1129">
        <f t="shared" si="319"/>
        <v>0.44496721702726677</v>
      </c>
      <c r="AP1129">
        <f t="shared" si="320"/>
        <v>30.662303513689004</v>
      </c>
    </row>
    <row r="1130" spans="1:42" x14ac:dyDescent="0.2">
      <c r="A1130" s="3">
        <v>1100</v>
      </c>
      <c r="B1130" s="3">
        <v>8.3500000000000005E-7</v>
      </c>
      <c r="C1130" s="2">
        <v>5.8799999999999998E-2</v>
      </c>
      <c r="D1130" s="3">
        <v>247000</v>
      </c>
      <c r="E1130" s="3">
        <v>90800000000</v>
      </c>
      <c r="F1130" s="3">
        <v>83700000000</v>
      </c>
      <c r="G1130" s="3">
        <v>9060000000</v>
      </c>
      <c r="H1130" s="3">
        <v>9750000000</v>
      </c>
      <c r="I1130" s="2"/>
      <c r="J1130" s="7">
        <f t="shared" si="304"/>
        <v>0.83500000000000008</v>
      </c>
      <c r="K1130" s="7">
        <f t="shared" si="305"/>
        <v>58.8</v>
      </c>
      <c r="L1130" s="7">
        <f t="shared" si="306"/>
        <v>90.800000000000011</v>
      </c>
      <c r="M1130" s="7">
        <f t="shared" si="307"/>
        <v>247</v>
      </c>
      <c r="O1130">
        <f t="shared" si="308"/>
        <v>0.65645748987854258</v>
      </c>
      <c r="P1130">
        <f t="shared" si="309"/>
        <v>656.45748987854256</v>
      </c>
      <c r="V1130">
        <f t="shared" si="310"/>
        <v>1131.6662276543577</v>
      </c>
      <c r="W1130">
        <f t="shared" si="311"/>
        <v>109.13111744615952</v>
      </c>
      <c r="AE1130">
        <f t="shared" si="312"/>
        <v>0.83763565281042118</v>
      </c>
      <c r="AF1130">
        <f t="shared" si="313"/>
        <v>0.81182148039906254</v>
      </c>
      <c r="AG1130">
        <f t="shared" si="314"/>
        <v>0.81390815637366687</v>
      </c>
      <c r="AI1130">
        <f t="shared" si="315"/>
        <v>0.41535560896834139</v>
      </c>
      <c r="AJ1130">
        <f t="shared" si="316"/>
        <v>26.675803631692226</v>
      </c>
      <c r="AL1130">
        <f t="shared" si="317"/>
        <v>0.42856302163333154</v>
      </c>
      <c r="AM1130">
        <f t="shared" si="318"/>
        <v>28.399241672915863</v>
      </c>
      <c r="AO1130">
        <f t="shared" si="319"/>
        <v>0.42746428321445334</v>
      </c>
      <c r="AP1130">
        <f t="shared" si="320"/>
        <v>28.253809905926364</v>
      </c>
    </row>
    <row r="1131" spans="1:42" x14ac:dyDescent="0.2">
      <c r="A1131" s="3">
        <v>1100</v>
      </c>
      <c r="B1131" s="3">
        <v>8.3600000000000002E-7</v>
      </c>
      <c r="C1131" s="2">
        <v>5.885E-2</v>
      </c>
      <c r="D1131" s="3">
        <v>230000</v>
      </c>
      <c r="E1131" s="3">
        <v>84600000000</v>
      </c>
      <c r="F1131" s="3">
        <v>78500000000</v>
      </c>
      <c r="G1131" s="3">
        <v>3320000000</v>
      </c>
      <c r="H1131" s="3">
        <v>9950000000</v>
      </c>
      <c r="I1131" s="2"/>
      <c r="J1131" s="7">
        <f t="shared" si="304"/>
        <v>0.83600000000000008</v>
      </c>
      <c r="K1131" s="7">
        <f t="shared" si="305"/>
        <v>58.85</v>
      </c>
      <c r="L1131" s="7">
        <f t="shared" si="306"/>
        <v>84.600000000000009</v>
      </c>
      <c r="M1131" s="7">
        <f t="shared" si="307"/>
        <v>230</v>
      </c>
      <c r="O1131">
        <f t="shared" si="308"/>
        <v>0.64409782608695654</v>
      </c>
      <c r="P1131">
        <f t="shared" si="309"/>
        <v>644.0978260869565</v>
      </c>
      <c r="V1131">
        <f t="shared" si="310"/>
        <v>1122.1769019060623</v>
      </c>
      <c r="W1131">
        <f t="shared" si="311"/>
        <v>102.47938609738617</v>
      </c>
      <c r="AE1131">
        <f t="shared" si="312"/>
        <v>0.77998461597731528</v>
      </c>
      <c r="AF1131">
        <f t="shared" si="313"/>
        <v>0.7559471274971028</v>
      </c>
      <c r="AG1131">
        <f t="shared" si="314"/>
        <v>0.75789018609693681</v>
      </c>
      <c r="AI1131">
        <f t="shared" si="315"/>
        <v>0.44659000472320104</v>
      </c>
      <c r="AJ1131">
        <f t="shared" si="316"/>
        <v>30.79107753900437</v>
      </c>
      <c r="AL1131">
        <f t="shared" si="317"/>
        <v>0.46079060381728665</v>
      </c>
      <c r="AM1131">
        <f t="shared" si="318"/>
        <v>32.780390217027723</v>
      </c>
      <c r="AO1131">
        <f t="shared" si="319"/>
        <v>0.45960924118468571</v>
      </c>
      <c r="AP1131">
        <f t="shared" si="320"/>
        <v>32.612522703987253</v>
      </c>
    </row>
    <row r="1132" spans="1:42" x14ac:dyDescent="0.2">
      <c r="A1132" s="3">
        <v>1100</v>
      </c>
      <c r="B1132" s="3">
        <v>8.3699999999999999E-7</v>
      </c>
      <c r="C1132" s="2">
        <v>5.8900000000000001E-2</v>
      </c>
      <c r="D1132" s="3">
        <v>227000</v>
      </c>
      <c r="E1132" s="3">
        <v>83600000000</v>
      </c>
      <c r="F1132" s="3">
        <v>77600000000</v>
      </c>
      <c r="G1132" s="3">
        <v>5800000000</v>
      </c>
      <c r="H1132" s="3">
        <v>9980000000</v>
      </c>
      <c r="I1132" s="2"/>
      <c r="J1132" s="7">
        <f t="shared" si="304"/>
        <v>0.83699999999999997</v>
      </c>
      <c r="K1132" s="7">
        <f t="shared" si="305"/>
        <v>58.9</v>
      </c>
      <c r="L1132" s="7">
        <f t="shared" si="306"/>
        <v>83.600000000000009</v>
      </c>
      <c r="M1132" s="7">
        <f t="shared" si="307"/>
        <v>227</v>
      </c>
      <c r="O1132">
        <f t="shared" si="308"/>
        <v>0.64239647577092507</v>
      </c>
      <c r="P1132">
        <f t="shared" si="309"/>
        <v>642.39647577092512</v>
      </c>
      <c r="V1132">
        <f t="shared" si="310"/>
        <v>1120.8627475895</v>
      </c>
      <c r="W1132">
        <f t="shared" si="311"/>
        <v>101.26128310008546</v>
      </c>
      <c r="AE1132">
        <f t="shared" si="312"/>
        <v>0.76981090359500248</v>
      </c>
      <c r="AF1132">
        <f t="shared" si="313"/>
        <v>0.74608694757322747</v>
      </c>
      <c r="AG1132">
        <f t="shared" si="314"/>
        <v>0.74800466193045501</v>
      </c>
      <c r="AI1132">
        <f t="shared" si="315"/>
        <v>0.45303333373344551</v>
      </c>
      <c r="AJ1132">
        <f t="shared" si="316"/>
        <v>31.637173239549593</v>
      </c>
      <c r="AL1132">
        <f t="shared" si="317"/>
        <v>0.46743881679523769</v>
      </c>
      <c r="AM1132">
        <f t="shared" si="318"/>
        <v>33.681149444751675</v>
      </c>
      <c r="AO1132">
        <f t="shared" si="319"/>
        <v>0.46624040965191832</v>
      </c>
      <c r="AP1132">
        <f t="shared" si="320"/>
        <v>33.508669167482189</v>
      </c>
    </row>
    <row r="1133" spans="1:42" x14ac:dyDescent="0.2">
      <c r="A1133" s="3">
        <v>1100</v>
      </c>
      <c r="B1133" s="3">
        <v>8.3799999999999996E-7</v>
      </c>
      <c r="C1133" s="2">
        <v>5.8959999999999999E-2</v>
      </c>
      <c r="D1133" s="3">
        <v>228000</v>
      </c>
      <c r="E1133" s="3">
        <v>83900000000</v>
      </c>
      <c r="F1133" s="3">
        <v>77800000000</v>
      </c>
      <c r="G1133" s="3">
        <v>2320000000</v>
      </c>
      <c r="H1133" s="3">
        <v>9970000000</v>
      </c>
      <c r="I1133" s="2"/>
      <c r="J1133" s="7">
        <f t="shared" si="304"/>
        <v>0.83799999999999997</v>
      </c>
      <c r="K1133" s="7">
        <f t="shared" si="305"/>
        <v>58.96</v>
      </c>
      <c r="L1133" s="7">
        <f t="shared" si="306"/>
        <v>83.9</v>
      </c>
      <c r="M1133" s="7">
        <f t="shared" si="307"/>
        <v>228</v>
      </c>
      <c r="O1133">
        <f t="shared" si="308"/>
        <v>0.64405263157894732</v>
      </c>
      <c r="P1133">
        <f t="shared" si="309"/>
        <v>644.05263157894728</v>
      </c>
      <c r="V1133">
        <f t="shared" si="310"/>
        <v>1122.1420178501146</v>
      </c>
      <c r="W1133">
        <f t="shared" si="311"/>
        <v>101.59141907760473</v>
      </c>
      <c r="AE1133">
        <f t="shared" si="312"/>
        <v>0.77320214105577334</v>
      </c>
      <c r="AF1133">
        <f t="shared" si="313"/>
        <v>0.74937367421451928</v>
      </c>
      <c r="AG1133">
        <f t="shared" si="314"/>
        <v>0.75129983665261557</v>
      </c>
      <c r="AI1133">
        <f t="shared" si="315"/>
        <v>0.45158522995021072</v>
      </c>
      <c r="AJ1133">
        <f t="shared" si="316"/>
        <v>31.392208708788388</v>
      </c>
      <c r="AL1133">
        <f t="shared" si="317"/>
        <v>0.4659446664344824</v>
      </c>
      <c r="AM1133">
        <f t="shared" si="318"/>
        <v>33.420358542013318</v>
      </c>
      <c r="AO1133">
        <f t="shared" si="319"/>
        <v>0.46475008995391759</v>
      </c>
      <c r="AP1133">
        <f t="shared" si="320"/>
        <v>33.249213768073005</v>
      </c>
    </row>
    <row r="1134" spans="1:42" x14ac:dyDescent="0.2">
      <c r="A1134" s="3">
        <v>1100</v>
      </c>
      <c r="B1134" s="3">
        <v>8.3900000000000004E-7</v>
      </c>
      <c r="C1134" s="2">
        <v>5.901E-2</v>
      </c>
      <c r="D1134" s="3">
        <v>221000</v>
      </c>
      <c r="E1134" s="3">
        <v>81600000000</v>
      </c>
      <c r="F1134" s="3">
        <v>75800000000</v>
      </c>
      <c r="G1134" s="3">
        <v>2340000000</v>
      </c>
      <c r="H1134" s="3">
        <v>10100000000</v>
      </c>
      <c r="I1134" s="2"/>
      <c r="J1134" s="7">
        <f t="shared" si="304"/>
        <v>0.83900000000000008</v>
      </c>
      <c r="K1134" s="7">
        <f t="shared" si="305"/>
        <v>59.01</v>
      </c>
      <c r="L1134" s="7">
        <f t="shared" si="306"/>
        <v>81.600000000000009</v>
      </c>
      <c r="M1134" s="7">
        <f t="shared" si="307"/>
        <v>221</v>
      </c>
      <c r="O1134">
        <f t="shared" si="308"/>
        <v>0.63873981900452503</v>
      </c>
      <c r="P1134">
        <f t="shared" si="309"/>
        <v>638.73981900452509</v>
      </c>
      <c r="V1134">
        <f t="shared" si="310"/>
        <v>1118.0317026555506</v>
      </c>
      <c r="W1134">
        <f t="shared" si="311"/>
        <v>98.834406696643953</v>
      </c>
      <c r="AE1134">
        <f t="shared" si="312"/>
        <v>0.74946347883037678</v>
      </c>
      <c r="AF1134">
        <f t="shared" si="313"/>
        <v>0.72636658772547702</v>
      </c>
      <c r="AG1134">
        <f t="shared" si="314"/>
        <v>0.72823361359749139</v>
      </c>
      <c r="AI1134">
        <f t="shared" si="315"/>
        <v>0.46644478778191839</v>
      </c>
      <c r="AJ1134">
        <f t="shared" si="316"/>
        <v>33.440684579862719</v>
      </c>
      <c r="AL1134">
        <f t="shared" si="317"/>
        <v>0.48127672616110873</v>
      </c>
      <c r="AM1134">
        <f t="shared" si="318"/>
        <v>35.601179863349699</v>
      </c>
      <c r="AO1134">
        <f t="shared" si="319"/>
        <v>0.48004284175566048</v>
      </c>
      <c r="AP1134">
        <f t="shared" si="320"/>
        <v>35.418867160987105</v>
      </c>
    </row>
    <row r="1135" spans="1:42" x14ac:dyDescent="0.2">
      <c r="A1135" s="3">
        <v>1100</v>
      </c>
      <c r="B1135" s="3">
        <v>8.4E-7</v>
      </c>
      <c r="C1135" s="2">
        <v>5.9060000000000001E-2</v>
      </c>
      <c r="D1135" s="3">
        <v>235000</v>
      </c>
      <c r="E1135" s="3">
        <v>86400000000</v>
      </c>
      <c r="F1135" s="3">
        <v>79900000000</v>
      </c>
      <c r="G1135" s="3">
        <v>4370000000</v>
      </c>
      <c r="H1135" s="3">
        <v>9870000000</v>
      </c>
      <c r="I1135" s="2"/>
      <c r="J1135" s="7">
        <f t="shared" si="304"/>
        <v>0.84</v>
      </c>
      <c r="K1135" s="7">
        <f t="shared" si="305"/>
        <v>59.06</v>
      </c>
      <c r="L1135" s="7">
        <f t="shared" si="306"/>
        <v>86.4</v>
      </c>
      <c r="M1135" s="7">
        <f t="shared" si="307"/>
        <v>235</v>
      </c>
      <c r="O1135">
        <f t="shared" si="308"/>
        <v>0.65151063829787226</v>
      </c>
      <c r="P1135">
        <f t="shared" si="309"/>
        <v>651.51063829787222</v>
      </c>
      <c r="V1135">
        <f t="shared" si="310"/>
        <v>1127.880250445985</v>
      </c>
      <c r="W1135">
        <f t="shared" si="311"/>
        <v>104.17772627327972</v>
      </c>
      <c r="AE1135">
        <f t="shared" si="312"/>
        <v>0.7969408032811699</v>
      </c>
      <c r="AF1135">
        <f t="shared" si="313"/>
        <v>0.77238076070356154</v>
      </c>
      <c r="AG1135">
        <f t="shared" si="314"/>
        <v>0.77436605970773975</v>
      </c>
      <c r="AI1135">
        <f t="shared" si="315"/>
        <v>0.43917942030195684</v>
      </c>
      <c r="AJ1135">
        <f t="shared" si="316"/>
        <v>29.600006765278327</v>
      </c>
      <c r="AL1135">
        <f t="shared" si="317"/>
        <v>0.45314437879211933</v>
      </c>
      <c r="AM1135">
        <f t="shared" si="318"/>
        <v>31.512368184041751</v>
      </c>
      <c r="AO1135">
        <f t="shared" si="319"/>
        <v>0.45198261934684553</v>
      </c>
      <c r="AP1135">
        <f t="shared" si="320"/>
        <v>31.350994178361891</v>
      </c>
    </row>
    <row r="1136" spans="1:42" x14ac:dyDescent="0.2">
      <c r="A1136" s="3">
        <v>1100</v>
      </c>
      <c r="B1136" s="3">
        <v>8.4099999999999997E-7</v>
      </c>
      <c r="C1136" s="2">
        <v>5.9110000000000003E-2</v>
      </c>
      <c r="D1136" s="3">
        <v>230000</v>
      </c>
      <c r="E1136" s="3">
        <v>84500000000</v>
      </c>
      <c r="F1136" s="3">
        <v>78300000000</v>
      </c>
      <c r="G1136" s="3">
        <v>560000000</v>
      </c>
      <c r="H1136" s="3">
        <v>9930000000</v>
      </c>
      <c r="I1136" s="2"/>
      <c r="J1136" s="7">
        <f t="shared" si="304"/>
        <v>0.84099999999999997</v>
      </c>
      <c r="K1136" s="7">
        <f t="shared" si="305"/>
        <v>59.11</v>
      </c>
      <c r="L1136" s="7">
        <f t="shared" si="306"/>
        <v>84.5</v>
      </c>
      <c r="M1136" s="7">
        <f t="shared" si="307"/>
        <v>230</v>
      </c>
      <c r="O1136">
        <f t="shared" si="308"/>
        <v>0.64824999999999999</v>
      </c>
      <c r="P1136">
        <f t="shared" si="309"/>
        <v>648.25</v>
      </c>
      <c r="V1136">
        <f t="shared" si="310"/>
        <v>1125.3760222664475</v>
      </c>
      <c r="W1136">
        <f t="shared" si="311"/>
        <v>102.18806667694599</v>
      </c>
      <c r="AE1136">
        <f t="shared" si="312"/>
        <v>0.77998461597731528</v>
      </c>
      <c r="AF1136">
        <f t="shared" si="313"/>
        <v>0.7559471274971028</v>
      </c>
      <c r="AG1136">
        <f t="shared" si="314"/>
        <v>0.75789018609693681</v>
      </c>
      <c r="AI1136">
        <f t="shared" si="315"/>
        <v>0.44926099757441629</v>
      </c>
      <c r="AJ1136">
        <f t="shared" si="316"/>
        <v>30.927112885820701</v>
      </c>
      <c r="AL1136">
        <f t="shared" si="317"/>
        <v>0.4635465284812656</v>
      </c>
      <c r="AM1136">
        <f t="shared" si="318"/>
        <v>32.925214370917736</v>
      </c>
      <c r="AO1136">
        <f t="shared" si="319"/>
        <v>0.46235810028268021</v>
      </c>
      <c r="AP1136">
        <f t="shared" si="320"/>
        <v>32.756605217207927</v>
      </c>
    </row>
    <row r="1137" spans="1:42" x14ac:dyDescent="0.2">
      <c r="A1137" s="3">
        <v>1100</v>
      </c>
      <c r="B1137" s="3">
        <v>8.4200000000000005E-7</v>
      </c>
      <c r="C1137" s="2">
        <v>5.9159999999999997E-2</v>
      </c>
      <c r="D1137" s="3">
        <v>242000</v>
      </c>
      <c r="E1137" s="3">
        <v>88400000000</v>
      </c>
      <c r="F1137" s="3">
        <v>81700000000</v>
      </c>
      <c r="G1137" s="2">
        <v>0</v>
      </c>
      <c r="H1137" s="3">
        <v>9790000000</v>
      </c>
      <c r="I1137" s="2"/>
      <c r="J1137" s="7">
        <f t="shared" si="304"/>
        <v>0.84200000000000008</v>
      </c>
      <c r="K1137" s="7">
        <f t="shared" si="305"/>
        <v>59.16</v>
      </c>
      <c r="L1137" s="7">
        <f t="shared" si="306"/>
        <v>88.4</v>
      </c>
      <c r="M1137" s="7">
        <f t="shared" si="307"/>
        <v>242</v>
      </c>
      <c r="O1137">
        <f t="shared" si="308"/>
        <v>0.65865289256198356</v>
      </c>
      <c r="P1137">
        <f t="shared" si="309"/>
        <v>658.65289256198355</v>
      </c>
      <c r="V1137">
        <f t="shared" si="310"/>
        <v>1133.3413452467098</v>
      </c>
      <c r="W1137">
        <f t="shared" si="311"/>
        <v>106.76395113218099</v>
      </c>
      <c r="AE1137">
        <f t="shared" si="312"/>
        <v>0.82067946550656645</v>
      </c>
      <c r="AF1137">
        <f t="shared" si="313"/>
        <v>0.7953878471926038</v>
      </c>
      <c r="AG1137">
        <f t="shared" si="314"/>
        <v>0.79743228276286393</v>
      </c>
      <c r="AI1137">
        <f t="shared" si="315"/>
        <v>0.42749130212095732</v>
      </c>
      <c r="AJ1137">
        <f t="shared" si="316"/>
        <v>27.959636802597757</v>
      </c>
      <c r="AL1137">
        <f t="shared" si="317"/>
        <v>0.44108460365799229</v>
      </c>
      <c r="AM1137">
        <f t="shared" si="318"/>
        <v>29.766019183788515</v>
      </c>
      <c r="AO1137">
        <f t="shared" si="319"/>
        <v>0.43995376274183556</v>
      </c>
      <c r="AP1137">
        <f t="shared" si="320"/>
        <v>29.613588185242872</v>
      </c>
    </row>
    <row r="1138" spans="1:42" x14ac:dyDescent="0.2">
      <c r="A1138" s="3">
        <v>1100</v>
      </c>
      <c r="B1138" s="3">
        <v>8.4300000000000002E-7</v>
      </c>
      <c r="C1138" s="2">
        <v>5.9220000000000002E-2</v>
      </c>
      <c r="D1138" s="3">
        <v>240000</v>
      </c>
      <c r="E1138" s="3">
        <v>87600000000</v>
      </c>
      <c r="F1138" s="3">
        <v>81000000000</v>
      </c>
      <c r="G1138" s="3">
        <v>3760000000</v>
      </c>
      <c r="H1138" s="3">
        <v>9810000000</v>
      </c>
      <c r="I1138" s="2"/>
      <c r="J1138" s="7">
        <f t="shared" si="304"/>
        <v>0.84299999999999997</v>
      </c>
      <c r="K1138" s="7">
        <f t="shared" si="305"/>
        <v>59.22</v>
      </c>
      <c r="L1138" s="7">
        <f t="shared" si="306"/>
        <v>87.600000000000009</v>
      </c>
      <c r="M1138" s="7">
        <f t="shared" si="307"/>
        <v>240</v>
      </c>
      <c r="O1138">
        <f t="shared" si="308"/>
        <v>0.65793749999999995</v>
      </c>
      <c r="P1138">
        <f t="shared" si="309"/>
        <v>657.9375</v>
      </c>
      <c r="V1138">
        <f t="shared" si="310"/>
        <v>1132.7958345108595</v>
      </c>
      <c r="W1138">
        <f t="shared" si="311"/>
        <v>105.93259292113828</v>
      </c>
      <c r="AE1138">
        <f t="shared" si="312"/>
        <v>0.81389699058502463</v>
      </c>
      <c r="AF1138">
        <f t="shared" si="313"/>
        <v>0.78881439391002028</v>
      </c>
      <c r="AG1138">
        <f t="shared" si="314"/>
        <v>0.79084193331854269</v>
      </c>
      <c r="AI1138">
        <f t="shared" si="315"/>
        <v>0.4315656699351148</v>
      </c>
      <c r="AJ1138">
        <f t="shared" si="316"/>
        <v>28.456403600073592</v>
      </c>
      <c r="AL1138">
        <f t="shared" si="317"/>
        <v>0.44528852758240484</v>
      </c>
      <c r="AM1138">
        <f t="shared" si="318"/>
        <v>30.29488048938892</v>
      </c>
      <c r="AO1138">
        <f t="shared" si="319"/>
        <v>0.44414690875846646</v>
      </c>
      <c r="AP1138">
        <f t="shared" si="320"/>
        <v>30.139741206056957</v>
      </c>
    </row>
    <row r="1139" spans="1:42" x14ac:dyDescent="0.2">
      <c r="A1139" s="3">
        <v>1100</v>
      </c>
      <c r="B1139" s="3">
        <v>8.4399999999999999E-7</v>
      </c>
      <c r="C1139" s="2">
        <v>5.9270000000000003E-2</v>
      </c>
      <c r="D1139" s="3">
        <v>254000</v>
      </c>
      <c r="E1139" s="3">
        <v>92600000000</v>
      </c>
      <c r="F1139" s="3">
        <v>85200000000</v>
      </c>
      <c r="G1139" s="3">
        <v>3660000000</v>
      </c>
      <c r="H1139" s="3">
        <v>9650000000</v>
      </c>
      <c r="I1139" s="2"/>
      <c r="J1139" s="7">
        <f t="shared" si="304"/>
        <v>0.84399999999999997</v>
      </c>
      <c r="K1139" s="7">
        <f t="shared" si="305"/>
        <v>59.27</v>
      </c>
      <c r="L1139" s="7">
        <f t="shared" si="306"/>
        <v>92.600000000000009</v>
      </c>
      <c r="M1139" s="7">
        <f t="shared" si="307"/>
        <v>254</v>
      </c>
      <c r="O1139">
        <f t="shared" si="308"/>
        <v>0.66899015748031498</v>
      </c>
      <c r="P1139">
        <f t="shared" si="309"/>
        <v>668.99015748031502</v>
      </c>
      <c r="V1139">
        <f t="shared" si="310"/>
        <v>1141.1873057660814</v>
      </c>
      <c r="W1139">
        <f t="shared" si="311"/>
        <v>111.28760314657077</v>
      </c>
      <c r="AE1139">
        <f t="shared" si="312"/>
        <v>0.86137431503581774</v>
      </c>
      <c r="AF1139">
        <f t="shared" si="313"/>
        <v>0.83482856688810481</v>
      </c>
      <c r="AG1139">
        <f t="shared" si="314"/>
        <v>0.83697437942879105</v>
      </c>
      <c r="AI1139">
        <f t="shared" si="315"/>
        <v>0.40826230888024984</v>
      </c>
      <c r="AJ1139">
        <f t="shared" si="316"/>
        <v>25.427378408637537</v>
      </c>
      <c r="AL1139">
        <f t="shared" si="317"/>
        <v>0.42124416989889835</v>
      </c>
      <c r="AM1139">
        <f t="shared" si="318"/>
        <v>27.070159703742402</v>
      </c>
      <c r="AO1139">
        <f t="shared" si="319"/>
        <v>0.42016419535645555</v>
      </c>
      <c r="AP1139">
        <f t="shared" si="320"/>
        <v>26.931534130435008</v>
      </c>
    </row>
    <row r="1140" spans="1:42" x14ac:dyDescent="0.2">
      <c r="A1140" s="3">
        <v>1100</v>
      </c>
      <c r="B1140" s="3">
        <v>8.4499999999999996E-7</v>
      </c>
      <c r="C1140" s="2">
        <v>5.9319999999999998E-2</v>
      </c>
      <c r="D1140" s="3">
        <v>236000</v>
      </c>
      <c r="E1140" s="3">
        <v>86200000000</v>
      </c>
      <c r="F1140" s="3">
        <v>79800000000</v>
      </c>
      <c r="G1140" s="3">
        <v>9990000000</v>
      </c>
      <c r="H1140" s="3">
        <v>9840000000</v>
      </c>
      <c r="I1140" s="2"/>
      <c r="J1140" s="7">
        <f t="shared" si="304"/>
        <v>0.84499999999999997</v>
      </c>
      <c r="K1140" s="7">
        <f t="shared" si="305"/>
        <v>59.32</v>
      </c>
      <c r="L1140" s="7">
        <f t="shared" si="306"/>
        <v>86.2</v>
      </c>
      <c r="M1140" s="7">
        <f t="shared" si="307"/>
        <v>236</v>
      </c>
      <c r="O1140">
        <f t="shared" si="308"/>
        <v>0.65648305084745762</v>
      </c>
      <c r="P1140">
        <f t="shared" si="309"/>
        <v>656.48305084745766</v>
      </c>
      <c r="V1140">
        <f t="shared" si="310"/>
        <v>1131.6857489070514</v>
      </c>
      <c r="W1140">
        <f t="shared" si="311"/>
        <v>104.26922855038238</v>
      </c>
      <c r="AE1140">
        <f t="shared" si="312"/>
        <v>0.80033204074194086</v>
      </c>
      <c r="AF1140">
        <f t="shared" si="313"/>
        <v>0.77566748734485325</v>
      </c>
      <c r="AG1140">
        <f t="shared" si="314"/>
        <v>0.77766123442990032</v>
      </c>
      <c r="AI1140">
        <f t="shared" si="315"/>
        <v>0.4399215768082177</v>
      </c>
      <c r="AJ1140">
        <f t="shared" si="316"/>
        <v>29.478896930822302</v>
      </c>
      <c r="AL1140">
        <f t="shared" si="317"/>
        <v>0.45391013427484417</v>
      </c>
      <c r="AM1140">
        <f t="shared" si="318"/>
        <v>31.383433831953592</v>
      </c>
      <c r="AO1140">
        <f t="shared" si="319"/>
        <v>0.45274641160613327</v>
      </c>
      <c r="AP1140">
        <f t="shared" si="320"/>
        <v>31.222720095687468</v>
      </c>
    </row>
    <row r="1141" spans="1:42" x14ac:dyDescent="0.2">
      <c r="A1141" s="3">
        <v>1100</v>
      </c>
      <c r="B1141" s="3">
        <v>8.4600000000000003E-7</v>
      </c>
      <c r="C1141" s="2">
        <v>5.9369999999999999E-2</v>
      </c>
      <c r="D1141" s="3">
        <v>235000</v>
      </c>
      <c r="E1141" s="3">
        <v>85900000000</v>
      </c>
      <c r="F1141" s="3">
        <v>79500000000</v>
      </c>
      <c r="G1141" s="3">
        <v>10400000000</v>
      </c>
      <c r="H1141" s="3">
        <v>9850000000</v>
      </c>
      <c r="I1141" s="2"/>
      <c r="J1141" s="7">
        <f t="shared" si="304"/>
        <v>0.84600000000000009</v>
      </c>
      <c r="K1141" s="7">
        <f t="shared" si="305"/>
        <v>59.37</v>
      </c>
      <c r="L1141" s="7">
        <f t="shared" si="306"/>
        <v>85.9</v>
      </c>
      <c r="M1141" s="7">
        <f t="shared" si="307"/>
        <v>235</v>
      </c>
      <c r="O1141">
        <f t="shared" si="308"/>
        <v>0.65652127659574477</v>
      </c>
      <c r="P1141">
        <f t="shared" si="309"/>
        <v>656.52127659574478</v>
      </c>
      <c r="V1141">
        <f t="shared" si="310"/>
        <v>1131.7149416306377</v>
      </c>
      <c r="W1141">
        <f t="shared" si="311"/>
        <v>103.8247315447647</v>
      </c>
      <c r="AE1141">
        <f t="shared" si="312"/>
        <v>0.7969408032811699</v>
      </c>
      <c r="AF1141">
        <f t="shared" si="313"/>
        <v>0.77238076070356154</v>
      </c>
      <c r="AG1141">
        <f t="shared" si="314"/>
        <v>0.77436605970773975</v>
      </c>
      <c r="AI1141">
        <f t="shared" si="315"/>
        <v>0.44231641616125655</v>
      </c>
      <c r="AJ1141">
        <f t="shared" si="316"/>
        <v>29.755374223748291</v>
      </c>
      <c r="AL1141">
        <f t="shared" si="317"/>
        <v>0.45638112435492029</v>
      </c>
      <c r="AM1141">
        <f t="shared" si="318"/>
        <v>31.677773435261745</v>
      </c>
      <c r="AO1141">
        <f t="shared" si="319"/>
        <v>0.45521106662789451</v>
      </c>
      <c r="AP1141">
        <f t="shared" si="320"/>
        <v>31.515552393656371</v>
      </c>
    </row>
    <row r="1142" spans="1:42" x14ac:dyDescent="0.2">
      <c r="A1142" s="3">
        <v>1100</v>
      </c>
      <c r="B1142" s="3">
        <v>8.47E-7</v>
      </c>
      <c r="C1142" s="2">
        <v>5.9420000000000001E-2</v>
      </c>
      <c r="D1142" s="3">
        <v>241000</v>
      </c>
      <c r="E1142" s="3">
        <v>87900000000</v>
      </c>
      <c r="F1142" s="3">
        <v>81200000000</v>
      </c>
      <c r="G1142" s="2">
        <v>0</v>
      </c>
      <c r="H1142" s="3">
        <v>9780000000</v>
      </c>
      <c r="I1142" s="2"/>
      <c r="J1142" s="7">
        <f t="shared" si="304"/>
        <v>0.84699999999999998</v>
      </c>
      <c r="K1142" s="7">
        <f t="shared" si="305"/>
        <v>59.42</v>
      </c>
      <c r="L1142" s="7">
        <f t="shared" si="306"/>
        <v>87.9</v>
      </c>
      <c r="M1142" s="7">
        <f t="shared" si="307"/>
        <v>241</v>
      </c>
      <c r="O1142">
        <f t="shared" si="308"/>
        <v>0.66208298755186723</v>
      </c>
      <c r="P1142">
        <f t="shared" si="309"/>
        <v>662.08298755186718</v>
      </c>
      <c r="V1142">
        <f t="shared" si="310"/>
        <v>1135.9523339439429</v>
      </c>
      <c r="W1142">
        <f t="shared" si="311"/>
        <v>106.07839466435433</v>
      </c>
      <c r="AE1142">
        <f t="shared" si="312"/>
        <v>0.8172882280457956</v>
      </c>
      <c r="AF1142">
        <f t="shared" si="313"/>
        <v>0.79210112055131199</v>
      </c>
      <c r="AG1142">
        <f t="shared" si="314"/>
        <v>0.79413710804070337</v>
      </c>
      <c r="AI1142">
        <f t="shared" si="315"/>
        <v>0.43181420526577252</v>
      </c>
      <c r="AJ1142">
        <f t="shared" si="316"/>
        <v>28.316048958418744</v>
      </c>
      <c r="AL1142">
        <f t="shared" si="317"/>
        <v>0.44554496580061947</v>
      </c>
      <c r="AM1142">
        <f t="shared" si="318"/>
        <v>30.145457984886153</v>
      </c>
      <c r="AO1142">
        <f t="shared" si="319"/>
        <v>0.44440268952723205</v>
      </c>
      <c r="AP1142">
        <f t="shared" si="320"/>
        <v>29.991083890255627</v>
      </c>
    </row>
    <row r="1143" spans="1:42" x14ac:dyDescent="0.2">
      <c r="A1143" s="3">
        <v>1100</v>
      </c>
      <c r="B1143" s="3">
        <v>8.4799999999999997E-7</v>
      </c>
      <c r="C1143" s="2">
        <v>5.9479999999999998E-2</v>
      </c>
      <c r="D1143" s="3">
        <v>258000</v>
      </c>
      <c r="E1143" s="3">
        <v>93700000000</v>
      </c>
      <c r="F1143" s="3">
        <v>86200000000</v>
      </c>
      <c r="G1143" s="3">
        <v>6720000000</v>
      </c>
      <c r="H1143" s="3">
        <v>9610000000</v>
      </c>
      <c r="I1143" s="2"/>
      <c r="J1143" s="7">
        <f t="shared" si="304"/>
        <v>0.84799999999999998</v>
      </c>
      <c r="K1143" s="7">
        <f t="shared" si="305"/>
        <v>59.48</v>
      </c>
      <c r="L1143" s="7">
        <f t="shared" si="306"/>
        <v>93.7</v>
      </c>
      <c r="M1143" s="7">
        <f t="shared" si="307"/>
        <v>258</v>
      </c>
      <c r="O1143">
        <f t="shared" si="308"/>
        <v>0.67509302325581388</v>
      </c>
      <c r="P1143">
        <f t="shared" si="309"/>
        <v>675.09302325581393</v>
      </c>
      <c r="V1143">
        <f t="shared" si="310"/>
        <v>1145.7876975707863</v>
      </c>
      <c r="W1143">
        <f t="shared" si="311"/>
        <v>112.5863022211673</v>
      </c>
      <c r="AE1143">
        <f t="shared" si="312"/>
        <v>0.8749392648789015</v>
      </c>
      <c r="AF1143">
        <f t="shared" si="313"/>
        <v>0.84797547345327173</v>
      </c>
      <c r="AG1143">
        <f t="shared" si="314"/>
        <v>0.85015507831743342</v>
      </c>
      <c r="AI1143">
        <f t="shared" si="315"/>
        <v>0.40383755480700417</v>
      </c>
      <c r="AJ1143">
        <f t="shared" si="316"/>
        <v>24.732364599645798</v>
      </c>
      <c r="AL1143">
        <f t="shared" si="317"/>
        <v>0.41667871818795482</v>
      </c>
      <c r="AM1143">
        <f t="shared" si="318"/>
        <v>26.330243283600502</v>
      </c>
      <c r="AO1143">
        <f t="shared" si="319"/>
        <v>0.41561044842856859</v>
      </c>
      <c r="AP1143">
        <f t="shared" si="320"/>
        <v>26.19540680275005</v>
      </c>
    </row>
    <row r="1144" spans="1:42" x14ac:dyDescent="0.2">
      <c r="A1144" s="3">
        <v>1100</v>
      </c>
      <c r="B1144" s="3">
        <v>8.4900000000000005E-7</v>
      </c>
      <c r="C1144" s="2">
        <v>5.953E-2</v>
      </c>
      <c r="D1144" s="3">
        <v>239000</v>
      </c>
      <c r="E1144" s="3">
        <v>87000000000</v>
      </c>
      <c r="F1144" s="3">
        <v>80500000000</v>
      </c>
      <c r="G1144" s="3">
        <v>6420000000</v>
      </c>
      <c r="H1144" s="3">
        <v>9800000000</v>
      </c>
      <c r="I1144" s="2"/>
      <c r="J1144" s="7">
        <f t="shared" si="304"/>
        <v>0.84900000000000009</v>
      </c>
      <c r="K1144" s="7">
        <f t="shared" si="305"/>
        <v>59.53</v>
      </c>
      <c r="L1144" s="7">
        <f t="shared" si="306"/>
        <v>87</v>
      </c>
      <c r="M1144" s="7">
        <f t="shared" si="307"/>
        <v>239</v>
      </c>
      <c r="O1144">
        <f t="shared" si="308"/>
        <v>0.66219037656903779</v>
      </c>
      <c r="P1144">
        <f t="shared" si="309"/>
        <v>662.19037656903777</v>
      </c>
      <c r="V1144">
        <f t="shared" si="310"/>
        <v>1136.0339567016551</v>
      </c>
      <c r="W1144">
        <f t="shared" si="311"/>
        <v>105.19051767339297</v>
      </c>
      <c r="AE1144">
        <f t="shared" si="312"/>
        <v>0.81050575312425366</v>
      </c>
      <c r="AF1144">
        <f t="shared" si="313"/>
        <v>0.78552766726872847</v>
      </c>
      <c r="AG1144">
        <f t="shared" si="314"/>
        <v>0.78754675859638212</v>
      </c>
      <c r="AI1144">
        <f t="shared" si="315"/>
        <v>0.43645587787181178</v>
      </c>
      <c r="AJ1144">
        <f t="shared" si="316"/>
        <v>28.845241071729195</v>
      </c>
      <c r="AL1144">
        <f t="shared" si="317"/>
        <v>0.45033423358592206</v>
      </c>
      <c r="AM1144">
        <f t="shared" si="318"/>
        <v>30.708839501889436</v>
      </c>
      <c r="AO1144">
        <f t="shared" si="319"/>
        <v>0.44917967871580944</v>
      </c>
      <c r="AP1144">
        <f t="shared" si="320"/>
        <v>30.551580345381183</v>
      </c>
    </row>
    <row r="1145" spans="1:42" x14ac:dyDescent="0.2">
      <c r="A1145" s="3">
        <v>1100</v>
      </c>
      <c r="B1145" s="3">
        <v>8.5000000000000001E-7</v>
      </c>
      <c r="C1145" s="2">
        <v>5.9580000000000001E-2</v>
      </c>
      <c r="D1145" s="3">
        <v>246000</v>
      </c>
      <c r="E1145" s="3">
        <v>89400000000</v>
      </c>
      <c r="F1145" s="3">
        <v>82500000000</v>
      </c>
      <c r="G1145" s="2">
        <v>0</v>
      </c>
      <c r="H1145" s="3">
        <v>9720000000</v>
      </c>
      <c r="I1145" s="2"/>
      <c r="J1145" s="7">
        <f t="shared" si="304"/>
        <v>0.85</v>
      </c>
      <c r="K1145" s="7">
        <f t="shared" si="305"/>
        <v>59.58</v>
      </c>
      <c r="L1145" s="7">
        <f t="shared" si="306"/>
        <v>89.4</v>
      </c>
      <c r="M1145" s="7">
        <f t="shared" si="307"/>
        <v>246</v>
      </c>
      <c r="O1145">
        <f t="shared" si="308"/>
        <v>0.66835365853658535</v>
      </c>
      <c r="P1145">
        <f t="shared" si="309"/>
        <v>668.35365853658539</v>
      </c>
      <c r="V1145">
        <f t="shared" si="310"/>
        <v>1140.7061636897706</v>
      </c>
      <c r="W1145">
        <f t="shared" si="311"/>
        <v>107.82794370299501</v>
      </c>
      <c r="AE1145">
        <f t="shared" si="312"/>
        <v>0.83424441534965021</v>
      </c>
      <c r="AF1145">
        <f t="shared" si="313"/>
        <v>0.80853475375777073</v>
      </c>
      <c r="AG1145">
        <f t="shared" si="314"/>
        <v>0.8106129816515063</v>
      </c>
      <c r="AI1145">
        <f t="shared" si="315"/>
        <v>0.42453585561999552</v>
      </c>
      <c r="AJ1145">
        <f t="shared" si="316"/>
        <v>27.249866370970704</v>
      </c>
      <c r="AL1145">
        <f t="shared" si="317"/>
        <v>0.43803518033161953</v>
      </c>
      <c r="AM1145">
        <f t="shared" si="318"/>
        <v>29.010392762992741</v>
      </c>
      <c r="AO1145">
        <f t="shared" si="319"/>
        <v>0.43691215744547229</v>
      </c>
      <c r="AP1145">
        <f t="shared" si="320"/>
        <v>28.861831307402714</v>
      </c>
    </row>
    <row r="1146" spans="1:42" x14ac:dyDescent="0.2">
      <c r="A1146" s="3">
        <v>1100</v>
      </c>
      <c r="B1146" s="3">
        <v>8.5099999999999998E-7</v>
      </c>
      <c r="C1146" s="2">
        <v>5.9630000000000002E-2</v>
      </c>
      <c r="D1146" s="3">
        <v>236000</v>
      </c>
      <c r="E1146" s="3">
        <v>86100000000</v>
      </c>
      <c r="F1146" s="3">
        <v>79700000000</v>
      </c>
      <c r="G1146" s="2">
        <v>0</v>
      </c>
      <c r="H1146" s="3">
        <v>9820000000</v>
      </c>
      <c r="I1146" s="2"/>
      <c r="J1146" s="7">
        <f t="shared" si="304"/>
        <v>0.85099999999999998</v>
      </c>
      <c r="K1146" s="7">
        <f t="shared" si="305"/>
        <v>59.63</v>
      </c>
      <c r="L1146" s="7">
        <f t="shared" si="306"/>
        <v>86.100000000000009</v>
      </c>
      <c r="M1146" s="7">
        <f t="shared" si="307"/>
        <v>236</v>
      </c>
      <c r="O1146">
        <f t="shared" si="308"/>
        <v>0.66149788135593224</v>
      </c>
      <c r="P1146">
        <f t="shared" si="309"/>
        <v>661.49788135593224</v>
      </c>
      <c r="V1146">
        <f t="shared" si="310"/>
        <v>1135.507484932225</v>
      </c>
      <c r="W1146">
        <f t="shared" si="311"/>
        <v>103.91829342018212</v>
      </c>
      <c r="AE1146">
        <f t="shared" si="312"/>
        <v>0.80033204074194086</v>
      </c>
      <c r="AF1146">
        <f t="shared" si="313"/>
        <v>0.77566748734485325</v>
      </c>
      <c r="AG1146">
        <f t="shared" si="314"/>
        <v>0.77766123442990032</v>
      </c>
      <c r="AI1146">
        <f t="shared" si="315"/>
        <v>0.44304528031218138</v>
      </c>
      <c r="AJ1146">
        <f t="shared" si="316"/>
        <v>29.632950505477645</v>
      </c>
      <c r="AL1146">
        <f t="shared" si="317"/>
        <v>0.45713316481407384</v>
      </c>
      <c r="AM1146">
        <f t="shared" si="318"/>
        <v>31.547440313543373</v>
      </c>
      <c r="AO1146">
        <f t="shared" si="319"/>
        <v>0.45596117902582178</v>
      </c>
      <c r="AP1146">
        <f t="shared" si="320"/>
        <v>31.385886704414087</v>
      </c>
    </row>
    <row r="1147" spans="1:42" x14ac:dyDescent="0.2">
      <c r="A1147" s="3">
        <v>1100</v>
      </c>
      <c r="B1147" s="3">
        <v>8.5199999999999995E-7</v>
      </c>
      <c r="C1147" s="2">
        <v>5.9679999999999997E-2</v>
      </c>
      <c r="D1147" s="3">
        <v>241000</v>
      </c>
      <c r="E1147" s="3">
        <v>87600000000</v>
      </c>
      <c r="F1147" s="3">
        <v>81000000000</v>
      </c>
      <c r="G1147" s="3">
        <v>3620000000</v>
      </c>
      <c r="H1147" s="3">
        <v>9770000000</v>
      </c>
      <c r="I1147" s="2"/>
      <c r="J1147" s="7">
        <f t="shared" si="304"/>
        <v>0.85199999999999998</v>
      </c>
      <c r="K1147" s="7">
        <f t="shared" si="305"/>
        <v>59.68</v>
      </c>
      <c r="L1147" s="7">
        <f t="shared" si="306"/>
        <v>87.600000000000009</v>
      </c>
      <c r="M1147" s="7">
        <f t="shared" si="307"/>
        <v>241</v>
      </c>
      <c r="O1147">
        <f t="shared" si="308"/>
        <v>0.66627385892116187</v>
      </c>
      <c r="P1147">
        <f t="shared" si="309"/>
        <v>666.27385892116183</v>
      </c>
      <c r="V1147">
        <f t="shared" si="310"/>
        <v>1139.1322203461593</v>
      </c>
      <c r="W1147">
        <f t="shared" si="311"/>
        <v>105.78227693654603</v>
      </c>
      <c r="AE1147">
        <f t="shared" si="312"/>
        <v>0.8172882280457956</v>
      </c>
      <c r="AF1147">
        <f t="shared" si="313"/>
        <v>0.79210112055131199</v>
      </c>
      <c r="AG1147">
        <f t="shared" si="314"/>
        <v>0.79413710804070337</v>
      </c>
      <c r="AI1147">
        <f t="shared" si="315"/>
        <v>0.43436328558021037</v>
      </c>
      <c r="AJ1147">
        <f t="shared" si="316"/>
        <v>28.439949542888431</v>
      </c>
      <c r="AL1147">
        <f t="shared" si="317"/>
        <v>0.44817510137205174</v>
      </c>
      <c r="AM1147">
        <f t="shared" si="318"/>
        <v>30.277363388387844</v>
      </c>
      <c r="AO1147">
        <f t="shared" si="319"/>
        <v>0.44702608202739286</v>
      </c>
      <c r="AP1147">
        <f t="shared" si="320"/>
        <v>30.122313809667716</v>
      </c>
    </row>
    <row r="1148" spans="1:42" x14ac:dyDescent="0.2">
      <c r="A1148" s="3">
        <v>1100</v>
      </c>
      <c r="B1148" s="3">
        <v>8.5300000000000003E-7</v>
      </c>
      <c r="C1148" s="2">
        <v>5.9740000000000001E-2</v>
      </c>
      <c r="D1148" s="3">
        <v>232000</v>
      </c>
      <c r="E1148" s="3">
        <v>84400000000</v>
      </c>
      <c r="F1148" s="3">
        <v>78300000000</v>
      </c>
      <c r="G1148" s="3">
        <v>7690000000</v>
      </c>
      <c r="H1148" s="3">
        <v>9870000000</v>
      </c>
      <c r="I1148" s="2"/>
      <c r="J1148" s="7">
        <f t="shared" si="304"/>
        <v>0.85299999999999998</v>
      </c>
      <c r="K1148" s="7">
        <f t="shared" si="305"/>
        <v>59.74</v>
      </c>
      <c r="L1148" s="7">
        <f t="shared" si="306"/>
        <v>84.4</v>
      </c>
      <c r="M1148" s="7">
        <f t="shared" si="307"/>
        <v>232</v>
      </c>
      <c r="O1148">
        <f t="shared" si="308"/>
        <v>0.65987499999999999</v>
      </c>
      <c r="P1148">
        <f t="shared" si="309"/>
        <v>659.875</v>
      </c>
      <c r="V1148">
        <f t="shared" si="310"/>
        <v>1134.2724801251893</v>
      </c>
      <c r="W1148">
        <f t="shared" si="311"/>
        <v>102.26819572242211</v>
      </c>
      <c r="AE1148">
        <f t="shared" si="312"/>
        <v>0.7867670908988571</v>
      </c>
      <c r="AF1148">
        <f t="shared" si="313"/>
        <v>0.76252058077968621</v>
      </c>
      <c r="AG1148">
        <f t="shared" si="314"/>
        <v>0.76448053554125794</v>
      </c>
      <c r="AI1148">
        <f t="shared" si="315"/>
        <v>0.45174317886201126</v>
      </c>
      <c r="AJ1148">
        <f t="shared" si="316"/>
        <v>30.720150621607598</v>
      </c>
      <c r="AL1148">
        <f t="shared" si="317"/>
        <v>0.46610763778106684</v>
      </c>
      <c r="AM1148">
        <f t="shared" si="318"/>
        <v>32.704880939178906</v>
      </c>
      <c r="AO1148">
        <f t="shared" si="319"/>
        <v>0.46491264347891997</v>
      </c>
      <c r="AP1148">
        <f t="shared" si="320"/>
        <v>32.537400107157183</v>
      </c>
    </row>
    <row r="1149" spans="1:42" x14ac:dyDescent="0.2">
      <c r="A1149" s="3">
        <v>1100</v>
      </c>
      <c r="B1149" s="3">
        <v>8.54E-7</v>
      </c>
      <c r="C1149" s="2">
        <v>5.9790000000000003E-2</v>
      </c>
      <c r="D1149" s="3">
        <v>240000</v>
      </c>
      <c r="E1149" s="3">
        <v>87200000000</v>
      </c>
      <c r="F1149" s="3">
        <v>80700000000</v>
      </c>
      <c r="G1149" s="3">
        <v>4530000000</v>
      </c>
      <c r="H1149" s="3">
        <v>9770000000</v>
      </c>
      <c r="I1149" s="2"/>
      <c r="J1149" s="7">
        <f t="shared" si="304"/>
        <v>0.85399999999999998</v>
      </c>
      <c r="K1149" s="7">
        <f t="shared" si="305"/>
        <v>59.790000000000006</v>
      </c>
      <c r="L1149" s="7">
        <f t="shared" si="306"/>
        <v>87.2</v>
      </c>
      <c r="M1149" s="7">
        <f t="shared" si="307"/>
        <v>240</v>
      </c>
      <c r="O1149">
        <f t="shared" si="308"/>
        <v>0.66715625000000001</v>
      </c>
      <c r="P1149">
        <f t="shared" si="309"/>
        <v>667.15625</v>
      </c>
      <c r="V1149">
        <f t="shared" si="310"/>
        <v>1139.800326859975</v>
      </c>
      <c r="W1149">
        <f t="shared" si="311"/>
        <v>105.28159816429151</v>
      </c>
      <c r="AE1149">
        <f t="shared" si="312"/>
        <v>0.81389699058502463</v>
      </c>
      <c r="AF1149">
        <f t="shared" si="313"/>
        <v>0.78881439391002028</v>
      </c>
      <c r="AG1149">
        <f t="shared" si="314"/>
        <v>0.79084193331854269</v>
      </c>
      <c r="AI1149">
        <f t="shared" si="315"/>
        <v>0.43719701319642712</v>
      </c>
      <c r="AJ1149">
        <f t="shared" si="316"/>
        <v>28.730300088625469</v>
      </c>
      <c r="AL1149">
        <f t="shared" si="317"/>
        <v>0.45109893541562718</v>
      </c>
      <c r="AM1149">
        <f t="shared" si="318"/>
        <v>30.586472550836945</v>
      </c>
      <c r="AO1149">
        <f t="shared" si="319"/>
        <v>0.44994242002340495</v>
      </c>
      <c r="AP1149">
        <f t="shared" si="320"/>
        <v>30.429840032255079</v>
      </c>
    </row>
    <row r="1150" spans="1:42" x14ac:dyDescent="0.2">
      <c r="A1150" s="3">
        <v>1100</v>
      </c>
      <c r="B1150" s="3">
        <v>8.5499999999999997E-7</v>
      </c>
      <c r="C1150" s="2">
        <v>5.9839999999999997E-2</v>
      </c>
      <c r="D1150" s="3">
        <v>248000</v>
      </c>
      <c r="E1150" s="3">
        <v>89900000000</v>
      </c>
      <c r="F1150" s="3">
        <v>82900000000</v>
      </c>
      <c r="G1150" s="3">
        <v>5990000000</v>
      </c>
      <c r="H1150" s="3">
        <v>9670000000</v>
      </c>
      <c r="I1150" s="2"/>
      <c r="J1150" s="7">
        <f t="shared" si="304"/>
        <v>0.85499999999999998</v>
      </c>
      <c r="K1150" s="7">
        <f t="shared" si="305"/>
        <v>59.839999999999996</v>
      </c>
      <c r="L1150" s="7">
        <f t="shared" si="306"/>
        <v>89.9</v>
      </c>
      <c r="M1150" s="7">
        <f t="shared" si="307"/>
        <v>248</v>
      </c>
      <c r="O1150">
        <f t="shared" si="308"/>
        <v>0.67403225806451617</v>
      </c>
      <c r="P1150">
        <f t="shared" si="309"/>
        <v>674.03225806451621</v>
      </c>
      <c r="V1150">
        <f t="shared" si="310"/>
        <v>1144.9897519725114</v>
      </c>
      <c r="W1150">
        <f t="shared" si="311"/>
        <v>108.29791252400393</v>
      </c>
      <c r="AE1150">
        <f t="shared" si="312"/>
        <v>0.84102689027119215</v>
      </c>
      <c r="AF1150">
        <f t="shared" si="313"/>
        <v>0.81510820704035425</v>
      </c>
      <c r="AG1150">
        <f t="shared" si="314"/>
        <v>0.81720333109582743</v>
      </c>
      <c r="AI1150">
        <f t="shared" si="315"/>
        <v>0.42358930983184845</v>
      </c>
      <c r="AJ1150">
        <f t="shared" si="316"/>
        <v>26.929129538765718</v>
      </c>
      <c r="AL1150">
        <f t="shared" si="317"/>
        <v>0.43705853642860304</v>
      </c>
      <c r="AM1150">
        <f t="shared" si="318"/>
        <v>28.668934153649364</v>
      </c>
      <c r="AO1150">
        <f t="shared" si="319"/>
        <v>0.43593801743598765</v>
      </c>
      <c r="AP1150">
        <f t="shared" si="320"/>
        <v>28.52212129858475</v>
      </c>
    </row>
    <row r="1151" spans="1:42" x14ac:dyDescent="0.2">
      <c r="A1151" s="3">
        <v>1100</v>
      </c>
      <c r="B1151" s="3">
        <v>8.5600000000000004E-7</v>
      </c>
      <c r="C1151" s="2">
        <v>5.9889999999999999E-2</v>
      </c>
      <c r="D1151" s="3">
        <v>220000</v>
      </c>
      <c r="E1151" s="3">
        <v>80300000000</v>
      </c>
      <c r="F1151" s="3">
        <v>74700000000</v>
      </c>
      <c r="G1151" s="3">
        <v>3110000000</v>
      </c>
      <c r="H1151" s="3">
        <v>10000000000</v>
      </c>
      <c r="I1151" s="2"/>
      <c r="J1151" s="7">
        <f t="shared" si="304"/>
        <v>0.85600000000000009</v>
      </c>
      <c r="K1151" s="7">
        <f t="shared" si="305"/>
        <v>59.89</v>
      </c>
      <c r="L1151" s="7">
        <f t="shared" si="306"/>
        <v>80.300000000000011</v>
      </c>
      <c r="M1151" s="7">
        <f t="shared" si="307"/>
        <v>220</v>
      </c>
      <c r="O1151">
        <f t="shared" si="308"/>
        <v>0.65182954545454552</v>
      </c>
      <c r="P1151">
        <f t="shared" si="309"/>
        <v>651.8295454545455</v>
      </c>
      <c r="V1151">
        <f t="shared" si="310"/>
        <v>1128.1248016963732</v>
      </c>
      <c r="W1151">
        <f t="shared" si="311"/>
        <v>97.506942347683378</v>
      </c>
      <c r="AE1151">
        <f t="shared" si="312"/>
        <v>0.74607224136960593</v>
      </c>
      <c r="AF1151">
        <f t="shared" si="313"/>
        <v>0.7230798610841852</v>
      </c>
      <c r="AG1151">
        <f t="shared" si="314"/>
        <v>0.72493843887533083</v>
      </c>
      <c r="AI1151">
        <f t="shared" si="315"/>
        <v>0.47805915686115602</v>
      </c>
      <c r="AJ1151">
        <f t="shared" si="316"/>
        <v>34.248617380158407</v>
      </c>
      <c r="AL1151">
        <f t="shared" si="317"/>
        <v>0.49326040713107555</v>
      </c>
      <c r="AM1151">
        <f t="shared" si="318"/>
        <v>36.46131060834491</v>
      </c>
      <c r="AO1151">
        <f t="shared" si="319"/>
        <v>0.49199579928469406</v>
      </c>
      <c r="AP1151">
        <f t="shared" si="320"/>
        <v>36.274593199140924</v>
      </c>
    </row>
    <row r="1152" spans="1:42" x14ac:dyDescent="0.2">
      <c r="A1152" s="3">
        <v>1200</v>
      </c>
      <c r="B1152" s="3">
        <v>8.5700000000000001E-7</v>
      </c>
      <c r="C1152" s="2">
        <v>5.994E-2</v>
      </c>
      <c r="D1152" s="3">
        <v>236000</v>
      </c>
      <c r="E1152" s="3">
        <v>85700000000</v>
      </c>
      <c r="F1152" s="3">
        <v>79300000000</v>
      </c>
      <c r="G1152" s="3">
        <v>714000000</v>
      </c>
      <c r="H1152" s="3">
        <v>9800000000</v>
      </c>
      <c r="I1152" s="2"/>
      <c r="J1152" s="7">
        <f t="shared" si="304"/>
        <v>0.85699999999999998</v>
      </c>
      <c r="K1152" s="7">
        <f t="shared" si="305"/>
        <v>59.94</v>
      </c>
      <c r="L1152" s="7">
        <f t="shared" si="306"/>
        <v>85.7</v>
      </c>
      <c r="M1152" s="7">
        <f t="shared" si="307"/>
        <v>236</v>
      </c>
      <c r="O1152">
        <f t="shared" si="308"/>
        <v>0.66651271186440675</v>
      </c>
      <c r="P1152">
        <f t="shared" si="309"/>
        <v>666.5127118644067</v>
      </c>
      <c r="V1152">
        <f t="shared" si="310"/>
        <v>1139.3131175856327</v>
      </c>
      <c r="W1152">
        <f t="shared" si="311"/>
        <v>103.57117650857815</v>
      </c>
      <c r="AE1152">
        <f t="shared" si="312"/>
        <v>0.80033204074194086</v>
      </c>
      <c r="AF1152">
        <f t="shared" si="313"/>
        <v>0.77566748734485325</v>
      </c>
      <c r="AG1152">
        <f t="shared" si="314"/>
        <v>0.77766123442990032</v>
      </c>
      <c r="AI1152">
        <f t="shared" si="315"/>
        <v>0.44616898381614506</v>
      </c>
      <c r="AJ1152">
        <f t="shared" si="316"/>
        <v>29.787004080132988</v>
      </c>
      <c r="AL1152">
        <f t="shared" si="317"/>
        <v>0.46035619535330352</v>
      </c>
      <c r="AM1152">
        <f t="shared" si="318"/>
        <v>31.711446795133146</v>
      </c>
      <c r="AO1152">
        <f t="shared" si="319"/>
        <v>0.4591759464455103</v>
      </c>
      <c r="AP1152">
        <f t="shared" si="320"/>
        <v>31.549053313140703</v>
      </c>
    </row>
    <row r="1153" spans="1:42" x14ac:dyDescent="0.2">
      <c r="A1153" s="3">
        <v>1200</v>
      </c>
      <c r="B1153" s="3">
        <v>8.5799999999999998E-7</v>
      </c>
      <c r="C1153" s="2">
        <v>0.06</v>
      </c>
      <c r="D1153" s="3">
        <v>233000</v>
      </c>
      <c r="E1153" s="3">
        <v>84400000000</v>
      </c>
      <c r="F1153" s="3">
        <v>78200000000</v>
      </c>
      <c r="G1153" s="3">
        <v>2610000000</v>
      </c>
      <c r="H1153" s="3">
        <v>9830000000</v>
      </c>
      <c r="I1153" s="2"/>
      <c r="J1153" s="7">
        <f t="shared" si="304"/>
        <v>0.85799999999999998</v>
      </c>
      <c r="K1153" s="7">
        <f t="shared" si="305"/>
        <v>60</v>
      </c>
      <c r="L1153" s="7">
        <f t="shared" si="306"/>
        <v>84.4</v>
      </c>
      <c r="M1153" s="7">
        <f t="shared" si="307"/>
        <v>233</v>
      </c>
      <c r="O1153">
        <f t="shared" si="308"/>
        <v>0.66486695278969954</v>
      </c>
      <c r="P1153">
        <f t="shared" si="309"/>
        <v>664.86695278969955</v>
      </c>
      <c r="V1153">
        <f t="shared" si="310"/>
        <v>1138.0659547087341</v>
      </c>
      <c r="W1153">
        <f t="shared" si="311"/>
        <v>102.36665064795467</v>
      </c>
      <c r="AE1153">
        <f t="shared" si="312"/>
        <v>0.79015832835962807</v>
      </c>
      <c r="AF1153">
        <f t="shared" si="313"/>
        <v>0.76580730742097802</v>
      </c>
      <c r="AG1153">
        <f t="shared" si="314"/>
        <v>0.76777571026341851</v>
      </c>
      <c r="AI1153">
        <f t="shared" si="315"/>
        <v>0.45244096932088468</v>
      </c>
      <c r="AJ1153">
        <f t="shared" si="316"/>
        <v>30.589579047394334</v>
      </c>
      <c r="AL1153">
        <f t="shared" si="317"/>
        <v>0.46682761647177107</v>
      </c>
      <c r="AM1153">
        <f t="shared" si="318"/>
        <v>32.565873554700708</v>
      </c>
      <c r="AO1153">
        <f t="shared" si="319"/>
        <v>0.46563077630750294</v>
      </c>
      <c r="AP1153">
        <f t="shared" si="320"/>
        <v>32.39910457582571</v>
      </c>
    </row>
    <row r="1154" spans="1:42" x14ac:dyDescent="0.2">
      <c r="A1154" s="3">
        <v>1200</v>
      </c>
      <c r="B1154" s="3">
        <v>8.5899999999999995E-7</v>
      </c>
      <c r="C1154" s="2">
        <v>6.0049999999999999E-2</v>
      </c>
      <c r="D1154" s="3">
        <v>194000</v>
      </c>
      <c r="E1154" s="3">
        <v>71700000000</v>
      </c>
      <c r="F1154" s="3">
        <v>67200000000</v>
      </c>
      <c r="G1154" s="3">
        <v>9110000000</v>
      </c>
      <c r="H1154" s="3">
        <v>10400000000</v>
      </c>
      <c r="I1154" s="2"/>
      <c r="J1154" s="7">
        <f t="shared" si="304"/>
        <v>0.85899999999999999</v>
      </c>
      <c r="K1154" s="7">
        <f t="shared" si="305"/>
        <v>60.05</v>
      </c>
      <c r="L1154" s="7">
        <f t="shared" si="306"/>
        <v>71.7</v>
      </c>
      <c r="M1154" s="7">
        <f t="shared" si="307"/>
        <v>194</v>
      </c>
      <c r="O1154">
        <f t="shared" si="308"/>
        <v>0.62684793814432993</v>
      </c>
      <c r="P1154">
        <f t="shared" si="309"/>
        <v>626.84793814432987</v>
      </c>
      <c r="V1154">
        <f t="shared" si="310"/>
        <v>1108.7618709443029</v>
      </c>
      <c r="W1154">
        <f t="shared" si="311"/>
        <v>87.484970886839463</v>
      </c>
      <c r="AE1154">
        <f t="shared" si="312"/>
        <v>0.65790006738956153</v>
      </c>
      <c r="AF1154">
        <f t="shared" si="313"/>
        <v>0.63762496841059968</v>
      </c>
      <c r="AG1154">
        <f t="shared" si="314"/>
        <v>0.63926389609915535</v>
      </c>
      <c r="AI1154">
        <f t="shared" si="315"/>
        <v>0.54402892537588687</v>
      </c>
      <c r="AJ1154">
        <f t="shared" si="316"/>
        <v>44.161482488877965</v>
      </c>
      <c r="AL1154">
        <f t="shared" si="317"/>
        <v>0.56132787202301904</v>
      </c>
      <c r="AM1154">
        <f t="shared" si="318"/>
        <v>47.01461411066505</v>
      </c>
      <c r="AO1154">
        <f t="shared" si="319"/>
        <v>0.55988875462966969</v>
      </c>
      <c r="AP1154">
        <f t="shared" si="320"/>
        <v>46.773853512787383</v>
      </c>
    </row>
    <row r="1155" spans="1:42" x14ac:dyDescent="0.2">
      <c r="A1155" s="3">
        <v>1200</v>
      </c>
      <c r="B1155" s="3">
        <v>8.6000000000000002E-7</v>
      </c>
      <c r="C1155" s="2">
        <v>6.0100000000000001E-2</v>
      </c>
      <c r="D1155" s="3">
        <v>223000</v>
      </c>
      <c r="E1155" s="3">
        <v>81000000000</v>
      </c>
      <c r="F1155" s="3">
        <v>75300000000</v>
      </c>
      <c r="G1155" s="3">
        <v>3640000000</v>
      </c>
      <c r="H1155" s="3">
        <v>9950000000</v>
      </c>
      <c r="I1155" s="2"/>
      <c r="J1155" s="7">
        <f t="shared" si="304"/>
        <v>0.86</v>
      </c>
      <c r="K1155" s="7">
        <f t="shared" si="305"/>
        <v>60.1</v>
      </c>
      <c r="L1155" s="7">
        <f t="shared" si="306"/>
        <v>81</v>
      </c>
      <c r="M1155" s="7">
        <f t="shared" si="307"/>
        <v>223</v>
      </c>
      <c r="O1155">
        <f t="shared" si="308"/>
        <v>0.65786995515695068</v>
      </c>
      <c r="P1155">
        <f t="shared" si="309"/>
        <v>657.86995515695071</v>
      </c>
      <c r="V1155">
        <f t="shared" si="310"/>
        <v>1132.7443122455363</v>
      </c>
      <c r="W1155">
        <f t="shared" si="311"/>
        <v>98.433511247532977</v>
      </c>
      <c r="AE1155">
        <f t="shared" si="312"/>
        <v>0.75624595375191872</v>
      </c>
      <c r="AF1155">
        <f t="shared" si="313"/>
        <v>0.73294004100806054</v>
      </c>
      <c r="AG1155">
        <f t="shared" si="314"/>
        <v>0.73482396304181263</v>
      </c>
      <c r="AI1155">
        <f t="shared" si="315"/>
        <v>0.47383173629631364</v>
      </c>
      <c r="AJ1155">
        <f t="shared" si="316"/>
        <v>33.450209193807055</v>
      </c>
      <c r="AL1155">
        <f t="shared" si="317"/>
        <v>0.48889856370855928</v>
      </c>
      <c r="AM1155">
        <f t="shared" si="318"/>
        <v>35.611319832026226</v>
      </c>
      <c r="AO1155">
        <f t="shared" si="319"/>
        <v>0.4876451386397474</v>
      </c>
      <c r="AP1155">
        <f t="shared" si="320"/>
        <v>35.428955203151681</v>
      </c>
    </row>
    <row r="1156" spans="1:42" x14ac:dyDescent="0.2">
      <c r="A1156" s="3">
        <v>1200</v>
      </c>
      <c r="B1156" s="3">
        <v>8.6199999999999996E-7</v>
      </c>
      <c r="C1156" s="2">
        <v>6.0150000000000002E-2</v>
      </c>
      <c r="D1156" s="3">
        <v>214000</v>
      </c>
      <c r="E1156" s="3">
        <v>77900000000</v>
      </c>
      <c r="F1156" s="3">
        <v>72700000000</v>
      </c>
      <c r="G1156" s="3">
        <v>3340000000</v>
      </c>
      <c r="H1156" s="3">
        <v>10100000000</v>
      </c>
      <c r="I1156" s="2"/>
      <c r="J1156" s="7">
        <f t="shared" si="304"/>
        <v>0.86199999999999999</v>
      </c>
      <c r="K1156" s="7">
        <f t="shared" si="305"/>
        <v>60.15</v>
      </c>
      <c r="L1156" s="7">
        <f t="shared" si="306"/>
        <v>77.900000000000006</v>
      </c>
      <c r="M1156" s="7">
        <f t="shared" si="307"/>
        <v>214</v>
      </c>
      <c r="O1156">
        <f t="shared" si="308"/>
        <v>0.65119392523364483</v>
      </c>
      <c r="P1156">
        <f t="shared" si="309"/>
        <v>651.19392523364479</v>
      </c>
      <c r="V1156">
        <f t="shared" si="310"/>
        <v>1127.6373157210596</v>
      </c>
      <c r="W1156">
        <f t="shared" si="311"/>
        <v>94.888665449652692</v>
      </c>
      <c r="AE1156">
        <f t="shared" si="312"/>
        <v>0.72572481660498034</v>
      </c>
      <c r="AF1156">
        <f t="shared" si="313"/>
        <v>0.70335950123643476</v>
      </c>
      <c r="AG1156">
        <f t="shared" si="314"/>
        <v>0.70516739054236721</v>
      </c>
      <c r="AI1156">
        <f t="shared" si="315"/>
        <v>0.49490751652518572</v>
      </c>
      <c r="AJ1156">
        <f t="shared" si="316"/>
        <v>36.353160779243836</v>
      </c>
      <c r="AL1156">
        <f t="shared" si="317"/>
        <v>0.51064450829950836</v>
      </c>
      <c r="AM1156">
        <f t="shared" si="318"/>
        <v>38.701821800696017</v>
      </c>
      <c r="AO1156">
        <f t="shared" si="319"/>
        <v>0.50933533155924848</v>
      </c>
      <c r="AP1156">
        <f t="shared" si="320"/>
        <v>38.503630792815848</v>
      </c>
    </row>
    <row r="1157" spans="1:42" x14ac:dyDescent="0.2">
      <c r="A1157" s="3">
        <v>1200</v>
      </c>
      <c r="B1157" s="3">
        <v>8.6300000000000004E-7</v>
      </c>
      <c r="C1157" s="2">
        <v>6.0199999999999997E-2</v>
      </c>
      <c r="D1157" s="3">
        <v>246000</v>
      </c>
      <c r="E1157" s="3">
        <v>88500000000</v>
      </c>
      <c r="F1157" s="3">
        <v>81800000000</v>
      </c>
      <c r="G1157" s="3">
        <v>2980000000</v>
      </c>
      <c r="H1157" s="3">
        <v>9670000000</v>
      </c>
      <c r="I1157" s="2"/>
      <c r="J1157" s="7">
        <f t="shared" ref="J1157:J1220" si="321">B1157*(10^6)</f>
        <v>0.86299999999999999</v>
      </c>
      <c r="K1157" s="7">
        <f t="shared" ref="K1157:K1220" si="322">C1157*1000</f>
        <v>60.199999999999996</v>
      </c>
      <c r="L1157" s="7">
        <f t="shared" ref="L1157:L1220" si="323">E1157*(10^-9)</f>
        <v>88.5</v>
      </c>
      <c r="M1157" s="7">
        <f t="shared" ref="M1157:M1220" si="324">D1157*(10^-3)</f>
        <v>246</v>
      </c>
      <c r="O1157">
        <f t="shared" ref="O1157:O1220" si="325">J1157-(0.75*(K1157/M1157))</f>
        <v>0.67946341463414628</v>
      </c>
      <c r="P1157">
        <f t="shared" ref="P1157:P1220" si="326">O1157*1000</f>
        <v>679.46341463414626</v>
      </c>
      <c r="V1157">
        <f t="shared" ref="V1157:V1220" si="327">$S$3*(P1157^$S$4)</f>
        <v>1149.0679188120234</v>
      </c>
      <c r="W1157">
        <f t="shared" ref="W1157:W1220" si="328">M1157/(2*(V1157/1000))</f>
        <v>107.04328089427901</v>
      </c>
      <c r="AE1157">
        <f t="shared" si="312"/>
        <v>0.83424441534965021</v>
      </c>
      <c r="AF1157">
        <f t="shared" si="313"/>
        <v>0.80853475375777073</v>
      </c>
      <c r="AG1157">
        <f t="shared" si="314"/>
        <v>0.8106129816515063</v>
      </c>
      <c r="AI1157">
        <f t="shared" si="315"/>
        <v>0.43102875694124254</v>
      </c>
      <c r="AJ1157">
        <f t="shared" si="316"/>
        <v>27.533433291917362</v>
      </c>
      <c r="AL1157">
        <f t="shared" si="317"/>
        <v>0.44473454191316197</v>
      </c>
      <c r="AM1157">
        <f t="shared" si="318"/>
        <v>29.312280032429726</v>
      </c>
      <c r="AO1157">
        <f t="shared" si="319"/>
        <v>0.44359434338287362</v>
      </c>
      <c r="AP1157">
        <f t="shared" si="320"/>
        <v>29.162172620101433</v>
      </c>
    </row>
    <row r="1158" spans="1:42" x14ac:dyDescent="0.2">
      <c r="A1158" s="3">
        <v>1200</v>
      </c>
      <c r="B1158" s="3">
        <v>8.6300000000000004E-7</v>
      </c>
      <c r="C1158" s="2">
        <v>6.0260000000000001E-2</v>
      </c>
      <c r="D1158" s="3">
        <v>232000</v>
      </c>
      <c r="E1158" s="3">
        <v>83800000000</v>
      </c>
      <c r="F1158" s="3">
        <v>77700000000</v>
      </c>
      <c r="G1158" s="3">
        <v>14700000000</v>
      </c>
      <c r="H1158" s="3">
        <v>9830000000</v>
      </c>
      <c r="I1158" s="2"/>
      <c r="J1158" s="7">
        <f t="shared" si="321"/>
        <v>0.86299999999999999</v>
      </c>
      <c r="K1158" s="7">
        <f t="shared" si="322"/>
        <v>60.26</v>
      </c>
      <c r="L1158" s="7">
        <f t="shared" si="323"/>
        <v>83.800000000000011</v>
      </c>
      <c r="M1158" s="7">
        <f t="shared" si="324"/>
        <v>232</v>
      </c>
      <c r="O1158">
        <f t="shared" si="325"/>
        <v>0.66819396551724142</v>
      </c>
      <c r="P1158">
        <f t="shared" si="326"/>
        <v>668.19396551724139</v>
      </c>
      <c r="V1158">
        <f t="shared" si="327"/>
        <v>1140.5854085501155</v>
      </c>
      <c r="W1158">
        <f t="shared" si="328"/>
        <v>101.70216025072281</v>
      </c>
      <c r="AE1158">
        <f t="shared" si="312"/>
        <v>0.7867670908988571</v>
      </c>
      <c r="AF1158">
        <f t="shared" si="313"/>
        <v>0.76252058077968621</v>
      </c>
      <c r="AG1158">
        <f t="shared" si="314"/>
        <v>0.76448053554125794</v>
      </c>
      <c r="AI1158">
        <f t="shared" si="315"/>
        <v>0.45703911296355892</v>
      </c>
      <c r="AJ1158">
        <f t="shared" si="316"/>
        <v>30.987550660496712</v>
      </c>
      <c r="AL1158">
        <f t="shared" si="317"/>
        <v>0.47157197116654243</v>
      </c>
      <c r="AM1158">
        <f t="shared" si="318"/>
        <v>32.989556836205573</v>
      </c>
      <c r="AO1158">
        <f t="shared" si="319"/>
        <v>0.47036296755252988</v>
      </c>
      <c r="AP1158">
        <f t="shared" si="320"/>
        <v>32.820618186429385</v>
      </c>
    </row>
    <row r="1159" spans="1:42" x14ac:dyDescent="0.2">
      <c r="A1159" s="3">
        <v>1200</v>
      </c>
      <c r="B1159" s="3">
        <v>8.6400000000000001E-7</v>
      </c>
      <c r="C1159" s="2">
        <v>6.0310000000000002E-2</v>
      </c>
      <c r="D1159" s="3">
        <v>245000</v>
      </c>
      <c r="E1159" s="3">
        <v>88300000000</v>
      </c>
      <c r="F1159" s="3">
        <v>81600000000</v>
      </c>
      <c r="G1159" s="3">
        <v>11800000000</v>
      </c>
      <c r="H1159" s="3">
        <v>9670000000</v>
      </c>
      <c r="I1159" s="2"/>
      <c r="J1159" s="7">
        <f t="shared" si="321"/>
        <v>0.86399999999999999</v>
      </c>
      <c r="K1159" s="7">
        <f t="shared" si="322"/>
        <v>60.31</v>
      </c>
      <c r="L1159" s="7">
        <f t="shared" si="323"/>
        <v>88.300000000000011</v>
      </c>
      <c r="M1159" s="7">
        <f t="shared" si="324"/>
        <v>245</v>
      </c>
      <c r="O1159">
        <f t="shared" si="325"/>
        <v>0.67937755102040809</v>
      </c>
      <c r="P1159">
        <f t="shared" si="326"/>
        <v>679.37755102040808</v>
      </c>
      <c r="V1159">
        <f t="shared" si="327"/>
        <v>1149.0035867603021</v>
      </c>
      <c r="W1159">
        <f t="shared" si="328"/>
        <v>106.61411453500988</v>
      </c>
      <c r="AE1159">
        <f t="shared" si="312"/>
        <v>0.83085317788887925</v>
      </c>
      <c r="AF1159">
        <f t="shared" si="313"/>
        <v>0.80524802711647903</v>
      </c>
      <c r="AG1159">
        <f t="shared" si="314"/>
        <v>0.80731780692934574</v>
      </c>
      <c r="AI1159">
        <f t="shared" si="315"/>
        <v>0.43328955052531254</v>
      </c>
      <c r="AJ1159">
        <f t="shared" si="316"/>
        <v>27.809376506422243</v>
      </c>
      <c r="AL1159">
        <f t="shared" si="317"/>
        <v>0.44706722385788111</v>
      </c>
      <c r="AM1159">
        <f t="shared" si="318"/>
        <v>29.60605105222443</v>
      </c>
      <c r="AO1159">
        <f t="shared" si="319"/>
        <v>0.44592104485997819</v>
      </c>
      <c r="AP1159">
        <f t="shared" si="320"/>
        <v>29.454439246258051</v>
      </c>
    </row>
    <row r="1160" spans="1:42" x14ac:dyDescent="0.2">
      <c r="A1160" s="3">
        <v>1200</v>
      </c>
      <c r="B1160" s="3">
        <v>8.6600000000000005E-7</v>
      </c>
      <c r="C1160" s="2">
        <v>6.0359999999999997E-2</v>
      </c>
      <c r="D1160" s="3">
        <v>222000</v>
      </c>
      <c r="E1160" s="3">
        <v>80500000000</v>
      </c>
      <c r="F1160" s="3">
        <v>74900000000</v>
      </c>
      <c r="G1160" s="3">
        <v>6430000000</v>
      </c>
      <c r="H1160" s="3">
        <v>9930000000</v>
      </c>
      <c r="I1160" s="2"/>
      <c r="J1160" s="7">
        <f t="shared" si="321"/>
        <v>0.8660000000000001</v>
      </c>
      <c r="K1160" s="7">
        <f t="shared" si="322"/>
        <v>60.36</v>
      </c>
      <c r="L1160" s="7">
        <f t="shared" si="323"/>
        <v>80.5</v>
      </c>
      <c r="M1160" s="7">
        <f t="shared" si="324"/>
        <v>222</v>
      </c>
      <c r="O1160">
        <f t="shared" si="325"/>
        <v>0.66208108108108121</v>
      </c>
      <c r="P1160">
        <f t="shared" si="326"/>
        <v>662.08108108108127</v>
      </c>
      <c r="V1160">
        <f t="shared" si="327"/>
        <v>1135.9508848334035</v>
      </c>
      <c r="W1160">
        <f t="shared" si="328"/>
        <v>97.715492352716524</v>
      </c>
      <c r="AE1160">
        <f t="shared" si="312"/>
        <v>0.75285471629114775</v>
      </c>
      <c r="AF1160">
        <f t="shared" si="313"/>
        <v>0.72965331436676872</v>
      </c>
      <c r="AG1160">
        <f t="shared" si="314"/>
        <v>0.73152878831965207</v>
      </c>
      <c r="AI1160">
        <f t="shared" si="315"/>
        <v>0.47928680730186207</v>
      </c>
      <c r="AJ1160">
        <f t="shared" si="316"/>
        <v>33.898257504370896</v>
      </c>
      <c r="AL1160">
        <f t="shared" si="317"/>
        <v>0.49452709420840962</v>
      </c>
      <c r="AM1160">
        <f t="shared" si="318"/>
        <v>36.088315105665409</v>
      </c>
      <c r="AO1160">
        <f t="shared" si="319"/>
        <v>0.49325923886355932</v>
      </c>
      <c r="AP1160">
        <f t="shared" si="320"/>
        <v>35.903507796585167</v>
      </c>
    </row>
    <row r="1161" spans="1:42" x14ac:dyDescent="0.2">
      <c r="A1161" s="3">
        <v>1200</v>
      </c>
      <c r="B1161" s="3">
        <v>8.6700000000000002E-7</v>
      </c>
      <c r="C1161" s="2">
        <v>6.0420000000000001E-2</v>
      </c>
      <c r="D1161" s="3">
        <v>237000</v>
      </c>
      <c r="E1161" s="3">
        <v>85200000000</v>
      </c>
      <c r="F1161" s="3">
        <v>78900000000</v>
      </c>
      <c r="G1161" s="3">
        <v>2050000000</v>
      </c>
      <c r="H1161" s="3">
        <v>9750000000</v>
      </c>
      <c r="I1161" s="2"/>
      <c r="J1161" s="7">
        <f t="shared" si="321"/>
        <v>0.86699999999999999</v>
      </c>
      <c r="K1161" s="7">
        <f t="shared" si="322"/>
        <v>60.42</v>
      </c>
      <c r="L1161" s="7">
        <f t="shared" si="323"/>
        <v>85.2</v>
      </c>
      <c r="M1161" s="7">
        <f t="shared" si="324"/>
        <v>237</v>
      </c>
      <c r="O1161">
        <f t="shared" si="325"/>
        <v>0.67579746835443033</v>
      </c>
      <c r="P1161">
        <f t="shared" si="326"/>
        <v>675.79746835443029</v>
      </c>
      <c r="V1161">
        <f t="shared" si="327"/>
        <v>1146.317220614349</v>
      </c>
      <c r="W1161">
        <f t="shared" si="328"/>
        <v>103.37452658740655</v>
      </c>
      <c r="AE1161">
        <f t="shared" si="312"/>
        <v>0.80372327820271183</v>
      </c>
      <c r="AF1161">
        <f t="shared" si="313"/>
        <v>0.77895421398614506</v>
      </c>
      <c r="AG1161">
        <f t="shared" si="314"/>
        <v>0.78095640915206088</v>
      </c>
      <c r="AI1161">
        <f t="shared" si="315"/>
        <v>0.44947061979818259</v>
      </c>
      <c r="AJ1161">
        <f t="shared" si="316"/>
        <v>29.772693131483891</v>
      </c>
      <c r="AL1161">
        <f t="shared" si="317"/>
        <v>0.46376281623970445</v>
      </c>
      <c r="AM1161">
        <f t="shared" si="318"/>
        <v>31.696211262031095</v>
      </c>
      <c r="AO1161">
        <f t="shared" si="319"/>
        <v>0.46257383352834569</v>
      </c>
      <c r="AP1161">
        <f t="shared" si="320"/>
        <v>31.533895800801524</v>
      </c>
    </row>
    <row r="1162" spans="1:42" x14ac:dyDescent="0.2">
      <c r="A1162" s="3">
        <v>1200</v>
      </c>
      <c r="B1162" s="3">
        <v>8.6799999999999999E-7</v>
      </c>
      <c r="C1162" s="2">
        <v>6.0470000000000003E-2</v>
      </c>
      <c r="D1162" s="3">
        <v>217000</v>
      </c>
      <c r="E1162" s="3">
        <v>78600000000</v>
      </c>
      <c r="F1162" s="3">
        <v>73300000000</v>
      </c>
      <c r="G1162" s="3">
        <v>4290000000</v>
      </c>
      <c r="H1162" s="3">
        <v>10000000000</v>
      </c>
      <c r="I1162" s="2"/>
      <c r="J1162" s="7">
        <f t="shared" si="321"/>
        <v>0.86799999999999999</v>
      </c>
      <c r="K1162" s="7">
        <f t="shared" si="322"/>
        <v>60.470000000000006</v>
      </c>
      <c r="L1162" s="7">
        <f t="shared" si="323"/>
        <v>78.600000000000009</v>
      </c>
      <c r="M1162" s="7">
        <f t="shared" si="324"/>
        <v>217</v>
      </c>
      <c r="O1162">
        <f t="shared" si="325"/>
        <v>0.65900230414746541</v>
      </c>
      <c r="P1162">
        <f t="shared" si="326"/>
        <v>659.00230414746545</v>
      </c>
      <c r="V1162">
        <f t="shared" si="327"/>
        <v>1133.607663303967</v>
      </c>
      <c r="W1162">
        <f t="shared" si="328"/>
        <v>95.712126436910552</v>
      </c>
      <c r="AE1162">
        <f t="shared" si="312"/>
        <v>0.73589852898729313</v>
      </c>
      <c r="AF1162">
        <f t="shared" si="313"/>
        <v>0.71321968116030998</v>
      </c>
      <c r="AG1162">
        <f t="shared" si="314"/>
        <v>0.71505291470884902</v>
      </c>
      <c r="AI1162">
        <f t="shared" si="315"/>
        <v>0.49146268462361825</v>
      </c>
      <c r="AJ1162">
        <f t="shared" si="316"/>
        <v>35.543041868583721</v>
      </c>
      <c r="AL1162">
        <f t="shared" si="317"/>
        <v>0.50709013817213366</v>
      </c>
      <c r="AM1162">
        <f t="shared" si="318"/>
        <v>37.83936370776334</v>
      </c>
      <c r="AO1162">
        <f t="shared" si="319"/>
        <v>0.50579007403099385</v>
      </c>
      <c r="AP1162">
        <f t="shared" si="320"/>
        <v>37.645589325011898</v>
      </c>
    </row>
    <row r="1163" spans="1:42" x14ac:dyDescent="0.2">
      <c r="A1163" s="3">
        <v>1200</v>
      </c>
      <c r="B1163" s="3">
        <v>8.6899999999999996E-7</v>
      </c>
      <c r="C1163" s="2">
        <v>6.0519999999999997E-2</v>
      </c>
      <c r="D1163" s="3">
        <v>230000</v>
      </c>
      <c r="E1163" s="3">
        <v>83000000000</v>
      </c>
      <c r="F1163" s="3">
        <v>77000000000</v>
      </c>
      <c r="G1163" s="3">
        <v>1650000000</v>
      </c>
      <c r="H1163" s="3">
        <v>9820000000</v>
      </c>
      <c r="I1163" s="2"/>
      <c r="J1163" s="7">
        <f t="shared" si="321"/>
        <v>0.86899999999999999</v>
      </c>
      <c r="K1163" s="7">
        <f t="shared" si="322"/>
        <v>60.519999999999996</v>
      </c>
      <c r="L1163" s="7">
        <f t="shared" si="323"/>
        <v>83</v>
      </c>
      <c r="M1163" s="7">
        <f t="shared" si="324"/>
        <v>230</v>
      </c>
      <c r="O1163">
        <f t="shared" si="325"/>
        <v>0.67165217391304344</v>
      </c>
      <c r="P1163">
        <f t="shared" si="326"/>
        <v>671.65217391304338</v>
      </c>
      <c r="V1163">
        <f t="shared" si="327"/>
        <v>1143.1968183423394</v>
      </c>
      <c r="W1163">
        <f t="shared" si="328"/>
        <v>100.59510152132206</v>
      </c>
      <c r="AE1163">
        <f t="shared" si="312"/>
        <v>0.77998461597731528</v>
      </c>
      <c r="AF1163">
        <f t="shared" si="313"/>
        <v>0.7559471274971028</v>
      </c>
      <c r="AG1163">
        <f t="shared" si="314"/>
        <v>0.75789018609693681</v>
      </c>
      <c r="AI1163">
        <f t="shared" si="315"/>
        <v>0.4642185575412221</v>
      </c>
      <c r="AJ1163">
        <f t="shared" si="316"/>
        <v>31.664843035863115</v>
      </c>
      <c r="AL1163">
        <f t="shared" si="317"/>
        <v>0.47897970659954792</v>
      </c>
      <c r="AM1163">
        <f t="shared" si="318"/>
        <v>33.710606897782796</v>
      </c>
      <c r="AO1163">
        <f t="shared" si="319"/>
        <v>0.47775171123144961</v>
      </c>
      <c r="AP1163">
        <f t="shared" si="320"/>
        <v>33.537975769673885</v>
      </c>
    </row>
    <row r="1164" spans="1:42" x14ac:dyDescent="0.2">
      <c r="A1164" s="3">
        <v>1200</v>
      </c>
      <c r="B1164" s="3">
        <v>8.7000000000000003E-7</v>
      </c>
      <c r="C1164" s="2">
        <v>6.0569999999999999E-2</v>
      </c>
      <c r="D1164" s="3">
        <v>245000</v>
      </c>
      <c r="E1164" s="3">
        <v>87800000000</v>
      </c>
      <c r="F1164" s="3">
        <v>81200000000</v>
      </c>
      <c r="G1164" s="2">
        <v>0</v>
      </c>
      <c r="H1164" s="3">
        <v>9650000000</v>
      </c>
      <c r="I1164" s="2"/>
      <c r="J1164" s="7">
        <f t="shared" si="321"/>
        <v>0.87</v>
      </c>
      <c r="K1164" s="7">
        <f t="shared" si="322"/>
        <v>60.57</v>
      </c>
      <c r="L1164" s="7">
        <f t="shared" si="323"/>
        <v>87.800000000000011</v>
      </c>
      <c r="M1164" s="7">
        <f t="shared" si="324"/>
        <v>245</v>
      </c>
      <c r="O1164">
        <f t="shared" si="325"/>
        <v>0.68458163265306116</v>
      </c>
      <c r="P1164">
        <f t="shared" si="326"/>
        <v>684.58163265306121</v>
      </c>
      <c r="V1164">
        <f t="shared" si="327"/>
        <v>1152.8945206202134</v>
      </c>
      <c r="W1164">
        <f t="shared" si="328"/>
        <v>106.25429977245416</v>
      </c>
      <c r="AE1164">
        <f t="shared" si="312"/>
        <v>0.83085317788887925</v>
      </c>
      <c r="AF1164">
        <f t="shared" si="313"/>
        <v>0.80524802711647903</v>
      </c>
      <c r="AG1164">
        <f t="shared" si="314"/>
        <v>0.80731780692934574</v>
      </c>
      <c r="AI1164">
        <f t="shared" si="315"/>
        <v>0.43629850573729384</v>
      </c>
      <c r="AJ1164">
        <f t="shared" si="316"/>
        <v>27.929264383916355</v>
      </c>
      <c r="AL1164">
        <f t="shared" si="317"/>
        <v>0.45017185735689413</v>
      </c>
      <c r="AM1164">
        <f t="shared" si="318"/>
        <v>29.733684500633952</v>
      </c>
      <c r="AO1164">
        <f t="shared" si="319"/>
        <v>0.44901771878261693</v>
      </c>
      <c r="AP1164">
        <f t="shared" si="320"/>
        <v>29.581419087147239</v>
      </c>
    </row>
    <row r="1165" spans="1:42" x14ac:dyDescent="0.2">
      <c r="A1165" s="3">
        <v>1200</v>
      </c>
      <c r="B1165" s="3">
        <v>8.71E-7</v>
      </c>
      <c r="C1165" s="2">
        <v>6.062E-2</v>
      </c>
      <c r="D1165" s="3">
        <v>249000</v>
      </c>
      <c r="E1165" s="3">
        <v>89100000000</v>
      </c>
      <c r="F1165" s="3">
        <v>82300000000</v>
      </c>
      <c r="G1165" s="3">
        <v>4220000000</v>
      </c>
      <c r="H1165" s="3">
        <v>9610000000</v>
      </c>
      <c r="I1165" s="2"/>
      <c r="J1165" s="7">
        <f t="shared" si="321"/>
        <v>0.871</v>
      </c>
      <c r="K1165" s="7">
        <f t="shared" si="322"/>
        <v>60.62</v>
      </c>
      <c r="L1165" s="7">
        <f t="shared" si="323"/>
        <v>89.100000000000009</v>
      </c>
      <c r="M1165" s="7">
        <f t="shared" si="324"/>
        <v>249</v>
      </c>
      <c r="O1165">
        <f t="shared" si="325"/>
        <v>0.68840963855421688</v>
      </c>
      <c r="P1165">
        <f t="shared" si="326"/>
        <v>688.40963855421694</v>
      </c>
      <c r="V1165">
        <f t="shared" si="327"/>
        <v>1155.7460995188317</v>
      </c>
      <c r="W1165">
        <f t="shared" si="328"/>
        <v>107.72262182137818</v>
      </c>
      <c r="AE1165">
        <f t="shared" si="312"/>
        <v>0.84441812773196301</v>
      </c>
      <c r="AF1165">
        <f t="shared" si="313"/>
        <v>0.81839493368164606</v>
      </c>
      <c r="AG1165">
        <f t="shared" si="314"/>
        <v>0.82049850581798811</v>
      </c>
      <c r="AI1165">
        <f t="shared" si="315"/>
        <v>0.42978313083049358</v>
      </c>
      <c r="AJ1165">
        <f t="shared" si="316"/>
        <v>27.061466632667198</v>
      </c>
      <c r="AL1165">
        <f t="shared" si="317"/>
        <v>0.4434493075782413</v>
      </c>
      <c r="AM1165">
        <f t="shared" si="318"/>
        <v>28.809821122375368</v>
      </c>
      <c r="AO1165">
        <f t="shared" si="319"/>
        <v>0.44231240409738515</v>
      </c>
      <c r="AP1165">
        <f t="shared" si="320"/>
        <v>28.662286788862716</v>
      </c>
    </row>
    <row r="1166" spans="1:42" x14ac:dyDescent="0.2">
      <c r="A1166" s="3">
        <v>1200</v>
      </c>
      <c r="B1166" s="3">
        <v>8.7300000000000005E-7</v>
      </c>
      <c r="C1166" s="2">
        <v>6.0670000000000002E-2</v>
      </c>
      <c r="D1166" s="3">
        <v>235000</v>
      </c>
      <c r="E1166" s="3">
        <v>84200000000</v>
      </c>
      <c r="F1166" s="3">
        <v>78100000000</v>
      </c>
      <c r="G1166" s="3">
        <v>2340000000</v>
      </c>
      <c r="H1166" s="3">
        <v>9750000000</v>
      </c>
      <c r="I1166" s="2"/>
      <c r="J1166" s="7">
        <f t="shared" si="321"/>
        <v>0.873</v>
      </c>
      <c r="K1166" s="7">
        <f t="shared" si="322"/>
        <v>60.67</v>
      </c>
      <c r="L1166" s="7">
        <f t="shared" si="323"/>
        <v>84.2</v>
      </c>
      <c r="M1166" s="7">
        <f t="shared" si="324"/>
        <v>235</v>
      </c>
      <c r="O1166">
        <f t="shared" si="325"/>
        <v>0.67937234042553185</v>
      </c>
      <c r="P1166">
        <f t="shared" si="326"/>
        <v>679.37234042553189</v>
      </c>
      <c r="V1166">
        <f t="shared" si="327"/>
        <v>1148.9996826528632</v>
      </c>
      <c r="W1166">
        <f t="shared" si="328"/>
        <v>102.26286549419284</v>
      </c>
      <c r="AE1166">
        <f t="shared" si="312"/>
        <v>0.7969408032811699</v>
      </c>
      <c r="AF1166">
        <f t="shared" si="313"/>
        <v>0.77238076070356154</v>
      </c>
      <c r="AG1166">
        <f t="shared" si="314"/>
        <v>0.77436605970773975</v>
      </c>
      <c r="AI1166">
        <f t="shared" si="315"/>
        <v>0.45643289752810512</v>
      </c>
      <c r="AJ1166">
        <f t="shared" si="316"/>
        <v>30.406915178622349</v>
      </c>
      <c r="AL1166">
        <f t="shared" si="317"/>
        <v>0.47094647938752404</v>
      </c>
      <c r="AM1166">
        <f t="shared" si="318"/>
        <v>32.371408359732698</v>
      </c>
      <c r="AO1166">
        <f t="shared" si="319"/>
        <v>0.4697390793926145</v>
      </c>
      <c r="AP1166">
        <f t="shared" si="320"/>
        <v>32.205635231988076</v>
      </c>
    </row>
    <row r="1167" spans="1:42" x14ac:dyDescent="0.2">
      <c r="A1167" s="3">
        <v>1200</v>
      </c>
      <c r="B1167" s="3">
        <v>8.7400000000000002E-7</v>
      </c>
      <c r="C1167" s="2">
        <v>6.0729999999999999E-2</v>
      </c>
      <c r="D1167" s="3">
        <v>240000</v>
      </c>
      <c r="E1167" s="3">
        <v>85800000000</v>
      </c>
      <c r="F1167" s="3">
        <v>79500000000</v>
      </c>
      <c r="G1167" s="2">
        <v>0</v>
      </c>
      <c r="H1167" s="3">
        <v>9690000000</v>
      </c>
      <c r="I1167" s="2"/>
      <c r="J1167" s="7">
        <f t="shared" si="321"/>
        <v>0.874</v>
      </c>
      <c r="K1167" s="7">
        <f t="shared" si="322"/>
        <v>60.73</v>
      </c>
      <c r="L1167" s="7">
        <f t="shared" si="323"/>
        <v>85.800000000000011</v>
      </c>
      <c r="M1167" s="7">
        <f t="shared" si="324"/>
        <v>240</v>
      </c>
      <c r="O1167">
        <f t="shared" si="325"/>
        <v>0.68421874999999999</v>
      </c>
      <c r="P1167">
        <f t="shared" si="326"/>
        <v>684.21875</v>
      </c>
      <c r="V1167">
        <f t="shared" si="327"/>
        <v>1152.6237397389418</v>
      </c>
      <c r="W1167">
        <f t="shared" si="328"/>
        <v>104.11029710977395</v>
      </c>
      <c r="AE1167">
        <f t="shared" si="312"/>
        <v>0.81389699058502463</v>
      </c>
      <c r="AF1167">
        <f t="shared" si="313"/>
        <v>0.78881439391002028</v>
      </c>
      <c r="AG1167">
        <f t="shared" si="314"/>
        <v>0.79084193331854269</v>
      </c>
      <c r="AI1167">
        <f t="shared" si="315"/>
        <v>0.44743581912608582</v>
      </c>
      <c r="AJ1167">
        <f t="shared" si="316"/>
        <v>29.181989034658379</v>
      </c>
      <c r="AL1167">
        <f t="shared" si="317"/>
        <v>0.46166331329421328</v>
      </c>
      <c r="AM1167">
        <f t="shared" si="318"/>
        <v>31.067343669716127</v>
      </c>
      <c r="AO1167">
        <f t="shared" si="319"/>
        <v>0.46047971323238401</v>
      </c>
      <c r="AP1167">
        <f t="shared" si="320"/>
        <v>30.908248622827408</v>
      </c>
    </row>
    <row r="1168" spans="1:42" x14ac:dyDescent="0.2">
      <c r="A1168" s="3">
        <v>1200</v>
      </c>
      <c r="B1168" s="3">
        <v>8.7499999999999999E-7</v>
      </c>
      <c r="C1168" s="2">
        <v>6.0780000000000001E-2</v>
      </c>
      <c r="D1168" s="3">
        <v>242000</v>
      </c>
      <c r="E1168" s="3">
        <v>86500000000</v>
      </c>
      <c r="F1168" s="3">
        <v>80100000000</v>
      </c>
      <c r="G1168" s="3">
        <v>9320000000</v>
      </c>
      <c r="H1168" s="3">
        <v>9660000000</v>
      </c>
      <c r="I1168" s="2"/>
      <c r="J1168" s="7">
        <f t="shared" si="321"/>
        <v>0.875</v>
      </c>
      <c r="K1168" s="7">
        <f t="shared" si="322"/>
        <v>60.78</v>
      </c>
      <c r="L1168" s="7">
        <f t="shared" si="323"/>
        <v>86.5</v>
      </c>
      <c r="M1168" s="7">
        <f t="shared" si="324"/>
        <v>242</v>
      </c>
      <c r="O1168">
        <f t="shared" si="325"/>
        <v>0.68663223140495866</v>
      </c>
      <c r="P1168">
        <f t="shared" si="326"/>
        <v>686.6322314049587</v>
      </c>
      <c r="V1168">
        <f t="shared" si="327"/>
        <v>1154.4231650600398</v>
      </c>
      <c r="W1168">
        <f t="shared" si="328"/>
        <v>104.81425153462419</v>
      </c>
      <c r="AE1168">
        <f t="shared" ref="AE1168:AE1231" si="329">M1168/(2*$Y$5)</f>
        <v>0.82067946550656645</v>
      </c>
      <c r="AF1168">
        <f t="shared" ref="AF1168:AF1231" si="330">M1168/(2*$Y$8)</f>
        <v>0.7953878471926038</v>
      </c>
      <c r="AG1168">
        <f t="shared" ref="AG1168:AG1231" si="331">M1168/(2*$Y$11)</f>
        <v>0.79743228276286393</v>
      </c>
      <c r="AI1168">
        <f t="shared" ref="AI1168:AI1231" si="332">J1168/(2.4*AE1168)</f>
        <v>0.44424571182403516</v>
      </c>
      <c r="AJ1168">
        <f t="shared" ref="AJ1168:AJ1231" si="333">K1168/(3.14159*(AE1168^2))</f>
        <v>28.725265802263216</v>
      </c>
      <c r="AL1168">
        <f t="shared" ref="AL1168:AL1231" si="334">J1168/(2.4*AF1168)</f>
        <v>0.45837176745931502</v>
      </c>
      <c r="AM1168">
        <f t="shared" ref="AM1168:AM1231" si="335">K1168/(3.14159*(AF1168^2))</f>
        <v>30.581113015393274</v>
      </c>
      <c r="AO1168">
        <f t="shared" ref="AO1168:AO1231" si="336">J1168/(2.4*AG1168)</f>
        <v>0.45719660617471031</v>
      </c>
      <c r="AP1168">
        <f t="shared" ref="AP1168:AP1231" si="337">K1168/(3.14159*(AG1168^2))</f>
        <v>30.424507942850944</v>
      </c>
    </row>
    <row r="1169" spans="1:42" x14ac:dyDescent="0.2">
      <c r="A1169" s="3">
        <v>1200</v>
      </c>
      <c r="B1169" s="3">
        <v>8.7599999999999996E-7</v>
      </c>
      <c r="C1169" s="2">
        <v>6.0830000000000002E-2</v>
      </c>
      <c r="D1169" s="3">
        <v>257000</v>
      </c>
      <c r="E1169" s="3">
        <v>91600000000</v>
      </c>
      <c r="F1169" s="3">
        <v>84400000000</v>
      </c>
      <c r="G1169" s="3">
        <v>2260000000</v>
      </c>
      <c r="H1169" s="3">
        <v>9510000000</v>
      </c>
      <c r="I1169" s="2"/>
      <c r="J1169" s="7">
        <f t="shared" si="321"/>
        <v>0.876</v>
      </c>
      <c r="K1169" s="7">
        <f t="shared" si="322"/>
        <v>60.830000000000005</v>
      </c>
      <c r="L1169" s="7">
        <f t="shared" si="323"/>
        <v>91.600000000000009</v>
      </c>
      <c r="M1169" s="7">
        <f t="shared" si="324"/>
        <v>257</v>
      </c>
      <c r="O1169">
        <f t="shared" si="325"/>
        <v>0.69848054474708166</v>
      </c>
      <c r="P1169">
        <f t="shared" si="326"/>
        <v>698.48054474708169</v>
      </c>
      <c r="V1169">
        <f t="shared" si="327"/>
        <v>1163.2062531273264</v>
      </c>
      <c r="W1169">
        <f t="shared" si="328"/>
        <v>110.470520300697</v>
      </c>
      <c r="AE1169">
        <f t="shared" si="329"/>
        <v>0.87154802741813053</v>
      </c>
      <c r="AF1169">
        <f t="shared" si="330"/>
        <v>0.84468874681198003</v>
      </c>
      <c r="AG1169">
        <f t="shared" si="331"/>
        <v>0.84685990359527286</v>
      </c>
      <c r="AI1169">
        <f t="shared" si="332"/>
        <v>0.41879505032129344</v>
      </c>
      <c r="AJ1169">
        <f t="shared" si="333"/>
        <v>25.490928923846887</v>
      </c>
      <c r="AL1169">
        <f t="shared" si="334"/>
        <v>0.43211182980426954</v>
      </c>
      <c r="AM1169">
        <f t="shared" si="335"/>
        <v>27.137816013737293</v>
      </c>
      <c r="AO1169">
        <f t="shared" si="336"/>
        <v>0.43100399304586634</v>
      </c>
      <c r="AP1169">
        <f t="shared" si="337"/>
        <v>26.998843974252249</v>
      </c>
    </row>
    <row r="1170" spans="1:42" x14ac:dyDescent="0.2">
      <c r="A1170" s="3">
        <v>1200</v>
      </c>
      <c r="B1170" s="3">
        <v>8.7700000000000003E-7</v>
      </c>
      <c r="C1170" s="2">
        <v>6.0879999999999997E-2</v>
      </c>
      <c r="D1170" s="3">
        <v>216000</v>
      </c>
      <c r="E1170" s="3">
        <v>78000000000</v>
      </c>
      <c r="F1170" s="3">
        <v>72700000000</v>
      </c>
      <c r="G1170" s="3">
        <v>2980000000</v>
      </c>
      <c r="H1170" s="3">
        <v>9970000000</v>
      </c>
      <c r="I1170" s="2"/>
      <c r="J1170" s="7">
        <f t="shared" si="321"/>
        <v>0.877</v>
      </c>
      <c r="K1170" s="7">
        <f t="shared" si="322"/>
        <v>60.879999999999995</v>
      </c>
      <c r="L1170" s="7">
        <f t="shared" si="323"/>
        <v>78</v>
      </c>
      <c r="M1170" s="7">
        <f t="shared" si="324"/>
        <v>216</v>
      </c>
      <c r="O1170">
        <f t="shared" si="325"/>
        <v>0.66561111111111115</v>
      </c>
      <c r="P1170">
        <f t="shared" si="326"/>
        <v>665.6111111111112</v>
      </c>
      <c r="V1170">
        <f t="shared" si="327"/>
        <v>1138.6300936080561</v>
      </c>
      <c r="W1170">
        <f t="shared" si="328"/>
        <v>94.850821707840979</v>
      </c>
      <c r="AE1170">
        <f t="shared" si="329"/>
        <v>0.73250729152652216</v>
      </c>
      <c r="AF1170">
        <f t="shared" si="330"/>
        <v>0.70993295451901828</v>
      </c>
      <c r="AG1170">
        <f t="shared" si="331"/>
        <v>0.71175773998668845</v>
      </c>
      <c r="AI1170">
        <f t="shared" si="332"/>
        <v>0.49885737779503853</v>
      </c>
      <c r="AJ1170">
        <f t="shared" si="333"/>
        <v>36.11613217032285</v>
      </c>
      <c r="AL1170">
        <f t="shared" si="334"/>
        <v>0.5147199666400013</v>
      </c>
      <c r="AM1170">
        <f t="shared" si="335"/>
        <v>38.449479534233042</v>
      </c>
      <c r="AO1170">
        <f t="shared" si="336"/>
        <v>0.51340034134858981</v>
      </c>
      <c r="AP1170">
        <f t="shared" si="337"/>
        <v>38.252580764438683</v>
      </c>
    </row>
    <row r="1171" spans="1:42" x14ac:dyDescent="0.2">
      <c r="A1171" s="3">
        <v>1200</v>
      </c>
      <c r="B1171" s="3">
        <v>8.78E-7</v>
      </c>
      <c r="C1171" s="2">
        <v>6.0940000000000001E-2</v>
      </c>
      <c r="D1171" s="3">
        <v>224000</v>
      </c>
      <c r="E1171" s="3">
        <v>80300000000</v>
      </c>
      <c r="F1171" s="3">
        <v>74700000000</v>
      </c>
      <c r="G1171" s="3">
        <v>9900000000</v>
      </c>
      <c r="H1171" s="3">
        <v>9860000000</v>
      </c>
      <c r="I1171" s="2"/>
      <c r="J1171" s="7">
        <f t="shared" si="321"/>
        <v>0.878</v>
      </c>
      <c r="K1171" s="7">
        <f t="shared" si="322"/>
        <v>60.94</v>
      </c>
      <c r="L1171" s="7">
        <f t="shared" si="323"/>
        <v>80.300000000000011</v>
      </c>
      <c r="M1171" s="7">
        <f t="shared" si="324"/>
        <v>224</v>
      </c>
      <c r="O1171">
        <f t="shared" si="325"/>
        <v>0.67395982142857147</v>
      </c>
      <c r="P1171">
        <f t="shared" si="326"/>
        <v>673.95982142857144</v>
      </c>
      <c r="V1171">
        <f t="shared" si="327"/>
        <v>1144.9352370345744</v>
      </c>
      <c r="W1171">
        <f t="shared" si="328"/>
        <v>97.822126856785573</v>
      </c>
      <c r="AE1171">
        <f t="shared" si="329"/>
        <v>0.75963719121268969</v>
      </c>
      <c r="AF1171">
        <f t="shared" si="330"/>
        <v>0.73622676764935224</v>
      </c>
      <c r="AG1171">
        <f t="shared" si="331"/>
        <v>0.7381191377639732</v>
      </c>
      <c r="AI1171">
        <f t="shared" si="332"/>
        <v>0.48158955033430456</v>
      </c>
      <c r="AJ1171">
        <f t="shared" si="333"/>
        <v>33.615571990503163</v>
      </c>
      <c r="AL1171">
        <f t="shared" si="334"/>
        <v>0.496903059503497</v>
      </c>
      <c r="AM1171">
        <f t="shared" si="335"/>
        <v>35.787366188189338</v>
      </c>
      <c r="AO1171">
        <f t="shared" si="336"/>
        <v>0.49562911272233551</v>
      </c>
      <c r="AP1171">
        <f t="shared" si="337"/>
        <v>35.60410003057175</v>
      </c>
    </row>
    <row r="1172" spans="1:42" x14ac:dyDescent="0.2">
      <c r="A1172" s="3">
        <v>1200</v>
      </c>
      <c r="B1172" s="3">
        <v>8.7899999999999997E-7</v>
      </c>
      <c r="C1172" s="2">
        <v>6.0990000000000003E-2</v>
      </c>
      <c r="D1172" s="3">
        <v>259000</v>
      </c>
      <c r="E1172" s="3">
        <v>91900000000</v>
      </c>
      <c r="F1172" s="3">
        <v>84700000000</v>
      </c>
      <c r="G1172" s="2">
        <v>0</v>
      </c>
      <c r="H1172" s="3">
        <v>9480000000</v>
      </c>
      <c r="I1172" s="2"/>
      <c r="J1172" s="7">
        <f t="shared" si="321"/>
        <v>0.879</v>
      </c>
      <c r="K1172" s="7">
        <f t="shared" si="322"/>
        <v>60.99</v>
      </c>
      <c r="L1172" s="7">
        <f t="shared" si="323"/>
        <v>91.9</v>
      </c>
      <c r="M1172" s="7">
        <f t="shared" si="324"/>
        <v>259</v>
      </c>
      <c r="O1172">
        <f t="shared" si="325"/>
        <v>0.70238803088803081</v>
      </c>
      <c r="P1172">
        <f t="shared" si="326"/>
        <v>702.38803088803081</v>
      </c>
      <c r="V1172">
        <f t="shared" si="327"/>
        <v>1166.0846323983196</v>
      </c>
      <c r="W1172">
        <f t="shared" si="328"/>
        <v>111.05540404357585</v>
      </c>
      <c r="AE1172">
        <f t="shared" si="329"/>
        <v>0.87833050233967236</v>
      </c>
      <c r="AF1172">
        <f t="shared" si="330"/>
        <v>0.85126220009456355</v>
      </c>
      <c r="AG1172">
        <f t="shared" si="331"/>
        <v>0.85345025303959399</v>
      </c>
      <c r="AI1172">
        <f t="shared" si="332"/>
        <v>0.4169842662009271</v>
      </c>
      <c r="AJ1172">
        <f t="shared" si="333"/>
        <v>25.164783444535818</v>
      </c>
      <c r="AL1172">
        <f t="shared" si="334"/>
        <v>0.43024346665376972</v>
      </c>
      <c r="AM1172">
        <f t="shared" si="335"/>
        <v>26.790599321960475</v>
      </c>
      <c r="AO1172">
        <f t="shared" si="336"/>
        <v>0.42914041995486835</v>
      </c>
      <c r="AP1172">
        <f t="shared" si="337"/>
        <v>26.653405369989006</v>
      </c>
    </row>
    <row r="1173" spans="1:42" x14ac:dyDescent="0.2">
      <c r="A1173" s="3">
        <v>1200</v>
      </c>
      <c r="B1173" s="3">
        <v>8.8000000000000004E-7</v>
      </c>
      <c r="C1173" s="2">
        <v>6.1039999999999997E-2</v>
      </c>
      <c r="D1173" s="3">
        <v>248000</v>
      </c>
      <c r="E1173" s="3">
        <v>88100000000</v>
      </c>
      <c r="F1173" s="3">
        <v>81500000000</v>
      </c>
      <c r="G1173" s="2">
        <v>0</v>
      </c>
      <c r="H1173" s="3">
        <v>9580000000</v>
      </c>
      <c r="I1173" s="2"/>
      <c r="J1173" s="7">
        <f t="shared" si="321"/>
        <v>0.88</v>
      </c>
      <c r="K1173" s="7">
        <f t="shared" si="322"/>
        <v>61.04</v>
      </c>
      <c r="L1173" s="7">
        <f t="shared" si="323"/>
        <v>88.100000000000009</v>
      </c>
      <c r="M1173" s="7">
        <f t="shared" si="324"/>
        <v>248</v>
      </c>
      <c r="O1173">
        <f t="shared" si="325"/>
        <v>0.69540322580645164</v>
      </c>
      <c r="P1173">
        <f t="shared" si="326"/>
        <v>695.40322580645159</v>
      </c>
      <c r="V1173">
        <f t="shared" si="327"/>
        <v>1160.9330826376361</v>
      </c>
      <c r="W1173">
        <f t="shared" si="328"/>
        <v>106.81063521617665</v>
      </c>
      <c r="AE1173">
        <f t="shared" si="329"/>
        <v>0.84102689027119215</v>
      </c>
      <c r="AF1173">
        <f t="shared" si="330"/>
        <v>0.81510820704035425</v>
      </c>
      <c r="AG1173">
        <f t="shared" si="331"/>
        <v>0.81720333109582743</v>
      </c>
      <c r="AI1173">
        <f t="shared" si="332"/>
        <v>0.43597496216611303</v>
      </c>
      <c r="AJ1173">
        <f t="shared" si="333"/>
        <v>27.469152189944175</v>
      </c>
      <c r="AL1173">
        <f t="shared" si="334"/>
        <v>0.44983802579786047</v>
      </c>
      <c r="AM1173">
        <f t="shared" si="335"/>
        <v>29.243845934805432</v>
      </c>
      <c r="AO1173">
        <f t="shared" si="336"/>
        <v>0.44868474309201073</v>
      </c>
      <c r="AP1173">
        <f t="shared" si="337"/>
        <v>29.094088971684712</v>
      </c>
    </row>
    <row r="1174" spans="1:42" x14ac:dyDescent="0.2">
      <c r="A1174" s="3">
        <v>1200</v>
      </c>
      <c r="B1174" s="3">
        <v>8.8199999999999998E-7</v>
      </c>
      <c r="C1174" s="2">
        <v>6.1089999999999998E-2</v>
      </c>
      <c r="D1174" s="3">
        <v>261000</v>
      </c>
      <c r="E1174" s="3">
        <v>92700000000</v>
      </c>
      <c r="F1174" s="3">
        <v>85300000000</v>
      </c>
      <c r="G1174" s="3">
        <v>4140000000</v>
      </c>
      <c r="H1174" s="3">
        <v>9440000000</v>
      </c>
      <c r="I1174" s="2"/>
      <c r="J1174" s="7">
        <f t="shared" si="321"/>
        <v>0.88200000000000001</v>
      </c>
      <c r="K1174" s="7">
        <f t="shared" si="322"/>
        <v>61.089999999999996</v>
      </c>
      <c r="L1174" s="7">
        <f t="shared" si="323"/>
        <v>92.7</v>
      </c>
      <c r="M1174" s="7">
        <f t="shared" si="324"/>
        <v>261</v>
      </c>
      <c r="O1174">
        <f t="shared" si="325"/>
        <v>0.70645402298850579</v>
      </c>
      <c r="P1174">
        <f t="shared" si="326"/>
        <v>706.45402298850581</v>
      </c>
      <c r="V1174">
        <f t="shared" si="327"/>
        <v>1169.0703190706083</v>
      </c>
      <c r="W1174">
        <f t="shared" si="328"/>
        <v>111.62716037795346</v>
      </c>
      <c r="AE1174">
        <f t="shared" si="329"/>
        <v>0.8851129772612143</v>
      </c>
      <c r="AF1174">
        <f t="shared" si="330"/>
        <v>0.85783565337714707</v>
      </c>
      <c r="AG1174">
        <f t="shared" si="331"/>
        <v>0.86004060248391523</v>
      </c>
      <c r="AI1174">
        <f t="shared" si="332"/>
        <v>0.41520123356133271</v>
      </c>
      <c r="AJ1174">
        <f t="shared" si="333"/>
        <v>24.82122450254322</v>
      </c>
      <c r="AL1174">
        <f t="shared" si="334"/>
        <v>0.42840373742128535</v>
      </c>
      <c r="AM1174">
        <f t="shared" si="335"/>
        <v>26.424844139576866</v>
      </c>
      <c r="AO1174">
        <f t="shared" si="336"/>
        <v>0.42730540737101202</v>
      </c>
      <c r="AP1174">
        <f t="shared" si="337"/>
        <v>26.28952321024002</v>
      </c>
    </row>
    <row r="1175" spans="1:42" x14ac:dyDescent="0.2">
      <c r="A1175" s="3">
        <v>1200</v>
      </c>
      <c r="B1175" s="3">
        <v>8.8299999999999995E-7</v>
      </c>
      <c r="C1175" s="2">
        <v>6.114E-2</v>
      </c>
      <c r="D1175" s="3">
        <v>247000</v>
      </c>
      <c r="E1175" s="3">
        <v>87700000000</v>
      </c>
      <c r="F1175" s="3">
        <v>81100000000</v>
      </c>
      <c r="G1175" s="3">
        <v>4650000000</v>
      </c>
      <c r="H1175" s="3">
        <v>9570000000</v>
      </c>
      <c r="I1175" s="2"/>
      <c r="J1175" s="7">
        <f t="shared" si="321"/>
        <v>0.88300000000000001</v>
      </c>
      <c r="K1175" s="7">
        <f t="shared" si="322"/>
        <v>61.14</v>
      </c>
      <c r="L1175" s="7">
        <f t="shared" si="323"/>
        <v>87.7</v>
      </c>
      <c r="M1175" s="7">
        <f t="shared" si="324"/>
        <v>247</v>
      </c>
      <c r="O1175">
        <f t="shared" si="325"/>
        <v>0.69735222672064778</v>
      </c>
      <c r="P1175">
        <f t="shared" si="326"/>
        <v>697.35222672064776</v>
      </c>
      <c r="V1175">
        <f t="shared" si="327"/>
        <v>1162.3734300140811</v>
      </c>
      <c r="W1175">
        <f t="shared" si="328"/>
        <v>106.24812716039449</v>
      </c>
      <c r="AE1175">
        <f t="shared" si="329"/>
        <v>0.83763565281042118</v>
      </c>
      <c r="AF1175">
        <f t="shared" si="330"/>
        <v>0.81182148039906254</v>
      </c>
      <c r="AG1175">
        <f t="shared" si="331"/>
        <v>0.81390815637366687</v>
      </c>
      <c r="AI1175">
        <f t="shared" si="332"/>
        <v>0.43923233858568317</v>
      </c>
      <c r="AJ1175">
        <f t="shared" si="333"/>
        <v>27.737391735402429</v>
      </c>
      <c r="AL1175">
        <f t="shared" si="334"/>
        <v>0.45319897976315177</v>
      </c>
      <c r="AM1175">
        <f t="shared" si="335"/>
        <v>29.52941557622578</v>
      </c>
      <c r="AO1175">
        <f t="shared" si="336"/>
        <v>0.45203708033336798</v>
      </c>
      <c r="AP1175">
        <f t="shared" si="337"/>
        <v>29.378196218509149</v>
      </c>
    </row>
    <row r="1176" spans="1:42" x14ac:dyDescent="0.2">
      <c r="A1176" s="3">
        <v>1200</v>
      </c>
      <c r="B1176" s="3">
        <v>8.8400000000000003E-7</v>
      </c>
      <c r="C1176" s="2">
        <v>6.1199999999999997E-2</v>
      </c>
      <c r="D1176" s="3">
        <v>239000</v>
      </c>
      <c r="E1176" s="3">
        <v>85200000000</v>
      </c>
      <c r="F1176" s="3">
        <v>79000000000</v>
      </c>
      <c r="G1176" s="3">
        <v>8540000000</v>
      </c>
      <c r="H1176" s="3">
        <v>9640000000</v>
      </c>
      <c r="I1176" s="2"/>
      <c r="J1176" s="7">
        <f t="shared" si="321"/>
        <v>0.88400000000000001</v>
      </c>
      <c r="K1176" s="7">
        <f t="shared" si="322"/>
        <v>61.199999999999996</v>
      </c>
      <c r="L1176" s="7">
        <f t="shared" si="323"/>
        <v>85.2</v>
      </c>
      <c r="M1176" s="7">
        <f t="shared" si="324"/>
        <v>239</v>
      </c>
      <c r="O1176">
        <f t="shared" si="325"/>
        <v>0.69194979079497909</v>
      </c>
      <c r="P1176">
        <f t="shared" si="326"/>
        <v>691.94979079497909</v>
      </c>
      <c r="V1176">
        <f t="shared" si="327"/>
        <v>1158.3753987084206</v>
      </c>
      <c r="W1176">
        <f t="shared" si="328"/>
        <v>103.16172126345359</v>
      </c>
      <c r="AE1176">
        <f t="shared" si="329"/>
        <v>0.81050575312425366</v>
      </c>
      <c r="AF1176">
        <f t="shared" si="330"/>
        <v>0.78552766726872847</v>
      </c>
      <c r="AG1176">
        <f t="shared" si="331"/>
        <v>0.78754675859638212</v>
      </c>
      <c r="AI1176">
        <f t="shared" si="332"/>
        <v>0.45444875858501949</v>
      </c>
      <c r="AJ1176">
        <f t="shared" si="333"/>
        <v>29.654438998653227</v>
      </c>
      <c r="AL1176">
        <f t="shared" si="334"/>
        <v>0.46889924910477632</v>
      </c>
      <c r="AM1176">
        <f t="shared" si="335"/>
        <v>31.570317109283273</v>
      </c>
      <c r="AO1176">
        <f t="shared" si="336"/>
        <v>0.46769709774414076</v>
      </c>
      <c r="AP1176">
        <f t="shared" si="337"/>
        <v>31.408646348686851</v>
      </c>
    </row>
    <row r="1177" spans="1:42" x14ac:dyDescent="0.2">
      <c r="A1177" s="3">
        <v>1200</v>
      </c>
      <c r="B1177" s="3">
        <v>8.8599999999999997E-7</v>
      </c>
      <c r="C1177" s="2">
        <v>6.1249999999999999E-2</v>
      </c>
      <c r="D1177" s="3">
        <v>236000</v>
      </c>
      <c r="E1177" s="3">
        <v>83900000000</v>
      </c>
      <c r="F1177" s="3">
        <v>77800000000</v>
      </c>
      <c r="G1177" s="3">
        <v>2700000000</v>
      </c>
      <c r="H1177" s="3">
        <v>9680000000</v>
      </c>
      <c r="I1177" s="2"/>
      <c r="J1177" s="7">
        <f t="shared" si="321"/>
        <v>0.88600000000000001</v>
      </c>
      <c r="K1177" s="7">
        <f t="shared" si="322"/>
        <v>61.25</v>
      </c>
      <c r="L1177" s="7">
        <f t="shared" si="323"/>
        <v>83.9</v>
      </c>
      <c r="M1177" s="7">
        <f t="shared" si="324"/>
        <v>236</v>
      </c>
      <c r="O1177">
        <f t="shared" si="325"/>
        <v>0.69134957627118654</v>
      </c>
      <c r="P1177">
        <f t="shared" si="326"/>
        <v>691.34957627118649</v>
      </c>
      <c r="V1177">
        <f t="shared" si="327"/>
        <v>1157.9301429726136</v>
      </c>
      <c r="W1177">
        <f t="shared" si="328"/>
        <v>101.90597482597086</v>
      </c>
      <c r="AE1177">
        <f t="shared" si="329"/>
        <v>0.80033204074194086</v>
      </c>
      <c r="AF1177">
        <f t="shared" si="330"/>
        <v>0.77566748734485325</v>
      </c>
      <c r="AG1177">
        <f t="shared" si="331"/>
        <v>0.77766123442990032</v>
      </c>
      <c r="AI1177">
        <f t="shared" si="332"/>
        <v>0.46126688408530281</v>
      </c>
      <c r="AJ1177">
        <f t="shared" si="333"/>
        <v>30.438004669805565</v>
      </c>
      <c r="AL1177">
        <f t="shared" si="334"/>
        <v>0.47593417629291357</v>
      </c>
      <c r="AM1177">
        <f t="shared" si="335"/>
        <v>32.404506443141564</v>
      </c>
      <c r="AO1177">
        <f t="shared" si="336"/>
        <v>0.47471398897400485</v>
      </c>
      <c r="AP1177">
        <f t="shared" si="337"/>
        <v>32.238563820985455</v>
      </c>
    </row>
    <row r="1178" spans="1:42" x14ac:dyDescent="0.2">
      <c r="A1178" s="3">
        <v>1200</v>
      </c>
      <c r="B1178" s="3">
        <v>8.8700000000000004E-7</v>
      </c>
      <c r="C1178" s="2">
        <v>6.13E-2</v>
      </c>
      <c r="D1178" s="3">
        <v>229000</v>
      </c>
      <c r="E1178" s="3">
        <v>81600000000</v>
      </c>
      <c r="F1178" s="3">
        <v>75800000000</v>
      </c>
      <c r="G1178" s="2">
        <v>0</v>
      </c>
      <c r="H1178" s="3">
        <v>9750000000</v>
      </c>
      <c r="I1178" s="2"/>
      <c r="J1178" s="7">
        <f t="shared" si="321"/>
        <v>0.88700000000000001</v>
      </c>
      <c r="K1178" s="7">
        <f t="shared" si="322"/>
        <v>61.3</v>
      </c>
      <c r="L1178" s="7">
        <f t="shared" si="323"/>
        <v>81.600000000000009</v>
      </c>
      <c r="M1178" s="7">
        <f t="shared" si="324"/>
        <v>229</v>
      </c>
      <c r="O1178">
        <f t="shared" si="325"/>
        <v>0.68623580786026195</v>
      </c>
      <c r="P1178">
        <f t="shared" si="326"/>
        <v>686.23580786026196</v>
      </c>
      <c r="V1178">
        <f t="shared" si="327"/>
        <v>1154.1278446494889</v>
      </c>
      <c r="W1178">
        <f t="shared" si="328"/>
        <v>99.20911321117454</v>
      </c>
      <c r="AE1178">
        <f t="shared" si="329"/>
        <v>0.77659337851654431</v>
      </c>
      <c r="AF1178">
        <f t="shared" si="330"/>
        <v>0.75266040085581098</v>
      </c>
      <c r="AG1178">
        <f t="shared" si="331"/>
        <v>0.75459501137477614</v>
      </c>
      <c r="AI1178">
        <f t="shared" si="332"/>
        <v>0.47590327648597103</v>
      </c>
      <c r="AJ1178">
        <f t="shared" si="333"/>
        <v>32.353673769320011</v>
      </c>
      <c r="AL1178">
        <f t="shared" si="334"/>
        <v>0.49103597440904206</v>
      </c>
      <c r="AM1178">
        <f t="shared" si="335"/>
        <v>34.443940773727711</v>
      </c>
      <c r="AO1178">
        <f t="shared" si="336"/>
        <v>0.48977706950381178</v>
      </c>
      <c r="AP1178">
        <f t="shared" si="337"/>
        <v>34.267554262196953</v>
      </c>
    </row>
    <row r="1179" spans="1:42" x14ac:dyDescent="0.2">
      <c r="A1179" s="3">
        <v>1200</v>
      </c>
      <c r="B1179" s="3">
        <v>8.8899999999999998E-7</v>
      </c>
      <c r="C1179" s="2">
        <v>6.1350000000000002E-2</v>
      </c>
      <c r="D1179" s="3">
        <v>232000</v>
      </c>
      <c r="E1179" s="3">
        <v>82400000000</v>
      </c>
      <c r="F1179" s="3">
        <v>76500000000</v>
      </c>
      <c r="G1179" s="3">
        <v>5460000000</v>
      </c>
      <c r="H1179" s="3">
        <v>9700000000</v>
      </c>
      <c r="I1179" s="2"/>
      <c r="J1179" s="7">
        <f t="shared" si="321"/>
        <v>0.88900000000000001</v>
      </c>
      <c r="K1179" s="7">
        <f t="shared" si="322"/>
        <v>61.35</v>
      </c>
      <c r="L1179" s="7">
        <f t="shared" si="323"/>
        <v>82.4</v>
      </c>
      <c r="M1179" s="7">
        <f t="shared" si="324"/>
        <v>232</v>
      </c>
      <c r="O1179">
        <f t="shared" si="325"/>
        <v>0.69067025862068965</v>
      </c>
      <c r="P1179">
        <f t="shared" si="326"/>
        <v>690.67025862068965</v>
      </c>
      <c r="V1179">
        <f t="shared" si="327"/>
        <v>1157.4259465310001</v>
      </c>
      <c r="W1179">
        <f t="shared" si="328"/>
        <v>100.22239465744782</v>
      </c>
      <c r="AE1179">
        <f t="shared" si="329"/>
        <v>0.7867670908988571</v>
      </c>
      <c r="AF1179">
        <f t="shared" si="330"/>
        <v>0.76252058077968621</v>
      </c>
      <c r="AG1179">
        <f t="shared" si="331"/>
        <v>0.76448053554125794</v>
      </c>
      <c r="AI1179">
        <f t="shared" si="332"/>
        <v>0.47080854162758268</v>
      </c>
      <c r="AJ1179">
        <f t="shared" si="333"/>
        <v>31.548062280475829</v>
      </c>
      <c r="AL1179">
        <f t="shared" si="334"/>
        <v>0.48577923796877892</v>
      </c>
      <c r="AM1179">
        <f t="shared" si="335"/>
        <v>33.586281312665314</v>
      </c>
      <c r="AO1179">
        <f t="shared" si="336"/>
        <v>0.48453381014391544</v>
      </c>
      <c r="AP1179">
        <f t="shared" si="337"/>
        <v>33.414286852596135</v>
      </c>
    </row>
    <row r="1180" spans="1:42" x14ac:dyDescent="0.2">
      <c r="A1180" s="3">
        <v>1200</v>
      </c>
      <c r="B1180" s="3">
        <v>8.8999999999999995E-7</v>
      </c>
      <c r="C1180" s="2">
        <v>6.1409999999999999E-2</v>
      </c>
      <c r="D1180" s="3">
        <v>243000</v>
      </c>
      <c r="E1180" s="3">
        <v>86100000000</v>
      </c>
      <c r="F1180" s="3">
        <v>79700000000</v>
      </c>
      <c r="G1180" s="3">
        <v>1700000000</v>
      </c>
      <c r="H1180" s="3">
        <v>9580000000</v>
      </c>
      <c r="I1180" s="2"/>
      <c r="J1180" s="7">
        <f t="shared" si="321"/>
        <v>0.8899999999999999</v>
      </c>
      <c r="K1180" s="7">
        <f t="shared" si="322"/>
        <v>61.41</v>
      </c>
      <c r="L1180" s="7">
        <f t="shared" si="323"/>
        <v>86.100000000000009</v>
      </c>
      <c r="M1180" s="7">
        <f t="shared" si="324"/>
        <v>243</v>
      </c>
      <c r="O1180">
        <f t="shared" si="325"/>
        <v>0.70046296296296284</v>
      </c>
      <c r="P1180">
        <f t="shared" si="326"/>
        <v>700.46296296296282</v>
      </c>
      <c r="V1180">
        <f t="shared" si="327"/>
        <v>1164.6676834927932</v>
      </c>
      <c r="W1180">
        <f t="shared" si="328"/>
        <v>104.32160325392238</v>
      </c>
      <c r="AE1180">
        <f t="shared" si="329"/>
        <v>0.82407070296733742</v>
      </c>
      <c r="AF1180">
        <f t="shared" si="330"/>
        <v>0.79867457383389551</v>
      </c>
      <c r="AG1180">
        <f t="shared" si="331"/>
        <v>0.8007274574850245</v>
      </c>
      <c r="AI1180">
        <f t="shared" si="332"/>
        <v>0.45000184085907435</v>
      </c>
      <c r="AJ1180">
        <f t="shared" si="333"/>
        <v>28.784629406784784</v>
      </c>
      <c r="AL1180">
        <f t="shared" si="334"/>
        <v>0.46431092898477255</v>
      </c>
      <c r="AM1180">
        <f t="shared" si="335"/>
        <v>30.644311911841164</v>
      </c>
      <c r="AO1180">
        <f t="shared" si="336"/>
        <v>0.46312054103660955</v>
      </c>
      <c r="AP1180">
        <f t="shared" si="337"/>
        <v>30.4873831994183</v>
      </c>
    </row>
    <row r="1181" spans="1:42" x14ac:dyDescent="0.2">
      <c r="A1181" s="3">
        <v>1200</v>
      </c>
      <c r="B1181" s="3">
        <v>8.9100000000000002E-7</v>
      </c>
      <c r="C1181" s="2">
        <v>6.1460000000000001E-2</v>
      </c>
      <c r="D1181" s="3">
        <v>223000</v>
      </c>
      <c r="E1181" s="3">
        <v>79400000000</v>
      </c>
      <c r="F1181" s="3">
        <v>74000000000</v>
      </c>
      <c r="G1181" s="3">
        <v>1110000000</v>
      </c>
      <c r="H1181" s="3">
        <v>9800000000</v>
      </c>
      <c r="I1181" s="2"/>
      <c r="J1181" s="7">
        <f t="shared" si="321"/>
        <v>0.89100000000000001</v>
      </c>
      <c r="K1181" s="7">
        <f t="shared" si="322"/>
        <v>61.46</v>
      </c>
      <c r="L1181" s="7">
        <f t="shared" si="323"/>
        <v>79.400000000000006</v>
      </c>
      <c r="M1181" s="7">
        <f t="shared" si="324"/>
        <v>223</v>
      </c>
      <c r="O1181">
        <f t="shared" si="325"/>
        <v>0.6842959641255606</v>
      </c>
      <c r="P1181">
        <f t="shared" si="326"/>
        <v>684.29596412556054</v>
      </c>
      <c r="V1181">
        <f t="shared" si="327"/>
        <v>1152.6813631590071</v>
      </c>
      <c r="W1181">
        <f t="shared" si="328"/>
        <v>96.730981833892187</v>
      </c>
      <c r="AE1181">
        <f t="shared" si="329"/>
        <v>0.75624595375191872</v>
      </c>
      <c r="AF1181">
        <f t="shared" si="330"/>
        <v>0.73294004100806054</v>
      </c>
      <c r="AG1181">
        <f t="shared" si="331"/>
        <v>0.73482396304181263</v>
      </c>
      <c r="AI1181">
        <f t="shared" si="332"/>
        <v>0.49091171748839008</v>
      </c>
      <c r="AJ1181">
        <f t="shared" si="333"/>
        <v>34.207152363583717</v>
      </c>
      <c r="AL1181">
        <f t="shared" si="334"/>
        <v>0.50652165147014694</v>
      </c>
      <c r="AM1181">
        <f t="shared" si="335"/>
        <v>36.417166670155268</v>
      </c>
      <c r="AO1181">
        <f t="shared" si="336"/>
        <v>0.50522304480001734</v>
      </c>
      <c r="AP1181">
        <f t="shared" si="337"/>
        <v>36.230675320893546</v>
      </c>
    </row>
    <row r="1182" spans="1:42" x14ac:dyDescent="0.2">
      <c r="A1182" s="3">
        <v>1200</v>
      </c>
      <c r="B1182" s="3">
        <v>8.9199999999999999E-7</v>
      </c>
      <c r="C1182" s="2">
        <v>6.1510000000000002E-2</v>
      </c>
      <c r="D1182" s="3">
        <v>243000</v>
      </c>
      <c r="E1182" s="3">
        <v>86100000000</v>
      </c>
      <c r="F1182" s="3">
        <v>79700000000</v>
      </c>
      <c r="G1182" s="3">
        <v>8240000000</v>
      </c>
      <c r="H1182" s="3">
        <v>9560000000</v>
      </c>
      <c r="I1182" s="2"/>
      <c r="J1182" s="7">
        <f t="shared" si="321"/>
        <v>0.89200000000000002</v>
      </c>
      <c r="K1182" s="7">
        <f t="shared" si="322"/>
        <v>61.510000000000005</v>
      </c>
      <c r="L1182" s="7">
        <f t="shared" si="323"/>
        <v>86.100000000000009</v>
      </c>
      <c r="M1182" s="7">
        <f t="shared" si="324"/>
        <v>243</v>
      </c>
      <c r="O1182">
        <f t="shared" si="325"/>
        <v>0.7021543209876544</v>
      </c>
      <c r="P1182">
        <f t="shared" si="326"/>
        <v>702.15432098765439</v>
      </c>
      <c r="V1182">
        <f t="shared" si="327"/>
        <v>1165.9127253588729</v>
      </c>
      <c r="W1182">
        <f t="shared" si="328"/>
        <v>104.21020146478099</v>
      </c>
      <c r="AE1182">
        <f t="shared" si="329"/>
        <v>0.82407070296733742</v>
      </c>
      <c r="AF1182">
        <f t="shared" si="330"/>
        <v>0.79867457383389551</v>
      </c>
      <c r="AG1182">
        <f t="shared" si="331"/>
        <v>0.8007274574850245</v>
      </c>
      <c r="AI1182">
        <f t="shared" si="332"/>
        <v>0.45101308095089254</v>
      </c>
      <c r="AJ1182">
        <f t="shared" si="333"/>
        <v>28.831502276686734</v>
      </c>
      <c r="AL1182">
        <f t="shared" si="334"/>
        <v>0.46535432433080576</v>
      </c>
      <c r="AM1182">
        <f t="shared" si="335"/>
        <v>30.694213087401895</v>
      </c>
      <c r="AO1182">
        <f t="shared" si="336"/>
        <v>0.4641612613535458</v>
      </c>
      <c r="AP1182">
        <f t="shared" si="337"/>
        <v>30.537028832376159</v>
      </c>
    </row>
    <row r="1183" spans="1:42" x14ac:dyDescent="0.2">
      <c r="A1183" s="3">
        <v>1200</v>
      </c>
      <c r="B1183" s="3">
        <v>8.9400000000000004E-7</v>
      </c>
      <c r="C1183" s="2">
        <v>6.1559999999999997E-2</v>
      </c>
      <c r="D1183" s="3">
        <v>233000</v>
      </c>
      <c r="E1183" s="3">
        <v>82700000000</v>
      </c>
      <c r="F1183" s="3">
        <v>76800000000</v>
      </c>
      <c r="G1183" s="3">
        <v>4970000000</v>
      </c>
      <c r="H1183" s="3">
        <v>9660000000</v>
      </c>
      <c r="I1183" s="2"/>
      <c r="J1183" s="7">
        <f t="shared" si="321"/>
        <v>0.89400000000000002</v>
      </c>
      <c r="K1183" s="7">
        <f t="shared" si="322"/>
        <v>61.559999999999995</v>
      </c>
      <c r="L1183" s="7">
        <f t="shared" si="323"/>
        <v>82.7</v>
      </c>
      <c r="M1183" s="7">
        <f t="shared" si="324"/>
        <v>233</v>
      </c>
      <c r="O1183">
        <f t="shared" si="325"/>
        <v>0.6958454935622318</v>
      </c>
      <c r="P1183">
        <f t="shared" si="326"/>
        <v>695.84549356223181</v>
      </c>
      <c r="V1183">
        <f t="shared" si="327"/>
        <v>1161.260123632092</v>
      </c>
      <c r="W1183">
        <f t="shared" si="328"/>
        <v>100.32205328434172</v>
      </c>
      <c r="AE1183">
        <f t="shared" si="329"/>
        <v>0.79015832835962807</v>
      </c>
      <c r="AF1183">
        <f t="shared" si="330"/>
        <v>0.76580730742097802</v>
      </c>
      <c r="AG1183">
        <f t="shared" si="331"/>
        <v>0.76777571026341851</v>
      </c>
      <c r="AI1183">
        <f t="shared" si="332"/>
        <v>0.47142450649518752</v>
      </c>
      <c r="AJ1183">
        <f t="shared" si="333"/>
        <v>31.384908102626586</v>
      </c>
      <c r="AL1183">
        <f t="shared" si="334"/>
        <v>0.48641478919086639</v>
      </c>
      <c r="AM1183">
        <f t="shared" si="335"/>
        <v>33.412586267122926</v>
      </c>
      <c r="AO1183">
        <f t="shared" si="336"/>
        <v>0.48516773195676882</v>
      </c>
      <c r="AP1183">
        <f t="shared" si="337"/>
        <v>33.241481294797175</v>
      </c>
    </row>
    <row r="1184" spans="1:42" x14ac:dyDescent="0.2">
      <c r="A1184" s="3">
        <v>1200</v>
      </c>
      <c r="B1184" s="3">
        <v>8.9500000000000001E-7</v>
      </c>
      <c r="C1184" s="2">
        <v>6.1609999999999998E-2</v>
      </c>
      <c r="D1184" s="3">
        <v>229000</v>
      </c>
      <c r="E1184" s="3">
        <v>81100000000</v>
      </c>
      <c r="F1184" s="3">
        <v>75400000000</v>
      </c>
      <c r="G1184" s="2">
        <v>0</v>
      </c>
      <c r="H1184" s="3">
        <v>9700000000</v>
      </c>
      <c r="I1184" s="2"/>
      <c r="J1184" s="7">
        <f t="shared" si="321"/>
        <v>0.89500000000000002</v>
      </c>
      <c r="K1184" s="7">
        <f t="shared" si="322"/>
        <v>61.61</v>
      </c>
      <c r="L1184" s="7">
        <f t="shared" si="323"/>
        <v>81.100000000000009</v>
      </c>
      <c r="M1184" s="7">
        <f t="shared" si="324"/>
        <v>229</v>
      </c>
      <c r="O1184">
        <f t="shared" si="325"/>
        <v>0.69322052401746725</v>
      </c>
      <c r="P1184">
        <f t="shared" si="326"/>
        <v>693.22052401746726</v>
      </c>
      <c r="V1184">
        <f t="shared" si="327"/>
        <v>1159.3173544598467</v>
      </c>
      <c r="W1184">
        <f t="shared" si="328"/>
        <v>98.765018533987401</v>
      </c>
      <c r="AE1184">
        <f t="shared" si="329"/>
        <v>0.77659337851654431</v>
      </c>
      <c r="AF1184">
        <f t="shared" si="330"/>
        <v>0.75266040085581098</v>
      </c>
      <c r="AG1184">
        <f t="shared" si="331"/>
        <v>0.75459501137477614</v>
      </c>
      <c r="AI1184">
        <f t="shared" si="332"/>
        <v>0.48019552700670132</v>
      </c>
      <c r="AJ1184">
        <f t="shared" si="333"/>
        <v>32.517289411546592</v>
      </c>
      <c r="AL1184">
        <f t="shared" si="334"/>
        <v>0.49546470924023978</v>
      </c>
      <c r="AM1184">
        <f t="shared" si="335"/>
        <v>34.618127097379514</v>
      </c>
      <c r="AO1184">
        <f t="shared" si="336"/>
        <v>0.49419445006303442</v>
      </c>
      <c r="AP1184">
        <f t="shared" si="337"/>
        <v>34.440848582283103</v>
      </c>
    </row>
    <row r="1185" spans="1:42" x14ac:dyDescent="0.2">
      <c r="A1185" s="3">
        <v>1200</v>
      </c>
      <c r="B1185" s="3">
        <v>8.9599999999999998E-7</v>
      </c>
      <c r="C1185" s="2">
        <v>6.1670000000000003E-2</v>
      </c>
      <c r="D1185" s="3">
        <v>227000</v>
      </c>
      <c r="E1185" s="3">
        <v>80600000000</v>
      </c>
      <c r="F1185" s="3">
        <v>74900000000</v>
      </c>
      <c r="G1185" s="3">
        <v>1550000000</v>
      </c>
      <c r="H1185" s="3">
        <v>9720000000</v>
      </c>
      <c r="I1185" s="2"/>
      <c r="J1185" s="7">
        <f t="shared" si="321"/>
        <v>0.89600000000000002</v>
      </c>
      <c r="K1185" s="7">
        <f t="shared" si="322"/>
        <v>61.67</v>
      </c>
      <c r="L1185" s="7">
        <f t="shared" si="323"/>
        <v>80.600000000000009</v>
      </c>
      <c r="M1185" s="7">
        <f t="shared" si="324"/>
        <v>227</v>
      </c>
      <c r="O1185">
        <f t="shared" si="325"/>
        <v>0.6922444933920705</v>
      </c>
      <c r="P1185">
        <f t="shared" si="326"/>
        <v>692.24449339207047</v>
      </c>
      <c r="V1185">
        <f t="shared" si="327"/>
        <v>1158.5939385057418</v>
      </c>
      <c r="W1185">
        <f t="shared" si="328"/>
        <v>97.963571384106217</v>
      </c>
      <c r="AE1185">
        <f t="shared" si="329"/>
        <v>0.76981090359500248</v>
      </c>
      <c r="AF1185">
        <f t="shared" si="330"/>
        <v>0.74608694757322747</v>
      </c>
      <c r="AG1185">
        <f t="shared" si="331"/>
        <v>0.74800466193045501</v>
      </c>
      <c r="AI1185">
        <f t="shared" si="332"/>
        <v>0.48496758306471588</v>
      </c>
      <c r="AJ1185">
        <f t="shared" si="333"/>
        <v>33.125033509049636</v>
      </c>
      <c r="AL1185">
        <f t="shared" si="334"/>
        <v>0.50038850639012311</v>
      </c>
      <c r="AM1185">
        <f t="shared" si="335"/>
        <v>35.26513559011606</v>
      </c>
      <c r="AO1185">
        <f t="shared" si="336"/>
        <v>0.49910562371340361</v>
      </c>
      <c r="AP1185">
        <f t="shared" si="337"/>
        <v>35.084543761606568</v>
      </c>
    </row>
    <row r="1186" spans="1:42" x14ac:dyDescent="0.2">
      <c r="A1186" s="3">
        <v>1200</v>
      </c>
      <c r="B1186" s="3">
        <v>8.9700000000000005E-7</v>
      </c>
      <c r="C1186" s="2">
        <v>6.1719999999999997E-2</v>
      </c>
      <c r="D1186" s="3">
        <v>229000</v>
      </c>
      <c r="E1186" s="3">
        <v>81000000000</v>
      </c>
      <c r="F1186" s="3">
        <v>75300000000</v>
      </c>
      <c r="G1186" s="3">
        <v>4740000000</v>
      </c>
      <c r="H1186" s="3">
        <v>9690000000</v>
      </c>
      <c r="I1186" s="2"/>
      <c r="J1186" s="7">
        <f t="shared" si="321"/>
        <v>0.89700000000000002</v>
      </c>
      <c r="K1186" s="7">
        <f t="shared" si="322"/>
        <v>61.72</v>
      </c>
      <c r="L1186" s="7">
        <f t="shared" si="323"/>
        <v>81</v>
      </c>
      <c r="M1186" s="7">
        <f t="shared" si="324"/>
        <v>229</v>
      </c>
      <c r="O1186">
        <f t="shared" si="325"/>
        <v>0.69486026200873363</v>
      </c>
      <c r="P1186">
        <f t="shared" si="326"/>
        <v>694.86026200873368</v>
      </c>
      <c r="V1186">
        <f t="shared" si="327"/>
        <v>1160.5314221095819</v>
      </c>
      <c r="W1186">
        <f t="shared" si="328"/>
        <v>98.661697407438623</v>
      </c>
      <c r="AE1186">
        <f t="shared" si="329"/>
        <v>0.77659337851654431</v>
      </c>
      <c r="AF1186">
        <f t="shared" si="330"/>
        <v>0.75266040085581098</v>
      </c>
      <c r="AG1186">
        <f t="shared" si="331"/>
        <v>0.75459501137477614</v>
      </c>
      <c r="AI1186">
        <f t="shared" si="332"/>
        <v>0.4812685896368839</v>
      </c>
      <c r="AJ1186">
        <f t="shared" si="333"/>
        <v>32.575346574917312</v>
      </c>
      <c r="AL1186">
        <f t="shared" si="334"/>
        <v>0.49657189294803916</v>
      </c>
      <c r="AM1186">
        <f t="shared" si="335"/>
        <v>34.679935147707575</v>
      </c>
      <c r="AO1186">
        <f t="shared" si="336"/>
        <v>0.49529879520284009</v>
      </c>
      <c r="AP1186">
        <f t="shared" si="337"/>
        <v>34.502340115216896</v>
      </c>
    </row>
    <row r="1187" spans="1:42" x14ac:dyDescent="0.2">
      <c r="A1187" s="3">
        <v>1200</v>
      </c>
      <c r="B1187" s="3">
        <v>8.9800000000000002E-7</v>
      </c>
      <c r="C1187" s="2">
        <v>6.1769999999999999E-2</v>
      </c>
      <c r="D1187" s="3">
        <v>247000</v>
      </c>
      <c r="E1187" s="3">
        <v>86900000000</v>
      </c>
      <c r="F1187" s="3">
        <v>80400000000</v>
      </c>
      <c r="G1187" s="3">
        <v>9510000000</v>
      </c>
      <c r="H1187" s="3">
        <v>9490000000</v>
      </c>
      <c r="I1187" s="2"/>
      <c r="J1187" s="7">
        <f t="shared" si="321"/>
        <v>0.89800000000000002</v>
      </c>
      <c r="K1187" s="7">
        <f t="shared" si="322"/>
        <v>61.769999999999996</v>
      </c>
      <c r="L1187" s="7">
        <f t="shared" si="323"/>
        <v>86.9</v>
      </c>
      <c r="M1187" s="7">
        <f t="shared" si="324"/>
        <v>247</v>
      </c>
      <c r="O1187">
        <f t="shared" si="325"/>
        <v>0.71043927125506079</v>
      </c>
      <c r="P1187">
        <f t="shared" si="326"/>
        <v>710.43927125506082</v>
      </c>
      <c r="V1187">
        <f t="shared" si="327"/>
        <v>1171.9874412476374</v>
      </c>
      <c r="W1187">
        <f t="shared" si="328"/>
        <v>105.37655580040027</v>
      </c>
      <c r="AE1187">
        <f t="shared" si="329"/>
        <v>0.83763565281042118</v>
      </c>
      <c r="AF1187">
        <f t="shared" si="330"/>
        <v>0.81182148039906254</v>
      </c>
      <c r="AG1187">
        <f t="shared" si="331"/>
        <v>0.81390815637366687</v>
      </c>
      <c r="AI1187">
        <f t="shared" si="332"/>
        <v>0.44669381659110247</v>
      </c>
      <c r="AJ1187">
        <f t="shared" si="333"/>
        <v>28.023203917170559</v>
      </c>
      <c r="AL1187">
        <f t="shared" si="334"/>
        <v>0.46089771667872065</v>
      </c>
      <c r="AM1187">
        <f t="shared" si="335"/>
        <v>29.833693165578449</v>
      </c>
      <c r="AO1187">
        <f t="shared" si="336"/>
        <v>0.45971607943302883</v>
      </c>
      <c r="AP1187">
        <f t="shared" si="337"/>
        <v>29.680915610358358</v>
      </c>
    </row>
    <row r="1188" spans="1:42" x14ac:dyDescent="0.2">
      <c r="A1188" s="3">
        <v>1200</v>
      </c>
      <c r="B1188" s="3">
        <v>8.9899999999999999E-7</v>
      </c>
      <c r="C1188" s="2">
        <v>6.182E-2</v>
      </c>
      <c r="D1188" s="3">
        <v>242000</v>
      </c>
      <c r="E1188" s="3">
        <v>85200000000</v>
      </c>
      <c r="F1188" s="3">
        <v>78900000000</v>
      </c>
      <c r="G1188" s="3">
        <v>6140000000</v>
      </c>
      <c r="H1188" s="3">
        <v>9540000000</v>
      </c>
      <c r="I1188" s="2"/>
      <c r="J1188" s="7">
        <f t="shared" si="321"/>
        <v>0.89900000000000002</v>
      </c>
      <c r="K1188" s="7">
        <f t="shared" si="322"/>
        <v>61.82</v>
      </c>
      <c r="L1188" s="7">
        <f t="shared" si="323"/>
        <v>85.2</v>
      </c>
      <c r="M1188" s="7">
        <f t="shared" si="324"/>
        <v>242</v>
      </c>
      <c r="O1188">
        <f t="shared" si="325"/>
        <v>0.70740909090909088</v>
      </c>
      <c r="P1188">
        <f t="shared" si="326"/>
        <v>707.40909090909088</v>
      </c>
      <c r="V1188">
        <f t="shared" si="327"/>
        <v>1169.7702430884724</v>
      </c>
      <c r="W1188">
        <f t="shared" si="328"/>
        <v>103.43911611269162</v>
      </c>
      <c r="AE1188">
        <f t="shared" si="329"/>
        <v>0.82067946550656645</v>
      </c>
      <c r="AF1188">
        <f t="shared" si="330"/>
        <v>0.7953878471926038</v>
      </c>
      <c r="AG1188">
        <f t="shared" si="331"/>
        <v>0.79743228276286393</v>
      </c>
      <c r="AI1188">
        <f t="shared" si="332"/>
        <v>0.45643073706263732</v>
      </c>
      <c r="AJ1188">
        <f t="shared" si="333"/>
        <v>29.216780715628694</v>
      </c>
      <c r="AL1188">
        <f t="shared" si="334"/>
        <v>0.47094425022391334</v>
      </c>
      <c r="AM1188">
        <f t="shared" si="335"/>
        <v>31.104383129509909</v>
      </c>
      <c r="AO1188">
        <f t="shared" si="336"/>
        <v>0.46973685594407383</v>
      </c>
      <c r="AP1188">
        <f t="shared" si="337"/>
        <v>30.945098404525261</v>
      </c>
    </row>
    <row r="1189" spans="1:42" x14ac:dyDescent="0.2">
      <c r="A1189" s="3">
        <v>1200</v>
      </c>
      <c r="B1189" s="3">
        <v>9.0100000000000003E-7</v>
      </c>
      <c r="C1189" s="2">
        <v>6.1870000000000001E-2</v>
      </c>
      <c r="D1189" s="3">
        <v>235000</v>
      </c>
      <c r="E1189" s="3">
        <v>82900000000</v>
      </c>
      <c r="F1189" s="3">
        <v>77000000000</v>
      </c>
      <c r="G1189" s="3">
        <v>843000000</v>
      </c>
      <c r="H1189" s="3">
        <v>9600000000</v>
      </c>
      <c r="I1189" s="2"/>
      <c r="J1189" s="7">
        <f t="shared" si="321"/>
        <v>0.90100000000000002</v>
      </c>
      <c r="K1189" s="7">
        <f t="shared" si="322"/>
        <v>61.870000000000005</v>
      </c>
      <c r="L1189" s="7">
        <f t="shared" si="323"/>
        <v>82.9</v>
      </c>
      <c r="M1189" s="7">
        <f t="shared" si="324"/>
        <v>235</v>
      </c>
      <c r="O1189">
        <f t="shared" si="325"/>
        <v>0.70354255319148939</v>
      </c>
      <c r="P1189">
        <f t="shared" si="326"/>
        <v>703.54255319148945</v>
      </c>
      <c r="V1189">
        <f t="shared" si="327"/>
        <v>1166.9333827206779</v>
      </c>
      <c r="W1189">
        <f t="shared" si="328"/>
        <v>100.69126630523802</v>
      </c>
      <c r="AE1189">
        <f t="shared" si="329"/>
        <v>0.7969408032811699</v>
      </c>
      <c r="AF1189">
        <f t="shared" si="330"/>
        <v>0.77238076070356154</v>
      </c>
      <c r="AG1189">
        <f t="shared" si="331"/>
        <v>0.77436605970773975</v>
      </c>
      <c r="AI1189">
        <f t="shared" si="332"/>
        <v>0.47107221153817036</v>
      </c>
      <c r="AJ1189">
        <f t="shared" si="333"/>
        <v>31.008337598506095</v>
      </c>
      <c r="AL1189">
        <f t="shared" si="334"/>
        <v>0.48605129201392805</v>
      </c>
      <c r="AM1189">
        <f t="shared" si="335"/>
        <v>33.011686751552034</v>
      </c>
      <c r="AO1189">
        <f t="shared" si="336"/>
        <v>0.484805166704176</v>
      </c>
      <c r="AP1189">
        <f t="shared" si="337"/>
        <v>32.842634775063502</v>
      </c>
    </row>
    <row r="1190" spans="1:42" x14ac:dyDescent="0.2">
      <c r="A1190" s="3">
        <v>1200</v>
      </c>
      <c r="B1190" s="3">
        <v>9.02E-7</v>
      </c>
      <c r="C1190" s="2">
        <v>6.1929999999999999E-2</v>
      </c>
      <c r="D1190" s="3">
        <v>235000</v>
      </c>
      <c r="E1190" s="3">
        <v>82800000000</v>
      </c>
      <c r="F1190" s="3">
        <v>76800000000</v>
      </c>
      <c r="G1190" s="3">
        <v>6890000000</v>
      </c>
      <c r="H1190" s="3">
        <v>9600000000</v>
      </c>
      <c r="I1190" s="2"/>
      <c r="J1190" s="7">
        <f t="shared" si="321"/>
        <v>0.90200000000000002</v>
      </c>
      <c r="K1190" s="7">
        <f t="shared" si="322"/>
        <v>61.93</v>
      </c>
      <c r="L1190" s="7">
        <f t="shared" si="323"/>
        <v>82.800000000000011</v>
      </c>
      <c r="M1190" s="7">
        <f t="shared" si="324"/>
        <v>235</v>
      </c>
      <c r="O1190">
        <f t="shared" si="325"/>
        <v>0.70435106382978718</v>
      </c>
      <c r="P1190">
        <f t="shared" si="326"/>
        <v>704.35106382978722</v>
      </c>
      <c r="V1190">
        <f t="shared" si="327"/>
        <v>1167.5272998262431</v>
      </c>
      <c r="W1190">
        <f t="shared" si="328"/>
        <v>100.64004500578864</v>
      </c>
      <c r="AE1190">
        <f t="shared" si="329"/>
        <v>0.7969408032811699</v>
      </c>
      <c r="AF1190">
        <f t="shared" si="330"/>
        <v>0.77238076070356154</v>
      </c>
      <c r="AG1190">
        <f t="shared" si="331"/>
        <v>0.77436605970773975</v>
      </c>
      <c r="AI1190">
        <f t="shared" si="332"/>
        <v>0.47159504418138698</v>
      </c>
      <c r="AJ1190">
        <f t="shared" si="333"/>
        <v>31.038408719500282</v>
      </c>
      <c r="AL1190">
        <f t="shared" si="334"/>
        <v>0.48659074960772819</v>
      </c>
      <c r="AM1190">
        <f t="shared" si="335"/>
        <v>33.043700671143</v>
      </c>
      <c r="AO1190">
        <f t="shared" si="336"/>
        <v>0.48534324125101752</v>
      </c>
      <c r="AP1190">
        <f t="shared" si="337"/>
        <v>32.874484752217271</v>
      </c>
    </row>
    <row r="1191" spans="1:42" x14ac:dyDescent="0.2">
      <c r="A1191" s="3">
        <v>1200</v>
      </c>
      <c r="B1191" s="3">
        <v>9.0400000000000005E-7</v>
      </c>
      <c r="C1191" s="2">
        <v>6.198E-2</v>
      </c>
      <c r="D1191" s="3">
        <v>230000</v>
      </c>
      <c r="E1191" s="3">
        <v>81200000000</v>
      </c>
      <c r="F1191" s="3">
        <v>75500000000</v>
      </c>
      <c r="G1191" s="3">
        <v>11500000000</v>
      </c>
      <c r="H1191" s="3">
        <v>9640000000</v>
      </c>
      <c r="I1191" s="2"/>
      <c r="J1191" s="7">
        <f t="shared" si="321"/>
        <v>0.90400000000000003</v>
      </c>
      <c r="K1191" s="7">
        <f t="shared" si="322"/>
        <v>61.98</v>
      </c>
      <c r="L1191" s="7">
        <f t="shared" si="323"/>
        <v>81.2</v>
      </c>
      <c r="M1191" s="7">
        <f t="shared" si="324"/>
        <v>230</v>
      </c>
      <c r="O1191">
        <f t="shared" si="325"/>
        <v>0.70189130434782609</v>
      </c>
      <c r="P1191">
        <f t="shared" si="326"/>
        <v>701.89130434782612</v>
      </c>
      <c r="V1191">
        <f t="shared" si="327"/>
        <v>1165.7192234120516</v>
      </c>
      <c r="W1191">
        <f t="shared" si="328"/>
        <v>98.651542919053725</v>
      </c>
      <c r="AE1191">
        <f t="shared" si="329"/>
        <v>0.77998461597731528</v>
      </c>
      <c r="AF1191">
        <f t="shared" si="330"/>
        <v>0.7559471274971028</v>
      </c>
      <c r="AG1191">
        <f t="shared" si="331"/>
        <v>0.75789018609693681</v>
      </c>
      <c r="AI1191">
        <f t="shared" si="332"/>
        <v>0.48291550749972934</v>
      </c>
      <c r="AJ1191">
        <f t="shared" si="333"/>
        <v>32.428733829524056</v>
      </c>
      <c r="AL1191">
        <f t="shared" si="334"/>
        <v>0.49827117924740089</v>
      </c>
      <c r="AM1191">
        <f t="shared" si="335"/>
        <v>34.523850223472863</v>
      </c>
      <c r="AO1191">
        <f t="shared" si="336"/>
        <v>0.49699372491741134</v>
      </c>
      <c r="AP1191">
        <f t="shared" si="337"/>
        <v>34.347054497759217</v>
      </c>
    </row>
    <row r="1192" spans="1:42" x14ac:dyDescent="0.2">
      <c r="A1192" s="3">
        <v>1200</v>
      </c>
      <c r="B1192" s="3">
        <v>9.0400000000000005E-7</v>
      </c>
      <c r="C1192" s="2">
        <v>6.2030000000000002E-2</v>
      </c>
      <c r="D1192" s="3">
        <v>239000</v>
      </c>
      <c r="E1192" s="3">
        <v>84100000000</v>
      </c>
      <c r="F1192" s="3">
        <v>78000000000</v>
      </c>
      <c r="G1192" s="3">
        <v>6560000000</v>
      </c>
      <c r="H1192" s="3">
        <v>9540000000</v>
      </c>
      <c r="I1192" s="2"/>
      <c r="J1192" s="7">
        <f t="shared" si="321"/>
        <v>0.90400000000000003</v>
      </c>
      <c r="K1192" s="7">
        <f t="shared" si="322"/>
        <v>62.03</v>
      </c>
      <c r="L1192" s="7">
        <f t="shared" si="323"/>
        <v>84.100000000000009</v>
      </c>
      <c r="M1192" s="7">
        <f t="shared" si="324"/>
        <v>239</v>
      </c>
      <c r="O1192">
        <f t="shared" si="325"/>
        <v>0.70934518828451887</v>
      </c>
      <c r="P1192">
        <f t="shared" si="326"/>
        <v>709.34518828451883</v>
      </c>
      <c r="V1192">
        <f t="shared" si="327"/>
        <v>1171.1875039310862</v>
      </c>
      <c r="W1192">
        <f t="shared" si="328"/>
        <v>102.03319246397244</v>
      </c>
      <c r="AE1192">
        <f t="shared" si="329"/>
        <v>0.81050575312425366</v>
      </c>
      <c r="AF1192">
        <f t="shared" si="330"/>
        <v>0.78552766726872847</v>
      </c>
      <c r="AG1192">
        <f t="shared" si="331"/>
        <v>0.78754675859638212</v>
      </c>
      <c r="AI1192">
        <f t="shared" si="332"/>
        <v>0.46473040470685256</v>
      </c>
      <c r="AJ1192">
        <f t="shared" si="333"/>
        <v>30.056615213831044</v>
      </c>
      <c r="AL1192">
        <f t="shared" si="334"/>
        <v>0.47950782940126446</v>
      </c>
      <c r="AM1192">
        <f t="shared" si="335"/>
        <v>31.998476638706563</v>
      </c>
      <c r="AO1192">
        <f t="shared" si="336"/>
        <v>0.4782784800460444</v>
      </c>
      <c r="AP1192">
        <f t="shared" si="337"/>
        <v>31.834613284461529</v>
      </c>
    </row>
    <row r="1193" spans="1:42" x14ac:dyDescent="0.2">
      <c r="A1193" s="3">
        <v>1200</v>
      </c>
      <c r="B1193" s="3">
        <v>9.0500000000000002E-7</v>
      </c>
      <c r="C1193" s="2">
        <v>6.2080000000000003E-2</v>
      </c>
      <c r="D1193" s="3">
        <v>223000</v>
      </c>
      <c r="E1193" s="3">
        <v>78800000000</v>
      </c>
      <c r="F1193" s="3">
        <v>73400000000</v>
      </c>
      <c r="G1193" s="3">
        <v>6350000000</v>
      </c>
      <c r="H1193" s="3">
        <v>9730000000</v>
      </c>
      <c r="I1193" s="2"/>
      <c r="J1193" s="7">
        <f t="shared" si="321"/>
        <v>0.90500000000000003</v>
      </c>
      <c r="K1193" s="7">
        <f t="shared" si="322"/>
        <v>62.080000000000005</v>
      </c>
      <c r="L1193" s="7">
        <f t="shared" si="323"/>
        <v>78.800000000000011</v>
      </c>
      <c r="M1193" s="7">
        <f t="shared" si="324"/>
        <v>223</v>
      </c>
      <c r="O1193">
        <f t="shared" si="325"/>
        <v>0.69621076233183854</v>
      </c>
      <c r="P1193">
        <f t="shared" si="326"/>
        <v>696.21076233183851</v>
      </c>
      <c r="V1193">
        <f t="shared" si="327"/>
        <v>1161.530139379407</v>
      </c>
      <c r="W1193">
        <f t="shared" si="328"/>
        <v>95.994065259101447</v>
      </c>
      <c r="AE1193">
        <f t="shared" si="329"/>
        <v>0.75624595375191872</v>
      </c>
      <c r="AF1193">
        <f t="shared" si="330"/>
        <v>0.73294004100806054</v>
      </c>
      <c r="AG1193">
        <f t="shared" si="331"/>
        <v>0.73482396304181263</v>
      </c>
      <c r="AI1193">
        <f t="shared" si="332"/>
        <v>0.49862525738158592</v>
      </c>
      <c r="AJ1193">
        <f t="shared" si="333"/>
        <v>34.552229396864263</v>
      </c>
      <c r="AL1193">
        <f t="shared" si="334"/>
        <v>0.51448046529796065</v>
      </c>
      <c r="AM1193">
        <f t="shared" si="335"/>
        <v>36.784538022831747</v>
      </c>
      <c r="AO1193">
        <f t="shared" si="336"/>
        <v>0.51316145403368774</v>
      </c>
      <c r="AP1193">
        <f t="shared" si="337"/>
        <v>36.596165374569992</v>
      </c>
    </row>
    <row r="1194" spans="1:42" x14ac:dyDescent="0.2">
      <c r="A1194" s="3">
        <v>1200</v>
      </c>
      <c r="B1194" s="3">
        <v>9.0699999999999996E-7</v>
      </c>
      <c r="C1194" s="2">
        <v>6.2140000000000001E-2</v>
      </c>
      <c r="D1194" s="3">
        <v>247000</v>
      </c>
      <c r="E1194" s="3">
        <v>86700000000</v>
      </c>
      <c r="F1194" s="3">
        <v>80200000000</v>
      </c>
      <c r="G1194" s="3">
        <v>10200000000</v>
      </c>
      <c r="H1194" s="3">
        <v>9450000000</v>
      </c>
      <c r="I1194" s="2"/>
      <c r="J1194" s="7">
        <f t="shared" si="321"/>
        <v>0.90699999999999992</v>
      </c>
      <c r="K1194" s="7">
        <f t="shared" si="322"/>
        <v>62.14</v>
      </c>
      <c r="L1194" s="7">
        <f t="shared" si="323"/>
        <v>86.7</v>
      </c>
      <c r="M1194" s="7">
        <f t="shared" si="324"/>
        <v>247</v>
      </c>
      <c r="O1194">
        <f t="shared" si="325"/>
        <v>0.71831578947368413</v>
      </c>
      <c r="P1194">
        <f t="shared" si="326"/>
        <v>718.31578947368416</v>
      </c>
      <c r="V1194">
        <f t="shared" si="327"/>
        <v>1177.7262044926024</v>
      </c>
      <c r="W1194">
        <f t="shared" si="328"/>
        <v>104.86308237762891</v>
      </c>
      <c r="AE1194">
        <f t="shared" si="329"/>
        <v>0.83763565281042118</v>
      </c>
      <c r="AF1194">
        <f t="shared" si="330"/>
        <v>0.81182148039906254</v>
      </c>
      <c r="AG1194">
        <f t="shared" si="331"/>
        <v>0.81390815637366687</v>
      </c>
      <c r="AI1194">
        <f t="shared" si="332"/>
        <v>0.451170703394354</v>
      </c>
      <c r="AJ1194">
        <f t="shared" si="333"/>
        <v>28.191061865193113</v>
      </c>
      <c r="AL1194">
        <f t="shared" si="334"/>
        <v>0.46551695882806188</v>
      </c>
      <c r="AM1194">
        <f t="shared" si="335"/>
        <v>30.012395876785575</v>
      </c>
      <c r="AO1194">
        <f t="shared" si="336"/>
        <v>0.46432347889282527</v>
      </c>
      <c r="AP1194">
        <f t="shared" si="337"/>
        <v>29.858703189698375</v>
      </c>
    </row>
    <row r="1195" spans="1:42" x14ac:dyDescent="0.2">
      <c r="A1195" s="3">
        <v>1200</v>
      </c>
      <c r="B1195" s="3">
        <v>9.0800000000000003E-7</v>
      </c>
      <c r="C1195" s="2">
        <v>6.2190000000000002E-2</v>
      </c>
      <c r="D1195" s="3">
        <v>232000</v>
      </c>
      <c r="E1195" s="3">
        <v>81400000000</v>
      </c>
      <c r="F1195" s="3">
        <v>75700000000</v>
      </c>
      <c r="G1195" s="3">
        <v>6150000000</v>
      </c>
      <c r="H1195" s="3">
        <v>9610000000</v>
      </c>
      <c r="I1195" s="2"/>
      <c r="J1195" s="7">
        <f t="shared" si="321"/>
        <v>0.90800000000000003</v>
      </c>
      <c r="K1195" s="7">
        <f t="shared" si="322"/>
        <v>62.190000000000005</v>
      </c>
      <c r="L1195" s="7">
        <f t="shared" si="323"/>
        <v>81.400000000000006</v>
      </c>
      <c r="M1195" s="7">
        <f t="shared" si="324"/>
        <v>232</v>
      </c>
      <c r="O1195">
        <f t="shared" si="325"/>
        <v>0.70695474137931036</v>
      </c>
      <c r="P1195">
        <f t="shared" si="326"/>
        <v>706.95474137931035</v>
      </c>
      <c r="V1195">
        <f t="shared" si="327"/>
        <v>1169.4373375287312</v>
      </c>
      <c r="W1195">
        <f t="shared" si="328"/>
        <v>99.193001862872421</v>
      </c>
      <c r="AE1195">
        <f t="shared" si="329"/>
        <v>0.7867670908988571</v>
      </c>
      <c r="AF1195">
        <f t="shared" si="330"/>
        <v>0.76252058077968621</v>
      </c>
      <c r="AG1195">
        <f t="shared" si="331"/>
        <v>0.76448053554125794</v>
      </c>
      <c r="AI1195">
        <f t="shared" si="332"/>
        <v>0.48087081642052315</v>
      </c>
      <c r="AJ1195">
        <f t="shared" si="333"/>
        <v>31.980016189450559</v>
      </c>
      <c r="AL1195">
        <f t="shared" si="334"/>
        <v>0.49616147140118255</v>
      </c>
      <c r="AM1195">
        <f t="shared" si="335"/>
        <v>34.046142377093012</v>
      </c>
      <c r="AO1195">
        <f t="shared" si="336"/>
        <v>0.49488942588377421</v>
      </c>
      <c r="AP1195">
        <f t="shared" si="337"/>
        <v>33.871792980651243</v>
      </c>
    </row>
    <row r="1196" spans="1:42" x14ac:dyDescent="0.2">
      <c r="A1196" s="3">
        <v>1200</v>
      </c>
      <c r="B1196" s="3">
        <v>9.09E-7</v>
      </c>
      <c r="C1196" s="2">
        <v>6.2239999999999997E-2</v>
      </c>
      <c r="D1196" s="3">
        <v>240000</v>
      </c>
      <c r="E1196" s="3">
        <v>83900000000</v>
      </c>
      <c r="F1196" s="3">
        <v>77800000000</v>
      </c>
      <c r="G1196" s="3">
        <v>10100000000</v>
      </c>
      <c r="H1196" s="3">
        <v>9530000000</v>
      </c>
      <c r="I1196" s="2"/>
      <c r="J1196" s="7">
        <f t="shared" si="321"/>
        <v>0.90900000000000003</v>
      </c>
      <c r="K1196" s="7">
        <f t="shared" si="322"/>
        <v>62.239999999999995</v>
      </c>
      <c r="L1196" s="7">
        <f t="shared" si="323"/>
        <v>83.9</v>
      </c>
      <c r="M1196" s="7">
        <f t="shared" si="324"/>
        <v>240</v>
      </c>
      <c r="O1196">
        <f t="shared" si="325"/>
        <v>0.71450000000000002</v>
      </c>
      <c r="P1196">
        <f t="shared" si="326"/>
        <v>714.5</v>
      </c>
      <c r="V1196">
        <f t="shared" si="327"/>
        <v>1174.9504538529384</v>
      </c>
      <c r="W1196">
        <f t="shared" si="328"/>
        <v>102.13196616631096</v>
      </c>
      <c r="AE1196">
        <f t="shared" si="329"/>
        <v>0.81389699058502463</v>
      </c>
      <c r="AF1196">
        <f t="shared" si="330"/>
        <v>0.78881439391002028</v>
      </c>
      <c r="AG1196">
        <f t="shared" si="331"/>
        <v>0.79084193331854269</v>
      </c>
      <c r="AI1196">
        <f t="shared" si="332"/>
        <v>0.46535372950298859</v>
      </c>
      <c r="AJ1196">
        <f t="shared" si="333"/>
        <v>29.907574469243166</v>
      </c>
      <c r="AL1196">
        <f t="shared" si="334"/>
        <v>0.48015097458173905</v>
      </c>
      <c r="AM1196">
        <f t="shared" si="335"/>
        <v>31.839806850043335</v>
      </c>
      <c r="AO1196">
        <f t="shared" si="336"/>
        <v>0.47891997634809735</v>
      </c>
      <c r="AP1196">
        <f t="shared" si="337"/>
        <v>31.676756039597855</v>
      </c>
    </row>
    <row r="1197" spans="1:42" x14ac:dyDescent="0.2">
      <c r="A1197" s="3">
        <v>1200</v>
      </c>
      <c r="B1197" s="3">
        <v>9.0999999999999997E-7</v>
      </c>
      <c r="C1197" s="2">
        <v>6.2289999999999998E-2</v>
      </c>
      <c r="D1197" s="3">
        <v>265000</v>
      </c>
      <c r="E1197" s="3">
        <v>92300000000</v>
      </c>
      <c r="F1197" s="3">
        <v>85000000000</v>
      </c>
      <c r="G1197" s="3">
        <v>1710000000</v>
      </c>
      <c r="H1197" s="3">
        <v>9290000000</v>
      </c>
      <c r="I1197" s="2"/>
      <c r="J1197" s="7">
        <f t="shared" si="321"/>
        <v>0.90999999999999992</v>
      </c>
      <c r="K1197" s="7">
        <f t="shared" si="322"/>
        <v>62.29</v>
      </c>
      <c r="L1197" s="7">
        <f t="shared" si="323"/>
        <v>92.300000000000011</v>
      </c>
      <c r="M1197" s="7">
        <f t="shared" si="324"/>
        <v>265</v>
      </c>
      <c r="O1197">
        <f t="shared" si="325"/>
        <v>0.73370754716981124</v>
      </c>
      <c r="P1197">
        <f t="shared" si="326"/>
        <v>733.70754716981128</v>
      </c>
      <c r="V1197">
        <f t="shared" si="327"/>
        <v>1188.8401873216624</v>
      </c>
      <c r="W1197">
        <f t="shared" si="328"/>
        <v>111.45316369099972</v>
      </c>
      <c r="AE1197">
        <f t="shared" si="329"/>
        <v>0.89867792710429806</v>
      </c>
      <c r="AF1197">
        <f t="shared" si="330"/>
        <v>0.87098255994231399</v>
      </c>
      <c r="AG1197">
        <f t="shared" si="331"/>
        <v>0.8732213013725576</v>
      </c>
      <c r="AI1197">
        <f t="shared" si="332"/>
        <v>0.42191607830895528</v>
      </c>
      <c r="AJ1197">
        <f t="shared" si="333"/>
        <v>24.550518867580298</v>
      </c>
      <c r="AL1197">
        <f t="shared" si="334"/>
        <v>0.43533209975154868</v>
      </c>
      <c r="AM1197">
        <f t="shared" si="335"/>
        <v>26.136649082525299</v>
      </c>
      <c r="AO1197">
        <f t="shared" si="336"/>
        <v>0.43421600695113616</v>
      </c>
      <c r="AP1197">
        <f t="shared" si="337"/>
        <v>26.002803992468504</v>
      </c>
    </row>
    <row r="1198" spans="1:42" x14ac:dyDescent="0.2">
      <c r="A1198" s="3">
        <v>1200</v>
      </c>
      <c r="B1198" s="3">
        <v>9.1100000000000004E-7</v>
      </c>
      <c r="C1198" s="2">
        <v>6.234E-2</v>
      </c>
      <c r="D1198" s="3">
        <v>253000</v>
      </c>
      <c r="E1198" s="3">
        <v>88200000000</v>
      </c>
      <c r="F1198" s="3">
        <v>81500000000</v>
      </c>
      <c r="G1198" s="3">
        <v>230000000</v>
      </c>
      <c r="H1198" s="3">
        <v>9380000000</v>
      </c>
      <c r="I1198" s="2"/>
      <c r="J1198" s="7">
        <f t="shared" si="321"/>
        <v>0.91100000000000003</v>
      </c>
      <c r="K1198" s="7">
        <f t="shared" si="322"/>
        <v>62.339999999999996</v>
      </c>
      <c r="L1198" s="7">
        <f t="shared" si="323"/>
        <v>88.2</v>
      </c>
      <c r="M1198" s="7">
        <f t="shared" si="324"/>
        <v>253</v>
      </c>
      <c r="O1198">
        <f t="shared" si="325"/>
        <v>0.72619762845849811</v>
      </c>
      <c r="P1198">
        <f t="shared" si="326"/>
        <v>726.19762845849812</v>
      </c>
      <c r="V1198">
        <f t="shared" si="327"/>
        <v>1183.4338659474236</v>
      </c>
      <c r="W1198">
        <f t="shared" si="328"/>
        <v>106.8923271844411</v>
      </c>
      <c r="AE1198">
        <f t="shared" si="329"/>
        <v>0.85798307757504677</v>
      </c>
      <c r="AF1198">
        <f t="shared" si="330"/>
        <v>0.83154184024681299</v>
      </c>
      <c r="AG1198">
        <f t="shared" si="331"/>
        <v>0.83367920470663048</v>
      </c>
      <c r="AI1198">
        <f t="shared" si="332"/>
        <v>0.44241354317402803</v>
      </c>
      <c r="AJ1198">
        <f t="shared" si="333"/>
        <v>26.956273110394577</v>
      </c>
      <c r="AL1198">
        <f t="shared" si="334"/>
        <v>0.45648133979724681</v>
      </c>
      <c r="AM1198">
        <f t="shared" si="335"/>
        <v>28.69783138430817</v>
      </c>
      <c r="AO1198">
        <f t="shared" si="336"/>
        <v>0.45531102514054878</v>
      </c>
      <c r="AP1198">
        <f t="shared" si="337"/>
        <v>28.550870547288106</v>
      </c>
    </row>
    <row r="1199" spans="1:42" x14ac:dyDescent="0.2">
      <c r="A1199" s="3">
        <v>1200</v>
      </c>
      <c r="B1199" s="3">
        <v>9.1299999999999998E-7</v>
      </c>
      <c r="C1199" s="2">
        <v>6.2399999999999997E-2</v>
      </c>
      <c r="D1199" s="3">
        <v>281000</v>
      </c>
      <c r="E1199" s="3">
        <v>97400000000</v>
      </c>
      <c r="F1199" s="3">
        <v>89300000000</v>
      </c>
      <c r="G1199" s="3">
        <v>2690000000</v>
      </c>
      <c r="H1199" s="3">
        <v>9160000000</v>
      </c>
      <c r="I1199" s="2"/>
      <c r="J1199" s="7">
        <f t="shared" si="321"/>
        <v>0.91300000000000003</v>
      </c>
      <c r="K1199" s="7">
        <f t="shared" si="322"/>
        <v>62.4</v>
      </c>
      <c r="L1199" s="7">
        <f t="shared" si="323"/>
        <v>97.4</v>
      </c>
      <c r="M1199" s="7">
        <f t="shared" si="324"/>
        <v>281</v>
      </c>
      <c r="O1199">
        <f t="shared" si="325"/>
        <v>0.74645195729537372</v>
      </c>
      <c r="P1199">
        <f t="shared" si="326"/>
        <v>746.45195729537375</v>
      </c>
      <c r="V1199">
        <f t="shared" si="327"/>
        <v>1197.9446948191446</v>
      </c>
      <c r="W1199">
        <f t="shared" si="328"/>
        <v>117.28421237443811</v>
      </c>
      <c r="AE1199">
        <f t="shared" si="329"/>
        <v>0.952937726476633</v>
      </c>
      <c r="AF1199">
        <f t="shared" si="330"/>
        <v>0.92357018620298204</v>
      </c>
      <c r="AG1199">
        <f t="shared" si="331"/>
        <v>0.92594409692712709</v>
      </c>
      <c r="AI1199">
        <f t="shared" si="332"/>
        <v>0.39920412016135548</v>
      </c>
      <c r="AJ1199">
        <f t="shared" si="333"/>
        <v>21.872883615710929</v>
      </c>
      <c r="AL1199">
        <f t="shared" si="334"/>
        <v>0.41189795031241822</v>
      </c>
      <c r="AM1199">
        <f t="shared" si="335"/>
        <v>23.286020412451627</v>
      </c>
      <c r="AO1199">
        <f t="shared" si="336"/>
        <v>0.4108419373579158</v>
      </c>
      <c r="AP1199">
        <f t="shared" si="337"/>
        <v>23.166773316569973</v>
      </c>
    </row>
    <row r="1200" spans="1:42" x14ac:dyDescent="0.2">
      <c r="A1200" s="3">
        <v>1200</v>
      </c>
      <c r="B1200" s="3">
        <v>9.1399999999999995E-7</v>
      </c>
      <c r="C1200" s="2">
        <v>6.2449999999999999E-2</v>
      </c>
      <c r="D1200" s="3">
        <v>232000</v>
      </c>
      <c r="E1200" s="3">
        <v>81100000000</v>
      </c>
      <c r="F1200" s="3">
        <v>75400000000</v>
      </c>
      <c r="G1200" s="2">
        <v>0</v>
      </c>
      <c r="H1200" s="3">
        <v>9590000000</v>
      </c>
      <c r="I1200" s="2"/>
      <c r="J1200" s="7">
        <f t="shared" si="321"/>
        <v>0.91399999999999992</v>
      </c>
      <c r="K1200" s="7">
        <f t="shared" si="322"/>
        <v>62.449999999999996</v>
      </c>
      <c r="L1200" s="7">
        <f t="shared" si="323"/>
        <v>81.100000000000009</v>
      </c>
      <c r="M1200" s="7">
        <f t="shared" si="324"/>
        <v>232</v>
      </c>
      <c r="O1200">
        <f t="shared" si="325"/>
        <v>0.71211422413793102</v>
      </c>
      <c r="P1200">
        <f t="shared" si="326"/>
        <v>712.11422413793105</v>
      </c>
      <c r="V1200">
        <f t="shared" si="327"/>
        <v>1173.2107526750781</v>
      </c>
      <c r="W1200">
        <f t="shared" si="328"/>
        <v>98.873965939627141</v>
      </c>
      <c r="AE1200">
        <f t="shared" si="329"/>
        <v>0.7867670908988571</v>
      </c>
      <c r="AF1200">
        <f t="shared" si="330"/>
        <v>0.76252058077968621</v>
      </c>
      <c r="AG1200">
        <f t="shared" si="331"/>
        <v>0.76448053554125794</v>
      </c>
      <c r="AI1200">
        <f t="shared" si="332"/>
        <v>0.48404837688145169</v>
      </c>
      <c r="AJ1200">
        <f t="shared" si="333"/>
        <v>32.113716208895113</v>
      </c>
      <c r="AL1200">
        <f t="shared" si="334"/>
        <v>0.49944007143246782</v>
      </c>
      <c r="AM1200">
        <f t="shared" si="335"/>
        <v>34.188480325606335</v>
      </c>
      <c r="AO1200">
        <f t="shared" si="336"/>
        <v>0.49815962032794003</v>
      </c>
      <c r="AP1200">
        <f t="shared" si="337"/>
        <v>34.013402020287344</v>
      </c>
    </row>
    <row r="1201" spans="1:42" x14ac:dyDescent="0.2">
      <c r="A1201" s="3">
        <v>1200</v>
      </c>
      <c r="B1201" s="3">
        <v>9.1500000000000003E-7</v>
      </c>
      <c r="C1201" s="2">
        <v>6.25E-2</v>
      </c>
      <c r="D1201" s="3">
        <v>226000</v>
      </c>
      <c r="E1201" s="3">
        <v>79300000000</v>
      </c>
      <c r="F1201" s="3">
        <v>73800000000</v>
      </c>
      <c r="G1201" s="2">
        <v>0</v>
      </c>
      <c r="H1201" s="3">
        <v>9640000000</v>
      </c>
      <c r="I1201" s="2"/>
      <c r="J1201" s="7">
        <f t="shared" si="321"/>
        <v>0.91500000000000004</v>
      </c>
      <c r="K1201" s="7">
        <f t="shared" si="322"/>
        <v>62.5</v>
      </c>
      <c r="L1201" s="7">
        <f t="shared" si="323"/>
        <v>79.300000000000011</v>
      </c>
      <c r="M1201" s="7">
        <f t="shared" si="324"/>
        <v>226</v>
      </c>
      <c r="O1201">
        <f t="shared" si="325"/>
        <v>0.7075884955752213</v>
      </c>
      <c r="P1201">
        <f t="shared" si="326"/>
        <v>707.58849557522126</v>
      </c>
      <c r="V1201">
        <f t="shared" si="327"/>
        <v>1169.9016615352218</v>
      </c>
      <c r="W1201">
        <f t="shared" si="328"/>
        <v>96.589314910207051</v>
      </c>
      <c r="AE1201">
        <f t="shared" si="329"/>
        <v>0.76641966613423151</v>
      </c>
      <c r="AF1201">
        <f t="shared" si="330"/>
        <v>0.74280022093193576</v>
      </c>
      <c r="AG1201">
        <f t="shared" si="331"/>
        <v>0.74470948720829444</v>
      </c>
      <c r="AI1201">
        <f t="shared" si="332"/>
        <v>0.49744287215775529</v>
      </c>
      <c r="AJ1201">
        <f t="shared" si="333"/>
        <v>33.868598936388722</v>
      </c>
      <c r="AL1201">
        <f t="shared" si="334"/>
        <v>0.51326048277378566</v>
      </c>
      <c r="AM1201">
        <f t="shared" si="335"/>
        <v>36.056740392812237</v>
      </c>
      <c r="AO1201">
        <f t="shared" si="336"/>
        <v>0.51194459926809666</v>
      </c>
      <c r="AP1201">
        <f t="shared" si="337"/>
        <v>35.872094777003092</v>
      </c>
    </row>
    <row r="1202" spans="1:42" x14ac:dyDescent="0.2">
      <c r="A1202" s="3">
        <v>1200</v>
      </c>
      <c r="B1202" s="3">
        <v>9.1699999999999997E-7</v>
      </c>
      <c r="C1202" s="2">
        <v>6.2549999999999994E-2</v>
      </c>
      <c r="D1202" s="3">
        <v>220000</v>
      </c>
      <c r="E1202" s="3">
        <v>77200000000</v>
      </c>
      <c r="F1202" s="3">
        <v>72000000000</v>
      </c>
      <c r="G1202" s="2">
        <v>0</v>
      </c>
      <c r="H1202" s="3">
        <v>9710000000</v>
      </c>
      <c r="I1202" s="2"/>
      <c r="J1202" s="7">
        <f t="shared" si="321"/>
        <v>0.91699999999999993</v>
      </c>
      <c r="K1202" s="7">
        <f t="shared" si="322"/>
        <v>62.55</v>
      </c>
      <c r="L1202" s="7">
        <f t="shared" si="323"/>
        <v>77.2</v>
      </c>
      <c r="M1202" s="7">
        <f t="shared" si="324"/>
        <v>220</v>
      </c>
      <c r="O1202">
        <f t="shared" si="325"/>
        <v>0.70376136363636355</v>
      </c>
      <c r="P1202">
        <f t="shared" si="326"/>
        <v>703.76136363636351</v>
      </c>
      <c r="V1202">
        <f t="shared" si="327"/>
        <v>1167.094154368797</v>
      </c>
      <c r="W1202">
        <f t="shared" si="328"/>
        <v>94.251178954359204</v>
      </c>
      <c r="AE1202">
        <f t="shared" si="329"/>
        <v>0.74607224136960593</v>
      </c>
      <c r="AF1202">
        <f t="shared" si="330"/>
        <v>0.7230798610841852</v>
      </c>
      <c r="AG1202">
        <f t="shared" si="331"/>
        <v>0.72493843887533083</v>
      </c>
      <c r="AI1202">
        <f t="shared" si="332"/>
        <v>0.51212645659074763</v>
      </c>
      <c r="AJ1202">
        <f t="shared" si="333"/>
        <v>35.769761514925833</v>
      </c>
      <c r="AL1202">
        <f t="shared" si="334"/>
        <v>0.52841097352709832</v>
      </c>
      <c r="AM1202">
        <f t="shared" si="335"/>
        <v>38.080730982667788</v>
      </c>
      <c r="AO1202">
        <f t="shared" si="336"/>
        <v>0.52705624759820602</v>
      </c>
      <c r="AP1202">
        <f t="shared" si="337"/>
        <v>37.885720564472614</v>
      </c>
    </row>
    <row r="1203" spans="1:42" x14ac:dyDescent="0.2">
      <c r="A1203" s="3">
        <v>1200</v>
      </c>
      <c r="B1203" s="3">
        <v>9.1800000000000004E-7</v>
      </c>
      <c r="C1203" s="2">
        <v>6.2600000000000003E-2</v>
      </c>
      <c r="D1203" s="3">
        <v>261000</v>
      </c>
      <c r="E1203" s="3">
        <v>90600000000</v>
      </c>
      <c r="F1203" s="3">
        <v>83500000000</v>
      </c>
      <c r="G1203" s="3">
        <v>3080000000</v>
      </c>
      <c r="H1203" s="3">
        <v>9280000000</v>
      </c>
      <c r="I1203" s="2"/>
      <c r="J1203" s="7">
        <f t="shared" si="321"/>
        <v>0.91800000000000004</v>
      </c>
      <c r="K1203" s="7">
        <f t="shared" si="322"/>
        <v>62.6</v>
      </c>
      <c r="L1203" s="7">
        <f t="shared" si="323"/>
        <v>90.600000000000009</v>
      </c>
      <c r="M1203" s="7">
        <f t="shared" si="324"/>
        <v>261</v>
      </c>
      <c r="O1203">
        <f t="shared" si="325"/>
        <v>0.73811494252873566</v>
      </c>
      <c r="P1203">
        <f t="shared" si="326"/>
        <v>738.1149425287357</v>
      </c>
      <c r="V1203">
        <f t="shared" si="327"/>
        <v>1191.998687869914</v>
      </c>
      <c r="W1203">
        <f t="shared" si="328"/>
        <v>109.47998628522133</v>
      </c>
      <c r="AE1203">
        <f t="shared" si="329"/>
        <v>0.8851129772612143</v>
      </c>
      <c r="AF1203">
        <f t="shared" si="330"/>
        <v>0.85783565337714707</v>
      </c>
      <c r="AG1203">
        <f t="shared" si="331"/>
        <v>0.86004060248391523</v>
      </c>
      <c r="AI1203">
        <f t="shared" si="332"/>
        <v>0.43214822268628506</v>
      </c>
      <c r="AJ1203">
        <f t="shared" si="333"/>
        <v>25.434746339158714</v>
      </c>
      <c r="AL1203">
        <f t="shared" si="334"/>
        <v>0.44588960425480717</v>
      </c>
      <c r="AM1203">
        <f t="shared" si="335"/>
        <v>27.078003652602913</v>
      </c>
      <c r="AO1203">
        <f t="shared" si="336"/>
        <v>0.44474644440656352</v>
      </c>
      <c r="AP1203">
        <f t="shared" si="337"/>
        <v>26.939337910640454</v>
      </c>
    </row>
    <row r="1204" spans="1:42" x14ac:dyDescent="0.2">
      <c r="A1204" s="3">
        <v>1200</v>
      </c>
      <c r="B1204" s="3">
        <v>9.1900000000000001E-7</v>
      </c>
      <c r="C1204" s="2">
        <v>6.2659999999999993E-2</v>
      </c>
      <c r="D1204" s="3">
        <v>215000</v>
      </c>
      <c r="E1204" s="3">
        <v>75300000000</v>
      </c>
      <c r="F1204" s="3">
        <v>70400000000</v>
      </c>
      <c r="G1204" s="3">
        <v>12000000000</v>
      </c>
      <c r="H1204" s="3">
        <v>9770000000</v>
      </c>
      <c r="I1204" s="2"/>
      <c r="J1204" s="7">
        <f t="shared" si="321"/>
        <v>0.91900000000000004</v>
      </c>
      <c r="K1204" s="7">
        <f t="shared" si="322"/>
        <v>62.66</v>
      </c>
      <c r="L1204" s="7">
        <f t="shared" si="323"/>
        <v>75.300000000000011</v>
      </c>
      <c r="M1204" s="7">
        <f t="shared" si="324"/>
        <v>215</v>
      </c>
      <c r="O1204">
        <f t="shared" si="325"/>
        <v>0.7004186046511629</v>
      </c>
      <c r="P1204">
        <f t="shared" si="326"/>
        <v>700.41860465116292</v>
      </c>
      <c r="V1204">
        <f t="shared" si="327"/>
        <v>1164.635007947064</v>
      </c>
      <c r="W1204">
        <f t="shared" si="328"/>
        <v>92.303596634531345</v>
      </c>
      <c r="AE1204">
        <f t="shared" si="329"/>
        <v>0.7291160540657512</v>
      </c>
      <c r="AF1204">
        <f t="shared" si="330"/>
        <v>0.70664622787772646</v>
      </c>
      <c r="AG1204">
        <f t="shared" si="331"/>
        <v>0.70846256526452789</v>
      </c>
      <c r="AI1204">
        <f t="shared" si="332"/>
        <v>0.52517931066175039</v>
      </c>
      <c r="AJ1204">
        <f t="shared" si="333"/>
        <v>37.518681082244122</v>
      </c>
      <c r="AL1204">
        <f t="shared" si="334"/>
        <v>0.54187888020952424</v>
      </c>
      <c r="AM1204">
        <f t="shared" si="335"/>
        <v>39.942642629061645</v>
      </c>
      <c r="AO1204">
        <f t="shared" si="336"/>
        <v>0.54048962562149228</v>
      </c>
      <c r="AP1204">
        <f t="shared" si="337"/>
        <v>39.738097410471717</v>
      </c>
    </row>
    <row r="1205" spans="1:42" x14ac:dyDescent="0.2">
      <c r="A1205" s="3">
        <v>1200</v>
      </c>
      <c r="B1205" s="3">
        <v>9.1999999999999998E-7</v>
      </c>
      <c r="C1205" s="2">
        <v>6.2710000000000002E-2</v>
      </c>
      <c r="D1205" s="3">
        <v>272000</v>
      </c>
      <c r="E1205" s="3">
        <v>94100000000</v>
      </c>
      <c r="F1205" s="3">
        <v>86500000000</v>
      </c>
      <c r="G1205" s="3">
        <v>7960000000</v>
      </c>
      <c r="H1205" s="3">
        <v>9190000000</v>
      </c>
      <c r="I1205" s="2"/>
      <c r="J1205" s="7">
        <f t="shared" si="321"/>
        <v>0.91999999999999993</v>
      </c>
      <c r="K1205" s="7">
        <f t="shared" si="322"/>
        <v>62.71</v>
      </c>
      <c r="L1205" s="7">
        <f t="shared" si="323"/>
        <v>94.100000000000009</v>
      </c>
      <c r="M1205" s="7">
        <f t="shared" si="324"/>
        <v>272</v>
      </c>
      <c r="O1205">
        <f t="shared" si="325"/>
        <v>0.74708639705882351</v>
      </c>
      <c r="P1205">
        <f t="shared" si="326"/>
        <v>747.08639705882354</v>
      </c>
      <c r="V1205">
        <f t="shared" si="327"/>
        <v>1198.3956629689649</v>
      </c>
      <c r="W1205">
        <f t="shared" si="328"/>
        <v>113.48505689937733</v>
      </c>
      <c r="AE1205">
        <f t="shared" si="329"/>
        <v>0.92241658932969461</v>
      </c>
      <c r="AF1205">
        <f t="shared" si="330"/>
        <v>0.89398964643135626</v>
      </c>
      <c r="AG1205">
        <f t="shared" si="331"/>
        <v>0.89628752442768178</v>
      </c>
      <c r="AI1205">
        <f t="shared" si="332"/>
        <v>0.41557506420379481</v>
      </c>
      <c r="AJ1205">
        <f t="shared" si="333"/>
        <v>23.460274263004898</v>
      </c>
      <c r="AL1205">
        <f t="shared" si="334"/>
        <v>0.42878945507202471</v>
      </c>
      <c r="AM1205">
        <f t="shared" si="335"/>
        <v>24.975967273818892</v>
      </c>
      <c r="AO1205">
        <f t="shared" si="336"/>
        <v>0.42769013612914919</v>
      </c>
      <c r="AP1205">
        <f t="shared" si="337"/>
        <v>24.848066004667487</v>
      </c>
    </row>
    <row r="1206" spans="1:42" x14ac:dyDescent="0.2">
      <c r="A1206" s="3">
        <v>1200</v>
      </c>
      <c r="B1206" s="3">
        <v>9.2099999999999995E-7</v>
      </c>
      <c r="C1206" s="2">
        <v>6.2759999999999996E-2</v>
      </c>
      <c r="D1206" s="3">
        <v>273000</v>
      </c>
      <c r="E1206" s="3">
        <v>94400000000</v>
      </c>
      <c r="F1206" s="3">
        <v>86800000000</v>
      </c>
      <c r="G1206" s="3">
        <v>7160000000</v>
      </c>
      <c r="H1206" s="3">
        <v>9180000000</v>
      </c>
      <c r="I1206" s="2"/>
      <c r="J1206" s="7">
        <f t="shared" si="321"/>
        <v>0.92099999999999993</v>
      </c>
      <c r="K1206" s="7">
        <f t="shared" si="322"/>
        <v>62.76</v>
      </c>
      <c r="L1206" s="7">
        <f t="shared" si="323"/>
        <v>94.4</v>
      </c>
      <c r="M1206" s="7">
        <f t="shared" si="324"/>
        <v>273</v>
      </c>
      <c r="O1206">
        <f t="shared" si="325"/>
        <v>0.7485824175824175</v>
      </c>
      <c r="P1206">
        <f t="shared" si="326"/>
        <v>748.58241758241752</v>
      </c>
      <c r="V1206">
        <f t="shared" si="327"/>
        <v>1199.4582102776114</v>
      </c>
      <c r="W1206">
        <f t="shared" si="328"/>
        <v>113.8013803485554</v>
      </c>
      <c r="AE1206">
        <f t="shared" si="329"/>
        <v>0.92580782679046547</v>
      </c>
      <c r="AF1206">
        <f t="shared" si="330"/>
        <v>0.89727637307264807</v>
      </c>
      <c r="AG1206">
        <f t="shared" si="331"/>
        <v>0.89958269914984235</v>
      </c>
      <c r="AI1206">
        <f t="shared" si="332"/>
        <v>0.41450286862486485</v>
      </c>
      <c r="AJ1206">
        <f t="shared" si="333"/>
        <v>23.307287487039606</v>
      </c>
      <c r="AL1206">
        <f t="shared" si="334"/>
        <v>0.42768316598583794</v>
      </c>
      <c r="AM1206">
        <f t="shared" si="335"/>
        <v>24.813096513358015</v>
      </c>
      <c r="AO1206">
        <f t="shared" si="336"/>
        <v>0.42658668331734917</v>
      </c>
      <c r="AP1206">
        <f t="shared" si="337"/>
        <v>24.686029301071848</v>
      </c>
    </row>
    <row r="1207" spans="1:42" x14ac:dyDescent="0.2">
      <c r="A1207" s="3">
        <v>1200</v>
      </c>
      <c r="B1207" s="3">
        <v>9.2299999999999999E-7</v>
      </c>
      <c r="C1207" s="2">
        <v>6.2810000000000005E-2</v>
      </c>
      <c r="D1207" s="3">
        <v>244000</v>
      </c>
      <c r="E1207" s="3">
        <v>84600000000</v>
      </c>
      <c r="F1207" s="3">
        <v>78400000000</v>
      </c>
      <c r="G1207" s="2">
        <v>0</v>
      </c>
      <c r="H1207" s="3">
        <v>9410000000</v>
      </c>
      <c r="I1207" s="2"/>
      <c r="J1207" s="7">
        <f t="shared" si="321"/>
        <v>0.92300000000000004</v>
      </c>
      <c r="K1207" s="7">
        <f t="shared" si="322"/>
        <v>62.81</v>
      </c>
      <c r="L1207" s="7">
        <f t="shared" si="323"/>
        <v>84.600000000000009</v>
      </c>
      <c r="M1207" s="7">
        <f t="shared" si="324"/>
        <v>244</v>
      </c>
      <c r="O1207">
        <f t="shared" si="325"/>
        <v>0.72993647540983608</v>
      </c>
      <c r="P1207">
        <f t="shared" si="326"/>
        <v>729.93647540983613</v>
      </c>
      <c r="V1207">
        <f t="shared" si="327"/>
        <v>1186.1292999607995</v>
      </c>
      <c r="W1207">
        <f t="shared" si="328"/>
        <v>102.85556558128359</v>
      </c>
      <c r="AE1207">
        <f t="shared" si="329"/>
        <v>0.82746194042810839</v>
      </c>
      <c r="AF1207">
        <f t="shared" si="330"/>
        <v>0.80196130047518721</v>
      </c>
      <c r="AG1207">
        <f t="shared" si="331"/>
        <v>0.80402263220718506</v>
      </c>
      <c r="AI1207">
        <f t="shared" si="332"/>
        <v>0.46477464949549152</v>
      </c>
      <c r="AJ1207">
        <f t="shared" si="333"/>
        <v>29.200025651185747</v>
      </c>
      <c r="AL1207">
        <f t="shared" si="334"/>
        <v>0.47955348107876988</v>
      </c>
      <c r="AM1207">
        <f t="shared" si="335"/>
        <v>31.08654557413838</v>
      </c>
      <c r="AO1207">
        <f t="shared" si="336"/>
        <v>0.47832401468299934</v>
      </c>
      <c r="AP1207">
        <f t="shared" si="337"/>
        <v>30.927352194803955</v>
      </c>
    </row>
    <row r="1208" spans="1:42" x14ac:dyDescent="0.2">
      <c r="A1208" s="3">
        <v>1200</v>
      </c>
      <c r="B1208" s="3">
        <v>9.2399999999999996E-7</v>
      </c>
      <c r="C1208" s="2">
        <v>6.2869999999999995E-2</v>
      </c>
      <c r="D1208" s="3">
        <v>269000</v>
      </c>
      <c r="E1208" s="3">
        <v>92700000000</v>
      </c>
      <c r="F1208" s="3">
        <v>85300000000</v>
      </c>
      <c r="G1208" s="3">
        <v>5840000000</v>
      </c>
      <c r="H1208" s="3">
        <v>9190000000</v>
      </c>
      <c r="I1208" s="2"/>
      <c r="J1208" s="7">
        <f t="shared" si="321"/>
        <v>0.92399999999999993</v>
      </c>
      <c r="K1208" s="7">
        <f t="shared" si="322"/>
        <v>62.87</v>
      </c>
      <c r="L1208" s="7">
        <f t="shared" si="323"/>
        <v>92.7</v>
      </c>
      <c r="M1208" s="7">
        <f t="shared" si="324"/>
        <v>269</v>
      </c>
      <c r="O1208">
        <f t="shared" si="325"/>
        <v>0.74871189591078058</v>
      </c>
      <c r="P1208">
        <f t="shared" si="326"/>
        <v>748.71189591078053</v>
      </c>
      <c r="V1208">
        <f t="shared" si="327"/>
        <v>1199.5501165173259</v>
      </c>
      <c r="W1208">
        <f t="shared" si="328"/>
        <v>112.12536945975722</v>
      </c>
      <c r="AE1208">
        <f t="shared" si="329"/>
        <v>0.91224287694738171</v>
      </c>
      <c r="AF1208">
        <f t="shared" si="330"/>
        <v>0.88412946650748103</v>
      </c>
      <c r="AG1208">
        <f t="shared" si="331"/>
        <v>0.88640200026119997</v>
      </c>
      <c r="AI1208">
        <f t="shared" si="332"/>
        <v>0.42203672917492874</v>
      </c>
      <c r="AJ1208">
        <f t="shared" si="333"/>
        <v>24.047669391328185</v>
      </c>
      <c r="AL1208">
        <f t="shared" si="334"/>
        <v>0.43545658705488055</v>
      </c>
      <c r="AM1208">
        <f t="shared" si="335"/>
        <v>25.601312115798748</v>
      </c>
      <c r="AO1208">
        <f t="shared" si="336"/>
        <v>0.43434017509724743</v>
      </c>
      <c r="AP1208">
        <f t="shared" si="337"/>
        <v>25.470208472217976</v>
      </c>
    </row>
    <row r="1209" spans="1:42" x14ac:dyDescent="0.2">
      <c r="A1209" s="3">
        <v>1200</v>
      </c>
      <c r="B1209" s="3">
        <v>9.2500000000000004E-7</v>
      </c>
      <c r="C1209" s="2">
        <v>6.2920000000000004E-2</v>
      </c>
      <c r="D1209" s="3">
        <v>232000</v>
      </c>
      <c r="E1209" s="3">
        <v>80700000000</v>
      </c>
      <c r="F1209" s="3">
        <v>75100000000</v>
      </c>
      <c r="G1209" s="3">
        <v>6870000000</v>
      </c>
      <c r="H1209" s="3">
        <v>9520000000</v>
      </c>
      <c r="I1209" s="2"/>
      <c r="J1209" s="7">
        <f t="shared" si="321"/>
        <v>0.92500000000000004</v>
      </c>
      <c r="K1209" s="7">
        <f t="shared" si="322"/>
        <v>62.92</v>
      </c>
      <c r="L1209" s="7">
        <f t="shared" si="323"/>
        <v>80.7</v>
      </c>
      <c r="M1209" s="7">
        <f t="shared" si="324"/>
        <v>232</v>
      </c>
      <c r="O1209">
        <f t="shared" si="325"/>
        <v>0.72159482758620697</v>
      </c>
      <c r="P1209">
        <f t="shared" si="326"/>
        <v>721.59482758620697</v>
      </c>
      <c r="V1209">
        <f t="shared" si="327"/>
        <v>1180.1049477382376</v>
      </c>
      <c r="W1209">
        <f t="shared" si="328"/>
        <v>98.296342390838191</v>
      </c>
      <c r="AE1209">
        <f t="shared" si="329"/>
        <v>0.7867670908988571</v>
      </c>
      <c r="AF1209">
        <f t="shared" si="330"/>
        <v>0.76252058077968621</v>
      </c>
      <c r="AG1209">
        <f t="shared" si="331"/>
        <v>0.76448053554125794</v>
      </c>
      <c r="AI1209">
        <f t="shared" si="332"/>
        <v>0.48987390439315415</v>
      </c>
      <c r="AJ1209">
        <f t="shared" si="333"/>
        <v>32.355404705583361</v>
      </c>
      <c r="AL1209">
        <f t="shared" si="334"/>
        <v>0.50545083815649106</v>
      </c>
      <c r="AM1209">
        <f t="shared" si="335"/>
        <v>34.4457835402266</v>
      </c>
      <c r="AO1209">
        <f t="shared" si="336"/>
        <v>0.50415497680891097</v>
      </c>
      <c r="AP1209">
        <f t="shared" si="337"/>
        <v>34.269387591937225</v>
      </c>
    </row>
    <row r="1210" spans="1:42" x14ac:dyDescent="0.2">
      <c r="A1210" s="3">
        <v>1200</v>
      </c>
      <c r="B1210" s="3">
        <v>9.2699999999999998E-7</v>
      </c>
      <c r="C1210" s="2">
        <v>6.2969999999999998E-2</v>
      </c>
      <c r="D1210" s="3">
        <v>239000</v>
      </c>
      <c r="E1210" s="3">
        <v>82800000000</v>
      </c>
      <c r="F1210" s="3">
        <v>76900000000</v>
      </c>
      <c r="G1210" s="3">
        <v>3170000000</v>
      </c>
      <c r="H1210" s="3">
        <v>9440000000</v>
      </c>
      <c r="I1210" s="2"/>
      <c r="J1210" s="7">
        <f t="shared" si="321"/>
        <v>0.92699999999999994</v>
      </c>
      <c r="K1210" s="7">
        <f t="shared" si="322"/>
        <v>62.97</v>
      </c>
      <c r="L1210" s="7">
        <f t="shared" si="323"/>
        <v>82.800000000000011</v>
      </c>
      <c r="M1210" s="7">
        <f t="shared" si="324"/>
        <v>239</v>
      </c>
      <c r="O1210">
        <f t="shared" si="325"/>
        <v>0.72939539748953974</v>
      </c>
      <c r="P1210">
        <f t="shared" si="326"/>
        <v>729.39539748953973</v>
      </c>
      <c r="V1210">
        <f t="shared" si="327"/>
        <v>1185.7396992040569</v>
      </c>
      <c r="W1210">
        <f t="shared" si="328"/>
        <v>100.78097248512124</v>
      </c>
      <c r="AE1210">
        <f t="shared" si="329"/>
        <v>0.81050575312425366</v>
      </c>
      <c r="AF1210">
        <f t="shared" si="330"/>
        <v>0.78552766726872847</v>
      </c>
      <c r="AG1210">
        <f t="shared" si="331"/>
        <v>0.78754675859638212</v>
      </c>
      <c r="AI1210">
        <f t="shared" si="332"/>
        <v>0.47655429774696045</v>
      </c>
      <c r="AJ1210">
        <f t="shared" si="333"/>
        <v>30.512091891261338</v>
      </c>
      <c r="AL1210">
        <f t="shared" si="334"/>
        <v>0.49170769674222581</v>
      </c>
      <c r="AM1210">
        <f t="shared" si="335"/>
        <v>32.483380202149803</v>
      </c>
      <c r="AO1210">
        <f t="shared" si="336"/>
        <v>0.49044706969323354</v>
      </c>
      <c r="AP1210">
        <f t="shared" si="337"/>
        <v>32.317033669555741</v>
      </c>
    </row>
    <row r="1211" spans="1:42" x14ac:dyDescent="0.2">
      <c r="A1211" s="3">
        <v>1200</v>
      </c>
      <c r="B1211" s="3">
        <v>9.2800000000000005E-7</v>
      </c>
      <c r="C1211" s="2">
        <v>6.3020000000000007E-2</v>
      </c>
      <c r="D1211" s="3">
        <v>228000</v>
      </c>
      <c r="E1211" s="3">
        <v>79200000000</v>
      </c>
      <c r="F1211" s="3">
        <v>73800000000</v>
      </c>
      <c r="G1211" s="3">
        <v>3710000000</v>
      </c>
      <c r="H1211" s="3">
        <v>9550000000</v>
      </c>
      <c r="I1211" s="2"/>
      <c r="J1211" s="7">
        <f t="shared" si="321"/>
        <v>0.92800000000000005</v>
      </c>
      <c r="K1211" s="7">
        <f t="shared" si="322"/>
        <v>63.02</v>
      </c>
      <c r="L1211" s="7">
        <f t="shared" si="323"/>
        <v>79.2</v>
      </c>
      <c r="M1211" s="7">
        <f t="shared" si="324"/>
        <v>228</v>
      </c>
      <c r="O1211">
        <f t="shared" si="325"/>
        <v>0.7206973684210527</v>
      </c>
      <c r="P1211">
        <f t="shared" si="326"/>
        <v>720.69736842105272</v>
      </c>
      <c r="V1211">
        <f t="shared" si="327"/>
        <v>1179.454495003507</v>
      </c>
      <c r="W1211">
        <f t="shared" si="328"/>
        <v>96.654852292254859</v>
      </c>
      <c r="AE1211">
        <f t="shared" si="329"/>
        <v>0.77320214105577334</v>
      </c>
      <c r="AF1211">
        <f t="shared" si="330"/>
        <v>0.74937367421451928</v>
      </c>
      <c r="AG1211">
        <f t="shared" si="331"/>
        <v>0.75129983665261557</v>
      </c>
      <c r="AI1211">
        <f t="shared" si="332"/>
        <v>0.50008483698543627</v>
      </c>
      <c r="AJ1211">
        <f t="shared" si="333"/>
        <v>33.553883867500751</v>
      </c>
      <c r="AL1211">
        <f t="shared" si="334"/>
        <v>0.51598645638567986</v>
      </c>
      <c r="AM1211">
        <f t="shared" si="335"/>
        <v>35.721692593583434</v>
      </c>
      <c r="AO1211">
        <f t="shared" si="336"/>
        <v>0.51466358410171309</v>
      </c>
      <c r="AP1211">
        <f t="shared" si="337"/>
        <v>35.538762748710326</v>
      </c>
    </row>
    <row r="1212" spans="1:42" x14ac:dyDescent="0.2">
      <c r="A1212" s="3">
        <v>1200</v>
      </c>
      <c r="B1212" s="3">
        <v>9.2900000000000002E-7</v>
      </c>
      <c r="C1212" s="2">
        <v>6.3070000000000001E-2</v>
      </c>
      <c r="D1212" s="3">
        <v>246000</v>
      </c>
      <c r="E1212" s="3">
        <v>84800000000</v>
      </c>
      <c r="F1212" s="3">
        <v>78600000000</v>
      </c>
      <c r="G1212" s="2">
        <v>0</v>
      </c>
      <c r="H1212" s="3">
        <v>9370000000</v>
      </c>
      <c r="I1212" s="2"/>
      <c r="J1212" s="7">
        <f t="shared" si="321"/>
        <v>0.92900000000000005</v>
      </c>
      <c r="K1212" s="7">
        <f t="shared" si="322"/>
        <v>63.07</v>
      </c>
      <c r="L1212" s="7">
        <f t="shared" si="323"/>
        <v>84.800000000000011</v>
      </c>
      <c r="M1212" s="7">
        <f t="shared" si="324"/>
        <v>246</v>
      </c>
      <c r="O1212">
        <f t="shared" si="325"/>
        <v>0.7367134146341463</v>
      </c>
      <c r="P1212">
        <f t="shared" si="326"/>
        <v>736.71341463414626</v>
      </c>
      <c r="V1212">
        <f t="shared" si="327"/>
        <v>1190.9954436247217</v>
      </c>
      <c r="W1212">
        <f t="shared" si="328"/>
        <v>103.27495429004921</v>
      </c>
      <c r="AE1212">
        <f t="shared" si="329"/>
        <v>0.83424441534965021</v>
      </c>
      <c r="AF1212">
        <f t="shared" si="330"/>
        <v>0.80853475375777073</v>
      </c>
      <c r="AG1212">
        <f t="shared" si="331"/>
        <v>0.8106129816515063</v>
      </c>
      <c r="AI1212">
        <f t="shared" si="332"/>
        <v>0.46399271749526572</v>
      </c>
      <c r="AJ1212">
        <f t="shared" si="333"/>
        <v>28.846073716299468</v>
      </c>
      <c r="AL1212">
        <f t="shared" si="334"/>
        <v>0.47874668532714654</v>
      </c>
      <c r="AM1212">
        <f t="shared" si="335"/>
        <v>30.709725940952541</v>
      </c>
      <c r="AO1212">
        <f t="shared" si="336"/>
        <v>0.4775192873727574</v>
      </c>
      <c r="AP1212">
        <f t="shared" si="337"/>
        <v>30.552462245013245</v>
      </c>
    </row>
    <row r="1213" spans="1:42" x14ac:dyDescent="0.2">
      <c r="A1213" s="3">
        <v>1200</v>
      </c>
      <c r="B1213" s="3">
        <v>9.2999999999999999E-7</v>
      </c>
      <c r="C1213" s="2">
        <v>6.3130000000000006E-2</v>
      </c>
      <c r="D1213" s="3">
        <v>248000</v>
      </c>
      <c r="E1213" s="3">
        <v>85500000000</v>
      </c>
      <c r="F1213" s="3">
        <v>79200000000</v>
      </c>
      <c r="G1213" s="3">
        <v>9830000000</v>
      </c>
      <c r="H1213" s="3">
        <v>9340000000</v>
      </c>
      <c r="I1213" s="2"/>
      <c r="J1213" s="7">
        <f t="shared" si="321"/>
        <v>0.92999999999999994</v>
      </c>
      <c r="K1213" s="7">
        <f t="shared" si="322"/>
        <v>63.13</v>
      </c>
      <c r="L1213" s="7">
        <f t="shared" si="323"/>
        <v>85.5</v>
      </c>
      <c r="M1213" s="7">
        <f t="shared" si="324"/>
        <v>248</v>
      </c>
      <c r="O1213">
        <f t="shared" si="325"/>
        <v>0.73908266129032252</v>
      </c>
      <c r="P1213">
        <f t="shared" si="326"/>
        <v>739.08266129032256</v>
      </c>
      <c r="V1213">
        <f t="shared" si="327"/>
        <v>1192.6907829840445</v>
      </c>
      <c r="W1213">
        <f t="shared" si="328"/>
        <v>103.96659533979046</v>
      </c>
      <c r="AE1213">
        <f t="shared" si="329"/>
        <v>0.84102689027119215</v>
      </c>
      <c r="AF1213">
        <f t="shared" si="330"/>
        <v>0.81510820704035425</v>
      </c>
      <c r="AG1213">
        <f t="shared" si="331"/>
        <v>0.81720333109582743</v>
      </c>
      <c r="AI1213">
        <f t="shared" si="332"/>
        <v>0.4607462668346422</v>
      </c>
      <c r="AJ1213">
        <f t="shared" si="333"/>
        <v>28.409691640746658</v>
      </c>
      <c r="AL1213">
        <f t="shared" si="334"/>
        <v>0.47539700453637523</v>
      </c>
      <c r="AM1213">
        <f t="shared" si="335"/>
        <v>30.245150620318924</v>
      </c>
      <c r="AO1213">
        <f t="shared" si="336"/>
        <v>0.47417819440405673</v>
      </c>
      <c r="AP1213">
        <f t="shared" si="337"/>
        <v>30.090266002333813</v>
      </c>
    </row>
    <row r="1214" spans="1:42" x14ac:dyDescent="0.2">
      <c r="A1214" s="3">
        <v>1200</v>
      </c>
      <c r="B1214" s="3">
        <v>9.3099999999999996E-7</v>
      </c>
      <c r="C1214" s="2">
        <v>6.318E-2</v>
      </c>
      <c r="D1214" s="3">
        <v>253000</v>
      </c>
      <c r="E1214" s="3">
        <v>87100000000</v>
      </c>
      <c r="F1214" s="3">
        <v>80500000000</v>
      </c>
      <c r="G1214" s="3">
        <v>6760000000</v>
      </c>
      <c r="H1214" s="3">
        <v>9300000000</v>
      </c>
      <c r="I1214" s="2"/>
      <c r="J1214" s="7">
        <f t="shared" si="321"/>
        <v>0.93099999999999994</v>
      </c>
      <c r="K1214" s="7">
        <f t="shared" si="322"/>
        <v>63.18</v>
      </c>
      <c r="L1214" s="7">
        <f t="shared" si="323"/>
        <v>87.100000000000009</v>
      </c>
      <c r="M1214" s="7">
        <f t="shared" si="324"/>
        <v>253</v>
      </c>
      <c r="O1214">
        <f t="shared" si="325"/>
        <v>0.74370750988142287</v>
      </c>
      <c r="P1214">
        <f t="shared" si="326"/>
        <v>743.70750988142288</v>
      </c>
      <c r="V1214">
        <f t="shared" si="327"/>
        <v>1195.991442019807</v>
      </c>
      <c r="W1214">
        <f t="shared" si="328"/>
        <v>105.76998760657104</v>
      </c>
      <c r="AE1214">
        <f t="shared" si="329"/>
        <v>0.85798307757504677</v>
      </c>
      <c r="AF1214">
        <f t="shared" si="330"/>
        <v>0.83154184024681299</v>
      </c>
      <c r="AG1214">
        <f t="shared" si="331"/>
        <v>0.83367920470663048</v>
      </c>
      <c r="AI1214">
        <f t="shared" si="332"/>
        <v>0.45212624445117455</v>
      </c>
      <c r="AJ1214">
        <f t="shared" si="333"/>
        <v>27.319495269726168</v>
      </c>
      <c r="AL1214">
        <f t="shared" si="334"/>
        <v>0.46650288402989765</v>
      </c>
      <c r="AM1214">
        <f t="shared" si="335"/>
        <v>29.084520161382585</v>
      </c>
      <c r="AO1214">
        <f t="shared" si="336"/>
        <v>0.46530687640598339</v>
      </c>
      <c r="AP1214">
        <f t="shared" si="337"/>
        <v>28.935579101342039</v>
      </c>
    </row>
    <row r="1215" spans="1:42" x14ac:dyDescent="0.2">
      <c r="A1215" s="3">
        <v>1200</v>
      </c>
      <c r="B1215" s="3">
        <v>9.3200000000000003E-7</v>
      </c>
      <c r="C1215" s="2">
        <v>6.3229999999999995E-2</v>
      </c>
      <c r="D1215" s="3">
        <v>247000</v>
      </c>
      <c r="E1215" s="3">
        <v>85100000000</v>
      </c>
      <c r="F1215" s="3">
        <v>78900000000</v>
      </c>
      <c r="G1215" s="2">
        <v>0</v>
      </c>
      <c r="H1215" s="3">
        <v>9350000000</v>
      </c>
      <c r="I1215" s="2"/>
      <c r="J1215" s="7">
        <f t="shared" si="321"/>
        <v>0.93200000000000005</v>
      </c>
      <c r="K1215" s="7">
        <f t="shared" si="322"/>
        <v>63.23</v>
      </c>
      <c r="L1215" s="7">
        <f t="shared" si="323"/>
        <v>85.100000000000009</v>
      </c>
      <c r="M1215" s="7">
        <f t="shared" si="324"/>
        <v>247</v>
      </c>
      <c r="O1215">
        <f t="shared" si="325"/>
        <v>0.74000607287449394</v>
      </c>
      <c r="P1215">
        <f t="shared" si="326"/>
        <v>740.00607287449395</v>
      </c>
      <c r="V1215">
        <f t="shared" si="327"/>
        <v>1193.350719957843</v>
      </c>
      <c r="W1215">
        <f t="shared" si="328"/>
        <v>103.49011228179661</v>
      </c>
      <c r="AE1215">
        <f t="shared" si="329"/>
        <v>0.83763565281042118</v>
      </c>
      <c r="AF1215">
        <f t="shared" si="330"/>
        <v>0.81182148039906254</v>
      </c>
      <c r="AG1215">
        <f t="shared" si="331"/>
        <v>0.81390815637366687</v>
      </c>
      <c r="AI1215">
        <f t="shared" si="332"/>
        <v>0.46360650007005294</v>
      </c>
      <c r="AJ1215">
        <f t="shared" si="333"/>
        <v>28.685562306664956</v>
      </c>
      <c r="AL1215">
        <f t="shared" si="334"/>
        <v>0.47834818702067666</v>
      </c>
      <c r="AM1215">
        <f t="shared" si="335"/>
        <v>30.53884440439575</v>
      </c>
      <c r="AO1215">
        <f t="shared" si="336"/>
        <v>0.4771218107255934</v>
      </c>
      <c r="AP1215">
        <f t="shared" si="337"/>
        <v>30.382455788294624</v>
      </c>
    </row>
    <row r="1216" spans="1:42" x14ac:dyDescent="0.2">
      <c r="A1216" s="3">
        <v>1200</v>
      </c>
      <c r="B1216" s="3">
        <v>9.3399999999999997E-7</v>
      </c>
      <c r="C1216" s="2">
        <v>6.3280000000000003E-2</v>
      </c>
      <c r="D1216" s="3">
        <v>216000</v>
      </c>
      <c r="E1216" s="3">
        <v>75200000000</v>
      </c>
      <c r="F1216" s="3">
        <v>70300000000</v>
      </c>
      <c r="G1216" s="3">
        <v>4830000000</v>
      </c>
      <c r="H1216" s="3">
        <v>9680000000</v>
      </c>
      <c r="I1216" s="2"/>
      <c r="J1216" s="7">
        <f t="shared" si="321"/>
        <v>0.93399999999999994</v>
      </c>
      <c r="K1216" s="7">
        <f t="shared" si="322"/>
        <v>63.28</v>
      </c>
      <c r="L1216" s="7">
        <f t="shared" si="323"/>
        <v>75.2</v>
      </c>
      <c r="M1216" s="7">
        <f t="shared" si="324"/>
        <v>216</v>
      </c>
      <c r="O1216">
        <f t="shared" si="325"/>
        <v>0.71427777777777768</v>
      </c>
      <c r="P1216">
        <f t="shared" si="326"/>
        <v>714.27777777777771</v>
      </c>
      <c r="V1216">
        <f t="shared" si="327"/>
        <v>1174.7885468028076</v>
      </c>
      <c r="W1216">
        <f t="shared" si="328"/>
        <v>91.931437613962515</v>
      </c>
      <c r="AE1216">
        <f t="shared" si="329"/>
        <v>0.73250729152652216</v>
      </c>
      <c r="AF1216">
        <f t="shared" si="330"/>
        <v>0.70993295451901828</v>
      </c>
      <c r="AG1216">
        <f t="shared" si="331"/>
        <v>0.71175773998668845</v>
      </c>
      <c r="AI1216">
        <f t="shared" si="332"/>
        <v>0.53128026323895772</v>
      </c>
      <c r="AJ1216">
        <f t="shared" si="333"/>
        <v>37.539895593594451</v>
      </c>
      <c r="AL1216">
        <f t="shared" si="334"/>
        <v>0.54817382992219066</v>
      </c>
      <c r="AM1216">
        <f t="shared" si="335"/>
        <v>39.965227741890068</v>
      </c>
      <c r="AO1216">
        <f t="shared" si="336"/>
        <v>0.54676843651035678</v>
      </c>
      <c r="AP1216">
        <f t="shared" si="337"/>
        <v>39.760566865533512</v>
      </c>
    </row>
    <row r="1217" spans="1:42" x14ac:dyDescent="0.2">
      <c r="A1217" s="3">
        <v>1200</v>
      </c>
      <c r="B1217" s="3">
        <v>9.3500000000000005E-7</v>
      </c>
      <c r="C1217" s="2">
        <v>6.3339999999999994E-2</v>
      </c>
      <c r="D1217" s="3">
        <v>233000</v>
      </c>
      <c r="E1217" s="3">
        <v>80300000000</v>
      </c>
      <c r="F1217" s="3">
        <v>74800000000</v>
      </c>
      <c r="G1217" s="2">
        <v>0</v>
      </c>
      <c r="H1217" s="3">
        <v>9480000000</v>
      </c>
      <c r="I1217" s="2"/>
      <c r="J1217" s="7">
        <f t="shared" si="321"/>
        <v>0.93500000000000005</v>
      </c>
      <c r="K1217" s="7">
        <f t="shared" si="322"/>
        <v>63.339999999999996</v>
      </c>
      <c r="L1217" s="7">
        <f t="shared" si="323"/>
        <v>80.300000000000011</v>
      </c>
      <c r="M1217" s="7">
        <f t="shared" si="324"/>
        <v>233</v>
      </c>
      <c r="O1217">
        <f t="shared" si="325"/>
        <v>0.73111587982832626</v>
      </c>
      <c r="P1217">
        <f t="shared" si="326"/>
        <v>731.11587982832623</v>
      </c>
      <c r="V1217">
        <f t="shared" si="327"/>
        <v>1186.9779678099869</v>
      </c>
      <c r="W1217">
        <f t="shared" si="328"/>
        <v>98.148409793103653</v>
      </c>
      <c r="AE1217">
        <f t="shared" si="329"/>
        <v>0.79015832835962807</v>
      </c>
      <c r="AF1217">
        <f t="shared" si="330"/>
        <v>0.76580730742097802</v>
      </c>
      <c r="AG1217">
        <f t="shared" si="331"/>
        <v>0.76777571026341851</v>
      </c>
      <c r="AI1217">
        <f t="shared" si="332"/>
        <v>0.49304464605481024</v>
      </c>
      <c r="AJ1217">
        <f t="shared" si="333"/>
        <v>32.292398947699283</v>
      </c>
      <c r="AL1217">
        <f t="shared" si="334"/>
        <v>0.50872240256539158</v>
      </c>
      <c r="AM1217">
        <f t="shared" si="335"/>
        <v>34.378707182579042</v>
      </c>
      <c r="AO1217">
        <f t="shared" si="336"/>
        <v>0.50741815366843279</v>
      </c>
      <c r="AP1217">
        <f t="shared" si="337"/>
        <v>34.202654730546669</v>
      </c>
    </row>
    <row r="1218" spans="1:42" x14ac:dyDescent="0.2">
      <c r="A1218" s="3">
        <v>1200</v>
      </c>
      <c r="B1218" s="3">
        <v>9.3600000000000002E-7</v>
      </c>
      <c r="C1218" s="2">
        <v>6.3390000000000002E-2</v>
      </c>
      <c r="D1218" s="3">
        <v>222000</v>
      </c>
      <c r="E1218" s="3">
        <v>77000000000</v>
      </c>
      <c r="F1218" s="3">
        <v>71800000000</v>
      </c>
      <c r="G1218" s="3">
        <v>7190000000</v>
      </c>
      <c r="H1218" s="3">
        <v>9600000000</v>
      </c>
      <c r="I1218" s="2"/>
      <c r="J1218" s="7">
        <f t="shared" si="321"/>
        <v>0.93600000000000005</v>
      </c>
      <c r="K1218" s="7">
        <f t="shared" si="322"/>
        <v>63.39</v>
      </c>
      <c r="L1218" s="7">
        <f t="shared" si="323"/>
        <v>77</v>
      </c>
      <c r="M1218" s="7">
        <f t="shared" si="324"/>
        <v>222</v>
      </c>
      <c r="O1218">
        <f t="shared" si="325"/>
        <v>0.7218445945945946</v>
      </c>
      <c r="P1218">
        <f t="shared" si="326"/>
        <v>721.84459459459458</v>
      </c>
      <c r="V1218">
        <f t="shared" si="327"/>
        <v>1180.2858915631589</v>
      </c>
      <c r="W1218">
        <f t="shared" si="328"/>
        <v>94.045011292130852</v>
      </c>
      <c r="AE1218">
        <f t="shared" si="329"/>
        <v>0.75285471629114775</v>
      </c>
      <c r="AF1218">
        <f t="shared" si="330"/>
        <v>0.72965331436676872</v>
      </c>
      <c r="AG1218">
        <f t="shared" si="331"/>
        <v>0.73152878831965207</v>
      </c>
      <c r="AI1218">
        <f t="shared" si="332"/>
        <v>0.51802823514381402</v>
      </c>
      <c r="AJ1218">
        <f t="shared" si="333"/>
        <v>35.599909595793093</v>
      </c>
      <c r="AL1218">
        <f t="shared" si="334"/>
        <v>0.53450041591116793</v>
      </c>
      <c r="AM1218">
        <f t="shared" si="335"/>
        <v>37.899905476277837</v>
      </c>
      <c r="AO1218">
        <f t="shared" si="336"/>
        <v>0.53313007803266921</v>
      </c>
      <c r="AP1218">
        <f t="shared" si="337"/>
        <v>37.705821060727857</v>
      </c>
    </row>
    <row r="1219" spans="1:42" x14ac:dyDescent="0.2">
      <c r="A1219" s="3">
        <v>1200</v>
      </c>
      <c r="B1219" s="3">
        <v>9.3699999999999999E-7</v>
      </c>
      <c r="C1219" s="2">
        <v>6.3439999999999996E-2</v>
      </c>
      <c r="D1219" s="3">
        <v>221000</v>
      </c>
      <c r="E1219" s="3">
        <v>76600000000</v>
      </c>
      <c r="F1219" s="3">
        <v>71500000000</v>
      </c>
      <c r="G1219" s="3">
        <v>4040000000</v>
      </c>
      <c r="H1219" s="3">
        <v>9600000000</v>
      </c>
      <c r="I1219" s="2"/>
      <c r="J1219" s="7">
        <f t="shared" si="321"/>
        <v>0.93699999999999994</v>
      </c>
      <c r="K1219" s="7">
        <f t="shared" si="322"/>
        <v>63.44</v>
      </c>
      <c r="L1219" s="7">
        <f t="shared" si="323"/>
        <v>76.600000000000009</v>
      </c>
      <c r="M1219" s="7">
        <f t="shared" si="324"/>
        <v>221</v>
      </c>
      <c r="O1219">
        <f t="shared" si="325"/>
        <v>0.7217058823529412</v>
      </c>
      <c r="P1219">
        <f t="shared" si="326"/>
        <v>721.70588235294122</v>
      </c>
      <c r="V1219">
        <f t="shared" si="327"/>
        <v>1180.1854057217574</v>
      </c>
      <c r="W1219">
        <f t="shared" si="328"/>
        <v>93.629356425079948</v>
      </c>
      <c r="AE1219">
        <f t="shared" si="329"/>
        <v>0.74946347883037678</v>
      </c>
      <c r="AF1219">
        <f t="shared" si="330"/>
        <v>0.72636658772547702</v>
      </c>
      <c r="AG1219">
        <f t="shared" si="331"/>
        <v>0.72823361359749139</v>
      </c>
      <c r="AI1219">
        <f t="shared" si="332"/>
        <v>0.5209282075705095</v>
      </c>
      <c r="AJ1219">
        <f t="shared" si="333"/>
        <v>35.951144378012053</v>
      </c>
      <c r="AL1219">
        <f t="shared" si="334"/>
        <v>0.53749260120734066</v>
      </c>
      <c r="AM1219">
        <f t="shared" si="335"/>
        <v>38.273832410284783</v>
      </c>
      <c r="AO1219">
        <f t="shared" si="336"/>
        <v>0.53611459204416423</v>
      </c>
      <c r="AP1219">
        <f t="shared" si="337"/>
        <v>38.077833124775836</v>
      </c>
    </row>
    <row r="1220" spans="1:42" x14ac:dyDescent="0.2">
      <c r="A1220" s="3">
        <v>1200</v>
      </c>
      <c r="B1220" s="3">
        <v>9.3799999999999996E-7</v>
      </c>
      <c r="C1220" s="2">
        <v>6.3490000000000005E-2</v>
      </c>
      <c r="D1220" s="3">
        <v>219000</v>
      </c>
      <c r="E1220" s="3">
        <v>76000000000</v>
      </c>
      <c r="F1220" s="3">
        <v>71000000000</v>
      </c>
      <c r="G1220" s="3">
        <v>4270000000</v>
      </c>
      <c r="H1220" s="3">
        <v>9630000000</v>
      </c>
      <c r="I1220" s="2"/>
      <c r="J1220" s="7">
        <f t="shared" si="321"/>
        <v>0.93799999999999994</v>
      </c>
      <c r="K1220" s="7">
        <f t="shared" si="322"/>
        <v>63.49</v>
      </c>
      <c r="L1220" s="7">
        <f t="shared" si="323"/>
        <v>76</v>
      </c>
      <c r="M1220" s="7">
        <f t="shared" si="324"/>
        <v>219</v>
      </c>
      <c r="O1220">
        <f t="shared" si="325"/>
        <v>0.72056849315068483</v>
      </c>
      <c r="P1220">
        <f t="shared" si="326"/>
        <v>720.56849315068484</v>
      </c>
      <c r="V1220">
        <f t="shared" si="327"/>
        <v>1179.3610528572901</v>
      </c>
      <c r="W1220">
        <f t="shared" si="328"/>
        <v>92.846884959198462</v>
      </c>
      <c r="AE1220">
        <f t="shared" si="329"/>
        <v>0.74268100390883496</v>
      </c>
      <c r="AF1220">
        <f t="shared" si="330"/>
        <v>0.7197931344428935</v>
      </c>
      <c r="AG1220">
        <f t="shared" si="331"/>
        <v>0.72164326415317026</v>
      </c>
      <c r="AI1220">
        <f t="shared" si="332"/>
        <v>0.52624657326136293</v>
      </c>
      <c r="AJ1220">
        <f t="shared" si="333"/>
        <v>36.639639303056789</v>
      </c>
      <c r="AL1220">
        <f t="shared" si="334"/>
        <v>0.54298007945828919</v>
      </c>
      <c r="AM1220">
        <f t="shared" si="335"/>
        <v>39.00680878231401</v>
      </c>
      <c r="AO1220">
        <f t="shared" si="336"/>
        <v>0.5415880016450596</v>
      </c>
      <c r="AP1220">
        <f t="shared" si="337"/>
        <v>38.807055944151301</v>
      </c>
    </row>
    <row r="1221" spans="1:42" x14ac:dyDescent="0.2">
      <c r="A1221" s="3">
        <v>1200</v>
      </c>
      <c r="B1221" s="3">
        <v>9.3900000000000003E-7</v>
      </c>
      <c r="C1221" s="2">
        <v>6.3539999999999999E-2</v>
      </c>
      <c r="D1221" s="3">
        <v>229000</v>
      </c>
      <c r="E1221" s="3">
        <v>79100000000</v>
      </c>
      <c r="F1221" s="3">
        <v>73700000000</v>
      </c>
      <c r="G1221" s="3">
        <v>3120000000</v>
      </c>
      <c r="H1221" s="3">
        <v>9500000000</v>
      </c>
      <c r="I1221" s="2"/>
      <c r="J1221" s="7">
        <f t="shared" ref="J1221:J1284" si="338">B1221*(10^6)</f>
        <v>0.93900000000000006</v>
      </c>
      <c r="K1221" s="7">
        <f t="shared" ref="K1221:K1284" si="339">C1221*1000</f>
        <v>63.54</v>
      </c>
      <c r="L1221" s="7">
        <f t="shared" ref="L1221:L1284" si="340">E1221*(10^-9)</f>
        <v>79.100000000000009</v>
      </c>
      <c r="M1221" s="7">
        <f t="shared" ref="M1221:M1284" si="341">D1221*(10^-3)</f>
        <v>229</v>
      </c>
      <c r="O1221">
        <f t="shared" ref="O1221:O1284" si="342">J1221-(0.75*(K1221/M1221))</f>
        <v>0.73089956331877737</v>
      </c>
      <c r="P1221">
        <f t="shared" ref="P1221:P1284" si="343">O1221*1000</f>
        <v>730.89956331877738</v>
      </c>
      <c r="V1221">
        <f t="shared" ref="V1221:V1284" si="344">$S$3*(P1221^$S$4)</f>
        <v>1186.8223693733846</v>
      </c>
      <c r="W1221">
        <f t="shared" ref="W1221:W1284" si="345">M1221/(2*(V1221/1000))</f>
        <v>96.476105401057964</v>
      </c>
      <c r="AE1221">
        <f t="shared" si="329"/>
        <v>0.77659337851654431</v>
      </c>
      <c r="AF1221">
        <f t="shared" si="330"/>
        <v>0.75266040085581098</v>
      </c>
      <c r="AG1221">
        <f t="shared" si="331"/>
        <v>0.75459501137477614</v>
      </c>
      <c r="AI1221">
        <f t="shared" si="332"/>
        <v>0.50380290487071799</v>
      </c>
      <c r="AJ1221">
        <f t="shared" si="333"/>
        <v>33.53592873250561</v>
      </c>
      <c r="AL1221">
        <f t="shared" si="334"/>
        <v>0.51982275081182694</v>
      </c>
      <c r="AM1221">
        <f t="shared" si="335"/>
        <v>35.702577434953653</v>
      </c>
      <c r="AO1221">
        <f t="shared" si="336"/>
        <v>0.51849004313875902</v>
      </c>
      <c r="AP1221">
        <f t="shared" si="337"/>
        <v>35.519745478303335</v>
      </c>
    </row>
    <row r="1222" spans="1:42" x14ac:dyDescent="0.2">
      <c r="A1222" s="3">
        <v>1200</v>
      </c>
      <c r="B1222" s="3">
        <v>9.4099999999999997E-7</v>
      </c>
      <c r="C1222" s="2">
        <v>6.3600000000000004E-2</v>
      </c>
      <c r="D1222" s="3">
        <v>228000</v>
      </c>
      <c r="E1222" s="3">
        <v>78500000000</v>
      </c>
      <c r="F1222" s="3">
        <v>73200000000</v>
      </c>
      <c r="G1222" s="3">
        <v>11900000000</v>
      </c>
      <c r="H1222" s="3">
        <v>9510000000</v>
      </c>
      <c r="I1222" s="2"/>
      <c r="J1222" s="7">
        <f t="shared" si="338"/>
        <v>0.94099999999999995</v>
      </c>
      <c r="K1222" s="7">
        <f t="shared" si="339"/>
        <v>63.6</v>
      </c>
      <c r="L1222" s="7">
        <f t="shared" si="340"/>
        <v>78.5</v>
      </c>
      <c r="M1222" s="7">
        <f t="shared" si="341"/>
        <v>228</v>
      </c>
      <c r="O1222">
        <f t="shared" si="342"/>
        <v>0.73178947368421055</v>
      </c>
      <c r="P1222">
        <f t="shared" si="343"/>
        <v>731.78947368421052</v>
      </c>
      <c r="V1222">
        <f t="shared" si="344"/>
        <v>1187.4623258341039</v>
      </c>
      <c r="W1222">
        <f t="shared" si="345"/>
        <v>96.00304575551354</v>
      </c>
      <c r="AE1222">
        <f t="shared" si="329"/>
        <v>0.77320214105577334</v>
      </c>
      <c r="AF1222">
        <f t="shared" si="330"/>
        <v>0.74937367421451928</v>
      </c>
      <c r="AG1222">
        <f t="shared" si="331"/>
        <v>0.75129983665261557</v>
      </c>
      <c r="AI1222">
        <f t="shared" si="332"/>
        <v>0.5070903357794132</v>
      </c>
      <c r="AJ1222">
        <f t="shared" si="333"/>
        <v>33.862694604459655</v>
      </c>
      <c r="AL1222">
        <f t="shared" si="334"/>
        <v>0.52321471493418603</v>
      </c>
      <c r="AM1222">
        <f t="shared" si="335"/>
        <v>36.050454600950594</v>
      </c>
      <c r="AO1222">
        <f t="shared" si="336"/>
        <v>0.52187331103417234</v>
      </c>
      <c r="AP1222">
        <f t="shared" si="337"/>
        <v>35.865841174515651</v>
      </c>
    </row>
    <row r="1223" spans="1:42" x14ac:dyDescent="0.2">
      <c r="A1223" s="3">
        <v>1200</v>
      </c>
      <c r="B1223" s="3">
        <v>9.4200000000000004E-7</v>
      </c>
      <c r="C1223" s="2">
        <v>6.3649999999999998E-2</v>
      </c>
      <c r="D1223" s="3">
        <v>235000</v>
      </c>
      <c r="E1223" s="3">
        <v>80700000000</v>
      </c>
      <c r="F1223" s="3">
        <v>75100000000</v>
      </c>
      <c r="G1223" s="3">
        <v>3150000000</v>
      </c>
      <c r="H1223" s="3">
        <v>9430000000</v>
      </c>
      <c r="I1223" s="2"/>
      <c r="J1223" s="7">
        <f t="shared" si="338"/>
        <v>0.94200000000000006</v>
      </c>
      <c r="K1223" s="7">
        <f t="shared" si="339"/>
        <v>63.65</v>
      </c>
      <c r="L1223" s="7">
        <f t="shared" si="340"/>
        <v>80.7</v>
      </c>
      <c r="M1223" s="7">
        <f t="shared" si="341"/>
        <v>235</v>
      </c>
      <c r="O1223">
        <f t="shared" si="342"/>
        <v>0.73886170212765956</v>
      </c>
      <c r="P1223">
        <f t="shared" si="343"/>
        <v>738.86170212765956</v>
      </c>
      <c r="V1223">
        <f t="shared" si="344"/>
        <v>1192.5328014378069</v>
      </c>
      <c r="W1223">
        <f t="shared" si="345"/>
        <v>98.529784554632954</v>
      </c>
      <c r="AE1223">
        <f t="shared" si="329"/>
        <v>0.7969408032811699</v>
      </c>
      <c r="AF1223">
        <f t="shared" si="330"/>
        <v>0.77238076070356154</v>
      </c>
      <c r="AG1223">
        <f t="shared" si="331"/>
        <v>0.77436605970773975</v>
      </c>
      <c r="AI1223">
        <f t="shared" si="332"/>
        <v>0.4925083499100516</v>
      </c>
      <c r="AJ1223">
        <f t="shared" si="333"/>
        <v>31.90044752133365</v>
      </c>
      <c r="AL1223">
        <f t="shared" si="334"/>
        <v>0.50816905335973395</v>
      </c>
      <c r="AM1223">
        <f t="shared" si="335"/>
        <v>33.961433032750719</v>
      </c>
      <c r="AO1223">
        <f t="shared" si="336"/>
        <v>0.50686622312467688</v>
      </c>
      <c r="AP1223">
        <f t="shared" si="337"/>
        <v>33.787517430625371</v>
      </c>
    </row>
    <row r="1224" spans="1:42" x14ac:dyDescent="0.2">
      <c r="A1224" s="3">
        <v>1200</v>
      </c>
      <c r="B1224" s="3">
        <v>9.4300000000000001E-7</v>
      </c>
      <c r="C1224" s="2">
        <v>6.3700000000000007E-2</v>
      </c>
      <c r="D1224" s="3">
        <v>226000</v>
      </c>
      <c r="E1224" s="3">
        <v>77800000000</v>
      </c>
      <c r="F1224" s="3">
        <v>72600000000</v>
      </c>
      <c r="G1224" s="3">
        <v>2170000000</v>
      </c>
      <c r="H1224" s="3">
        <v>9520000000</v>
      </c>
      <c r="I1224" s="2"/>
      <c r="J1224" s="7">
        <f t="shared" si="338"/>
        <v>0.94300000000000006</v>
      </c>
      <c r="K1224" s="7">
        <f t="shared" si="339"/>
        <v>63.70000000000001</v>
      </c>
      <c r="L1224" s="7">
        <f t="shared" si="340"/>
        <v>77.800000000000011</v>
      </c>
      <c r="M1224" s="7">
        <f t="shared" si="341"/>
        <v>226</v>
      </c>
      <c r="O1224">
        <f t="shared" si="342"/>
        <v>0.73160619469026555</v>
      </c>
      <c r="P1224">
        <f t="shared" si="343"/>
        <v>731.60619469026551</v>
      </c>
      <c r="V1224">
        <f t="shared" si="344"/>
        <v>1187.3305608539231</v>
      </c>
      <c r="W1224">
        <f t="shared" si="345"/>
        <v>95.171474335446135</v>
      </c>
      <c r="AE1224">
        <f t="shared" si="329"/>
        <v>0.76641966613423151</v>
      </c>
      <c r="AF1224">
        <f t="shared" si="330"/>
        <v>0.74280022093193576</v>
      </c>
      <c r="AG1224">
        <f t="shared" si="331"/>
        <v>0.74470948720829444</v>
      </c>
      <c r="AI1224">
        <f t="shared" si="332"/>
        <v>0.51266516769919479</v>
      </c>
      <c r="AJ1224">
        <f t="shared" si="333"/>
        <v>34.518876035967395</v>
      </c>
      <c r="AL1224">
        <f t="shared" si="334"/>
        <v>0.52896681448708194</v>
      </c>
      <c r="AM1224">
        <f t="shared" si="335"/>
        <v>36.749029808354237</v>
      </c>
      <c r="AO1224">
        <f t="shared" si="336"/>
        <v>0.52761066350799468</v>
      </c>
      <c r="AP1224">
        <f t="shared" si="337"/>
        <v>36.560838996721557</v>
      </c>
    </row>
    <row r="1225" spans="1:42" x14ac:dyDescent="0.2">
      <c r="A1225" s="3">
        <v>1200</v>
      </c>
      <c r="B1225" s="3">
        <v>9.4499999999999995E-7</v>
      </c>
      <c r="C1225" s="2">
        <v>6.3750000000000001E-2</v>
      </c>
      <c r="D1225" s="3">
        <v>237000</v>
      </c>
      <c r="E1225" s="3">
        <v>81200000000</v>
      </c>
      <c r="F1225" s="3">
        <v>75500000000</v>
      </c>
      <c r="G1225" s="3">
        <v>1460000000</v>
      </c>
      <c r="H1225" s="3">
        <v>9390000000</v>
      </c>
      <c r="I1225" s="2"/>
      <c r="J1225" s="7">
        <f t="shared" si="338"/>
        <v>0.94499999999999995</v>
      </c>
      <c r="K1225" s="7">
        <f t="shared" si="339"/>
        <v>63.75</v>
      </c>
      <c r="L1225" s="7">
        <f t="shared" si="340"/>
        <v>81.2</v>
      </c>
      <c r="M1225" s="7">
        <f t="shared" si="341"/>
        <v>237</v>
      </c>
      <c r="O1225">
        <f t="shared" si="342"/>
        <v>0.74325949367088606</v>
      </c>
      <c r="P1225">
        <f t="shared" si="343"/>
        <v>743.25949367088606</v>
      </c>
      <c r="V1225">
        <f t="shared" si="344"/>
        <v>1195.6722030929625</v>
      </c>
      <c r="W1225">
        <f t="shared" si="345"/>
        <v>99.107430693349258</v>
      </c>
      <c r="AE1225">
        <f t="shared" si="329"/>
        <v>0.80372327820271183</v>
      </c>
      <c r="AF1225">
        <f t="shared" si="330"/>
        <v>0.77895421398614506</v>
      </c>
      <c r="AG1225">
        <f t="shared" si="331"/>
        <v>0.78095640915206088</v>
      </c>
      <c r="AI1225">
        <f t="shared" si="332"/>
        <v>0.48990742296341699</v>
      </c>
      <c r="AJ1225">
        <f t="shared" si="333"/>
        <v>31.41359131301056</v>
      </c>
      <c r="AL1225">
        <f t="shared" si="334"/>
        <v>0.5054854225450065</v>
      </c>
      <c r="AM1225">
        <f t="shared" si="335"/>
        <v>33.443122607654459</v>
      </c>
      <c r="AO1225">
        <f t="shared" si="336"/>
        <v>0.50418947253089574</v>
      </c>
      <c r="AP1225">
        <f t="shared" si="337"/>
        <v>33.271861259534873</v>
      </c>
    </row>
    <row r="1226" spans="1:42" x14ac:dyDescent="0.2">
      <c r="A1226" s="3">
        <v>1200</v>
      </c>
      <c r="B1226" s="3">
        <v>9.4600000000000003E-7</v>
      </c>
      <c r="C1226" s="2">
        <v>6.3799999999999996E-2</v>
      </c>
      <c r="D1226" s="3">
        <v>222000</v>
      </c>
      <c r="E1226" s="3">
        <v>76500000000</v>
      </c>
      <c r="F1226" s="3">
        <v>71400000000</v>
      </c>
      <c r="G1226" s="3">
        <v>12000000000</v>
      </c>
      <c r="H1226" s="3">
        <v>9550000000</v>
      </c>
      <c r="I1226" s="2"/>
      <c r="J1226" s="7">
        <f t="shared" si="338"/>
        <v>0.94600000000000006</v>
      </c>
      <c r="K1226" s="7">
        <f t="shared" si="339"/>
        <v>63.8</v>
      </c>
      <c r="L1226" s="7">
        <f t="shared" si="340"/>
        <v>76.5</v>
      </c>
      <c r="M1226" s="7">
        <f t="shared" si="341"/>
        <v>222</v>
      </c>
      <c r="O1226">
        <f t="shared" si="342"/>
        <v>0.73045945945945956</v>
      </c>
      <c r="P1226">
        <f t="shared" si="343"/>
        <v>730.45945945945959</v>
      </c>
      <c r="V1226">
        <f t="shared" si="344"/>
        <v>1186.505719459582</v>
      </c>
      <c r="W1226">
        <f t="shared" si="345"/>
        <v>93.552014271416397</v>
      </c>
      <c r="AE1226">
        <f t="shared" si="329"/>
        <v>0.75285471629114775</v>
      </c>
      <c r="AF1226">
        <f t="shared" si="330"/>
        <v>0.72965331436676872</v>
      </c>
      <c r="AG1226">
        <f t="shared" si="331"/>
        <v>0.73152878831965207</v>
      </c>
      <c r="AI1226">
        <f t="shared" si="332"/>
        <v>0.52356272483552135</v>
      </c>
      <c r="AJ1226">
        <f t="shared" si="333"/>
        <v>35.830166149417877</v>
      </c>
      <c r="AL1226">
        <f t="shared" si="334"/>
        <v>0.54021089044013337</v>
      </c>
      <c r="AM1226">
        <f t="shared" si="335"/>
        <v>38.145038166690739</v>
      </c>
      <c r="AO1226">
        <f t="shared" si="336"/>
        <v>0.5388259121996849</v>
      </c>
      <c r="AP1226">
        <f t="shared" si="337"/>
        <v>37.949698433103599</v>
      </c>
    </row>
    <row r="1227" spans="1:42" x14ac:dyDescent="0.2">
      <c r="A1227" s="3">
        <v>1200</v>
      </c>
      <c r="B1227" s="3">
        <v>9.4799999999999997E-7</v>
      </c>
      <c r="C1227" s="2">
        <v>6.386E-2</v>
      </c>
      <c r="D1227" s="3">
        <v>243000</v>
      </c>
      <c r="E1227" s="3">
        <v>83000000000</v>
      </c>
      <c r="F1227" s="3">
        <v>77100000000</v>
      </c>
      <c r="G1227" s="3">
        <v>8360000000</v>
      </c>
      <c r="H1227" s="3">
        <v>9320000000</v>
      </c>
      <c r="I1227" s="2"/>
      <c r="J1227" s="7">
        <f t="shared" si="338"/>
        <v>0.94799999999999995</v>
      </c>
      <c r="K1227" s="7">
        <f t="shared" si="339"/>
        <v>63.86</v>
      </c>
      <c r="L1227" s="7">
        <f t="shared" si="340"/>
        <v>83</v>
      </c>
      <c r="M1227" s="7">
        <f t="shared" si="341"/>
        <v>243</v>
      </c>
      <c r="O1227">
        <f t="shared" si="342"/>
        <v>0.75090123456790114</v>
      </c>
      <c r="P1227">
        <f t="shared" si="343"/>
        <v>750.90123456790116</v>
      </c>
      <c r="V1227">
        <f t="shared" si="344"/>
        <v>1201.102813356975</v>
      </c>
      <c r="W1227">
        <f t="shared" si="345"/>
        <v>101.15703555836187</v>
      </c>
      <c r="AE1227">
        <f t="shared" si="329"/>
        <v>0.82407070296733742</v>
      </c>
      <c r="AF1227">
        <f t="shared" si="330"/>
        <v>0.79867457383389551</v>
      </c>
      <c r="AG1227">
        <f t="shared" si="331"/>
        <v>0.8007274574850245</v>
      </c>
      <c r="AI1227">
        <f t="shared" si="332"/>
        <v>0.4793278035218006</v>
      </c>
      <c r="AJ1227">
        <f t="shared" si="333"/>
        <v>29.933014719382452</v>
      </c>
      <c r="AL1227">
        <f t="shared" si="334"/>
        <v>0.49456939401973526</v>
      </c>
      <c r="AM1227">
        <f t="shared" si="335"/>
        <v>31.866890713078927</v>
      </c>
      <c r="AO1227">
        <f t="shared" si="336"/>
        <v>0.49330143022775941</v>
      </c>
      <c r="AP1227">
        <f t="shared" si="337"/>
        <v>31.703701206885732</v>
      </c>
    </row>
    <row r="1228" spans="1:42" x14ac:dyDescent="0.2">
      <c r="A1228" s="3">
        <v>1200</v>
      </c>
      <c r="B1228" s="3">
        <v>9.4900000000000004E-7</v>
      </c>
      <c r="C1228" s="2">
        <v>6.3909999999999995E-2</v>
      </c>
      <c r="D1228" s="3">
        <v>244000</v>
      </c>
      <c r="E1228" s="3">
        <v>83300000000</v>
      </c>
      <c r="F1228" s="3">
        <v>77300000000</v>
      </c>
      <c r="G1228" s="3">
        <v>6030000000</v>
      </c>
      <c r="H1228" s="3">
        <v>9300000000</v>
      </c>
      <c r="I1228" s="2"/>
      <c r="J1228" s="7">
        <f t="shared" si="338"/>
        <v>0.94900000000000007</v>
      </c>
      <c r="K1228" s="7">
        <f t="shared" si="339"/>
        <v>63.91</v>
      </c>
      <c r="L1228" s="7">
        <f t="shared" si="340"/>
        <v>83.300000000000011</v>
      </c>
      <c r="M1228" s="7">
        <f t="shared" si="341"/>
        <v>244</v>
      </c>
      <c r="O1228">
        <f t="shared" si="342"/>
        <v>0.7525553278688526</v>
      </c>
      <c r="P1228">
        <f t="shared" si="343"/>
        <v>752.5553278688526</v>
      </c>
      <c r="V1228">
        <f t="shared" si="344"/>
        <v>1202.2742383921861</v>
      </c>
      <c r="W1228">
        <f t="shared" si="345"/>
        <v>101.47435260956092</v>
      </c>
      <c r="AE1228">
        <f t="shared" si="329"/>
        <v>0.82746194042810839</v>
      </c>
      <c r="AF1228">
        <f t="shared" si="330"/>
        <v>0.80196130047518721</v>
      </c>
      <c r="AG1228">
        <f t="shared" si="331"/>
        <v>0.80402263220718506</v>
      </c>
      <c r="AI1228">
        <f t="shared" si="332"/>
        <v>0.47786689314325187</v>
      </c>
      <c r="AJ1228">
        <f t="shared" si="333"/>
        <v>29.711409638071661</v>
      </c>
      <c r="AL1228">
        <f t="shared" si="334"/>
        <v>0.49306202984155212</v>
      </c>
      <c r="AM1228">
        <f t="shared" si="335"/>
        <v>31.630968438834323</v>
      </c>
      <c r="AO1228">
        <f t="shared" si="336"/>
        <v>0.49179793058956273</v>
      </c>
      <c r="AP1228">
        <f t="shared" si="337"/>
        <v>31.468987084380203</v>
      </c>
    </row>
    <row r="1229" spans="1:42" x14ac:dyDescent="0.2">
      <c r="A1229" s="3">
        <v>1200</v>
      </c>
      <c r="B1229" s="3">
        <v>9.5000000000000001E-7</v>
      </c>
      <c r="C1229" s="2">
        <v>6.3960000000000003E-2</v>
      </c>
      <c r="D1229" s="3">
        <v>237000</v>
      </c>
      <c r="E1229" s="3">
        <v>81200000000</v>
      </c>
      <c r="F1229" s="3">
        <v>75500000000</v>
      </c>
      <c r="G1229" s="3">
        <v>7340000000</v>
      </c>
      <c r="H1229" s="3">
        <v>9360000000</v>
      </c>
      <c r="I1229" s="2"/>
      <c r="J1229" s="7">
        <f t="shared" si="338"/>
        <v>0.95</v>
      </c>
      <c r="K1229" s="7">
        <f t="shared" si="339"/>
        <v>63.96</v>
      </c>
      <c r="L1229" s="7">
        <f t="shared" si="340"/>
        <v>81.2</v>
      </c>
      <c r="M1229" s="7">
        <f t="shared" si="341"/>
        <v>237</v>
      </c>
      <c r="O1229">
        <f t="shared" si="342"/>
        <v>0.74759493670886068</v>
      </c>
      <c r="P1229">
        <f t="shared" si="343"/>
        <v>747.5949367088607</v>
      </c>
      <c r="V1229">
        <f t="shared" si="344"/>
        <v>1198.7569856679036</v>
      </c>
      <c r="W1229">
        <f t="shared" si="345"/>
        <v>98.852395787271362</v>
      </c>
      <c r="AE1229">
        <f t="shared" si="329"/>
        <v>0.80372327820271183</v>
      </c>
      <c r="AF1229">
        <f t="shared" si="330"/>
        <v>0.77895421398614506</v>
      </c>
      <c r="AG1229">
        <f t="shared" si="331"/>
        <v>0.78095640915206088</v>
      </c>
      <c r="AI1229">
        <f t="shared" si="332"/>
        <v>0.49249952573041922</v>
      </c>
      <c r="AJ1229">
        <f t="shared" si="333"/>
        <v>31.517071378512242</v>
      </c>
      <c r="AL1229">
        <f t="shared" si="334"/>
        <v>0.50815994859021818</v>
      </c>
      <c r="AM1229">
        <f t="shared" si="335"/>
        <v>33.553288188009084</v>
      </c>
      <c r="AO1229">
        <f t="shared" si="336"/>
        <v>0.50685714169772589</v>
      </c>
      <c r="AP1229">
        <f t="shared" si="337"/>
        <v>33.381462684860402</v>
      </c>
    </row>
    <row r="1230" spans="1:42" x14ac:dyDescent="0.2">
      <c r="A1230" s="3">
        <v>1200</v>
      </c>
      <c r="B1230" s="3">
        <v>9.540000000000001E-7</v>
      </c>
      <c r="C1230" s="2">
        <v>6.4009999999999997E-2</v>
      </c>
      <c r="D1230" s="3">
        <v>241000</v>
      </c>
      <c r="E1230" s="3">
        <v>82000000000</v>
      </c>
      <c r="F1230" s="3">
        <v>76200000000</v>
      </c>
      <c r="G1230" s="3">
        <v>7180000000</v>
      </c>
      <c r="H1230" s="3">
        <v>9300000000</v>
      </c>
      <c r="I1230" s="2"/>
      <c r="J1230" s="7">
        <f t="shared" si="338"/>
        <v>0.95400000000000007</v>
      </c>
      <c r="K1230" s="7">
        <f t="shared" si="339"/>
        <v>64.009999999999991</v>
      </c>
      <c r="L1230" s="7">
        <f t="shared" si="340"/>
        <v>82</v>
      </c>
      <c r="M1230" s="7">
        <f t="shared" si="341"/>
        <v>241</v>
      </c>
      <c r="O1230">
        <f t="shared" si="342"/>
        <v>0.75479875518672213</v>
      </c>
      <c r="P1230">
        <f t="shared" si="343"/>
        <v>754.79875518672213</v>
      </c>
      <c r="V1230">
        <f t="shared" si="344"/>
        <v>1203.8607392057152</v>
      </c>
      <c r="W1230">
        <f t="shared" si="345"/>
        <v>100.09463393540322</v>
      </c>
      <c r="AE1230">
        <f t="shared" si="329"/>
        <v>0.8172882280457956</v>
      </c>
      <c r="AF1230">
        <f t="shared" si="330"/>
        <v>0.79210112055131199</v>
      </c>
      <c r="AG1230">
        <f t="shared" si="331"/>
        <v>0.79413710804070337</v>
      </c>
      <c r="AI1230">
        <f t="shared" si="332"/>
        <v>0.48636452399474261</v>
      </c>
      <c r="AJ1230">
        <f t="shared" si="333"/>
        <v>30.503370815018233</v>
      </c>
      <c r="AL1230">
        <f t="shared" si="334"/>
        <v>0.50182986702926924</v>
      </c>
      <c r="AM1230">
        <f t="shared" si="335"/>
        <v>32.474095685165977</v>
      </c>
      <c r="AO1230">
        <f t="shared" si="336"/>
        <v>0.50054328903067236</v>
      </c>
      <c r="AP1230">
        <f t="shared" si="337"/>
        <v>32.307796698338308</v>
      </c>
    </row>
    <row r="1231" spans="1:42" x14ac:dyDescent="0.2">
      <c r="A1231" s="3">
        <v>1200</v>
      </c>
      <c r="B1231" s="3">
        <v>9.569999999999999E-7</v>
      </c>
      <c r="C1231" s="2">
        <v>6.4060000000000006E-2</v>
      </c>
      <c r="D1231" s="3">
        <v>248000</v>
      </c>
      <c r="E1231" s="3">
        <v>84200000000</v>
      </c>
      <c r="F1231" s="3">
        <v>78100000000</v>
      </c>
      <c r="G1231" s="2">
        <v>0</v>
      </c>
      <c r="H1231" s="3">
        <v>9210000000</v>
      </c>
      <c r="I1231" s="2"/>
      <c r="J1231" s="7">
        <f t="shared" si="338"/>
        <v>0.95699999999999985</v>
      </c>
      <c r="K1231" s="7">
        <f t="shared" si="339"/>
        <v>64.06</v>
      </c>
      <c r="L1231" s="7">
        <f t="shared" si="340"/>
        <v>84.2</v>
      </c>
      <c r="M1231" s="7">
        <f t="shared" si="341"/>
        <v>248</v>
      </c>
      <c r="O1231">
        <f t="shared" si="342"/>
        <v>0.76327016129032244</v>
      </c>
      <c r="P1231">
        <f t="shared" si="343"/>
        <v>763.27016129032245</v>
      </c>
      <c r="V1231">
        <f t="shared" si="344"/>
        <v>1209.8279616427649</v>
      </c>
      <c r="W1231">
        <f t="shared" si="345"/>
        <v>102.49391147450964</v>
      </c>
      <c r="AE1231">
        <f t="shared" si="329"/>
        <v>0.84102689027119215</v>
      </c>
      <c r="AF1231">
        <f t="shared" si="330"/>
        <v>0.81510820704035425</v>
      </c>
      <c r="AG1231">
        <f t="shared" si="331"/>
        <v>0.81720333109582743</v>
      </c>
      <c r="AI1231">
        <f t="shared" si="332"/>
        <v>0.4741227713556479</v>
      </c>
      <c r="AJ1231">
        <f t="shared" si="333"/>
        <v>28.828209195409961</v>
      </c>
      <c r="AL1231">
        <f t="shared" si="334"/>
        <v>0.48919885305517319</v>
      </c>
      <c r="AM1231">
        <f t="shared" si="335"/>
        <v>30.69070725071488</v>
      </c>
      <c r="AO1231">
        <f t="shared" si="336"/>
        <v>0.48794465811256155</v>
      </c>
      <c r="AP1231">
        <f t="shared" si="337"/>
        <v>30.533540948986285</v>
      </c>
    </row>
    <row r="1232" spans="1:42" x14ac:dyDescent="0.2">
      <c r="A1232" s="3">
        <v>1200</v>
      </c>
      <c r="B1232" s="3">
        <v>9.5900000000000005E-7</v>
      </c>
      <c r="C1232" s="2">
        <v>6.411E-2</v>
      </c>
      <c r="D1232" s="3">
        <v>275000</v>
      </c>
      <c r="E1232" s="3">
        <v>93000000000</v>
      </c>
      <c r="F1232" s="3">
        <v>85600000000</v>
      </c>
      <c r="G1232" s="3">
        <v>8700000000</v>
      </c>
      <c r="H1232" s="3">
        <v>8970000000</v>
      </c>
      <c r="I1232" s="2"/>
      <c r="J1232" s="7">
        <f t="shared" si="338"/>
        <v>0.95900000000000007</v>
      </c>
      <c r="K1232" s="7">
        <f t="shared" si="339"/>
        <v>64.11</v>
      </c>
      <c r="L1232" s="7">
        <f t="shared" si="340"/>
        <v>93</v>
      </c>
      <c r="M1232" s="7">
        <f t="shared" si="341"/>
        <v>275</v>
      </c>
      <c r="O1232">
        <f t="shared" si="342"/>
        <v>0.78415454545454555</v>
      </c>
      <c r="P1232">
        <f t="shared" si="343"/>
        <v>784.15454545454554</v>
      </c>
      <c r="V1232">
        <f t="shared" si="344"/>
        <v>1224.3830517130154</v>
      </c>
      <c r="W1232">
        <f t="shared" si="345"/>
        <v>112.30145648261455</v>
      </c>
      <c r="AE1232">
        <f t="shared" ref="AE1232:AE1295" si="346">M1232/(2*$Y$5)</f>
        <v>0.93259030171200741</v>
      </c>
      <c r="AF1232">
        <f t="shared" ref="AF1232:AF1295" si="347">M1232/(2*$Y$8)</f>
        <v>0.90384982635523159</v>
      </c>
      <c r="AG1232">
        <f t="shared" ref="AG1232:AG1295" si="348">M1232/(2*$Y$11)</f>
        <v>0.90617304859416348</v>
      </c>
      <c r="AI1232">
        <f t="shared" ref="AI1232:AI1295" si="349">J1232/(2.4*AE1232)</f>
        <v>0.42846610414004543</v>
      </c>
      <c r="AJ1232">
        <f t="shared" ref="AJ1232:AJ1295" si="350">K1232/(3.14159*(AE1232^2))</f>
        <v>23.463591092917873</v>
      </c>
      <c r="AL1232">
        <f t="shared" ref="AL1232:AL1295" si="351">J1232/(2.4*AF1232)</f>
        <v>0.44209040227916013</v>
      </c>
      <c r="AM1232">
        <f t="shared" ref="AM1232:AM1295" si="352">K1232/(3.14159*(AF1232^2))</f>
        <v>24.979498393465256</v>
      </c>
      <c r="AO1232">
        <f t="shared" ref="AO1232:AO1295" si="353">J1232/(2.4*AG1232)</f>
        <v>0.44095698272338468</v>
      </c>
      <c r="AP1232">
        <f t="shared" ref="AP1232:AP1295" si="354">K1232/(3.14159*(AG1232^2))</f>
        <v>24.85157904154336</v>
      </c>
    </row>
    <row r="1233" spans="1:42" x14ac:dyDescent="0.2">
      <c r="A1233" s="3">
        <v>1200</v>
      </c>
      <c r="B1233" s="3">
        <v>9.6200000000000006E-7</v>
      </c>
      <c r="C1233" s="2">
        <v>6.4159999999999995E-2</v>
      </c>
      <c r="D1233" s="3">
        <v>260000</v>
      </c>
      <c r="E1233" s="3">
        <v>87800000000</v>
      </c>
      <c r="F1233" s="3">
        <v>81200000000</v>
      </c>
      <c r="G1233" s="3">
        <v>10600000000</v>
      </c>
      <c r="H1233" s="3">
        <v>9060000000</v>
      </c>
      <c r="I1233" s="2"/>
      <c r="J1233" s="7">
        <f t="shared" si="338"/>
        <v>0.96200000000000008</v>
      </c>
      <c r="K1233" s="7">
        <f t="shared" si="339"/>
        <v>64.16</v>
      </c>
      <c r="L1233" s="7">
        <f t="shared" si="340"/>
        <v>87.800000000000011</v>
      </c>
      <c r="M1233" s="7">
        <f t="shared" si="341"/>
        <v>260</v>
      </c>
      <c r="O1233">
        <f t="shared" si="342"/>
        <v>0.77692307692307705</v>
      </c>
      <c r="P1233">
        <f t="shared" si="343"/>
        <v>776.92307692307702</v>
      </c>
      <c r="V1233">
        <f t="shared" si="344"/>
        <v>1219.3678919280173</v>
      </c>
      <c r="W1233">
        <f t="shared" si="345"/>
        <v>106.61261532354196</v>
      </c>
      <c r="AE1233">
        <f t="shared" si="346"/>
        <v>0.88172173980044333</v>
      </c>
      <c r="AF1233">
        <f t="shared" si="347"/>
        <v>0.85454892673585525</v>
      </c>
      <c r="AG1233">
        <f t="shared" si="348"/>
        <v>0.85674542776175466</v>
      </c>
      <c r="AI1233">
        <f t="shared" si="349"/>
        <v>0.45460298327684701</v>
      </c>
      <c r="AJ1233">
        <f t="shared" si="350"/>
        <v>26.269496663451694</v>
      </c>
      <c r="AL1233">
        <f t="shared" si="351"/>
        <v>0.46905837780922366</v>
      </c>
      <c r="AM1233">
        <f t="shared" si="352"/>
        <v>27.966684515734514</v>
      </c>
      <c r="AO1233">
        <f t="shared" si="353"/>
        <v>0.46785581847866936</v>
      </c>
      <c r="AP1233">
        <f t="shared" si="354"/>
        <v>27.823467862529295</v>
      </c>
    </row>
    <row r="1234" spans="1:42" x14ac:dyDescent="0.2">
      <c r="A1234" s="3">
        <v>1200</v>
      </c>
      <c r="B1234" s="3">
        <v>9.6500000000000008E-7</v>
      </c>
      <c r="C1234" s="2">
        <v>6.4219999999999999E-2</v>
      </c>
      <c r="D1234" s="3">
        <v>231000</v>
      </c>
      <c r="E1234" s="3">
        <v>78200000000</v>
      </c>
      <c r="F1234" s="3">
        <v>72900000000</v>
      </c>
      <c r="G1234" s="3">
        <v>2520000000</v>
      </c>
      <c r="H1234" s="3">
        <v>9300000000</v>
      </c>
      <c r="I1234" s="2"/>
      <c r="J1234" s="7">
        <f t="shared" si="338"/>
        <v>0.96500000000000008</v>
      </c>
      <c r="K1234" s="7">
        <f t="shared" si="339"/>
        <v>64.22</v>
      </c>
      <c r="L1234" s="7">
        <f t="shared" si="340"/>
        <v>78.2</v>
      </c>
      <c r="M1234" s="7">
        <f t="shared" si="341"/>
        <v>231</v>
      </c>
      <c r="O1234">
        <f t="shared" si="342"/>
        <v>0.75649350649350655</v>
      </c>
      <c r="P1234">
        <f t="shared" si="343"/>
        <v>756.49350649350652</v>
      </c>
      <c r="V1234">
        <f t="shared" si="344"/>
        <v>1205.0574881572829</v>
      </c>
      <c r="W1234">
        <f t="shared" si="345"/>
        <v>95.846049781921323</v>
      </c>
      <c r="AE1234">
        <f t="shared" si="346"/>
        <v>0.78337585343808624</v>
      </c>
      <c r="AF1234">
        <f t="shared" si="347"/>
        <v>0.7592338541383945</v>
      </c>
      <c r="AG1234">
        <f t="shared" si="348"/>
        <v>0.76118536081909738</v>
      </c>
      <c r="AI1234">
        <f t="shared" si="349"/>
        <v>0.51327001153873564</v>
      </c>
      <c r="AJ1234">
        <f t="shared" si="350"/>
        <v>33.310444933682618</v>
      </c>
      <c r="AL1234">
        <f t="shared" si="351"/>
        <v>0.52959089105639501</v>
      </c>
      <c r="AM1234">
        <f t="shared" si="352"/>
        <v>35.46252585170938</v>
      </c>
      <c r="AO1234">
        <f t="shared" si="353"/>
        <v>0.5282331400864817</v>
      </c>
      <c r="AP1234">
        <f t="shared" si="354"/>
        <v>35.280923192880522</v>
      </c>
    </row>
    <row r="1235" spans="1:42" x14ac:dyDescent="0.2">
      <c r="A1235" s="3">
        <v>1200</v>
      </c>
      <c r="B1235" s="3">
        <v>9.6800000000000009E-7</v>
      </c>
      <c r="C1235" s="2">
        <v>6.4269999999999994E-2</v>
      </c>
      <c r="D1235" s="3">
        <v>222000</v>
      </c>
      <c r="E1235" s="3">
        <v>75400000000</v>
      </c>
      <c r="F1235" s="3">
        <v>70500000000</v>
      </c>
      <c r="G1235" s="3">
        <v>2800000000</v>
      </c>
      <c r="H1235" s="3">
        <v>9380000000</v>
      </c>
      <c r="I1235" s="2"/>
      <c r="J1235" s="7">
        <f t="shared" si="338"/>
        <v>0.96800000000000008</v>
      </c>
      <c r="K1235" s="7">
        <f t="shared" si="339"/>
        <v>64.27</v>
      </c>
      <c r="L1235" s="7">
        <f t="shared" si="340"/>
        <v>75.400000000000006</v>
      </c>
      <c r="M1235" s="7">
        <f t="shared" si="341"/>
        <v>222</v>
      </c>
      <c r="O1235">
        <f t="shared" si="342"/>
        <v>0.75087162162162169</v>
      </c>
      <c r="P1235">
        <f t="shared" si="343"/>
        <v>750.87162162162167</v>
      </c>
      <c r="V1235">
        <f t="shared" si="344"/>
        <v>1201.0818284481229</v>
      </c>
      <c r="W1235">
        <f t="shared" si="345"/>
        <v>92.416684168321268</v>
      </c>
      <c r="AE1235">
        <f t="shared" si="346"/>
        <v>0.75285471629114775</v>
      </c>
      <c r="AF1235">
        <f t="shared" si="347"/>
        <v>0.72965331436676872</v>
      </c>
      <c r="AG1235">
        <f t="shared" si="348"/>
        <v>0.73152878831965207</v>
      </c>
      <c r="AI1235">
        <f t="shared" si="349"/>
        <v>0.53573860215727775</v>
      </c>
      <c r="AJ1235">
        <f t="shared" si="350"/>
        <v>36.094118784060925</v>
      </c>
      <c r="AL1235">
        <f t="shared" si="351"/>
        <v>0.55277393440385736</v>
      </c>
      <c r="AM1235">
        <f t="shared" si="352"/>
        <v>38.426043933749426</v>
      </c>
      <c r="AO1235">
        <f t="shared" si="353"/>
        <v>0.55135674736711937</v>
      </c>
      <c r="AP1235">
        <f t="shared" si="354"/>
        <v>38.229265177046528</v>
      </c>
    </row>
    <row r="1236" spans="1:42" x14ac:dyDescent="0.2">
      <c r="A1236" s="3">
        <v>1200</v>
      </c>
      <c r="B1236" s="3">
        <v>9.7000000000000003E-7</v>
      </c>
      <c r="C1236" s="2">
        <v>6.4320000000000002E-2</v>
      </c>
      <c r="D1236" s="3">
        <v>255000</v>
      </c>
      <c r="E1236" s="3">
        <v>85800000000</v>
      </c>
      <c r="F1236" s="3">
        <v>79500000000</v>
      </c>
      <c r="G1236" s="3">
        <v>8890000000</v>
      </c>
      <c r="H1236" s="3">
        <v>9050000000</v>
      </c>
      <c r="I1236" s="2"/>
      <c r="J1236" s="7">
        <f t="shared" si="338"/>
        <v>0.97000000000000008</v>
      </c>
      <c r="K1236" s="7">
        <f t="shared" si="339"/>
        <v>64.320000000000007</v>
      </c>
      <c r="L1236" s="7">
        <f t="shared" si="340"/>
        <v>85.800000000000011</v>
      </c>
      <c r="M1236" s="7">
        <f t="shared" si="341"/>
        <v>255</v>
      </c>
      <c r="O1236">
        <f t="shared" si="342"/>
        <v>0.78082352941176469</v>
      </c>
      <c r="P1236">
        <f t="shared" si="343"/>
        <v>780.82352941176464</v>
      </c>
      <c r="V1236">
        <f t="shared" si="344"/>
        <v>1222.0761435636989</v>
      </c>
      <c r="W1236">
        <f t="shared" si="345"/>
        <v>104.33065130311519</v>
      </c>
      <c r="AE1236">
        <f t="shared" si="346"/>
        <v>0.86476555249658871</v>
      </c>
      <c r="AF1236">
        <f t="shared" si="347"/>
        <v>0.83811529352939651</v>
      </c>
      <c r="AG1236">
        <f t="shared" si="348"/>
        <v>0.84026955415095161</v>
      </c>
      <c r="AI1236">
        <f t="shared" si="349"/>
        <v>0.46737137655383315</v>
      </c>
      <c r="AJ1236">
        <f t="shared" si="350"/>
        <v>27.377876942730929</v>
      </c>
      <c r="AL1236">
        <f t="shared" si="351"/>
        <v>0.48223277845781337</v>
      </c>
      <c r="AM1236">
        <f t="shared" si="352"/>
        <v>29.146673686870429</v>
      </c>
      <c r="AO1236">
        <f t="shared" si="353"/>
        <v>0.48099644295104321</v>
      </c>
      <c r="AP1236">
        <f t="shared" si="354"/>
        <v>28.997414340266452</v>
      </c>
    </row>
    <row r="1237" spans="1:42" x14ac:dyDescent="0.2">
      <c r="A1237" s="3">
        <v>1200</v>
      </c>
      <c r="B1237" s="3">
        <v>9.7199999999999997E-7</v>
      </c>
      <c r="C1237" s="2">
        <v>6.4380000000000007E-2</v>
      </c>
      <c r="D1237" s="3">
        <v>245000</v>
      </c>
      <c r="E1237" s="3">
        <v>82400000000</v>
      </c>
      <c r="F1237" s="3">
        <v>76500000000</v>
      </c>
      <c r="G1237" s="2">
        <v>0</v>
      </c>
      <c r="H1237" s="3">
        <v>9120000000</v>
      </c>
      <c r="I1237" s="2"/>
      <c r="J1237" s="7">
        <f t="shared" si="338"/>
        <v>0.97199999999999998</v>
      </c>
      <c r="K1237" s="7">
        <f t="shared" si="339"/>
        <v>64.38000000000001</v>
      </c>
      <c r="L1237" s="7">
        <f t="shared" si="340"/>
        <v>82.4</v>
      </c>
      <c r="M1237" s="7">
        <f t="shared" si="341"/>
        <v>245</v>
      </c>
      <c r="O1237">
        <f t="shared" si="342"/>
        <v>0.77491836734693864</v>
      </c>
      <c r="P1237">
        <f t="shared" si="343"/>
        <v>774.91836734693868</v>
      </c>
      <c r="V1237">
        <f t="shared" si="344"/>
        <v>1217.972989216199</v>
      </c>
      <c r="W1237">
        <f t="shared" si="345"/>
        <v>100.5769430723027</v>
      </c>
      <c r="AE1237">
        <f t="shared" si="346"/>
        <v>0.83085317788887925</v>
      </c>
      <c r="AF1237">
        <f t="shared" si="347"/>
        <v>0.80524802711647903</v>
      </c>
      <c r="AG1237">
        <f t="shared" si="348"/>
        <v>0.80731780692934574</v>
      </c>
      <c r="AI1237">
        <f t="shared" si="349"/>
        <v>0.48745074434097657</v>
      </c>
      <c r="AJ1237">
        <f t="shared" si="350"/>
        <v>29.686082896426203</v>
      </c>
      <c r="AL1237">
        <f t="shared" si="351"/>
        <v>0.50295062684011627</v>
      </c>
      <c r="AM1237">
        <f t="shared" si="352"/>
        <v>31.604005417711971</v>
      </c>
      <c r="AO1237">
        <f t="shared" si="353"/>
        <v>0.50166117546747546</v>
      </c>
      <c r="AP1237">
        <f t="shared" si="354"/>
        <v>31.442162140177309</v>
      </c>
    </row>
    <row r="1238" spans="1:42" x14ac:dyDescent="0.2">
      <c r="A1238" s="3">
        <v>1200</v>
      </c>
      <c r="B1238" s="3">
        <v>9.7399999999999991E-7</v>
      </c>
      <c r="C1238" s="2">
        <v>6.4430000000000001E-2</v>
      </c>
      <c r="D1238" s="3">
        <v>231000</v>
      </c>
      <c r="E1238" s="3">
        <v>78000000000</v>
      </c>
      <c r="F1238" s="3">
        <v>72700000000</v>
      </c>
      <c r="G1238" s="3">
        <v>5950000000</v>
      </c>
      <c r="H1238" s="3">
        <v>9240000000</v>
      </c>
      <c r="I1238" s="2"/>
      <c r="J1238" s="7">
        <f t="shared" si="338"/>
        <v>0.97399999999999987</v>
      </c>
      <c r="K1238" s="7">
        <f t="shared" si="339"/>
        <v>64.430000000000007</v>
      </c>
      <c r="L1238" s="7">
        <f t="shared" si="340"/>
        <v>78</v>
      </c>
      <c r="M1238" s="7">
        <f t="shared" si="341"/>
        <v>231</v>
      </c>
      <c r="O1238">
        <f t="shared" si="342"/>
        <v>0.76481168831168822</v>
      </c>
      <c r="P1238">
        <f t="shared" si="343"/>
        <v>764.81168831168827</v>
      </c>
      <c r="V1238">
        <f t="shared" si="344"/>
        <v>1210.909833258399</v>
      </c>
      <c r="W1238">
        <f t="shared" si="345"/>
        <v>95.382824408325021</v>
      </c>
      <c r="AE1238">
        <f t="shared" si="346"/>
        <v>0.78337585343808624</v>
      </c>
      <c r="AF1238">
        <f t="shared" si="347"/>
        <v>0.7592338541383945</v>
      </c>
      <c r="AG1238">
        <f t="shared" si="348"/>
        <v>0.76118536081909738</v>
      </c>
      <c r="AI1238">
        <f t="shared" si="349"/>
        <v>0.51805698573961489</v>
      </c>
      <c r="AJ1238">
        <f t="shared" si="350"/>
        <v>33.419370399831379</v>
      </c>
      <c r="AL1238">
        <f t="shared" si="351"/>
        <v>0.53453008071391572</v>
      </c>
      <c r="AM1238">
        <f t="shared" si="352"/>
        <v>35.578488642566732</v>
      </c>
      <c r="AO1238">
        <f t="shared" si="353"/>
        <v>0.53315966678158866</v>
      </c>
      <c r="AP1238">
        <f t="shared" si="354"/>
        <v>35.396292141346812</v>
      </c>
    </row>
    <row r="1239" spans="1:42" x14ac:dyDescent="0.2">
      <c r="A1239" s="3">
        <v>1200</v>
      </c>
      <c r="B1239" s="3">
        <v>9.7499999999999998E-7</v>
      </c>
      <c r="C1239" s="2">
        <v>6.4479999999999996E-2</v>
      </c>
      <c r="D1239" s="3">
        <v>231000</v>
      </c>
      <c r="E1239" s="3">
        <v>77900000000</v>
      </c>
      <c r="F1239" s="3">
        <v>72700000000</v>
      </c>
      <c r="G1239" s="3">
        <v>6770000000</v>
      </c>
      <c r="H1239" s="3">
        <v>9230000000</v>
      </c>
      <c r="I1239" s="2"/>
      <c r="J1239" s="7">
        <f t="shared" si="338"/>
        <v>0.97499999999999998</v>
      </c>
      <c r="K1239" s="7">
        <f t="shared" si="339"/>
        <v>64.47999999999999</v>
      </c>
      <c r="L1239" s="7">
        <f t="shared" si="340"/>
        <v>77.900000000000006</v>
      </c>
      <c r="M1239" s="7">
        <f t="shared" si="341"/>
        <v>231</v>
      </c>
      <c r="O1239">
        <f t="shared" si="342"/>
        <v>0.76564935064935069</v>
      </c>
      <c r="P1239">
        <f t="shared" si="343"/>
        <v>765.64935064935071</v>
      </c>
      <c r="V1239">
        <f t="shared" si="344"/>
        <v>1211.4972106137377</v>
      </c>
      <c r="W1239">
        <f t="shared" si="345"/>
        <v>95.336579389636697</v>
      </c>
      <c r="AE1239">
        <f t="shared" si="346"/>
        <v>0.78337585343808624</v>
      </c>
      <c r="AF1239">
        <f t="shared" si="347"/>
        <v>0.7592338541383945</v>
      </c>
      <c r="AG1239">
        <f t="shared" si="348"/>
        <v>0.76118536081909738</v>
      </c>
      <c r="AI1239">
        <f t="shared" si="349"/>
        <v>0.51858887176193491</v>
      </c>
      <c r="AJ1239">
        <f t="shared" si="350"/>
        <v>33.445305034628696</v>
      </c>
      <c r="AL1239">
        <f t="shared" si="351"/>
        <v>0.53507887956475142</v>
      </c>
      <c r="AM1239">
        <f t="shared" si="352"/>
        <v>35.606098830866088</v>
      </c>
      <c r="AO1239">
        <f t="shared" si="353"/>
        <v>0.53370705863660062</v>
      </c>
      <c r="AP1239">
        <f t="shared" si="354"/>
        <v>35.42376093860068</v>
      </c>
    </row>
    <row r="1240" spans="1:42" x14ac:dyDescent="0.2">
      <c r="A1240" s="3">
        <v>1200</v>
      </c>
      <c r="B1240" s="3">
        <v>9.78E-7</v>
      </c>
      <c r="C1240" s="2">
        <v>6.4530000000000004E-2</v>
      </c>
      <c r="D1240" s="3">
        <v>231000</v>
      </c>
      <c r="E1240" s="3">
        <v>77900000000</v>
      </c>
      <c r="F1240" s="3">
        <v>72600000000</v>
      </c>
      <c r="G1240" s="3">
        <v>8200000000</v>
      </c>
      <c r="H1240" s="3">
        <v>9210000000</v>
      </c>
      <c r="I1240" s="2"/>
      <c r="J1240" s="7">
        <f t="shared" si="338"/>
        <v>0.97799999999999998</v>
      </c>
      <c r="K1240" s="7">
        <f t="shared" si="339"/>
        <v>64.53</v>
      </c>
      <c r="L1240" s="7">
        <f t="shared" si="340"/>
        <v>77.900000000000006</v>
      </c>
      <c r="M1240" s="7">
        <f t="shared" si="341"/>
        <v>231</v>
      </c>
      <c r="O1240">
        <f t="shared" si="342"/>
        <v>0.76848701298701294</v>
      </c>
      <c r="P1240">
        <f t="shared" si="343"/>
        <v>768.48701298701292</v>
      </c>
      <c r="V1240">
        <f t="shared" si="344"/>
        <v>1213.4843527110766</v>
      </c>
      <c r="W1240">
        <f t="shared" si="345"/>
        <v>95.180460911554803</v>
      </c>
      <c r="AE1240">
        <f t="shared" si="346"/>
        <v>0.78337585343808624</v>
      </c>
      <c r="AF1240">
        <f t="shared" si="347"/>
        <v>0.7592338541383945</v>
      </c>
      <c r="AG1240">
        <f t="shared" si="348"/>
        <v>0.76118536081909738</v>
      </c>
      <c r="AI1240">
        <f t="shared" si="349"/>
        <v>0.52018452982889474</v>
      </c>
      <c r="AJ1240">
        <f t="shared" si="350"/>
        <v>33.471239669426026</v>
      </c>
      <c r="AL1240">
        <f t="shared" si="351"/>
        <v>0.53672527611725829</v>
      </c>
      <c r="AM1240">
        <f t="shared" si="352"/>
        <v>35.633709019165465</v>
      </c>
      <c r="AO1240">
        <f t="shared" si="353"/>
        <v>0.53534923420163627</v>
      </c>
      <c r="AP1240">
        <f t="shared" si="354"/>
        <v>35.451229735854561</v>
      </c>
    </row>
    <row r="1241" spans="1:42" x14ac:dyDescent="0.2">
      <c r="A1241" s="3">
        <v>1200</v>
      </c>
      <c r="B1241" s="3">
        <v>9.7999999999999993E-7</v>
      </c>
      <c r="C1241" s="2">
        <v>6.4579999999999999E-2</v>
      </c>
      <c r="D1241" s="3">
        <v>261000</v>
      </c>
      <c r="E1241" s="3">
        <v>87300000000</v>
      </c>
      <c r="F1241" s="3">
        <v>80800000000</v>
      </c>
      <c r="G1241" s="3">
        <v>8150000000</v>
      </c>
      <c r="H1241" s="3">
        <v>8930000000</v>
      </c>
      <c r="I1241" s="2"/>
      <c r="J1241" s="7">
        <f t="shared" si="338"/>
        <v>0.98</v>
      </c>
      <c r="K1241" s="7">
        <f t="shared" si="339"/>
        <v>64.58</v>
      </c>
      <c r="L1241" s="7">
        <f t="shared" si="340"/>
        <v>87.300000000000011</v>
      </c>
      <c r="M1241" s="7">
        <f t="shared" si="341"/>
        <v>261</v>
      </c>
      <c r="O1241">
        <f t="shared" si="342"/>
        <v>0.79442528735632179</v>
      </c>
      <c r="P1241">
        <f t="shared" si="343"/>
        <v>794.42528735632175</v>
      </c>
      <c r="V1241">
        <f t="shared" si="344"/>
        <v>1231.4619304642313</v>
      </c>
      <c r="W1241">
        <f t="shared" si="345"/>
        <v>105.97160721875069</v>
      </c>
      <c r="AE1241">
        <f t="shared" si="346"/>
        <v>0.8851129772612143</v>
      </c>
      <c r="AF1241">
        <f t="shared" si="347"/>
        <v>0.85783565337714707</v>
      </c>
      <c r="AG1241">
        <f t="shared" si="348"/>
        <v>0.86004060248391523</v>
      </c>
      <c r="AI1241">
        <f t="shared" si="349"/>
        <v>0.46133470395703635</v>
      </c>
      <c r="AJ1241">
        <f t="shared" si="350"/>
        <v>26.239231926243924</v>
      </c>
      <c r="AL1241">
        <f t="shared" si="351"/>
        <v>0.47600415269031704</v>
      </c>
      <c r="AM1241">
        <f t="shared" si="352"/>
        <v>27.934464471007924</v>
      </c>
      <c r="AO1241">
        <f t="shared" si="353"/>
        <v>0.47478378596779114</v>
      </c>
      <c r="AP1241">
        <f t="shared" si="354"/>
        <v>27.791412815801284</v>
      </c>
    </row>
    <row r="1242" spans="1:42" x14ac:dyDescent="0.2">
      <c r="A1242" s="3">
        <v>1200</v>
      </c>
      <c r="B1242" s="3">
        <v>9.8299999999999995E-7</v>
      </c>
      <c r="C1242" s="2">
        <v>6.4640000000000003E-2</v>
      </c>
      <c r="D1242" s="3">
        <v>254000</v>
      </c>
      <c r="E1242" s="3">
        <v>84800000000</v>
      </c>
      <c r="F1242" s="3">
        <v>78600000000</v>
      </c>
      <c r="G1242" s="3">
        <v>2910000000</v>
      </c>
      <c r="H1242" s="3">
        <v>8970000000</v>
      </c>
      <c r="I1242" s="2"/>
      <c r="J1242" s="7">
        <f t="shared" si="338"/>
        <v>0.98299999999999998</v>
      </c>
      <c r="K1242" s="7">
        <f t="shared" si="339"/>
        <v>64.64</v>
      </c>
      <c r="L1242" s="7">
        <f t="shared" si="340"/>
        <v>84.800000000000011</v>
      </c>
      <c r="M1242" s="7">
        <f t="shared" si="341"/>
        <v>254</v>
      </c>
      <c r="O1242">
        <f t="shared" si="342"/>
        <v>0.79213385826771643</v>
      </c>
      <c r="P1242">
        <f t="shared" si="343"/>
        <v>792.13385826771639</v>
      </c>
      <c r="V1242">
        <f t="shared" si="344"/>
        <v>1229.8870524319457</v>
      </c>
      <c r="W1242">
        <f t="shared" si="345"/>
        <v>103.26151474549928</v>
      </c>
      <c r="AE1242">
        <f t="shared" si="346"/>
        <v>0.86137431503581774</v>
      </c>
      <c r="AF1242">
        <f t="shared" si="347"/>
        <v>0.83482856688810481</v>
      </c>
      <c r="AG1242">
        <f t="shared" si="348"/>
        <v>0.83697437942879105</v>
      </c>
      <c r="AI1242">
        <f t="shared" si="349"/>
        <v>0.47549982183564643</v>
      </c>
      <c r="AJ1242">
        <f t="shared" si="350"/>
        <v>27.731158095736969</v>
      </c>
      <c r="AL1242">
        <f t="shared" si="351"/>
        <v>0.49061969077087331</v>
      </c>
      <c r="AM1242">
        <f t="shared" si="352"/>
        <v>29.522779201112009</v>
      </c>
      <c r="AO1242">
        <f t="shared" si="353"/>
        <v>0.48936185312250685</v>
      </c>
      <c r="AP1242">
        <f t="shared" si="354"/>
        <v>29.371593828097161</v>
      </c>
    </row>
    <row r="1243" spans="1:42" x14ac:dyDescent="0.2">
      <c r="A1243" s="3">
        <v>1200</v>
      </c>
      <c r="B1243" s="3">
        <v>9.8599999999999996E-7</v>
      </c>
      <c r="C1243" s="2">
        <v>6.4689999999999998E-2</v>
      </c>
      <c r="D1243" s="3">
        <v>260000</v>
      </c>
      <c r="E1243" s="3">
        <v>86500000000</v>
      </c>
      <c r="F1243" s="3">
        <v>80100000000</v>
      </c>
      <c r="G1243" s="2">
        <v>0</v>
      </c>
      <c r="H1243" s="3">
        <v>8900000000</v>
      </c>
      <c r="I1243" s="2"/>
      <c r="J1243" s="7">
        <f t="shared" si="338"/>
        <v>0.98599999999999999</v>
      </c>
      <c r="K1243" s="7">
        <f t="shared" si="339"/>
        <v>64.69</v>
      </c>
      <c r="L1243" s="7">
        <f t="shared" si="340"/>
        <v>86.5</v>
      </c>
      <c r="M1243" s="7">
        <f t="shared" si="341"/>
        <v>260</v>
      </c>
      <c r="O1243">
        <f t="shared" si="342"/>
        <v>0.79939423076923077</v>
      </c>
      <c r="P1243">
        <f t="shared" si="343"/>
        <v>799.39423076923072</v>
      </c>
      <c r="V1243">
        <f t="shared" si="344"/>
        <v>1234.8683694312824</v>
      </c>
      <c r="W1243">
        <f t="shared" si="345"/>
        <v>105.27437840186271</v>
      </c>
      <c r="AE1243">
        <f t="shared" si="346"/>
        <v>0.88172173980044333</v>
      </c>
      <c r="AF1243">
        <f t="shared" si="347"/>
        <v>0.85454892673585525</v>
      </c>
      <c r="AG1243">
        <f t="shared" si="348"/>
        <v>0.85674542776175466</v>
      </c>
      <c r="AI1243">
        <f t="shared" si="349"/>
        <v>0.46594442984508433</v>
      </c>
      <c r="AJ1243">
        <f t="shared" si="350"/>
        <v>26.486498428283824</v>
      </c>
      <c r="AL1243">
        <f t="shared" si="351"/>
        <v>0.48076045792088823</v>
      </c>
      <c r="AM1243">
        <f t="shared" si="352"/>
        <v>28.197706067999778</v>
      </c>
      <c r="AO1243">
        <f t="shared" si="353"/>
        <v>0.47952789711015376</v>
      </c>
      <c r="AP1243">
        <f t="shared" si="354"/>
        <v>28.053306359523383</v>
      </c>
    </row>
    <row r="1244" spans="1:42" x14ac:dyDescent="0.2">
      <c r="A1244" s="3">
        <v>1200</v>
      </c>
      <c r="B1244" s="3">
        <v>9.8899999999999998E-7</v>
      </c>
      <c r="C1244" s="2">
        <v>6.4740000000000006E-2</v>
      </c>
      <c r="D1244" s="3">
        <v>257000</v>
      </c>
      <c r="E1244" s="3">
        <v>85500000000</v>
      </c>
      <c r="F1244" s="3">
        <v>79200000000</v>
      </c>
      <c r="G1244" s="3">
        <v>18500000000</v>
      </c>
      <c r="H1244" s="3">
        <v>8900000000</v>
      </c>
      <c r="I1244" s="2"/>
      <c r="J1244" s="7">
        <f t="shared" si="338"/>
        <v>0.98899999999999999</v>
      </c>
      <c r="K1244" s="7">
        <f t="shared" si="339"/>
        <v>64.740000000000009</v>
      </c>
      <c r="L1244" s="7">
        <f t="shared" si="340"/>
        <v>85.5</v>
      </c>
      <c r="M1244" s="7">
        <f t="shared" si="341"/>
        <v>257</v>
      </c>
      <c r="O1244">
        <f t="shared" si="342"/>
        <v>0.80007003891050577</v>
      </c>
      <c r="P1244">
        <f t="shared" si="343"/>
        <v>800.07003891050579</v>
      </c>
      <c r="V1244">
        <f t="shared" si="344"/>
        <v>1235.3307549172957</v>
      </c>
      <c r="W1244">
        <f t="shared" si="345"/>
        <v>104.02072439992232</v>
      </c>
      <c r="AE1244">
        <f t="shared" si="346"/>
        <v>0.87154802741813053</v>
      </c>
      <c r="AF1244">
        <f t="shared" si="347"/>
        <v>0.84468874681198003</v>
      </c>
      <c r="AG1244">
        <f t="shared" si="348"/>
        <v>0.84685990359527286</v>
      </c>
      <c r="AI1244">
        <f t="shared" si="349"/>
        <v>0.47281769950657443</v>
      </c>
      <c r="AJ1244">
        <f t="shared" si="350"/>
        <v>27.12942197155758</v>
      </c>
      <c r="AL1244">
        <f t="shared" si="351"/>
        <v>0.48785228273564218</v>
      </c>
      <c r="AM1244">
        <f t="shared" si="352"/>
        <v>28.882166837569493</v>
      </c>
      <c r="AO1244">
        <f t="shared" si="353"/>
        <v>0.48660154009402029</v>
      </c>
      <c r="AP1244">
        <f t="shared" si="354"/>
        <v>28.734262023558948</v>
      </c>
    </row>
    <row r="1245" spans="1:42" x14ac:dyDescent="0.2">
      <c r="A1245" s="3">
        <v>1200</v>
      </c>
      <c r="B1245" s="3">
        <v>9.9099999999999991E-7</v>
      </c>
      <c r="C1245" s="2">
        <v>6.479E-2</v>
      </c>
      <c r="D1245" s="3">
        <v>242000</v>
      </c>
      <c r="E1245" s="3">
        <v>80500000000</v>
      </c>
      <c r="F1245" s="3">
        <v>74900000000</v>
      </c>
      <c r="G1245" s="3">
        <v>9920000000</v>
      </c>
      <c r="H1245" s="3">
        <v>9010000000</v>
      </c>
      <c r="I1245" s="2"/>
      <c r="J1245" s="7">
        <f t="shared" si="338"/>
        <v>0.99099999999999988</v>
      </c>
      <c r="K1245" s="7">
        <f t="shared" si="339"/>
        <v>64.790000000000006</v>
      </c>
      <c r="L1245" s="7">
        <f t="shared" si="340"/>
        <v>80.5</v>
      </c>
      <c r="M1245" s="7">
        <f t="shared" si="341"/>
        <v>242</v>
      </c>
      <c r="O1245">
        <f t="shared" si="342"/>
        <v>0.79020454545454533</v>
      </c>
      <c r="P1245">
        <f t="shared" si="343"/>
        <v>790.20454545454538</v>
      </c>
      <c r="V1245">
        <f t="shared" si="344"/>
        <v>1228.5590848191584</v>
      </c>
      <c r="W1245">
        <f t="shared" si="345"/>
        <v>98.489361639298735</v>
      </c>
      <c r="AE1245">
        <f t="shared" si="346"/>
        <v>0.82067946550656645</v>
      </c>
      <c r="AF1245">
        <f t="shared" si="347"/>
        <v>0.7953878471926038</v>
      </c>
      <c r="AG1245">
        <f t="shared" si="348"/>
        <v>0.79743228276286393</v>
      </c>
      <c r="AI1245">
        <f t="shared" si="349"/>
        <v>0.50314000047727869</v>
      </c>
      <c r="AJ1245">
        <f t="shared" si="350"/>
        <v>30.620433881682033</v>
      </c>
      <c r="AL1245">
        <f t="shared" si="351"/>
        <v>0.51913876748820698</v>
      </c>
      <c r="AM1245">
        <f t="shared" si="352"/>
        <v>32.5987218207853</v>
      </c>
      <c r="AO1245">
        <f t="shared" si="353"/>
        <v>0.5178078133933004</v>
      </c>
      <c r="AP1245">
        <f t="shared" si="354"/>
        <v>32.431784626806724</v>
      </c>
    </row>
    <row r="1246" spans="1:42" x14ac:dyDescent="0.2">
      <c r="A1246" s="3">
        <v>1200</v>
      </c>
      <c r="B1246" s="3">
        <v>9.9300000000000006E-7</v>
      </c>
      <c r="C1246" s="2">
        <v>6.4850000000000005E-2</v>
      </c>
      <c r="D1246" s="3">
        <v>249000</v>
      </c>
      <c r="E1246" s="3">
        <v>82800000000</v>
      </c>
      <c r="F1246" s="3">
        <v>76800000000</v>
      </c>
      <c r="G1246" s="3">
        <v>5820000000</v>
      </c>
      <c r="H1246" s="3">
        <v>8940000000</v>
      </c>
      <c r="I1246" s="2"/>
      <c r="J1246" s="7">
        <f t="shared" si="338"/>
        <v>0.9930000000000001</v>
      </c>
      <c r="K1246" s="7">
        <f t="shared" si="339"/>
        <v>64.850000000000009</v>
      </c>
      <c r="L1246" s="7">
        <f t="shared" si="340"/>
        <v>82.800000000000011</v>
      </c>
      <c r="M1246" s="7">
        <f t="shared" si="341"/>
        <v>249</v>
      </c>
      <c r="O1246">
        <f t="shared" si="342"/>
        <v>0.79766867469879532</v>
      </c>
      <c r="P1246">
        <f t="shared" si="343"/>
        <v>797.66867469879537</v>
      </c>
      <c r="V1246">
        <f t="shared" si="344"/>
        <v>1233.6867616213945</v>
      </c>
      <c r="W1246">
        <f t="shared" si="345"/>
        <v>100.91702681187378</v>
      </c>
      <c r="AE1246">
        <f t="shared" si="346"/>
        <v>0.84441812773196301</v>
      </c>
      <c r="AF1246">
        <f t="shared" si="347"/>
        <v>0.81839493368164606</v>
      </c>
      <c r="AG1246">
        <f t="shared" si="348"/>
        <v>0.82049850581798811</v>
      </c>
      <c r="AI1246">
        <f t="shared" si="349"/>
        <v>0.48998237533258343</v>
      </c>
      <c r="AJ1246">
        <f t="shared" si="350"/>
        <v>28.949787382521745</v>
      </c>
      <c r="AL1246">
        <f t="shared" si="351"/>
        <v>0.50556275823788022</v>
      </c>
      <c r="AM1246">
        <f t="shared" si="352"/>
        <v>30.820140214220437</v>
      </c>
      <c r="AO1246">
        <f t="shared" si="353"/>
        <v>0.50426660995258721</v>
      </c>
      <c r="AP1246">
        <f t="shared" si="354"/>
        <v>30.6623110897022</v>
      </c>
    </row>
    <row r="1247" spans="1:42" x14ac:dyDescent="0.2">
      <c r="A1247" s="3">
        <v>1200</v>
      </c>
      <c r="B1247" s="3">
        <v>9.95E-7</v>
      </c>
      <c r="C1247" s="2">
        <v>6.4899999999999999E-2</v>
      </c>
      <c r="D1247" s="3">
        <v>232000</v>
      </c>
      <c r="E1247" s="3">
        <v>77200000000</v>
      </c>
      <c r="F1247" s="3">
        <v>72000000000</v>
      </c>
      <c r="G1247" s="3">
        <v>4440000000</v>
      </c>
      <c r="H1247" s="3">
        <v>9080000000</v>
      </c>
      <c r="I1247" s="2"/>
      <c r="J1247" s="7">
        <f t="shared" si="338"/>
        <v>0.995</v>
      </c>
      <c r="K1247" s="7">
        <f t="shared" si="339"/>
        <v>64.900000000000006</v>
      </c>
      <c r="L1247" s="7">
        <f t="shared" si="340"/>
        <v>77.2</v>
      </c>
      <c r="M1247" s="7">
        <f t="shared" si="341"/>
        <v>232</v>
      </c>
      <c r="O1247">
        <f t="shared" si="342"/>
        <v>0.7851939655172413</v>
      </c>
      <c r="P1247">
        <f t="shared" si="343"/>
        <v>785.19396551724128</v>
      </c>
      <c r="V1247">
        <f t="shared" si="344"/>
        <v>1225.1017884362493</v>
      </c>
      <c r="W1247">
        <f t="shared" si="345"/>
        <v>94.686009844182252</v>
      </c>
      <c r="AE1247">
        <f t="shared" si="346"/>
        <v>0.7867670908988571</v>
      </c>
      <c r="AF1247">
        <f t="shared" si="347"/>
        <v>0.76252058077968621</v>
      </c>
      <c r="AG1247">
        <f t="shared" si="348"/>
        <v>0.76448053554125794</v>
      </c>
      <c r="AI1247">
        <f t="shared" si="349"/>
        <v>0.52694544310398739</v>
      </c>
      <c r="AJ1247">
        <f t="shared" si="350"/>
        <v>33.373581776738085</v>
      </c>
      <c r="AL1247">
        <f t="shared" si="351"/>
        <v>0.54370117185482003</v>
      </c>
      <c r="AM1247">
        <f t="shared" si="352"/>
        <v>35.529741763520441</v>
      </c>
      <c r="AO1247">
        <f t="shared" si="353"/>
        <v>0.54230724532417984</v>
      </c>
      <c r="AP1247">
        <f t="shared" si="354"/>
        <v>35.347794893781405</v>
      </c>
    </row>
    <row r="1248" spans="1:42" x14ac:dyDescent="0.2">
      <c r="A1248" s="3">
        <v>1200</v>
      </c>
      <c r="B1248" s="3">
        <v>9.9699999999999994E-7</v>
      </c>
      <c r="C1248" s="2">
        <v>6.4949999999999994E-2</v>
      </c>
      <c r="D1248" s="3">
        <v>253000</v>
      </c>
      <c r="E1248" s="3">
        <v>83700000000</v>
      </c>
      <c r="F1248" s="3">
        <v>77600000000</v>
      </c>
      <c r="G1248" s="3">
        <v>5820000000</v>
      </c>
      <c r="H1248" s="3">
        <v>8890000000</v>
      </c>
      <c r="I1248" s="2"/>
      <c r="J1248" s="7">
        <f t="shared" si="338"/>
        <v>0.99699999999999989</v>
      </c>
      <c r="K1248" s="7">
        <f t="shared" si="339"/>
        <v>64.949999999999989</v>
      </c>
      <c r="L1248" s="7">
        <f t="shared" si="340"/>
        <v>83.7</v>
      </c>
      <c r="M1248" s="7">
        <f t="shared" si="341"/>
        <v>253</v>
      </c>
      <c r="O1248">
        <f t="shared" si="342"/>
        <v>0.80446047430830037</v>
      </c>
      <c r="P1248">
        <f t="shared" si="343"/>
        <v>804.46047430830038</v>
      </c>
      <c r="V1248">
        <f t="shared" si="344"/>
        <v>1238.3293915815357</v>
      </c>
      <c r="W1248">
        <f t="shared" si="345"/>
        <v>102.15375719899549</v>
      </c>
      <c r="AE1248">
        <f t="shared" si="346"/>
        <v>0.85798307757504677</v>
      </c>
      <c r="AF1248">
        <f t="shared" si="347"/>
        <v>0.83154184024681299</v>
      </c>
      <c r="AG1248">
        <f t="shared" si="348"/>
        <v>0.83367920470663048</v>
      </c>
      <c r="AI1248">
        <f t="shared" si="349"/>
        <v>0.48417815866575836</v>
      </c>
      <c r="AJ1248">
        <f t="shared" si="350"/>
        <v>28.084856248317735</v>
      </c>
      <c r="AL1248">
        <f t="shared" si="351"/>
        <v>0.49957397999764547</v>
      </c>
      <c r="AM1248">
        <f t="shared" si="352"/>
        <v>29.899328655932234</v>
      </c>
      <c r="AO1248">
        <f t="shared" si="353"/>
        <v>0.49829318558191776</v>
      </c>
      <c r="AP1248">
        <f t="shared" si="354"/>
        <v>29.746214983098529</v>
      </c>
    </row>
    <row r="1249" spans="1:42" x14ac:dyDescent="0.2">
      <c r="A1249" s="3">
        <v>1200</v>
      </c>
      <c r="B1249" s="3">
        <v>9.9900000000000009E-7</v>
      </c>
      <c r="C1249" s="2">
        <v>6.5000000000000002E-2</v>
      </c>
      <c r="D1249" s="3">
        <v>255000</v>
      </c>
      <c r="E1249" s="3">
        <v>84500000000</v>
      </c>
      <c r="F1249" s="3">
        <v>78300000000</v>
      </c>
      <c r="G1249" s="2">
        <v>0</v>
      </c>
      <c r="H1249" s="3">
        <v>8860000000</v>
      </c>
      <c r="I1249" s="2"/>
      <c r="J1249" s="7">
        <f t="shared" si="338"/>
        <v>0.99900000000000011</v>
      </c>
      <c r="K1249" s="7">
        <f t="shared" si="339"/>
        <v>65</v>
      </c>
      <c r="L1249" s="7">
        <f t="shared" si="340"/>
        <v>84.5</v>
      </c>
      <c r="M1249" s="7">
        <f t="shared" si="341"/>
        <v>255</v>
      </c>
      <c r="O1249">
        <f t="shared" si="342"/>
        <v>0.80782352941176483</v>
      </c>
      <c r="P1249">
        <f t="shared" si="343"/>
        <v>807.82352941176487</v>
      </c>
      <c r="V1249">
        <f t="shared" si="344"/>
        <v>1240.6201746701327</v>
      </c>
      <c r="W1249">
        <f t="shared" si="345"/>
        <v>102.77118057821433</v>
      </c>
      <c r="AE1249">
        <f t="shared" si="346"/>
        <v>0.86476555249658871</v>
      </c>
      <c r="AF1249">
        <f t="shared" si="347"/>
        <v>0.83811529352939651</v>
      </c>
      <c r="AG1249">
        <f t="shared" si="348"/>
        <v>0.84026955415095161</v>
      </c>
      <c r="AI1249">
        <f t="shared" si="349"/>
        <v>0.48134433523430864</v>
      </c>
      <c r="AJ1249">
        <f t="shared" si="350"/>
        <v>27.667319671603082</v>
      </c>
      <c r="AL1249">
        <f t="shared" si="351"/>
        <v>0.49665004709211913</v>
      </c>
      <c r="AM1249">
        <f t="shared" si="352"/>
        <v>29.454816381321169</v>
      </c>
      <c r="AO1249">
        <f t="shared" si="353"/>
        <v>0.49537674897741463</v>
      </c>
      <c r="AP1249">
        <f t="shared" si="354"/>
        <v>29.303979044112552</v>
      </c>
    </row>
    <row r="1250" spans="1:42" x14ac:dyDescent="0.2">
      <c r="A1250" s="3">
        <v>1200</v>
      </c>
      <c r="B1250" s="3">
        <v>9.9999999999999995E-7</v>
      </c>
      <c r="C1250" s="2">
        <v>6.5049999999999997E-2</v>
      </c>
      <c r="D1250" s="3">
        <v>249000</v>
      </c>
      <c r="E1250" s="3">
        <v>82400000000</v>
      </c>
      <c r="F1250" s="3">
        <v>76500000000</v>
      </c>
      <c r="G1250" s="3">
        <v>2160000000</v>
      </c>
      <c r="H1250" s="3">
        <v>8900000000</v>
      </c>
      <c r="I1250" s="2"/>
      <c r="J1250" s="7">
        <f t="shared" si="338"/>
        <v>1</v>
      </c>
      <c r="K1250" s="7">
        <f t="shared" si="339"/>
        <v>65.05</v>
      </c>
      <c r="L1250" s="7">
        <f t="shared" si="340"/>
        <v>82.4</v>
      </c>
      <c r="M1250" s="7">
        <f t="shared" si="341"/>
        <v>249</v>
      </c>
      <c r="O1250">
        <f t="shared" si="342"/>
        <v>0.80406626506024104</v>
      </c>
      <c r="P1250">
        <f t="shared" si="343"/>
        <v>804.06626506024099</v>
      </c>
      <c r="V1250">
        <f t="shared" si="344"/>
        <v>1238.0605224836745</v>
      </c>
      <c r="W1250">
        <f t="shared" si="345"/>
        <v>100.56051197742775</v>
      </c>
      <c r="AE1250">
        <f t="shared" si="346"/>
        <v>0.84441812773196301</v>
      </c>
      <c r="AF1250">
        <f t="shared" si="347"/>
        <v>0.81839493368164606</v>
      </c>
      <c r="AG1250">
        <f t="shared" si="348"/>
        <v>0.82049850581798811</v>
      </c>
      <c r="AI1250">
        <f t="shared" si="349"/>
        <v>0.4934364303449984</v>
      </c>
      <c r="AJ1250">
        <f t="shared" si="350"/>
        <v>29.039069687479401</v>
      </c>
      <c r="AL1250">
        <f t="shared" si="351"/>
        <v>0.50912664475113811</v>
      </c>
      <c r="AM1250">
        <f t="shared" si="352"/>
        <v>30.915190762298213</v>
      </c>
      <c r="AO1250">
        <f t="shared" si="353"/>
        <v>0.5078213594688693</v>
      </c>
      <c r="AP1250">
        <f t="shared" si="354"/>
        <v>30.756874886432193</v>
      </c>
    </row>
    <row r="1251" spans="1:42" x14ac:dyDescent="0.2">
      <c r="A1251" s="3">
        <v>1200</v>
      </c>
      <c r="B1251" s="3">
        <v>9.9999999999999995E-7</v>
      </c>
      <c r="C1251" s="2">
        <v>6.5110000000000001E-2</v>
      </c>
      <c r="D1251" s="3">
        <v>249000</v>
      </c>
      <c r="E1251" s="3">
        <v>82300000000</v>
      </c>
      <c r="F1251" s="3">
        <v>76400000000</v>
      </c>
      <c r="G1251" s="3">
        <v>581000000</v>
      </c>
      <c r="H1251" s="3">
        <v>8890000000</v>
      </c>
      <c r="I1251" s="2"/>
      <c r="J1251" s="7">
        <f t="shared" si="338"/>
        <v>1</v>
      </c>
      <c r="K1251" s="7">
        <f t="shared" si="339"/>
        <v>65.11</v>
      </c>
      <c r="L1251" s="7">
        <f t="shared" si="340"/>
        <v>82.300000000000011</v>
      </c>
      <c r="M1251" s="7">
        <f t="shared" si="341"/>
        <v>249</v>
      </c>
      <c r="O1251">
        <f t="shared" si="342"/>
        <v>0.80388554216867469</v>
      </c>
      <c r="P1251">
        <f t="shared" si="343"/>
        <v>803.88554216867465</v>
      </c>
      <c r="V1251">
        <f t="shared" si="344"/>
        <v>1237.9372364956371</v>
      </c>
      <c r="W1251">
        <f t="shared" si="345"/>
        <v>100.57052678408448</v>
      </c>
      <c r="AE1251">
        <f t="shared" si="346"/>
        <v>0.84441812773196301</v>
      </c>
      <c r="AF1251">
        <f t="shared" si="347"/>
        <v>0.81839493368164606</v>
      </c>
      <c r="AG1251">
        <f t="shared" si="348"/>
        <v>0.82049850581798811</v>
      </c>
      <c r="AI1251">
        <f t="shared" si="349"/>
        <v>0.4934364303449984</v>
      </c>
      <c r="AJ1251">
        <f t="shared" si="350"/>
        <v>29.065854378966698</v>
      </c>
      <c r="AL1251">
        <f t="shared" si="351"/>
        <v>0.50912664475113811</v>
      </c>
      <c r="AM1251">
        <f t="shared" si="352"/>
        <v>30.943705926721549</v>
      </c>
      <c r="AO1251">
        <f t="shared" si="353"/>
        <v>0.5078213594688693</v>
      </c>
      <c r="AP1251">
        <f t="shared" si="354"/>
        <v>30.785244025451195</v>
      </c>
    </row>
    <row r="1252" spans="1:42" x14ac:dyDescent="0.2">
      <c r="A1252" s="3">
        <v>1300</v>
      </c>
      <c r="B1252" s="3">
        <v>9.9999999999999995E-7</v>
      </c>
      <c r="C1252" s="2">
        <v>6.5159999999999996E-2</v>
      </c>
      <c r="D1252" s="3">
        <v>238000</v>
      </c>
      <c r="E1252" s="3">
        <v>78900000000</v>
      </c>
      <c r="F1252" s="3">
        <v>73500000000</v>
      </c>
      <c r="G1252" s="3">
        <v>13200000000</v>
      </c>
      <c r="H1252" s="3">
        <v>8970000000</v>
      </c>
      <c r="I1252" s="2"/>
      <c r="J1252" s="7">
        <f t="shared" si="338"/>
        <v>1</v>
      </c>
      <c r="K1252" s="7">
        <f t="shared" si="339"/>
        <v>65.16</v>
      </c>
      <c r="L1252" s="7">
        <f t="shared" si="340"/>
        <v>78.900000000000006</v>
      </c>
      <c r="M1252" s="7">
        <f t="shared" si="341"/>
        <v>238</v>
      </c>
      <c r="O1252">
        <f t="shared" si="342"/>
        <v>0.79466386554621848</v>
      </c>
      <c r="P1252">
        <f t="shared" si="343"/>
        <v>794.66386554621852</v>
      </c>
      <c r="V1252">
        <f t="shared" si="344"/>
        <v>1231.6257575420475</v>
      </c>
      <c r="W1252">
        <f t="shared" si="345"/>
        <v>96.620259255935025</v>
      </c>
      <c r="AE1252">
        <f t="shared" si="346"/>
        <v>0.8071145156634828</v>
      </c>
      <c r="AF1252">
        <f t="shared" si="347"/>
        <v>0.78224094062743676</v>
      </c>
      <c r="AG1252">
        <f t="shared" si="348"/>
        <v>0.78425158387422156</v>
      </c>
      <c r="AI1252">
        <f t="shared" si="349"/>
        <v>0.51624231578111168</v>
      </c>
      <c r="AJ1252">
        <f t="shared" si="350"/>
        <v>31.839134513765515</v>
      </c>
      <c r="AL1252">
        <f t="shared" si="351"/>
        <v>0.53265770816400593</v>
      </c>
      <c r="AM1252">
        <f t="shared" si="352"/>
        <v>33.896158788583179</v>
      </c>
      <c r="AO1252">
        <f t="shared" si="353"/>
        <v>0.53129209457037163</v>
      </c>
      <c r="AP1252">
        <f t="shared" si="354"/>
        <v>33.722577454139248</v>
      </c>
    </row>
    <row r="1253" spans="1:42" x14ac:dyDescent="0.2">
      <c r="A1253" s="3">
        <v>1300</v>
      </c>
      <c r="B1253" s="3">
        <v>1.0100000000000001E-6</v>
      </c>
      <c r="C1253" s="2">
        <v>6.5210000000000004E-2</v>
      </c>
      <c r="D1253" s="3">
        <v>241000</v>
      </c>
      <c r="E1253" s="3">
        <v>79700000000</v>
      </c>
      <c r="F1253" s="3">
        <v>74200000000</v>
      </c>
      <c r="G1253" s="3">
        <v>8240000000</v>
      </c>
      <c r="H1253" s="3">
        <v>8940000000</v>
      </c>
      <c r="I1253" s="2"/>
      <c r="J1253" s="7">
        <f t="shared" si="338"/>
        <v>1.01</v>
      </c>
      <c r="K1253" s="7">
        <f t="shared" si="339"/>
        <v>65.210000000000008</v>
      </c>
      <c r="L1253" s="7">
        <f t="shared" si="340"/>
        <v>79.7</v>
      </c>
      <c r="M1253" s="7">
        <f t="shared" si="341"/>
        <v>241</v>
      </c>
      <c r="O1253">
        <f t="shared" si="342"/>
        <v>0.80706431535269707</v>
      </c>
      <c r="P1253">
        <f t="shared" si="343"/>
        <v>807.06431535269712</v>
      </c>
      <c r="V1253">
        <f t="shared" si="344"/>
        <v>1240.1034923220575</v>
      </c>
      <c r="W1253">
        <f t="shared" si="345"/>
        <v>97.169309453654776</v>
      </c>
      <c r="AE1253">
        <f t="shared" si="346"/>
        <v>0.8172882280457956</v>
      </c>
      <c r="AF1253">
        <f t="shared" si="347"/>
        <v>0.79210112055131199</v>
      </c>
      <c r="AG1253">
        <f t="shared" si="348"/>
        <v>0.79413710804070337</v>
      </c>
      <c r="AI1253">
        <f t="shared" si="349"/>
        <v>0.51491422351644656</v>
      </c>
      <c r="AJ1253">
        <f t="shared" si="350"/>
        <v>31.075219666416803</v>
      </c>
      <c r="AL1253">
        <f t="shared" si="351"/>
        <v>0.5312873854293102</v>
      </c>
      <c r="AM1253">
        <f t="shared" si="352"/>
        <v>33.082889855173782</v>
      </c>
      <c r="AO1253">
        <f t="shared" si="353"/>
        <v>0.52992528503247271</v>
      </c>
      <c r="AP1253">
        <f t="shared" si="354"/>
        <v>32.913473249471046</v>
      </c>
    </row>
    <row r="1254" spans="1:42" x14ac:dyDescent="0.2">
      <c r="A1254" s="3">
        <v>1300</v>
      </c>
      <c r="B1254" s="3">
        <v>1.0100000000000001E-6</v>
      </c>
      <c r="C1254" s="2">
        <v>6.5269999999999995E-2</v>
      </c>
      <c r="D1254" s="3">
        <v>228000</v>
      </c>
      <c r="E1254" s="3">
        <v>75500000000</v>
      </c>
      <c r="F1254" s="3">
        <v>70600000000</v>
      </c>
      <c r="G1254" s="3">
        <v>1930000000</v>
      </c>
      <c r="H1254" s="3">
        <v>9040000000</v>
      </c>
      <c r="I1254" s="2"/>
      <c r="J1254" s="7">
        <f t="shared" si="338"/>
        <v>1.01</v>
      </c>
      <c r="K1254" s="7">
        <f t="shared" si="339"/>
        <v>65.27</v>
      </c>
      <c r="L1254" s="7">
        <f t="shared" si="340"/>
        <v>75.5</v>
      </c>
      <c r="M1254" s="7">
        <f t="shared" si="341"/>
        <v>228</v>
      </c>
      <c r="O1254">
        <f t="shared" si="342"/>
        <v>0.79529605263157899</v>
      </c>
      <c r="P1254">
        <f t="shared" si="343"/>
        <v>795.29605263157896</v>
      </c>
      <c r="V1254">
        <f t="shared" si="344"/>
        <v>1232.0597358886598</v>
      </c>
      <c r="W1254">
        <f t="shared" si="345"/>
        <v>92.527981135406634</v>
      </c>
      <c r="AE1254">
        <f t="shared" si="346"/>
        <v>0.77320214105577334</v>
      </c>
      <c r="AF1254">
        <f t="shared" si="347"/>
        <v>0.74937367421451928</v>
      </c>
      <c r="AG1254">
        <f t="shared" si="348"/>
        <v>0.75129983665261557</v>
      </c>
      <c r="AI1254">
        <f t="shared" si="349"/>
        <v>0.54427336783975278</v>
      </c>
      <c r="AJ1254">
        <f t="shared" si="350"/>
        <v>34.751856553979273</v>
      </c>
      <c r="AL1254">
        <f t="shared" si="351"/>
        <v>0.56158008723010411</v>
      </c>
      <c r="AM1254">
        <f t="shared" si="352"/>
        <v>36.997062449749137</v>
      </c>
      <c r="AO1254">
        <f t="shared" si="353"/>
        <v>0.56014032321414886</v>
      </c>
      <c r="AP1254">
        <f t="shared" si="354"/>
        <v>36.807601469506864</v>
      </c>
    </row>
    <row r="1255" spans="1:42" x14ac:dyDescent="0.2">
      <c r="A1255" s="3">
        <v>1300</v>
      </c>
      <c r="B1255" s="3">
        <v>1.0100000000000001E-6</v>
      </c>
      <c r="C1255" s="2">
        <v>6.5320000000000003E-2</v>
      </c>
      <c r="D1255" s="3">
        <v>259000</v>
      </c>
      <c r="E1255" s="3">
        <v>85200000000</v>
      </c>
      <c r="F1255" s="3">
        <v>78900000000</v>
      </c>
      <c r="G1255" s="3">
        <v>12200000000</v>
      </c>
      <c r="H1255" s="3">
        <v>8770000000</v>
      </c>
      <c r="I1255" s="2"/>
      <c r="J1255" s="7">
        <f t="shared" si="338"/>
        <v>1.01</v>
      </c>
      <c r="K1255" s="7">
        <f t="shared" si="339"/>
        <v>65.320000000000007</v>
      </c>
      <c r="L1255" s="7">
        <f t="shared" si="340"/>
        <v>85.2</v>
      </c>
      <c r="M1255" s="7">
        <f t="shared" si="341"/>
        <v>259</v>
      </c>
      <c r="O1255">
        <f t="shared" si="342"/>
        <v>0.82084942084942081</v>
      </c>
      <c r="P1255">
        <f t="shared" si="343"/>
        <v>820.84942084942077</v>
      </c>
      <c r="V1255">
        <f t="shared" si="344"/>
        <v>1249.4431433368393</v>
      </c>
      <c r="W1255">
        <f t="shared" si="345"/>
        <v>103.64617284956991</v>
      </c>
      <c r="AE1255">
        <f t="shared" si="346"/>
        <v>0.87833050233967236</v>
      </c>
      <c r="AF1255">
        <f t="shared" si="347"/>
        <v>0.85126220009456355</v>
      </c>
      <c r="AG1255">
        <f t="shared" si="348"/>
        <v>0.85345025303959399</v>
      </c>
      <c r="AI1255">
        <f t="shared" si="349"/>
        <v>0.47912867902495609</v>
      </c>
      <c r="AJ1255">
        <f t="shared" si="350"/>
        <v>26.951363413626492</v>
      </c>
      <c r="AL1255">
        <f t="shared" si="351"/>
        <v>0.49436393779329629</v>
      </c>
      <c r="AM1255">
        <f t="shared" si="352"/>
        <v>28.692604487792398</v>
      </c>
      <c r="AO1255">
        <f t="shared" si="353"/>
        <v>0.49309650074450173</v>
      </c>
      <c r="AP1255">
        <f t="shared" si="354"/>
        <v>28.54567041757144</v>
      </c>
    </row>
    <row r="1256" spans="1:42" x14ac:dyDescent="0.2">
      <c r="A1256" s="3">
        <v>1300</v>
      </c>
      <c r="B1256" s="3">
        <v>1.0100000000000001E-6</v>
      </c>
      <c r="C1256" s="2">
        <v>6.5369999999999998E-2</v>
      </c>
      <c r="D1256" s="3">
        <v>275000</v>
      </c>
      <c r="E1256" s="3">
        <v>90200000000</v>
      </c>
      <c r="F1256" s="3">
        <v>83200000000</v>
      </c>
      <c r="G1256" s="3">
        <v>4120000000</v>
      </c>
      <c r="H1256" s="3">
        <v>8660000000</v>
      </c>
      <c r="I1256" s="2"/>
      <c r="J1256" s="7">
        <f t="shared" si="338"/>
        <v>1.01</v>
      </c>
      <c r="K1256" s="7">
        <f t="shared" si="339"/>
        <v>65.37</v>
      </c>
      <c r="L1256" s="7">
        <f t="shared" si="340"/>
        <v>90.2</v>
      </c>
      <c r="M1256" s="7">
        <f t="shared" si="341"/>
        <v>275</v>
      </c>
      <c r="O1256">
        <f t="shared" si="342"/>
        <v>0.8317181818181818</v>
      </c>
      <c r="P1256">
        <f t="shared" si="343"/>
        <v>831.71818181818185</v>
      </c>
      <c r="V1256">
        <f t="shared" si="344"/>
        <v>1256.7454980692628</v>
      </c>
      <c r="W1256">
        <f t="shared" si="345"/>
        <v>109.4095822990742</v>
      </c>
      <c r="AE1256">
        <f t="shared" si="346"/>
        <v>0.93259030171200741</v>
      </c>
      <c r="AF1256">
        <f t="shared" si="347"/>
        <v>0.90384982635523159</v>
      </c>
      <c r="AG1256">
        <f t="shared" si="348"/>
        <v>0.90617304859416348</v>
      </c>
      <c r="AI1256">
        <f t="shared" si="349"/>
        <v>0.45125210133623134</v>
      </c>
      <c r="AJ1256">
        <f t="shared" si="350"/>
        <v>23.924737946405266</v>
      </c>
      <c r="AL1256">
        <f t="shared" si="351"/>
        <v>0.46560094504895905</v>
      </c>
      <c r="AM1256">
        <f t="shared" si="352"/>
        <v>25.470438464838935</v>
      </c>
      <c r="AO1256">
        <f t="shared" si="353"/>
        <v>0.46440724979209436</v>
      </c>
      <c r="AP1256">
        <f t="shared" si="354"/>
        <v>25.340005021770232</v>
      </c>
    </row>
    <row r="1257" spans="1:42" x14ac:dyDescent="0.2">
      <c r="A1257" s="3">
        <v>1300</v>
      </c>
      <c r="B1257" s="3">
        <v>1.02E-6</v>
      </c>
      <c r="C1257" s="2">
        <v>6.5420000000000006E-2</v>
      </c>
      <c r="D1257" s="3">
        <v>243000</v>
      </c>
      <c r="E1257" s="3">
        <v>79800000000</v>
      </c>
      <c r="F1257" s="3">
        <v>74300000000</v>
      </c>
      <c r="G1257" s="3">
        <v>5420000000</v>
      </c>
      <c r="H1257" s="3">
        <v>8870000000</v>
      </c>
      <c r="I1257" s="2"/>
      <c r="J1257" s="7">
        <f t="shared" si="338"/>
        <v>1.02</v>
      </c>
      <c r="K1257" s="7">
        <f t="shared" si="339"/>
        <v>65.42</v>
      </c>
      <c r="L1257" s="7">
        <f t="shared" si="340"/>
        <v>79.800000000000011</v>
      </c>
      <c r="M1257" s="7">
        <f t="shared" si="341"/>
        <v>243</v>
      </c>
      <c r="O1257">
        <f t="shared" si="342"/>
        <v>0.81808641975308638</v>
      </c>
      <c r="P1257">
        <f t="shared" si="343"/>
        <v>818.08641975308637</v>
      </c>
      <c r="V1257">
        <f t="shared" si="344"/>
        <v>1247.5782026536951</v>
      </c>
      <c r="W1257">
        <f t="shared" si="345"/>
        <v>97.388684526196528</v>
      </c>
      <c r="AE1257">
        <f t="shared" si="346"/>
        <v>0.82407070296733742</v>
      </c>
      <c r="AF1257">
        <f t="shared" si="347"/>
        <v>0.79867457383389551</v>
      </c>
      <c r="AG1257">
        <f t="shared" si="348"/>
        <v>0.8007274574850245</v>
      </c>
      <c r="AI1257">
        <f t="shared" si="349"/>
        <v>0.51573244682725383</v>
      </c>
      <c r="AJ1257">
        <f t="shared" si="350"/>
        <v>30.664231489852803</v>
      </c>
      <c r="AL1257">
        <f t="shared" si="351"/>
        <v>0.53213162647693035</v>
      </c>
      <c r="AM1257">
        <f t="shared" si="352"/>
        <v>32.645349051826237</v>
      </c>
      <c r="AO1257">
        <f t="shared" si="353"/>
        <v>0.53076736163746274</v>
      </c>
      <c r="AP1257">
        <f t="shared" si="354"/>
        <v>32.47817308102826</v>
      </c>
    </row>
    <row r="1258" spans="1:42" x14ac:dyDescent="0.2">
      <c r="A1258" s="3">
        <v>1300</v>
      </c>
      <c r="B1258" s="3">
        <v>1.02E-6</v>
      </c>
      <c r="C1258" s="2">
        <v>6.547E-2</v>
      </c>
      <c r="D1258" s="3">
        <v>276000</v>
      </c>
      <c r="E1258" s="3">
        <v>90200000000</v>
      </c>
      <c r="F1258" s="3">
        <v>83300000000</v>
      </c>
      <c r="G1258" s="3">
        <v>462000000</v>
      </c>
      <c r="H1258" s="3">
        <v>8620000000</v>
      </c>
      <c r="I1258" s="2"/>
      <c r="J1258" s="7">
        <f t="shared" si="338"/>
        <v>1.02</v>
      </c>
      <c r="K1258" s="7">
        <f t="shared" si="339"/>
        <v>65.47</v>
      </c>
      <c r="L1258" s="7">
        <f t="shared" si="340"/>
        <v>90.2</v>
      </c>
      <c r="M1258" s="7">
        <f t="shared" si="341"/>
        <v>276</v>
      </c>
      <c r="O1258">
        <f t="shared" si="342"/>
        <v>0.84209239130434788</v>
      </c>
      <c r="P1258">
        <f t="shared" si="343"/>
        <v>842.09239130434787</v>
      </c>
      <c r="V1258">
        <f t="shared" si="344"/>
        <v>1263.6661656565366</v>
      </c>
      <c r="W1258">
        <f t="shared" si="345"/>
        <v>109.2060575415519</v>
      </c>
      <c r="AE1258">
        <f t="shared" si="346"/>
        <v>0.93598153917277827</v>
      </c>
      <c r="AF1258">
        <f t="shared" si="347"/>
        <v>0.90713655299652329</v>
      </c>
      <c r="AG1258">
        <f t="shared" si="348"/>
        <v>0.90946822331632415</v>
      </c>
      <c r="AI1258">
        <f t="shared" si="349"/>
        <v>0.45406878470660389</v>
      </c>
      <c r="AJ1258">
        <f t="shared" si="350"/>
        <v>23.788018579234119</v>
      </c>
      <c r="AL1258">
        <f t="shared" si="351"/>
        <v>0.46850719287642784</v>
      </c>
      <c r="AM1258">
        <f t="shared" si="352"/>
        <v>25.324886098234742</v>
      </c>
      <c r="AO1258">
        <f t="shared" si="353"/>
        <v>0.46730604665907038</v>
      </c>
      <c r="AP1258">
        <f t="shared" si="354"/>
        <v>25.195198024993459</v>
      </c>
    </row>
    <row r="1259" spans="1:42" x14ac:dyDescent="0.2">
      <c r="A1259" s="3">
        <v>1300</v>
      </c>
      <c r="B1259" s="3">
        <v>1.02E-6</v>
      </c>
      <c r="C1259" s="2">
        <v>6.5530000000000005E-2</v>
      </c>
      <c r="D1259" s="3">
        <v>258000</v>
      </c>
      <c r="E1259" s="3">
        <v>84500000000</v>
      </c>
      <c r="F1259" s="3">
        <v>78300000000</v>
      </c>
      <c r="G1259" s="3">
        <v>12200000000</v>
      </c>
      <c r="H1259" s="3">
        <v>8720000000</v>
      </c>
      <c r="I1259" s="2"/>
      <c r="J1259" s="7">
        <f t="shared" si="338"/>
        <v>1.02</v>
      </c>
      <c r="K1259" s="7">
        <f t="shared" si="339"/>
        <v>65.53</v>
      </c>
      <c r="L1259" s="7">
        <f t="shared" si="340"/>
        <v>84.5</v>
      </c>
      <c r="M1259" s="7">
        <f t="shared" si="341"/>
        <v>258</v>
      </c>
      <c r="O1259">
        <f t="shared" si="342"/>
        <v>0.82950581395348832</v>
      </c>
      <c r="P1259">
        <f t="shared" si="343"/>
        <v>829.50581395348831</v>
      </c>
      <c r="V1259">
        <f t="shared" si="344"/>
        <v>1255.263410515289</v>
      </c>
      <c r="W1259">
        <f t="shared" si="345"/>
        <v>102.76727491566503</v>
      </c>
      <c r="AE1259">
        <f t="shared" si="346"/>
        <v>0.8749392648789015</v>
      </c>
      <c r="AF1259">
        <f t="shared" si="347"/>
        <v>0.84797547345327173</v>
      </c>
      <c r="AG1259">
        <f t="shared" si="348"/>
        <v>0.85015507831743342</v>
      </c>
      <c r="AI1259">
        <f t="shared" si="349"/>
        <v>0.48574800224427389</v>
      </c>
      <c r="AJ1259">
        <f t="shared" si="350"/>
        <v>27.248013655258731</v>
      </c>
      <c r="AL1259">
        <f t="shared" si="351"/>
        <v>0.50119374121664373</v>
      </c>
      <c r="AM1259">
        <f t="shared" si="352"/>
        <v>29.00842034926599</v>
      </c>
      <c r="AO1259">
        <f t="shared" si="353"/>
        <v>0.49990879410040095</v>
      </c>
      <c r="AP1259">
        <f t="shared" si="354"/>
        <v>28.859868994354589</v>
      </c>
    </row>
    <row r="1260" spans="1:42" x14ac:dyDescent="0.2">
      <c r="A1260" s="3">
        <v>1300</v>
      </c>
      <c r="B1260" s="3">
        <v>1.02E-6</v>
      </c>
      <c r="C1260" s="2">
        <v>6.5579999999999999E-2</v>
      </c>
      <c r="D1260" s="3">
        <v>254000</v>
      </c>
      <c r="E1260" s="3">
        <v>83100000000</v>
      </c>
      <c r="F1260" s="3">
        <v>77100000000</v>
      </c>
      <c r="G1260" s="2">
        <v>0</v>
      </c>
      <c r="H1260" s="3">
        <v>8730000000</v>
      </c>
      <c r="I1260" s="2"/>
      <c r="J1260" s="7">
        <f t="shared" si="338"/>
        <v>1.02</v>
      </c>
      <c r="K1260" s="7">
        <f t="shared" si="339"/>
        <v>65.58</v>
      </c>
      <c r="L1260" s="7">
        <f t="shared" si="340"/>
        <v>83.100000000000009</v>
      </c>
      <c r="M1260" s="7">
        <f t="shared" si="341"/>
        <v>254</v>
      </c>
      <c r="O1260">
        <f t="shared" si="342"/>
        <v>0.82635826771653553</v>
      </c>
      <c r="P1260">
        <f t="shared" si="343"/>
        <v>826.35826771653558</v>
      </c>
      <c r="V1260">
        <f t="shared" si="344"/>
        <v>1253.151038138333</v>
      </c>
      <c r="W1260">
        <f t="shared" si="345"/>
        <v>101.34452762267966</v>
      </c>
      <c r="AE1260">
        <f t="shared" si="346"/>
        <v>0.86137431503581774</v>
      </c>
      <c r="AF1260">
        <f t="shared" si="347"/>
        <v>0.83482856688810481</v>
      </c>
      <c r="AG1260">
        <f t="shared" si="348"/>
        <v>0.83697437942879105</v>
      </c>
      <c r="AI1260">
        <f t="shared" si="349"/>
        <v>0.49339757708276644</v>
      </c>
      <c r="AJ1260">
        <f t="shared" si="350"/>
        <v>28.134426793292551</v>
      </c>
      <c r="AL1260">
        <f t="shared" si="351"/>
        <v>0.50908655603895303</v>
      </c>
      <c r="AM1260">
        <f t="shared" si="352"/>
        <v>29.952101794692535</v>
      </c>
      <c r="AO1260">
        <f t="shared" si="353"/>
        <v>0.50778137353505293</v>
      </c>
      <c r="AP1260">
        <f t="shared" si="354"/>
        <v>29.798717872008229</v>
      </c>
    </row>
    <row r="1261" spans="1:42" x14ac:dyDescent="0.2">
      <c r="A1261" s="3">
        <v>1300</v>
      </c>
      <c r="B1261" s="3">
        <v>1.02E-6</v>
      </c>
      <c r="C1261" s="2">
        <v>6.5629999999999994E-2</v>
      </c>
      <c r="D1261" s="3">
        <v>247000</v>
      </c>
      <c r="E1261" s="3">
        <v>80600000000</v>
      </c>
      <c r="F1261" s="3">
        <v>75000000000</v>
      </c>
      <c r="G1261" s="3">
        <v>4310000000</v>
      </c>
      <c r="H1261" s="3">
        <v>8780000000</v>
      </c>
      <c r="I1261" s="2"/>
      <c r="J1261" s="7">
        <f t="shared" si="338"/>
        <v>1.02</v>
      </c>
      <c r="K1261" s="7">
        <f t="shared" si="339"/>
        <v>65.63</v>
      </c>
      <c r="L1261" s="7">
        <f t="shared" si="340"/>
        <v>80.600000000000009</v>
      </c>
      <c r="M1261" s="7">
        <f t="shared" si="341"/>
        <v>247</v>
      </c>
      <c r="O1261">
        <f t="shared" si="342"/>
        <v>0.82071862348178137</v>
      </c>
      <c r="P1261">
        <f t="shared" si="343"/>
        <v>820.71862348178138</v>
      </c>
      <c r="V1261">
        <f t="shared" si="344"/>
        <v>1249.3549380509974</v>
      </c>
      <c r="W1261">
        <f t="shared" si="345"/>
        <v>98.85101202118021</v>
      </c>
      <c r="AE1261">
        <f t="shared" si="346"/>
        <v>0.83763565281042118</v>
      </c>
      <c r="AF1261">
        <f t="shared" si="347"/>
        <v>0.81182148039906254</v>
      </c>
      <c r="AG1261">
        <f t="shared" si="348"/>
        <v>0.81390815637366687</v>
      </c>
      <c r="AI1261">
        <f t="shared" si="349"/>
        <v>0.50738050436851279</v>
      </c>
      <c r="AJ1261">
        <f t="shared" si="350"/>
        <v>29.774370618162596</v>
      </c>
      <c r="AL1261">
        <f t="shared" si="351"/>
        <v>0.52351411025868044</v>
      </c>
      <c r="AM1261">
        <f t="shared" si="352"/>
        <v>31.697997125739253</v>
      </c>
      <c r="AO1261">
        <f t="shared" si="353"/>
        <v>0.52217193877693702</v>
      </c>
      <c r="AP1261">
        <f t="shared" si="354"/>
        <v>31.535672519148761</v>
      </c>
    </row>
    <row r="1262" spans="1:42" x14ac:dyDescent="0.2">
      <c r="A1262" s="3">
        <v>1300</v>
      </c>
      <c r="B1262" s="3">
        <v>1.0300000000000001E-6</v>
      </c>
      <c r="C1262" s="2">
        <v>6.5680000000000002E-2</v>
      </c>
      <c r="D1262" s="3">
        <v>244000</v>
      </c>
      <c r="E1262" s="3">
        <v>79700000000</v>
      </c>
      <c r="F1262" s="3">
        <v>74200000000</v>
      </c>
      <c r="G1262" s="2">
        <v>0</v>
      </c>
      <c r="H1262" s="3">
        <v>8780000000</v>
      </c>
      <c r="I1262" s="2"/>
      <c r="J1262" s="7">
        <f t="shared" si="338"/>
        <v>1.03</v>
      </c>
      <c r="K1262" s="7">
        <f t="shared" si="339"/>
        <v>65.680000000000007</v>
      </c>
      <c r="L1262" s="7">
        <f t="shared" si="340"/>
        <v>79.7</v>
      </c>
      <c r="M1262" s="7">
        <f t="shared" si="341"/>
        <v>244</v>
      </c>
      <c r="O1262">
        <f t="shared" si="342"/>
        <v>0.82811475409836066</v>
      </c>
      <c r="P1262">
        <f t="shared" si="343"/>
        <v>828.11475409836066</v>
      </c>
      <c r="V1262">
        <f t="shared" si="344"/>
        <v>1254.3303978494914</v>
      </c>
      <c r="W1262">
        <f t="shared" si="345"/>
        <v>97.263049838515443</v>
      </c>
      <c r="AE1262">
        <f t="shared" si="346"/>
        <v>0.82746194042810839</v>
      </c>
      <c r="AF1262">
        <f t="shared" si="347"/>
        <v>0.80196130047518721</v>
      </c>
      <c r="AG1262">
        <f t="shared" si="348"/>
        <v>0.80402263220718506</v>
      </c>
      <c r="AI1262">
        <f t="shared" si="349"/>
        <v>0.51865426758435129</v>
      </c>
      <c r="AJ1262">
        <f t="shared" si="350"/>
        <v>30.534272962424456</v>
      </c>
      <c r="AL1262">
        <f t="shared" si="351"/>
        <v>0.53514635483329687</v>
      </c>
      <c r="AM1262">
        <f t="shared" si="352"/>
        <v>32.506994321117801</v>
      </c>
      <c r="AO1262">
        <f t="shared" si="353"/>
        <v>0.53377436091385622</v>
      </c>
      <c r="AP1262">
        <f t="shared" si="354"/>
        <v>32.340526861243816</v>
      </c>
    </row>
    <row r="1263" spans="1:42" x14ac:dyDescent="0.2">
      <c r="A1263" s="3">
        <v>1300</v>
      </c>
      <c r="B1263" s="3">
        <v>1.0300000000000001E-6</v>
      </c>
      <c r="C1263" s="2">
        <v>6.5729999999999997E-2</v>
      </c>
      <c r="D1263" s="3">
        <v>263000</v>
      </c>
      <c r="E1263" s="3">
        <v>85300000000</v>
      </c>
      <c r="F1263" s="3">
        <v>79100000000</v>
      </c>
      <c r="G1263" s="3">
        <v>7780000000</v>
      </c>
      <c r="H1263" s="3">
        <v>8630000000</v>
      </c>
      <c r="I1263" s="2"/>
      <c r="J1263" s="7">
        <f t="shared" si="338"/>
        <v>1.03</v>
      </c>
      <c r="K1263" s="7">
        <f t="shared" si="339"/>
        <v>65.72999999999999</v>
      </c>
      <c r="L1263" s="7">
        <f t="shared" si="340"/>
        <v>85.300000000000011</v>
      </c>
      <c r="M1263" s="7">
        <f t="shared" si="341"/>
        <v>263</v>
      </c>
      <c r="O1263">
        <f t="shared" si="342"/>
        <v>0.84255703422053241</v>
      </c>
      <c r="P1263">
        <f t="shared" si="343"/>
        <v>842.55703422053239</v>
      </c>
      <c r="V1263">
        <f t="shared" si="344"/>
        <v>1263.9750163255135</v>
      </c>
      <c r="W1263">
        <f t="shared" si="345"/>
        <v>104.03686647405584</v>
      </c>
      <c r="AE1263">
        <f t="shared" si="346"/>
        <v>0.89189545218275612</v>
      </c>
      <c r="AF1263">
        <f t="shared" si="347"/>
        <v>0.86440910665973059</v>
      </c>
      <c r="AG1263">
        <f t="shared" si="348"/>
        <v>0.86663095192823636</v>
      </c>
      <c r="AI1263">
        <f t="shared" si="349"/>
        <v>0.48118494787293437</v>
      </c>
      <c r="AJ1263">
        <f t="shared" si="350"/>
        <v>26.301845814430195</v>
      </c>
      <c r="AL1263">
        <f t="shared" si="351"/>
        <v>0.49648559155636657</v>
      </c>
      <c r="AM1263">
        <f t="shared" si="352"/>
        <v>28.001123641514418</v>
      </c>
      <c r="AO1263">
        <f t="shared" si="353"/>
        <v>0.4952127150683685</v>
      </c>
      <c r="AP1263">
        <f t="shared" si="354"/>
        <v>27.857730626455133</v>
      </c>
    </row>
    <row r="1264" spans="1:42" x14ac:dyDescent="0.2">
      <c r="A1264" s="3">
        <v>1300</v>
      </c>
      <c r="B1264" s="3">
        <v>1.0300000000000001E-6</v>
      </c>
      <c r="C1264" s="2">
        <v>6.5780000000000005E-2</v>
      </c>
      <c r="D1264" s="3">
        <v>242000</v>
      </c>
      <c r="E1264" s="3">
        <v>78600000000</v>
      </c>
      <c r="F1264" s="3">
        <v>73200000000</v>
      </c>
      <c r="G1264" s="3">
        <v>8300000000</v>
      </c>
      <c r="H1264" s="3">
        <v>8750000000</v>
      </c>
      <c r="I1264" s="2"/>
      <c r="J1264" s="7">
        <f t="shared" si="338"/>
        <v>1.03</v>
      </c>
      <c r="K1264" s="7">
        <f t="shared" si="339"/>
        <v>65.78</v>
      </c>
      <c r="L1264" s="7">
        <f t="shared" si="340"/>
        <v>78.600000000000009</v>
      </c>
      <c r="M1264" s="7">
        <f t="shared" si="341"/>
        <v>242</v>
      </c>
      <c r="O1264">
        <f t="shared" si="342"/>
        <v>0.82613636363636367</v>
      </c>
      <c r="P1264">
        <f t="shared" si="343"/>
        <v>826.13636363636363</v>
      </c>
      <c r="V1264">
        <f t="shared" si="344"/>
        <v>1253.0019455193958</v>
      </c>
      <c r="W1264">
        <f t="shared" si="345"/>
        <v>96.568086292829292</v>
      </c>
      <c r="AE1264">
        <f t="shared" si="346"/>
        <v>0.82067946550656645</v>
      </c>
      <c r="AF1264">
        <f t="shared" si="347"/>
        <v>0.7953878471926038</v>
      </c>
      <c r="AG1264">
        <f t="shared" si="348"/>
        <v>0.79743228276286393</v>
      </c>
      <c r="AI1264">
        <f t="shared" si="349"/>
        <v>0.52294066649000714</v>
      </c>
      <c r="AJ1264">
        <f t="shared" si="350"/>
        <v>31.088318270366475</v>
      </c>
      <c r="AL1264">
        <f t="shared" si="351"/>
        <v>0.53956905198067939</v>
      </c>
      <c r="AM1264">
        <f t="shared" si="352"/>
        <v>33.096834717877094</v>
      </c>
      <c r="AO1264">
        <f t="shared" si="353"/>
        <v>0.53818571926851622</v>
      </c>
      <c r="AP1264">
        <f t="shared" si="354"/>
        <v>32.927346700900543</v>
      </c>
    </row>
    <row r="1265" spans="1:42" x14ac:dyDescent="0.2">
      <c r="A1265" s="3">
        <v>1300</v>
      </c>
      <c r="B1265" s="3">
        <v>1.04E-6</v>
      </c>
      <c r="C1265" s="2">
        <v>6.5839999999999996E-2</v>
      </c>
      <c r="D1265" s="3">
        <v>243000</v>
      </c>
      <c r="E1265" s="3">
        <v>78900000000</v>
      </c>
      <c r="F1265" s="3">
        <v>73500000000</v>
      </c>
      <c r="G1265" s="3">
        <v>2540000000</v>
      </c>
      <c r="H1265" s="3">
        <v>8710000000</v>
      </c>
      <c r="I1265" s="2"/>
      <c r="J1265" s="7">
        <f t="shared" si="338"/>
        <v>1.04</v>
      </c>
      <c r="K1265" s="7">
        <f t="shared" si="339"/>
        <v>65.839999999999989</v>
      </c>
      <c r="L1265" s="7">
        <f t="shared" si="340"/>
        <v>78.900000000000006</v>
      </c>
      <c r="M1265" s="7">
        <f t="shared" si="341"/>
        <v>243</v>
      </c>
      <c r="O1265">
        <f t="shared" si="342"/>
        <v>0.83679012345679027</v>
      </c>
      <c r="P1265">
        <f t="shared" si="343"/>
        <v>836.7901234567903</v>
      </c>
      <c r="V1265">
        <f t="shared" si="344"/>
        <v>1260.1349764981017</v>
      </c>
      <c r="W1265">
        <f t="shared" si="345"/>
        <v>96.418242700989765</v>
      </c>
      <c r="AE1265">
        <f t="shared" si="346"/>
        <v>0.82407070296733742</v>
      </c>
      <c r="AF1265">
        <f t="shared" si="347"/>
        <v>0.79867457383389551</v>
      </c>
      <c r="AG1265">
        <f t="shared" si="348"/>
        <v>0.8007274574850245</v>
      </c>
      <c r="AI1265">
        <f t="shared" si="349"/>
        <v>0.52584484774543527</v>
      </c>
      <c r="AJ1265">
        <f t="shared" si="350"/>
        <v>30.86109754344097</v>
      </c>
      <c r="AL1265">
        <f t="shared" si="351"/>
        <v>0.5425655799372624</v>
      </c>
      <c r="AM1265">
        <f t="shared" si="352"/>
        <v>32.854933989181276</v>
      </c>
      <c r="AO1265">
        <f t="shared" si="353"/>
        <v>0.54117456480682469</v>
      </c>
      <c r="AP1265">
        <f t="shared" si="354"/>
        <v>32.686684739451238</v>
      </c>
    </row>
    <row r="1266" spans="1:42" x14ac:dyDescent="0.2">
      <c r="A1266" s="3">
        <v>1300</v>
      </c>
      <c r="B1266" s="3">
        <v>1.04E-6</v>
      </c>
      <c r="C1266" s="2">
        <v>6.5890000000000004E-2</v>
      </c>
      <c r="D1266" s="3">
        <v>267000</v>
      </c>
      <c r="E1266" s="3">
        <v>86100000000</v>
      </c>
      <c r="F1266" s="3">
        <v>79700000000</v>
      </c>
      <c r="G1266" s="3">
        <v>5560000000</v>
      </c>
      <c r="H1266" s="3">
        <v>8530000000</v>
      </c>
      <c r="I1266" s="2"/>
      <c r="J1266" s="7">
        <f t="shared" si="338"/>
        <v>1.04</v>
      </c>
      <c r="K1266" s="7">
        <f t="shared" si="339"/>
        <v>65.89</v>
      </c>
      <c r="L1266" s="7">
        <f t="shared" si="340"/>
        <v>86.100000000000009</v>
      </c>
      <c r="M1266" s="7">
        <f t="shared" si="341"/>
        <v>267</v>
      </c>
      <c r="O1266">
        <f t="shared" si="342"/>
        <v>0.85491573033707868</v>
      </c>
      <c r="P1266">
        <f t="shared" si="343"/>
        <v>854.91573033707868</v>
      </c>
      <c r="V1266">
        <f t="shared" si="344"/>
        <v>1272.1553480064267</v>
      </c>
      <c r="W1266">
        <f t="shared" si="345"/>
        <v>104.94001397644212</v>
      </c>
      <c r="AE1266">
        <f t="shared" si="346"/>
        <v>0.90546040202583988</v>
      </c>
      <c r="AF1266">
        <f t="shared" si="347"/>
        <v>0.87755601322489751</v>
      </c>
      <c r="AG1266">
        <f t="shared" si="348"/>
        <v>0.87981165081687873</v>
      </c>
      <c r="AI1266">
        <f t="shared" si="349"/>
        <v>0.47857789513910404</v>
      </c>
      <c r="AJ1266">
        <f t="shared" si="350"/>
        <v>25.581798691103344</v>
      </c>
      <c r="AL1266">
        <f t="shared" si="351"/>
        <v>0.49379564016762073</v>
      </c>
      <c r="AM1266">
        <f t="shared" si="352"/>
        <v>27.234556584957119</v>
      </c>
      <c r="AO1266">
        <f t="shared" si="353"/>
        <v>0.4925296601050877</v>
      </c>
      <c r="AP1266">
        <f t="shared" si="354"/>
        <v>27.095089139560393</v>
      </c>
    </row>
    <row r="1267" spans="1:42" x14ac:dyDescent="0.2">
      <c r="A1267" s="3">
        <v>1300</v>
      </c>
      <c r="B1267" s="3">
        <v>1.04E-6</v>
      </c>
      <c r="C1267" s="2">
        <v>6.5939999999999999E-2</v>
      </c>
      <c r="D1267" s="3">
        <v>268000</v>
      </c>
      <c r="E1267" s="3">
        <v>86300000000</v>
      </c>
      <c r="F1267" s="3">
        <v>79900000000</v>
      </c>
      <c r="G1267" s="3">
        <v>10000000000</v>
      </c>
      <c r="H1267" s="3">
        <v>8510000000</v>
      </c>
      <c r="I1267" s="2"/>
      <c r="J1267" s="7">
        <f t="shared" si="338"/>
        <v>1.04</v>
      </c>
      <c r="K1267" s="7">
        <f t="shared" si="339"/>
        <v>65.94</v>
      </c>
      <c r="L1267" s="7">
        <f t="shared" si="340"/>
        <v>86.300000000000011</v>
      </c>
      <c r="M1267" s="7">
        <f t="shared" si="341"/>
        <v>268</v>
      </c>
      <c r="O1267">
        <f t="shared" si="342"/>
        <v>0.85546641791044786</v>
      </c>
      <c r="P1267">
        <f t="shared" si="343"/>
        <v>855.46641791044783</v>
      </c>
      <c r="V1267">
        <f t="shared" si="344"/>
        <v>1272.5183153568755</v>
      </c>
      <c r="W1267">
        <f t="shared" si="345"/>
        <v>105.30300301604692</v>
      </c>
      <c r="AE1267">
        <f t="shared" si="346"/>
        <v>0.90885163948661085</v>
      </c>
      <c r="AF1267">
        <f t="shared" si="347"/>
        <v>0.88084273986618933</v>
      </c>
      <c r="AG1267">
        <f t="shared" si="348"/>
        <v>0.88310682553903941</v>
      </c>
      <c r="AI1267">
        <f t="shared" si="349"/>
        <v>0.47679215672440584</v>
      </c>
      <c r="AJ1267">
        <f t="shared" si="350"/>
        <v>25.410513824591867</v>
      </c>
      <c r="AL1267">
        <f t="shared" si="351"/>
        <v>0.49195311912221923</v>
      </c>
      <c r="AM1267">
        <f t="shared" si="352"/>
        <v>27.052205553058172</v>
      </c>
      <c r="AO1267">
        <f t="shared" si="353"/>
        <v>0.49069186286588956</v>
      </c>
      <c r="AP1267">
        <f t="shared" si="354"/>
        <v>26.913671922482525</v>
      </c>
    </row>
    <row r="1268" spans="1:42" x14ac:dyDescent="0.2">
      <c r="A1268" s="3">
        <v>1300</v>
      </c>
      <c r="B1268" s="3">
        <v>1.0499999999999999E-6</v>
      </c>
      <c r="C1268" s="2">
        <v>6.5989999999999993E-2</v>
      </c>
      <c r="D1268" s="3">
        <v>231000</v>
      </c>
      <c r="E1268" s="3">
        <v>74600000000</v>
      </c>
      <c r="F1268" s="3">
        <v>69800000000</v>
      </c>
      <c r="G1268" s="3">
        <v>3860000000</v>
      </c>
      <c r="H1268" s="3">
        <v>8750000000</v>
      </c>
      <c r="I1268" s="2"/>
      <c r="J1268" s="7">
        <f t="shared" si="338"/>
        <v>1.0499999999999998</v>
      </c>
      <c r="K1268" s="7">
        <f t="shared" si="339"/>
        <v>65.989999999999995</v>
      </c>
      <c r="L1268" s="7">
        <f t="shared" si="340"/>
        <v>74.600000000000009</v>
      </c>
      <c r="M1268" s="7">
        <f t="shared" si="341"/>
        <v>231</v>
      </c>
      <c r="O1268">
        <f t="shared" si="342"/>
        <v>0.83574675324675307</v>
      </c>
      <c r="P1268">
        <f t="shared" si="343"/>
        <v>835.74675324675309</v>
      </c>
      <c r="V1268">
        <f t="shared" si="344"/>
        <v>1259.4386496148322</v>
      </c>
      <c r="W1268">
        <f t="shared" si="345"/>
        <v>91.707523852251782</v>
      </c>
      <c r="AE1268">
        <f t="shared" si="346"/>
        <v>0.78337585343808624</v>
      </c>
      <c r="AF1268">
        <f t="shared" si="347"/>
        <v>0.7592338541383945</v>
      </c>
      <c r="AG1268">
        <f t="shared" si="348"/>
        <v>0.76118536081909738</v>
      </c>
      <c r="AI1268">
        <f t="shared" si="349"/>
        <v>0.55848032343592979</v>
      </c>
      <c r="AJ1268">
        <f t="shared" si="350"/>
        <v>34.228531005507875</v>
      </c>
      <c r="AL1268">
        <f t="shared" si="351"/>
        <v>0.57623879337742445</v>
      </c>
      <c r="AM1268">
        <f t="shared" si="352"/>
        <v>36.439926517507033</v>
      </c>
      <c r="AO1268">
        <f t="shared" si="353"/>
        <v>0.57476144776249294</v>
      </c>
      <c r="AP1268">
        <f t="shared" si="354"/>
        <v>36.253318615667787</v>
      </c>
    </row>
    <row r="1269" spans="1:42" x14ac:dyDescent="0.2">
      <c r="A1269" s="3">
        <v>1300</v>
      </c>
      <c r="B1269" s="3">
        <v>1.0499999999999999E-6</v>
      </c>
      <c r="C1269" s="2">
        <v>6.6049999999999998E-2</v>
      </c>
      <c r="D1269" s="3">
        <v>241000</v>
      </c>
      <c r="E1269" s="3">
        <v>77800000000</v>
      </c>
      <c r="F1269" s="3">
        <v>72500000000</v>
      </c>
      <c r="G1269" s="3">
        <v>790000000</v>
      </c>
      <c r="H1269" s="3">
        <v>8650000000</v>
      </c>
      <c r="I1269" s="2"/>
      <c r="J1269" s="7">
        <f t="shared" si="338"/>
        <v>1.0499999999999998</v>
      </c>
      <c r="K1269" s="7">
        <f t="shared" si="339"/>
        <v>66.05</v>
      </c>
      <c r="L1269" s="7">
        <f t="shared" si="340"/>
        <v>77.800000000000011</v>
      </c>
      <c r="M1269" s="7">
        <f t="shared" si="341"/>
        <v>241</v>
      </c>
      <c r="O1269">
        <f t="shared" si="342"/>
        <v>0.84445020746887955</v>
      </c>
      <c r="P1269">
        <f t="shared" si="343"/>
        <v>844.45020746887951</v>
      </c>
      <c r="V1269">
        <f t="shared" si="344"/>
        <v>1265.2324391657955</v>
      </c>
      <c r="W1269">
        <f t="shared" si="345"/>
        <v>95.239417098291554</v>
      </c>
      <c r="AE1269">
        <f t="shared" si="346"/>
        <v>0.8172882280457956</v>
      </c>
      <c r="AF1269">
        <f t="shared" si="347"/>
        <v>0.79210112055131199</v>
      </c>
      <c r="AG1269">
        <f t="shared" si="348"/>
        <v>0.79413710804070337</v>
      </c>
      <c r="AI1269">
        <f t="shared" si="349"/>
        <v>0.53530686603194932</v>
      </c>
      <c r="AJ1269">
        <f t="shared" si="350"/>
        <v>31.47551386239579</v>
      </c>
      <c r="AL1269">
        <f t="shared" si="351"/>
        <v>0.5523284700007679</v>
      </c>
      <c r="AM1269">
        <f t="shared" si="352"/>
        <v>33.509045774179242</v>
      </c>
      <c r="AO1269">
        <f t="shared" si="353"/>
        <v>0.5509124250337587</v>
      </c>
      <c r="AP1269">
        <f t="shared" si="354"/>
        <v>33.337446835263954</v>
      </c>
    </row>
    <row r="1270" spans="1:42" x14ac:dyDescent="0.2">
      <c r="A1270" s="3">
        <v>1300</v>
      </c>
      <c r="B1270" s="3">
        <v>1.0499999999999999E-6</v>
      </c>
      <c r="C1270" s="2">
        <v>6.6100000000000006E-2</v>
      </c>
      <c r="D1270" s="3">
        <v>235000</v>
      </c>
      <c r="E1270" s="3">
        <v>75800000000</v>
      </c>
      <c r="F1270" s="3">
        <v>70800000000</v>
      </c>
      <c r="G1270" s="3">
        <v>2980000000</v>
      </c>
      <c r="H1270" s="3">
        <v>8680000000</v>
      </c>
      <c r="I1270" s="2"/>
      <c r="J1270" s="7">
        <f t="shared" si="338"/>
        <v>1.0499999999999998</v>
      </c>
      <c r="K1270" s="7">
        <f t="shared" si="339"/>
        <v>66.100000000000009</v>
      </c>
      <c r="L1270" s="7">
        <f t="shared" si="340"/>
        <v>75.800000000000011</v>
      </c>
      <c r="M1270" s="7">
        <f t="shared" si="341"/>
        <v>235</v>
      </c>
      <c r="O1270">
        <f t="shared" si="342"/>
        <v>0.83904255319148913</v>
      </c>
      <c r="P1270">
        <f t="shared" si="343"/>
        <v>839.04255319148911</v>
      </c>
      <c r="V1270">
        <f t="shared" si="344"/>
        <v>1261.6365613526316</v>
      </c>
      <c r="W1270">
        <f t="shared" si="345"/>
        <v>93.133001689508234</v>
      </c>
      <c r="AE1270">
        <f t="shared" si="346"/>
        <v>0.7969408032811699</v>
      </c>
      <c r="AF1270">
        <f t="shared" si="347"/>
        <v>0.77238076070356154</v>
      </c>
      <c r="AG1270">
        <f t="shared" si="348"/>
        <v>0.77436605970773975</v>
      </c>
      <c r="AI1270">
        <f t="shared" si="349"/>
        <v>0.54897427537744592</v>
      </c>
      <c r="AJ1270">
        <f t="shared" si="350"/>
        <v>33.128351628596299</v>
      </c>
      <c r="AL1270">
        <f t="shared" si="351"/>
        <v>0.56643047349014908</v>
      </c>
      <c r="AM1270">
        <f t="shared" si="352"/>
        <v>35.268668082715202</v>
      </c>
      <c r="AO1270">
        <f t="shared" si="353"/>
        <v>0.56497827418355684</v>
      </c>
      <c r="AP1270">
        <f t="shared" si="354"/>
        <v>35.088058164404359</v>
      </c>
    </row>
    <row r="1271" spans="1:42" x14ac:dyDescent="0.2">
      <c r="A1271" s="3">
        <v>1300</v>
      </c>
      <c r="B1271" s="3">
        <v>1.06E-6</v>
      </c>
      <c r="C1271" s="2">
        <v>6.615E-2</v>
      </c>
      <c r="D1271" s="3">
        <v>253000</v>
      </c>
      <c r="E1271" s="3">
        <v>81100000000</v>
      </c>
      <c r="F1271" s="3">
        <v>75400000000</v>
      </c>
      <c r="G1271" s="3">
        <v>7000000000</v>
      </c>
      <c r="H1271" s="3">
        <v>8540000000</v>
      </c>
      <c r="I1271" s="2"/>
      <c r="J1271" s="7">
        <f t="shared" si="338"/>
        <v>1.06</v>
      </c>
      <c r="K1271" s="7">
        <f t="shared" si="339"/>
        <v>66.150000000000006</v>
      </c>
      <c r="L1271" s="7">
        <f t="shared" si="340"/>
        <v>81.100000000000009</v>
      </c>
      <c r="M1271" s="7">
        <f t="shared" si="341"/>
        <v>253</v>
      </c>
      <c r="O1271">
        <f t="shared" si="342"/>
        <v>0.86390316205533602</v>
      </c>
      <c r="P1271">
        <f t="shared" si="343"/>
        <v>863.903162055336</v>
      </c>
      <c r="V1271">
        <f t="shared" si="344"/>
        <v>1278.0629244816375</v>
      </c>
      <c r="W1271">
        <f t="shared" si="345"/>
        <v>98.97791225835492</v>
      </c>
      <c r="AE1271">
        <f t="shared" si="346"/>
        <v>0.85798307757504677</v>
      </c>
      <c r="AF1271">
        <f t="shared" si="347"/>
        <v>0.83154184024681299</v>
      </c>
      <c r="AG1271">
        <f t="shared" si="348"/>
        <v>0.83367920470663048</v>
      </c>
      <c r="AI1271">
        <f t="shared" si="349"/>
        <v>0.51477316768877024</v>
      </c>
      <c r="AJ1271">
        <f t="shared" si="350"/>
        <v>28.603745047362871</v>
      </c>
      <c r="AL1271">
        <f t="shared" si="351"/>
        <v>0.53114184433049572</v>
      </c>
      <c r="AM1271">
        <f t="shared" si="352"/>
        <v>30.451741194609973</v>
      </c>
      <c r="AO1271">
        <f t="shared" si="353"/>
        <v>0.52978011706803696</v>
      </c>
      <c r="AP1271">
        <f t="shared" si="354"/>
        <v>30.295798631747008</v>
      </c>
    </row>
    <row r="1272" spans="1:42" x14ac:dyDescent="0.2">
      <c r="A1272" s="3">
        <v>1300</v>
      </c>
      <c r="B1272" s="3">
        <v>1.06E-6</v>
      </c>
      <c r="C1272" s="2">
        <v>6.6210000000000005E-2</v>
      </c>
      <c r="D1272" s="3">
        <v>235000</v>
      </c>
      <c r="E1272" s="3">
        <v>75700000000</v>
      </c>
      <c r="F1272" s="3">
        <v>70700000000</v>
      </c>
      <c r="G1272" s="3">
        <v>6650000000</v>
      </c>
      <c r="H1272" s="3">
        <v>8660000000</v>
      </c>
      <c r="I1272" s="2"/>
      <c r="J1272" s="7">
        <f t="shared" si="338"/>
        <v>1.06</v>
      </c>
      <c r="K1272" s="7">
        <f t="shared" si="339"/>
        <v>66.210000000000008</v>
      </c>
      <c r="L1272" s="7">
        <f t="shared" si="340"/>
        <v>75.7</v>
      </c>
      <c r="M1272" s="7">
        <f t="shared" si="341"/>
        <v>235</v>
      </c>
      <c r="O1272">
        <f t="shared" si="342"/>
        <v>0.84869148936170213</v>
      </c>
      <c r="P1272">
        <f t="shared" si="343"/>
        <v>848.69148936170211</v>
      </c>
      <c r="V1272">
        <f t="shared" si="344"/>
        <v>1268.0437601802466</v>
      </c>
      <c r="W1272">
        <f t="shared" si="345"/>
        <v>92.662417252302021</v>
      </c>
      <c r="AE1272">
        <f t="shared" si="346"/>
        <v>0.7969408032811699</v>
      </c>
      <c r="AF1272">
        <f t="shared" si="347"/>
        <v>0.77238076070356154</v>
      </c>
      <c r="AG1272">
        <f t="shared" si="348"/>
        <v>0.77436605970773975</v>
      </c>
      <c r="AI1272">
        <f t="shared" si="349"/>
        <v>0.55420260180961223</v>
      </c>
      <c r="AJ1272">
        <f t="shared" si="350"/>
        <v>33.183482017085645</v>
      </c>
      <c r="AL1272">
        <f t="shared" si="351"/>
        <v>0.57182504942815071</v>
      </c>
      <c r="AM1272">
        <f t="shared" si="352"/>
        <v>35.327360268631978</v>
      </c>
      <c r="AO1272">
        <f t="shared" si="353"/>
        <v>0.57035901965197178</v>
      </c>
      <c r="AP1272">
        <f t="shared" si="354"/>
        <v>35.146449789186271</v>
      </c>
    </row>
    <row r="1273" spans="1:42" x14ac:dyDescent="0.2">
      <c r="A1273" s="3">
        <v>1300</v>
      </c>
      <c r="B1273" s="3">
        <v>1.06E-6</v>
      </c>
      <c r="C1273" s="2">
        <v>6.6259999999999999E-2</v>
      </c>
      <c r="D1273" s="3">
        <v>264000</v>
      </c>
      <c r="E1273" s="3">
        <v>84500000000</v>
      </c>
      <c r="F1273" s="3">
        <v>78300000000</v>
      </c>
      <c r="G1273" s="2">
        <v>0</v>
      </c>
      <c r="H1273" s="3">
        <v>8460000000</v>
      </c>
      <c r="I1273" s="2"/>
      <c r="J1273" s="7">
        <f t="shared" si="338"/>
        <v>1.06</v>
      </c>
      <c r="K1273" s="7">
        <f t="shared" si="339"/>
        <v>66.260000000000005</v>
      </c>
      <c r="L1273" s="7">
        <f t="shared" si="340"/>
        <v>84.5</v>
      </c>
      <c r="M1273" s="7">
        <f t="shared" si="341"/>
        <v>264</v>
      </c>
      <c r="O1273">
        <f t="shared" si="342"/>
        <v>0.8717613636363637</v>
      </c>
      <c r="P1273">
        <f t="shared" si="343"/>
        <v>871.76136363636374</v>
      </c>
      <c r="V1273">
        <f t="shared" si="344"/>
        <v>1283.2002525621078</v>
      </c>
      <c r="W1273">
        <f t="shared" si="345"/>
        <v>102.86781017728261</v>
      </c>
      <c r="AE1273">
        <f t="shared" si="346"/>
        <v>0.89528668964352709</v>
      </c>
      <c r="AF1273">
        <f t="shared" si="347"/>
        <v>0.86769583330102229</v>
      </c>
      <c r="AG1273">
        <f t="shared" si="348"/>
        <v>0.86992612665039704</v>
      </c>
      <c r="AI1273">
        <f t="shared" si="349"/>
        <v>0.49332428570173814</v>
      </c>
      <c r="AJ1273">
        <f t="shared" si="350"/>
        <v>26.313442556832165</v>
      </c>
      <c r="AL1273">
        <f t="shared" si="351"/>
        <v>0.50901093415005838</v>
      </c>
      <c r="AM1273">
        <f t="shared" si="352"/>
        <v>28.013469612216532</v>
      </c>
      <c r="AO1273">
        <f t="shared" si="353"/>
        <v>0.50770594552353554</v>
      </c>
      <c r="AP1273">
        <f t="shared" si="354"/>
        <v>27.870013373767154</v>
      </c>
    </row>
    <row r="1274" spans="1:42" x14ac:dyDescent="0.2">
      <c r="A1274" s="3">
        <v>1300</v>
      </c>
      <c r="B1274" s="3">
        <v>1.06E-6</v>
      </c>
      <c r="C1274" s="2">
        <v>6.6309999999999994E-2</v>
      </c>
      <c r="D1274" s="3">
        <v>242000</v>
      </c>
      <c r="E1274" s="3">
        <v>77600000000</v>
      </c>
      <c r="F1274" s="3">
        <v>72400000000</v>
      </c>
      <c r="G1274" s="3">
        <v>2660000000</v>
      </c>
      <c r="H1274" s="3">
        <v>8580000000</v>
      </c>
      <c r="I1274" s="2"/>
      <c r="J1274" s="7">
        <f t="shared" si="338"/>
        <v>1.06</v>
      </c>
      <c r="K1274" s="7">
        <f t="shared" si="339"/>
        <v>66.309999999999988</v>
      </c>
      <c r="L1274" s="7">
        <f t="shared" si="340"/>
        <v>77.600000000000009</v>
      </c>
      <c r="M1274" s="7">
        <f t="shared" si="341"/>
        <v>242</v>
      </c>
      <c r="O1274">
        <f t="shared" si="342"/>
        <v>0.85449380165289268</v>
      </c>
      <c r="P1274">
        <f t="shared" si="343"/>
        <v>854.49380165289267</v>
      </c>
      <c r="V1274">
        <f t="shared" si="344"/>
        <v>1271.8771596643894</v>
      </c>
      <c r="W1274">
        <f t="shared" si="345"/>
        <v>95.134973594406162</v>
      </c>
      <c r="AE1274">
        <f t="shared" si="346"/>
        <v>0.82067946550656645</v>
      </c>
      <c r="AF1274">
        <f t="shared" si="347"/>
        <v>0.7953878471926038</v>
      </c>
      <c r="AG1274">
        <f t="shared" si="348"/>
        <v>0.79743228276286393</v>
      </c>
      <c r="AI1274">
        <f t="shared" si="349"/>
        <v>0.53817194803825974</v>
      </c>
      <c r="AJ1274">
        <f t="shared" si="350"/>
        <v>31.338801831985414</v>
      </c>
      <c r="AL1274">
        <f t="shared" si="351"/>
        <v>0.55528465543642735</v>
      </c>
      <c r="AM1274">
        <f t="shared" si="352"/>
        <v>33.363501218340367</v>
      </c>
      <c r="AO1274">
        <f t="shared" si="353"/>
        <v>0.55386103148022048</v>
      </c>
      <c r="AP1274">
        <f t="shared" si="354"/>
        <v>33.192647609253797</v>
      </c>
    </row>
    <row r="1275" spans="1:42" x14ac:dyDescent="0.2">
      <c r="A1275" s="3">
        <v>1300</v>
      </c>
      <c r="B1275" s="3">
        <v>1.06E-6</v>
      </c>
      <c r="C1275" s="2">
        <v>6.6360000000000002E-2</v>
      </c>
      <c r="D1275" s="3">
        <v>236000</v>
      </c>
      <c r="E1275" s="3">
        <v>75500000000</v>
      </c>
      <c r="F1275" s="3">
        <v>70500000000</v>
      </c>
      <c r="G1275" s="3">
        <v>8340000000</v>
      </c>
      <c r="H1275" s="3">
        <v>8620000000</v>
      </c>
      <c r="I1275" s="2"/>
      <c r="J1275" s="7">
        <f t="shared" si="338"/>
        <v>1.06</v>
      </c>
      <c r="K1275" s="7">
        <f t="shared" si="339"/>
        <v>66.36</v>
      </c>
      <c r="L1275" s="7">
        <f t="shared" si="340"/>
        <v>75.5</v>
      </c>
      <c r="M1275" s="7">
        <f t="shared" si="341"/>
        <v>236</v>
      </c>
      <c r="O1275">
        <f t="shared" si="342"/>
        <v>0.84911016949152551</v>
      </c>
      <c r="P1275">
        <f t="shared" si="343"/>
        <v>849.11016949152554</v>
      </c>
      <c r="V1275">
        <f t="shared" si="344"/>
        <v>1268.3208562860009</v>
      </c>
      <c r="W1275">
        <f t="shared" si="345"/>
        <v>93.036394864259421</v>
      </c>
      <c r="AE1275">
        <f t="shared" si="346"/>
        <v>0.80033204074194086</v>
      </c>
      <c r="AF1275">
        <f t="shared" si="347"/>
        <v>0.77566748734485325</v>
      </c>
      <c r="AG1275">
        <f t="shared" si="348"/>
        <v>0.77766123442990032</v>
      </c>
      <c r="AI1275">
        <f t="shared" si="349"/>
        <v>0.55185428570024941</v>
      </c>
      <c r="AJ1275">
        <f t="shared" si="350"/>
        <v>32.977403916543629</v>
      </c>
      <c r="AL1275">
        <f t="shared" si="351"/>
        <v>0.56940206193057374</v>
      </c>
      <c r="AM1275">
        <f t="shared" si="352"/>
        <v>35.1079681235408</v>
      </c>
      <c r="AO1275">
        <f t="shared" si="353"/>
        <v>0.56794224414497196</v>
      </c>
      <c r="AP1275">
        <f t="shared" si="354"/>
        <v>34.928181145479101</v>
      </c>
    </row>
    <row r="1276" spans="1:42" x14ac:dyDescent="0.2">
      <c r="A1276" s="3">
        <v>1300</v>
      </c>
      <c r="B1276" s="3">
        <v>1.0699999999999999E-6</v>
      </c>
      <c r="C1276" s="2">
        <v>6.6420000000000007E-2</v>
      </c>
      <c r="D1276" s="3">
        <v>238000</v>
      </c>
      <c r="E1276" s="3">
        <v>76000000000</v>
      </c>
      <c r="F1276" s="3">
        <v>71000000000</v>
      </c>
      <c r="G1276" s="3">
        <v>4690000000</v>
      </c>
      <c r="H1276" s="3">
        <v>8600000000</v>
      </c>
      <c r="I1276" s="2"/>
      <c r="J1276" s="7">
        <f t="shared" si="338"/>
        <v>1.0699999999999998</v>
      </c>
      <c r="K1276" s="7">
        <f t="shared" si="339"/>
        <v>66.42</v>
      </c>
      <c r="L1276" s="7">
        <f t="shared" si="340"/>
        <v>76</v>
      </c>
      <c r="M1276" s="7">
        <f t="shared" si="341"/>
        <v>238</v>
      </c>
      <c r="O1276">
        <f t="shared" si="342"/>
        <v>0.86069327731092415</v>
      </c>
      <c r="P1276">
        <f t="shared" si="343"/>
        <v>860.69327731092415</v>
      </c>
      <c r="V1276">
        <f t="shared" si="344"/>
        <v>1275.9569652264056</v>
      </c>
      <c r="W1276">
        <f t="shared" si="345"/>
        <v>93.263333516020793</v>
      </c>
      <c r="AE1276">
        <f t="shared" si="346"/>
        <v>0.8071145156634828</v>
      </c>
      <c r="AF1276">
        <f t="shared" si="347"/>
        <v>0.78224094062743676</v>
      </c>
      <c r="AG1276">
        <f t="shared" si="348"/>
        <v>0.78425158387422156</v>
      </c>
      <c r="AI1276">
        <f t="shared" si="349"/>
        <v>0.55237927788578944</v>
      </c>
      <c r="AJ1276">
        <f t="shared" si="350"/>
        <v>32.454808385578666</v>
      </c>
      <c r="AL1276">
        <f t="shared" si="351"/>
        <v>0.56994374773548617</v>
      </c>
      <c r="AM1276">
        <f t="shared" si="352"/>
        <v>34.551609372892798</v>
      </c>
      <c r="AO1276">
        <f t="shared" si="353"/>
        <v>0.56848254119029762</v>
      </c>
      <c r="AP1276">
        <f t="shared" si="354"/>
        <v>34.374671493307687</v>
      </c>
    </row>
    <row r="1277" spans="1:42" x14ac:dyDescent="0.2">
      <c r="A1277" s="3">
        <v>1300</v>
      </c>
      <c r="B1277" s="3">
        <v>1.0699999999999999E-6</v>
      </c>
      <c r="C1277" s="2">
        <v>6.6470000000000001E-2</v>
      </c>
      <c r="D1277" s="3">
        <v>244000</v>
      </c>
      <c r="E1277" s="3">
        <v>77900000000</v>
      </c>
      <c r="F1277" s="3">
        <v>72600000000</v>
      </c>
      <c r="G1277" s="3">
        <v>7130000000</v>
      </c>
      <c r="H1277" s="3">
        <v>8550000000</v>
      </c>
      <c r="I1277" s="2"/>
      <c r="J1277" s="7">
        <f t="shared" si="338"/>
        <v>1.0699999999999998</v>
      </c>
      <c r="K1277" s="7">
        <f t="shared" si="339"/>
        <v>66.47</v>
      </c>
      <c r="L1277" s="7">
        <f t="shared" si="340"/>
        <v>77.900000000000006</v>
      </c>
      <c r="M1277" s="7">
        <f t="shared" si="341"/>
        <v>244</v>
      </c>
      <c r="O1277">
        <f t="shared" si="342"/>
        <v>0.8656864754098359</v>
      </c>
      <c r="P1277">
        <f t="shared" si="343"/>
        <v>865.68647540983591</v>
      </c>
      <c r="V1277">
        <f t="shared" si="344"/>
        <v>1279.231047813802</v>
      </c>
      <c r="W1277">
        <f t="shared" si="345"/>
        <v>95.369792820849099</v>
      </c>
      <c r="AE1277">
        <f t="shared" si="346"/>
        <v>0.82746194042810839</v>
      </c>
      <c r="AF1277">
        <f t="shared" si="347"/>
        <v>0.80196130047518721</v>
      </c>
      <c r="AG1277">
        <f t="shared" si="348"/>
        <v>0.80402263220718506</v>
      </c>
      <c r="AI1277">
        <f t="shared" si="349"/>
        <v>0.53879618088859793</v>
      </c>
      <c r="AJ1277">
        <f t="shared" si="350"/>
        <v>30.901539643915246</v>
      </c>
      <c r="AL1277">
        <f t="shared" si="351"/>
        <v>0.55592873754526939</v>
      </c>
      <c r="AM1277">
        <f t="shared" si="352"/>
        <v>32.89798892394488</v>
      </c>
      <c r="AO1277">
        <f t="shared" si="353"/>
        <v>0.55450346230856906</v>
      </c>
      <c r="AP1277">
        <f t="shared" si="354"/>
        <v>32.729519191030391</v>
      </c>
    </row>
    <row r="1278" spans="1:42" x14ac:dyDescent="0.2">
      <c r="A1278" s="3">
        <v>1300</v>
      </c>
      <c r="B1278" s="3">
        <v>1.0699999999999999E-6</v>
      </c>
      <c r="C1278" s="2">
        <v>6.6519999999999996E-2</v>
      </c>
      <c r="D1278" s="3">
        <v>246000</v>
      </c>
      <c r="E1278" s="3">
        <v>78400000000</v>
      </c>
      <c r="F1278" s="3">
        <v>73000000000</v>
      </c>
      <c r="G1278" s="3">
        <v>2200000000</v>
      </c>
      <c r="H1278" s="3">
        <v>8530000000</v>
      </c>
      <c r="I1278" s="2"/>
      <c r="J1278" s="7">
        <f t="shared" si="338"/>
        <v>1.0699999999999998</v>
      </c>
      <c r="K1278" s="7">
        <f t="shared" si="339"/>
        <v>66.52</v>
      </c>
      <c r="L1278" s="7">
        <f t="shared" si="340"/>
        <v>78.400000000000006</v>
      </c>
      <c r="M1278" s="7">
        <f t="shared" si="341"/>
        <v>246</v>
      </c>
      <c r="O1278">
        <f t="shared" si="342"/>
        <v>0.86719512195121939</v>
      </c>
      <c r="P1278">
        <f t="shared" si="343"/>
        <v>867.19512195121945</v>
      </c>
      <c r="V1278">
        <f t="shared" si="344"/>
        <v>1280.2182101034941</v>
      </c>
      <c r="W1278">
        <f t="shared" si="345"/>
        <v>96.07737105228064</v>
      </c>
      <c r="AE1278">
        <f t="shared" si="346"/>
        <v>0.83424441534965021</v>
      </c>
      <c r="AF1278">
        <f t="shared" si="347"/>
        <v>0.80853475375777073</v>
      </c>
      <c r="AG1278">
        <f t="shared" si="348"/>
        <v>0.8106129816515063</v>
      </c>
      <c r="AI1278">
        <f t="shared" si="349"/>
        <v>0.5344157241334061</v>
      </c>
      <c r="AJ1278">
        <f t="shared" si="350"/>
        <v>30.423986421567157</v>
      </c>
      <c r="AL1278">
        <f t="shared" si="351"/>
        <v>0.55140899171156799</v>
      </c>
      <c r="AM1278">
        <f t="shared" si="352"/>
        <v>32.38958252088414</v>
      </c>
      <c r="AO1278">
        <f t="shared" si="353"/>
        <v>0.54999530407841801</v>
      </c>
      <c r="AP1278">
        <f t="shared" si="354"/>
        <v>32.223716323739986</v>
      </c>
    </row>
    <row r="1279" spans="1:42" x14ac:dyDescent="0.2">
      <c r="A1279" s="3">
        <v>1300</v>
      </c>
      <c r="B1279" s="3">
        <v>1.0699999999999999E-6</v>
      </c>
      <c r="C1279" s="2">
        <v>6.6570000000000004E-2</v>
      </c>
      <c r="D1279" s="3">
        <v>260000</v>
      </c>
      <c r="E1279" s="3">
        <v>82900000000</v>
      </c>
      <c r="F1279" s="3">
        <v>76900000000</v>
      </c>
      <c r="G1279" s="3">
        <v>4620000000</v>
      </c>
      <c r="H1279" s="3">
        <v>8430000000</v>
      </c>
      <c r="I1279" s="2"/>
      <c r="J1279" s="7">
        <f t="shared" si="338"/>
        <v>1.0699999999999998</v>
      </c>
      <c r="K1279" s="7">
        <f t="shared" si="339"/>
        <v>66.570000000000007</v>
      </c>
      <c r="L1279" s="7">
        <f t="shared" si="340"/>
        <v>82.9</v>
      </c>
      <c r="M1279" s="7">
        <f t="shared" si="341"/>
        <v>260</v>
      </c>
      <c r="O1279">
        <f t="shared" si="342"/>
        <v>0.87797115384615365</v>
      </c>
      <c r="P1279">
        <f t="shared" si="343"/>
        <v>877.9711538461537</v>
      </c>
      <c r="V1279">
        <f t="shared" si="344"/>
        <v>1287.2417086641169</v>
      </c>
      <c r="W1279">
        <f t="shared" si="345"/>
        <v>100.99113408538661</v>
      </c>
      <c r="AE1279">
        <f t="shared" si="346"/>
        <v>0.88172173980044333</v>
      </c>
      <c r="AF1279">
        <f t="shared" si="347"/>
        <v>0.85454892673585525</v>
      </c>
      <c r="AG1279">
        <f t="shared" si="348"/>
        <v>0.85674542776175466</v>
      </c>
      <c r="AI1279">
        <f t="shared" si="349"/>
        <v>0.50563949283391496</v>
      </c>
      <c r="AJ1279">
        <f t="shared" si="350"/>
        <v>27.256240537499682</v>
      </c>
      <c r="AL1279">
        <f t="shared" si="351"/>
        <v>0.52171773831171431</v>
      </c>
      <c r="AM1279">
        <f t="shared" si="352"/>
        <v>29.017178743959583</v>
      </c>
      <c r="AO1279">
        <f t="shared" si="353"/>
        <v>0.52038017232034939</v>
      </c>
      <c r="AP1279">
        <f t="shared" si="354"/>
        <v>28.868582537540142</v>
      </c>
    </row>
    <row r="1280" spans="1:42" x14ac:dyDescent="0.2">
      <c r="A1280" s="3">
        <v>1300</v>
      </c>
      <c r="B1280" s="3">
        <v>1.0699999999999999E-6</v>
      </c>
      <c r="C1280" s="2">
        <v>6.6619999999999999E-2</v>
      </c>
      <c r="D1280" s="3">
        <v>228000</v>
      </c>
      <c r="E1280" s="3">
        <v>72700000000</v>
      </c>
      <c r="F1280" s="3">
        <v>68100000000</v>
      </c>
      <c r="G1280" s="3">
        <v>12800000000</v>
      </c>
      <c r="H1280" s="3">
        <v>8650000000</v>
      </c>
      <c r="I1280" s="2"/>
      <c r="J1280" s="7">
        <f t="shared" si="338"/>
        <v>1.0699999999999998</v>
      </c>
      <c r="K1280" s="7">
        <f t="shared" si="339"/>
        <v>66.62</v>
      </c>
      <c r="L1280" s="7">
        <f t="shared" si="340"/>
        <v>72.7</v>
      </c>
      <c r="M1280" s="7">
        <f t="shared" si="341"/>
        <v>228</v>
      </c>
      <c r="O1280">
        <f t="shared" si="342"/>
        <v>0.8508552631578945</v>
      </c>
      <c r="P1280">
        <f t="shared" si="343"/>
        <v>850.85526315789446</v>
      </c>
      <c r="V1280">
        <f t="shared" si="344"/>
        <v>1269.4749970769751</v>
      </c>
      <c r="W1280">
        <f t="shared" si="345"/>
        <v>89.800902154426254</v>
      </c>
      <c r="AE1280">
        <f t="shared" si="346"/>
        <v>0.77320214105577334</v>
      </c>
      <c r="AF1280">
        <f t="shared" si="347"/>
        <v>0.74937367421451928</v>
      </c>
      <c r="AG1280">
        <f t="shared" si="348"/>
        <v>0.75129983665261557</v>
      </c>
      <c r="AI1280">
        <f t="shared" si="349"/>
        <v>0.57660643919656973</v>
      </c>
      <c r="AJ1280">
        <f t="shared" si="350"/>
        <v>35.470640165866392</v>
      </c>
      <c r="AL1280">
        <f t="shared" si="351"/>
        <v>0.59494128053090223</v>
      </c>
      <c r="AM1280">
        <f t="shared" si="352"/>
        <v>37.762284363448565</v>
      </c>
      <c r="AO1280">
        <f t="shared" si="353"/>
        <v>0.59341598597934575</v>
      </c>
      <c r="AP1280">
        <f t="shared" si="354"/>
        <v>37.568904701984799</v>
      </c>
    </row>
    <row r="1281" spans="1:42" x14ac:dyDescent="0.2">
      <c r="A1281" s="3">
        <v>1300</v>
      </c>
      <c r="B1281" s="3">
        <v>1.08E-6</v>
      </c>
      <c r="C1281" s="2">
        <v>6.6680000000000003E-2</v>
      </c>
      <c r="D1281" s="3">
        <v>246000</v>
      </c>
      <c r="E1281" s="3">
        <v>78300000000</v>
      </c>
      <c r="F1281" s="3">
        <v>73000000000</v>
      </c>
      <c r="G1281" s="3">
        <v>3120000000</v>
      </c>
      <c r="H1281" s="3">
        <v>8510000000</v>
      </c>
      <c r="I1281" s="2"/>
      <c r="J1281" s="7">
        <f t="shared" si="338"/>
        <v>1.08</v>
      </c>
      <c r="K1281" s="7">
        <f t="shared" si="339"/>
        <v>66.680000000000007</v>
      </c>
      <c r="L1281" s="7">
        <f t="shared" si="340"/>
        <v>78.300000000000011</v>
      </c>
      <c r="M1281" s="7">
        <f t="shared" si="341"/>
        <v>246</v>
      </c>
      <c r="O1281">
        <f t="shared" si="342"/>
        <v>0.87670731707317073</v>
      </c>
      <c r="P1281">
        <f t="shared" si="343"/>
        <v>876.70731707317077</v>
      </c>
      <c r="V1281">
        <f t="shared" si="344"/>
        <v>1286.4204719173956</v>
      </c>
      <c r="W1281">
        <f t="shared" si="345"/>
        <v>95.614150027222308</v>
      </c>
      <c r="AE1281">
        <f t="shared" si="346"/>
        <v>0.83424441534965021</v>
      </c>
      <c r="AF1281">
        <f t="shared" si="347"/>
        <v>0.80853475375777073</v>
      </c>
      <c r="AG1281">
        <f t="shared" si="348"/>
        <v>0.8106129816515063</v>
      </c>
      <c r="AI1281">
        <f t="shared" si="349"/>
        <v>0.53941026361128852</v>
      </c>
      <c r="AJ1281">
        <f t="shared" si="350"/>
        <v>30.497164981811462</v>
      </c>
      <c r="AL1281">
        <f t="shared" si="351"/>
        <v>0.55656234677429306</v>
      </c>
      <c r="AM1281">
        <f t="shared" si="352"/>
        <v>32.46748891299692</v>
      </c>
      <c r="AO1281">
        <f t="shared" si="353"/>
        <v>0.55513544710718843</v>
      </c>
      <c r="AP1281">
        <f t="shared" si="354"/>
        <v>32.301223759275146</v>
      </c>
    </row>
    <row r="1282" spans="1:42" x14ac:dyDescent="0.2">
      <c r="A1282" s="3">
        <v>1300</v>
      </c>
      <c r="B1282" s="3">
        <v>1.08E-6</v>
      </c>
      <c r="C1282" s="2">
        <v>6.6729999999999998E-2</v>
      </c>
      <c r="D1282" s="3">
        <v>232000</v>
      </c>
      <c r="E1282" s="3">
        <v>74000000000</v>
      </c>
      <c r="F1282" s="3">
        <v>69200000000</v>
      </c>
      <c r="G1282" s="3">
        <v>1770000000</v>
      </c>
      <c r="H1282" s="3">
        <v>8600000000</v>
      </c>
      <c r="I1282" s="2"/>
      <c r="J1282" s="7">
        <f t="shared" si="338"/>
        <v>1.08</v>
      </c>
      <c r="K1282" s="7">
        <f t="shared" si="339"/>
        <v>66.73</v>
      </c>
      <c r="L1282" s="7">
        <f t="shared" si="340"/>
        <v>74</v>
      </c>
      <c r="M1282" s="7">
        <f t="shared" si="341"/>
        <v>232</v>
      </c>
      <c r="O1282">
        <f t="shared" si="342"/>
        <v>0.86427801724137931</v>
      </c>
      <c r="P1282">
        <f t="shared" si="343"/>
        <v>864.2780172413793</v>
      </c>
      <c r="V1282">
        <f t="shared" si="344"/>
        <v>1278.3085771907979</v>
      </c>
      <c r="W1282">
        <f t="shared" si="345"/>
        <v>90.744912511594663</v>
      </c>
      <c r="AE1282">
        <f t="shared" si="346"/>
        <v>0.7867670908988571</v>
      </c>
      <c r="AF1282">
        <f t="shared" si="347"/>
        <v>0.76252058077968621</v>
      </c>
      <c r="AG1282">
        <f t="shared" si="348"/>
        <v>0.76448053554125794</v>
      </c>
      <c r="AI1282">
        <f t="shared" si="349"/>
        <v>0.57196088296714209</v>
      </c>
      <c r="AJ1282">
        <f t="shared" si="350"/>
        <v>34.314624221290174</v>
      </c>
      <c r="AL1282">
        <f t="shared" si="351"/>
        <v>0.59014800563136249</v>
      </c>
      <c r="AM1282">
        <f t="shared" si="352"/>
        <v>36.531581939595057</v>
      </c>
      <c r="AO1282">
        <f t="shared" si="353"/>
        <v>0.58863499994986357</v>
      </c>
      <c r="AP1282">
        <f t="shared" si="354"/>
        <v>36.344504672758603</v>
      </c>
    </row>
    <row r="1283" spans="1:42" x14ac:dyDescent="0.2">
      <c r="A1283" s="3">
        <v>1300</v>
      </c>
      <c r="B1283" s="3">
        <v>1.08E-6</v>
      </c>
      <c r="C1283" s="2">
        <v>6.6780000000000006E-2</v>
      </c>
      <c r="D1283" s="3">
        <v>218000</v>
      </c>
      <c r="E1283" s="3">
        <v>69600000000</v>
      </c>
      <c r="F1283" s="3">
        <v>65400000000</v>
      </c>
      <c r="G1283" s="3">
        <v>2670000000</v>
      </c>
      <c r="H1283" s="3">
        <v>8720000000</v>
      </c>
      <c r="I1283" s="2"/>
      <c r="J1283" s="7">
        <f t="shared" si="338"/>
        <v>1.08</v>
      </c>
      <c r="K1283" s="7">
        <f t="shared" si="339"/>
        <v>66.78</v>
      </c>
      <c r="L1283" s="7">
        <f t="shared" si="340"/>
        <v>69.600000000000009</v>
      </c>
      <c r="M1283" s="7">
        <f t="shared" si="341"/>
        <v>218</v>
      </c>
      <c r="O1283">
        <f t="shared" si="342"/>
        <v>0.85025229357798171</v>
      </c>
      <c r="P1283">
        <f t="shared" si="343"/>
        <v>850.25229357798173</v>
      </c>
      <c r="V1283">
        <f t="shared" si="344"/>
        <v>1269.0763643683094</v>
      </c>
      <c r="W1283">
        <f t="shared" si="345"/>
        <v>85.889236503317449</v>
      </c>
      <c r="AE1283">
        <f t="shared" si="346"/>
        <v>0.73928976644806399</v>
      </c>
      <c r="AF1283">
        <f t="shared" si="347"/>
        <v>0.71650640780160169</v>
      </c>
      <c r="AG1283">
        <f t="shared" si="348"/>
        <v>0.71834808943100958</v>
      </c>
      <c r="AI1283">
        <f t="shared" si="349"/>
        <v>0.6086923158182429</v>
      </c>
      <c r="AJ1283">
        <f t="shared" si="350"/>
        <v>38.892648601425428</v>
      </c>
      <c r="AL1283">
        <f t="shared" si="351"/>
        <v>0.62804741883704629</v>
      </c>
      <c r="AM1283">
        <f t="shared" si="352"/>
        <v>41.405377779113856</v>
      </c>
      <c r="AO1283">
        <f t="shared" si="353"/>
        <v>0.62643724765306585</v>
      </c>
      <c r="AP1283">
        <f t="shared" si="354"/>
        <v>41.193341932430421</v>
      </c>
    </row>
    <row r="1284" spans="1:42" x14ac:dyDescent="0.2">
      <c r="A1284" s="3">
        <v>1300</v>
      </c>
      <c r="B1284" s="3">
        <v>1.08E-6</v>
      </c>
      <c r="C1284" s="2">
        <v>6.6830000000000001E-2</v>
      </c>
      <c r="D1284" s="3">
        <v>244000</v>
      </c>
      <c r="E1284" s="3">
        <v>77400000000</v>
      </c>
      <c r="F1284" s="3">
        <v>72200000000</v>
      </c>
      <c r="G1284" s="2">
        <v>0</v>
      </c>
      <c r="H1284" s="3">
        <v>8510000000</v>
      </c>
      <c r="I1284" s="2"/>
      <c r="J1284" s="7">
        <f t="shared" si="338"/>
        <v>1.08</v>
      </c>
      <c r="K1284" s="7">
        <f t="shared" si="339"/>
        <v>66.83</v>
      </c>
      <c r="L1284" s="7">
        <f t="shared" si="340"/>
        <v>77.400000000000006</v>
      </c>
      <c r="M1284" s="7">
        <f t="shared" si="341"/>
        <v>244</v>
      </c>
      <c r="O1284">
        <f t="shared" si="342"/>
        <v>0.87457991803278701</v>
      </c>
      <c r="P1284">
        <f t="shared" si="343"/>
        <v>874.57991803278696</v>
      </c>
      <c r="V1284">
        <f t="shared" si="344"/>
        <v>1285.036604893442</v>
      </c>
      <c r="W1284">
        <f t="shared" si="345"/>
        <v>94.938929782561715</v>
      </c>
      <c r="AE1284">
        <f t="shared" si="346"/>
        <v>0.82746194042810839</v>
      </c>
      <c r="AF1284">
        <f t="shared" si="347"/>
        <v>0.80196130047518721</v>
      </c>
      <c r="AG1284">
        <f t="shared" si="348"/>
        <v>0.80402263220718506</v>
      </c>
      <c r="AI1284">
        <f t="shared" si="349"/>
        <v>0.5438316592146597</v>
      </c>
      <c r="AJ1284">
        <f t="shared" si="350"/>
        <v>31.068901675987</v>
      </c>
      <c r="AL1284">
        <f t="shared" si="351"/>
        <v>0.56112433322326272</v>
      </c>
      <c r="AM1284">
        <f t="shared" si="352"/>
        <v>33.076163679663551</v>
      </c>
      <c r="AO1284">
        <f t="shared" si="353"/>
        <v>0.55968573765724738</v>
      </c>
      <c r="AP1284">
        <f t="shared" si="354"/>
        <v>32.906781518528071</v>
      </c>
    </row>
    <row r="1285" spans="1:42" x14ac:dyDescent="0.2">
      <c r="A1285" s="3">
        <v>1300</v>
      </c>
      <c r="B1285" s="3">
        <v>1.08E-6</v>
      </c>
      <c r="C1285" s="2">
        <v>6.6879999999999995E-2</v>
      </c>
      <c r="D1285" s="3">
        <v>239000</v>
      </c>
      <c r="E1285" s="3">
        <v>75900000000</v>
      </c>
      <c r="F1285" s="3">
        <v>70900000000</v>
      </c>
      <c r="G1285" s="3">
        <v>3040000000</v>
      </c>
      <c r="H1285" s="3">
        <v>8540000000</v>
      </c>
      <c r="I1285" s="2"/>
      <c r="J1285" s="7">
        <f t="shared" ref="J1285:J1348" si="355">B1285*(10^6)</f>
        <v>1.08</v>
      </c>
      <c r="K1285" s="7">
        <f t="shared" ref="K1285:K1348" si="356">C1285*1000</f>
        <v>66.88</v>
      </c>
      <c r="L1285" s="7">
        <f t="shared" ref="L1285:L1348" si="357">E1285*(10^-9)</f>
        <v>75.900000000000006</v>
      </c>
      <c r="M1285" s="7">
        <f t="shared" ref="M1285:M1348" si="358">D1285*(10^-3)</f>
        <v>239</v>
      </c>
      <c r="O1285">
        <f t="shared" ref="O1285:O1348" si="359">J1285-(0.75*(K1285/M1285))</f>
        <v>0.87012552301255242</v>
      </c>
      <c r="P1285">
        <f t="shared" ref="P1285:P1348" si="360">O1285*1000</f>
        <v>870.12552301255243</v>
      </c>
      <c r="V1285">
        <f t="shared" ref="V1285:V1348" si="361">$S$3*(P1285^$S$4)</f>
        <v>1282.132948268242</v>
      </c>
      <c r="W1285">
        <f t="shared" ref="W1285:W1348" si="362">M1285/(2*(V1285/1000))</f>
        <v>93.204062933884416</v>
      </c>
      <c r="AE1285">
        <f t="shared" si="346"/>
        <v>0.81050575312425366</v>
      </c>
      <c r="AF1285">
        <f t="shared" si="347"/>
        <v>0.78552766726872847</v>
      </c>
      <c r="AG1285">
        <f t="shared" si="348"/>
        <v>0.78754675859638212</v>
      </c>
      <c r="AI1285">
        <f t="shared" si="349"/>
        <v>0.55520889057898315</v>
      </c>
      <c r="AJ1285">
        <f t="shared" si="350"/>
        <v>32.406681049508627</v>
      </c>
      <c r="AL1285">
        <f t="shared" si="351"/>
        <v>0.57286333601036021</v>
      </c>
      <c r="AM1285">
        <f t="shared" si="352"/>
        <v>34.500372684131783</v>
      </c>
      <c r="AO1285">
        <f t="shared" si="353"/>
        <v>0.57139464430279641</v>
      </c>
      <c r="AP1285">
        <f t="shared" si="354"/>
        <v>34.323697186277393</v>
      </c>
    </row>
    <row r="1286" spans="1:42" x14ac:dyDescent="0.2">
      <c r="A1286" s="3">
        <v>1300</v>
      </c>
      <c r="B1286" s="3">
        <v>1.08E-6</v>
      </c>
      <c r="C1286" s="2">
        <v>6.694E-2</v>
      </c>
      <c r="D1286" s="3">
        <v>242000</v>
      </c>
      <c r="E1286" s="3">
        <v>76900000000</v>
      </c>
      <c r="F1286" s="3">
        <v>71800000000</v>
      </c>
      <c r="G1286" s="3">
        <v>7150000000</v>
      </c>
      <c r="H1286" s="3">
        <v>8510000000</v>
      </c>
      <c r="I1286" s="2"/>
      <c r="J1286" s="7">
        <f t="shared" si="355"/>
        <v>1.08</v>
      </c>
      <c r="K1286" s="7">
        <f t="shared" si="356"/>
        <v>66.94</v>
      </c>
      <c r="L1286" s="7">
        <f t="shared" si="357"/>
        <v>76.900000000000006</v>
      </c>
      <c r="M1286" s="7">
        <f t="shared" si="358"/>
        <v>242</v>
      </c>
      <c r="O1286">
        <f t="shared" si="359"/>
        <v>0.87254132231404968</v>
      </c>
      <c r="P1286">
        <f t="shared" si="360"/>
        <v>872.54132231404969</v>
      </c>
      <c r="V1286">
        <f t="shared" si="361"/>
        <v>1283.7087439160873</v>
      </c>
      <c r="W1286">
        <f t="shared" si="362"/>
        <v>94.258141165944622</v>
      </c>
      <c r="AE1286">
        <f t="shared" si="346"/>
        <v>0.82067946550656645</v>
      </c>
      <c r="AF1286">
        <f t="shared" si="347"/>
        <v>0.7953878471926038</v>
      </c>
      <c r="AG1286">
        <f t="shared" si="348"/>
        <v>0.79743228276286393</v>
      </c>
      <c r="AI1286">
        <f t="shared" si="349"/>
        <v>0.54832613573709488</v>
      </c>
      <c r="AJ1286">
        <f t="shared" si="350"/>
        <v>31.636546442966427</v>
      </c>
      <c r="AL1286">
        <f t="shared" si="351"/>
        <v>0.56576172440692596</v>
      </c>
      <c r="AM1286">
        <f t="shared" si="352"/>
        <v>33.680482152853337</v>
      </c>
      <c r="AO1286">
        <f t="shared" si="353"/>
        <v>0.56431123962135676</v>
      </c>
      <c r="AP1286">
        <f t="shared" si="354"/>
        <v>33.508005292768047</v>
      </c>
    </row>
    <row r="1287" spans="1:42" x14ac:dyDescent="0.2">
      <c r="A1287" s="3">
        <v>1300</v>
      </c>
      <c r="B1287" s="3">
        <v>1.08E-6</v>
      </c>
      <c r="C1287" s="2">
        <v>6.6989999999999994E-2</v>
      </c>
      <c r="D1287" s="3">
        <v>218000</v>
      </c>
      <c r="E1287" s="3">
        <v>69600000000</v>
      </c>
      <c r="F1287" s="3">
        <v>65400000000</v>
      </c>
      <c r="G1287" s="3">
        <v>4690000000</v>
      </c>
      <c r="H1287" s="3">
        <v>8690000000</v>
      </c>
      <c r="I1287" s="2"/>
      <c r="J1287" s="7">
        <f t="shared" si="355"/>
        <v>1.08</v>
      </c>
      <c r="K1287" s="7">
        <f t="shared" si="356"/>
        <v>66.989999999999995</v>
      </c>
      <c r="L1287" s="7">
        <f t="shared" si="357"/>
        <v>69.600000000000009</v>
      </c>
      <c r="M1287" s="7">
        <f t="shared" si="358"/>
        <v>218</v>
      </c>
      <c r="O1287">
        <f t="shared" si="359"/>
        <v>0.84952981651376158</v>
      </c>
      <c r="P1287">
        <f t="shared" si="360"/>
        <v>849.5298165137616</v>
      </c>
      <c r="V1287">
        <f t="shared" si="361"/>
        <v>1268.5985159586137</v>
      </c>
      <c r="W1287">
        <f t="shared" si="362"/>
        <v>85.921588768085854</v>
      </c>
      <c r="AE1287">
        <f t="shared" si="346"/>
        <v>0.73928976644806399</v>
      </c>
      <c r="AF1287">
        <f t="shared" si="347"/>
        <v>0.71650640780160169</v>
      </c>
      <c r="AG1287">
        <f t="shared" si="348"/>
        <v>0.71834808943100958</v>
      </c>
      <c r="AI1287">
        <f t="shared" si="349"/>
        <v>0.6086923158182429</v>
      </c>
      <c r="AJ1287">
        <f t="shared" si="350"/>
        <v>39.014952527845004</v>
      </c>
      <c r="AL1287">
        <f t="shared" si="351"/>
        <v>0.62804741883704629</v>
      </c>
      <c r="AM1287">
        <f t="shared" si="352"/>
        <v>41.535583369614208</v>
      </c>
      <c r="AO1287">
        <f t="shared" si="353"/>
        <v>0.62643724765306585</v>
      </c>
      <c r="AP1287">
        <f t="shared" si="354"/>
        <v>41.32288074353869</v>
      </c>
    </row>
    <row r="1288" spans="1:42" x14ac:dyDescent="0.2">
      <c r="A1288" s="3">
        <v>1300</v>
      </c>
      <c r="B1288" s="3">
        <v>1.0899999999999999E-6</v>
      </c>
      <c r="C1288" s="2">
        <v>6.7040000000000002E-2</v>
      </c>
      <c r="D1288" s="3">
        <v>256000</v>
      </c>
      <c r="E1288" s="3">
        <v>81100000000</v>
      </c>
      <c r="F1288" s="3">
        <v>75400000000</v>
      </c>
      <c r="G1288" s="3">
        <v>7830000000</v>
      </c>
      <c r="H1288" s="3">
        <v>8410000000</v>
      </c>
      <c r="I1288" s="2"/>
      <c r="J1288" s="7">
        <f t="shared" si="355"/>
        <v>1.0899999999999999</v>
      </c>
      <c r="K1288" s="7">
        <f t="shared" si="356"/>
        <v>67.040000000000006</v>
      </c>
      <c r="L1288" s="7">
        <f t="shared" si="357"/>
        <v>81.100000000000009</v>
      </c>
      <c r="M1288" s="7">
        <f t="shared" si="358"/>
        <v>256</v>
      </c>
      <c r="O1288">
        <f t="shared" si="359"/>
        <v>0.89359374999999985</v>
      </c>
      <c r="P1288">
        <f t="shared" si="360"/>
        <v>893.59374999999989</v>
      </c>
      <c r="V1288">
        <f t="shared" si="361"/>
        <v>1297.3393205022301</v>
      </c>
      <c r="W1288">
        <f t="shared" si="362"/>
        <v>98.663470671996777</v>
      </c>
      <c r="AE1288">
        <f t="shared" si="346"/>
        <v>0.86815678995735956</v>
      </c>
      <c r="AF1288">
        <f t="shared" si="347"/>
        <v>0.84140202017068833</v>
      </c>
      <c r="AG1288">
        <f t="shared" si="348"/>
        <v>0.84356472887311218</v>
      </c>
      <c r="AI1288">
        <f t="shared" si="349"/>
        <v>0.52313899046849999</v>
      </c>
      <c r="AJ1288">
        <f t="shared" si="350"/>
        <v>28.313148528758642</v>
      </c>
      <c r="AL1288">
        <f t="shared" si="351"/>
        <v>0.53977368223400934</v>
      </c>
      <c r="AM1288">
        <f t="shared" si="352"/>
        <v>30.142370167776306</v>
      </c>
      <c r="AO1288">
        <f t="shared" si="353"/>
        <v>0.53838982489627263</v>
      </c>
      <c r="AP1288">
        <f t="shared" si="354"/>
        <v>29.988011885775713</v>
      </c>
    </row>
    <row r="1289" spans="1:42" x14ac:dyDescent="0.2">
      <c r="A1289" s="3">
        <v>1300</v>
      </c>
      <c r="B1289" s="3">
        <v>1.0899999999999999E-6</v>
      </c>
      <c r="C1289" s="2">
        <v>6.7089999999999997E-2</v>
      </c>
      <c r="D1289" s="3">
        <v>256000</v>
      </c>
      <c r="E1289" s="3">
        <v>80900000000</v>
      </c>
      <c r="F1289" s="3">
        <v>75300000000</v>
      </c>
      <c r="G1289" s="3">
        <v>5020000000</v>
      </c>
      <c r="H1289" s="3">
        <v>8410000000</v>
      </c>
      <c r="I1289" s="2"/>
      <c r="J1289" s="7">
        <f t="shared" si="355"/>
        <v>1.0899999999999999</v>
      </c>
      <c r="K1289" s="7">
        <f t="shared" si="356"/>
        <v>67.09</v>
      </c>
      <c r="L1289" s="7">
        <f t="shared" si="357"/>
        <v>80.900000000000006</v>
      </c>
      <c r="M1289" s="7">
        <f t="shared" si="358"/>
        <v>256</v>
      </c>
      <c r="O1289">
        <f t="shared" si="359"/>
        <v>0.89344726562499988</v>
      </c>
      <c r="P1289">
        <f t="shared" si="360"/>
        <v>893.44726562499989</v>
      </c>
      <c r="V1289">
        <f t="shared" si="361"/>
        <v>1297.2450994561952</v>
      </c>
      <c r="W1289">
        <f t="shared" si="362"/>
        <v>98.670636762210592</v>
      </c>
      <c r="AE1289">
        <f t="shared" si="346"/>
        <v>0.86815678995735956</v>
      </c>
      <c r="AF1289">
        <f t="shared" si="347"/>
        <v>0.84140202017068833</v>
      </c>
      <c r="AG1289">
        <f t="shared" si="348"/>
        <v>0.84356472887311218</v>
      </c>
      <c r="AI1289">
        <f t="shared" si="349"/>
        <v>0.52313899046849999</v>
      </c>
      <c r="AJ1289">
        <f t="shared" si="350"/>
        <v>28.334265137148229</v>
      </c>
      <c r="AL1289">
        <f t="shared" si="351"/>
        <v>0.53977368223400934</v>
      </c>
      <c r="AM1289">
        <f t="shared" si="352"/>
        <v>30.164851052447975</v>
      </c>
      <c r="AO1289">
        <f t="shared" si="353"/>
        <v>0.53838982489627263</v>
      </c>
      <c r="AP1289">
        <f t="shared" si="354"/>
        <v>30.010377646430378</v>
      </c>
    </row>
    <row r="1290" spans="1:42" x14ac:dyDescent="0.2">
      <c r="A1290" s="3">
        <v>1300</v>
      </c>
      <c r="B1290" s="3">
        <v>1.0899999999999999E-6</v>
      </c>
      <c r="C1290" s="2">
        <v>6.7140000000000005E-2</v>
      </c>
      <c r="D1290" s="3">
        <v>254000</v>
      </c>
      <c r="E1290" s="3">
        <v>80400000000</v>
      </c>
      <c r="F1290" s="3">
        <v>74800000000</v>
      </c>
      <c r="G1290" s="3">
        <v>3880000000</v>
      </c>
      <c r="H1290" s="3">
        <v>8410000000</v>
      </c>
      <c r="I1290" s="2"/>
      <c r="J1290" s="7">
        <f t="shared" si="355"/>
        <v>1.0899999999999999</v>
      </c>
      <c r="K1290" s="7">
        <f t="shared" si="356"/>
        <v>67.14</v>
      </c>
      <c r="L1290" s="7">
        <f t="shared" si="357"/>
        <v>80.400000000000006</v>
      </c>
      <c r="M1290" s="7">
        <f t="shared" si="358"/>
        <v>254</v>
      </c>
      <c r="O1290">
        <f t="shared" si="359"/>
        <v>0.89175196850393679</v>
      </c>
      <c r="P1290">
        <f t="shared" si="360"/>
        <v>891.75196850393684</v>
      </c>
      <c r="V1290">
        <f t="shared" si="361"/>
        <v>1296.1540311729436</v>
      </c>
      <c r="W1290">
        <f t="shared" si="362"/>
        <v>97.982181859259754</v>
      </c>
      <c r="AE1290">
        <f t="shared" si="346"/>
        <v>0.86137431503581774</v>
      </c>
      <c r="AF1290">
        <f t="shared" si="347"/>
        <v>0.83482856688810481</v>
      </c>
      <c r="AG1290">
        <f t="shared" si="348"/>
        <v>0.83697437942879105</v>
      </c>
      <c r="AI1290">
        <f t="shared" si="349"/>
        <v>0.52725819511785821</v>
      </c>
      <c r="AJ1290">
        <f t="shared" si="350"/>
        <v>28.80368122753373</v>
      </c>
      <c r="AL1290">
        <f t="shared" si="351"/>
        <v>0.54402386870829278</v>
      </c>
      <c r="AM1290">
        <f t="shared" si="352"/>
        <v>30.664594609570859</v>
      </c>
      <c r="AO1290">
        <f t="shared" si="353"/>
        <v>0.54262911485608589</v>
      </c>
      <c r="AP1290">
        <f t="shared" si="354"/>
        <v>30.507562029988296</v>
      </c>
    </row>
    <row r="1291" spans="1:42" x14ac:dyDescent="0.2">
      <c r="A1291" s="3">
        <v>1300</v>
      </c>
      <c r="B1291" s="3">
        <v>1.0899999999999999E-6</v>
      </c>
      <c r="C1291" s="2">
        <v>6.7199999999999996E-2</v>
      </c>
      <c r="D1291" s="3">
        <v>259000</v>
      </c>
      <c r="E1291" s="3">
        <v>81800000000</v>
      </c>
      <c r="F1291" s="3">
        <v>76000000000</v>
      </c>
      <c r="G1291" s="3">
        <v>1350000000</v>
      </c>
      <c r="H1291" s="3">
        <v>8380000000</v>
      </c>
      <c r="I1291" s="2"/>
      <c r="J1291" s="7">
        <f t="shared" si="355"/>
        <v>1.0899999999999999</v>
      </c>
      <c r="K1291" s="7">
        <f t="shared" si="356"/>
        <v>67.2</v>
      </c>
      <c r="L1291" s="7">
        <f t="shared" si="357"/>
        <v>81.800000000000011</v>
      </c>
      <c r="M1291" s="7">
        <f t="shared" si="358"/>
        <v>259</v>
      </c>
      <c r="O1291">
        <f t="shared" si="359"/>
        <v>0.89540540540540525</v>
      </c>
      <c r="P1291">
        <f t="shared" si="360"/>
        <v>895.4054054054053</v>
      </c>
      <c r="V1291">
        <f t="shared" si="361"/>
        <v>1298.5038952505463</v>
      </c>
      <c r="W1291">
        <f t="shared" si="362"/>
        <v>99.730159049706188</v>
      </c>
      <c r="AE1291">
        <f t="shared" si="346"/>
        <v>0.87833050233967236</v>
      </c>
      <c r="AF1291">
        <f t="shared" si="347"/>
        <v>0.85126220009456355</v>
      </c>
      <c r="AG1291">
        <f t="shared" si="348"/>
        <v>0.85345025303959399</v>
      </c>
      <c r="AI1291">
        <f t="shared" si="349"/>
        <v>0.51707946548237826</v>
      </c>
      <c r="AJ1291">
        <f t="shared" si="350"/>
        <v>27.727060952169325</v>
      </c>
      <c r="AL1291">
        <f t="shared" si="351"/>
        <v>0.53352147742048794</v>
      </c>
      <c r="AM1291">
        <f t="shared" si="352"/>
        <v>29.518417354250598</v>
      </c>
      <c r="AO1291">
        <f t="shared" si="353"/>
        <v>0.53215364931832354</v>
      </c>
      <c r="AP1291">
        <f t="shared" si="354"/>
        <v>29.367254318138404</v>
      </c>
    </row>
    <row r="1292" spans="1:42" x14ac:dyDescent="0.2">
      <c r="A1292" s="3">
        <v>1300</v>
      </c>
      <c r="B1292" s="3">
        <v>1.0899999999999999E-6</v>
      </c>
      <c r="C1292" s="2">
        <v>6.7250000000000004E-2</v>
      </c>
      <c r="D1292" s="3">
        <v>258000</v>
      </c>
      <c r="E1292" s="3">
        <v>81300000000</v>
      </c>
      <c r="F1292" s="3">
        <v>75600000000</v>
      </c>
      <c r="G1292" s="3">
        <v>8820000000</v>
      </c>
      <c r="H1292" s="3">
        <v>8380000000</v>
      </c>
      <c r="I1292" s="2"/>
      <c r="J1292" s="7">
        <f t="shared" si="355"/>
        <v>1.0899999999999999</v>
      </c>
      <c r="K1292" s="7">
        <f t="shared" si="356"/>
        <v>67.25</v>
      </c>
      <c r="L1292" s="7">
        <f t="shared" si="357"/>
        <v>81.300000000000011</v>
      </c>
      <c r="M1292" s="7">
        <f t="shared" si="358"/>
        <v>258</v>
      </c>
      <c r="O1292">
        <f t="shared" si="359"/>
        <v>0.89450581395348827</v>
      </c>
      <c r="P1292">
        <f t="shared" si="360"/>
        <v>894.50581395348831</v>
      </c>
      <c r="V1292">
        <f t="shared" si="361"/>
        <v>1297.9257808917268</v>
      </c>
      <c r="W1292">
        <f t="shared" si="362"/>
        <v>99.389350222608144</v>
      </c>
      <c r="AE1292">
        <f t="shared" si="346"/>
        <v>0.8749392648789015</v>
      </c>
      <c r="AF1292">
        <f t="shared" si="347"/>
        <v>0.84797547345327173</v>
      </c>
      <c r="AG1292">
        <f t="shared" si="348"/>
        <v>0.85015507831743342</v>
      </c>
      <c r="AI1292">
        <f t="shared" si="349"/>
        <v>0.51908364945711616</v>
      </c>
      <c r="AJ1292">
        <f t="shared" si="350"/>
        <v>27.963206444623065</v>
      </c>
      <c r="AL1292">
        <f t="shared" si="351"/>
        <v>0.53558939012366824</v>
      </c>
      <c r="AM1292">
        <f t="shared" si="352"/>
        <v>29.76981944892626</v>
      </c>
      <c r="AO1292">
        <f t="shared" si="353"/>
        <v>0.53421626036219305</v>
      </c>
      <c r="AP1292">
        <f t="shared" si="354"/>
        <v>29.61736898932315</v>
      </c>
    </row>
    <row r="1293" spans="1:42" x14ac:dyDescent="0.2">
      <c r="A1293" s="3">
        <v>1300</v>
      </c>
      <c r="B1293" s="3">
        <v>1.0899999999999999E-6</v>
      </c>
      <c r="C1293" s="2">
        <v>6.7299999999999999E-2</v>
      </c>
      <c r="D1293" s="3">
        <v>233000</v>
      </c>
      <c r="E1293" s="3">
        <v>73700000000</v>
      </c>
      <c r="F1293" s="3">
        <v>69000000000</v>
      </c>
      <c r="G1293" s="3">
        <v>3580000000</v>
      </c>
      <c r="H1293" s="3">
        <v>8540000000</v>
      </c>
      <c r="I1293" s="2"/>
      <c r="J1293" s="7">
        <f t="shared" si="355"/>
        <v>1.0899999999999999</v>
      </c>
      <c r="K1293" s="7">
        <f t="shared" si="356"/>
        <v>67.3</v>
      </c>
      <c r="L1293" s="7">
        <f t="shared" si="357"/>
        <v>73.7</v>
      </c>
      <c r="M1293" s="7">
        <f t="shared" si="358"/>
        <v>233</v>
      </c>
      <c r="O1293">
        <f t="shared" si="359"/>
        <v>0.87336909871244628</v>
      </c>
      <c r="P1293">
        <f t="shared" si="360"/>
        <v>873.36909871244632</v>
      </c>
      <c r="V1293">
        <f t="shared" si="361"/>
        <v>1284.2481330183364</v>
      </c>
      <c r="W1293">
        <f t="shared" si="362"/>
        <v>90.714556638048563</v>
      </c>
      <c r="AE1293">
        <f t="shared" si="346"/>
        <v>0.79015832835962807</v>
      </c>
      <c r="AF1293">
        <f t="shared" si="347"/>
        <v>0.76580730742097802</v>
      </c>
      <c r="AG1293">
        <f t="shared" si="348"/>
        <v>0.76777571026341851</v>
      </c>
      <c r="AI1293">
        <f t="shared" si="349"/>
        <v>0.5747793199997252</v>
      </c>
      <c r="AJ1293">
        <f t="shared" si="350"/>
        <v>34.311311164827309</v>
      </c>
      <c r="AL1293">
        <f t="shared" si="351"/>
        <v>0.59305606288371848</v>
      </c>
      <c r="AM1293">
        <f t="shared" si="352"/>
        <v>36.528054837189295</v>
      </c>
      <c r="AO1293">
        <f t="shared" si="353"/>
        <v>0.59153560160277174</v>
      </c>
      <c r="AP1293">
        <f t="shared" si="354"/>
        <v>36.34099563255117</v>
      </c>
    </row>
    <row r="1294" spans="1:42" x14ac:dyDescent="0.2">
      <c r="A1294" s="3">
        <v>1300</v>
      </c>
      <c r="B1294" s="3">
        <v>1.1000000000000001E-6</v>
      </c>
      <c r="C1294" s="2">
        <v>6.7360000000000003E-2</v>
      </c>
      <c r="D1294" s="3">
        <v>253000</v>
      </c>
      <c r="E1294" s="3">
        <v>79600000000</v>
      </c>
      <c r="F1294" s="3">
        <v>74200000000</v>
      </c>
      <c r="G1294" s="3">
        <v>1950000000</v>
      </c>
      <c r="H1294" s="3">
        <v>8400000000</v>
      </c>
      <c r="I1294" s="2"/>
      <c r="J1294" s="7">
        <f t="shared" si="355"/>
        <v>1.1000000000000001</v>
      </c>
      <c r="K1294" s="7">
        <f t="shared" si="356"/>
        <v>67.36</v>
      </c>
      <c r="L1294" s="7">
        <f t="shared" si="357"/>
        <v>79.600000000000009</v>
      </c>
      <c r="M1294" s="7">
        <f t="shared" si="358"/>
        <v>253</v>
      </c>
      <c r="O1294">
        <f t="shared" si="359"/>
        <v>0.90031620553359692</v>
      </c>
      <c r="P1294">
        <f t="shared" si="360"/>
        <v>900.31620553359687</v>
      </c>
      <c r="V1294">
        <f t="shared" si="361"/>
        <v>1301.6540884406638</v>
      </c>
      <c r="W1294">
        <f t="shared" si="362"/>
        <v>97.184037697405913</v>
      </c>
      <c r="AE1294">
        <f t="shared" si="346"/>
        <v>0.85798307757504677</v>
      </c>
      <c r="AF1294">
        <f t="shared" si="347"/>
        <v>0.83154184024681299</v>
      </c>
      <c r="AG1294">
        <f t="shared" si="348"/>
        <v>0.83367920470663048</v>
      </c>
      <c r="AI1294">
        <f t="shared" si="349"/>
        <v>0.5341985702430635</v>
      </c>
      <c r="AJ1294">
        <f t="shared" si="350"/>
        <v>29.126957919733378</v>
      </c>
      <c r="AL1294">
        <f t="shared" si="351"/>
        <v>0.5511849327957975</v>
      </c>
      <c r="AM1294">
        <f t="shared" si="352"/>
        <v>31.008757171110016</v>
      </c>
      <c r="AO1294">
        <f t="shared" si="353"/>
        <v>0.54977181959890631</v>
      </c>
      <c r="AP1294">
        <f t="shared" si="354"/>
        <v>30.849962144134214</v>
      </c>
    </row>
    <row r="1295" spans="1:42" x14ac:dyDescent="0.2">
      <c r="A1295" s="3">
        <v>1300</v>
      </c>
      <c r="B1295" s="3">
        <v>1.1000000000000001E-6</v>
      </c>
      <c r="C1295" s="2">
        <v>6.7409999999999998E-2</v>
      </c>
      <c r="D1295" s="3">
        <v>234000</v>
      </c>
      <c r="E1295" s="3">
        <v>73900000000</v>
      </c>
      <c r="F1295" s="3">
        <v>69200000000</v>
      </c>
      <c r="G1295" s="3">
        <v>9960000000</v>
      </c>
      <c r="H1295" s="3">
        <v>8520000000</v>
      </c>
      <c r="I1295" s="2"/>
      <c r="J1295" s="7">
        <f t="shared" si="355"/>
        <v>1.1000000000000001</v>
      </c>
      <c r="K1295" s="7">
        <f t="shared" si="356"/>
        <v>67.41</v>
      </c>
      <c r="L1295" s="7">
        <f t="shared" si="357"/>
        <v>73.900000000000006</v>
      </c>
      <c r="M1295" s="7">
        <f t="shared" si="358"/>
        <v>234</v>
      </c>
      <c r="O1295">
        <f t="shared" si="359"/>
        <v>0.88394230769230786</v>
      </c>
      <c r="P1295">
        <f t="shared" si="360"/>
        <v>883.94230769230785</v>
      </c>
      <c r="V1295">
        <f t="shared" si="361"/>
        <v>1291.1128675597006</v>
      </c>
      <c r="W1295">
        <f t="shared" si="362"/>
        <v>90.619498062271433</v>
      </c>
      <c r="AE1295">
        <f t="shared" si="346"/>
        <v>0.79354956582039904</v>
      </c>
      <c r="AF1295">
        <f t="shared" si="347"/>
        <v>0.76909403406226973</v>
      </c>
      <c r="AG1295">
        <f t="shared" si="348"/>
        <v>0.77107088498557919</v>
      </c>
      <c r="AI1295">
        <f t="shared" si="349"/>
        <v>0.57757366782690189</v>
      </c>
      <c r="AJ1295">
        <f t="shared" si="350"/>
        <v>34.074281312214801</v>
      </c>
      <c r="AL1295">
        <f t="shared" si="351"/>
        <v>0.59593926494588367</v>
      </c>
      <c r="AM1295">
        <f t="shared" si="352"/>
        <v>36.275711246683905</v>
      </c>
      <c r="AO1295">
        <f t="shared" si="353"/>
        <v>0.59441141178856116</v>
      </c>
      <c r="AP1295">
        <f t="shared" si="354"/>
        <v>36.089944286911958</v>
      </c>
    </row>
    <row r="1296" spans="1:42" x14ac:dyDescent="0.2">
      <c r="A1296" s="3">
        <v>1300</v>
      </c>
      <c r="B1296" s="3">
        <v>1.1000000000000001E-6</v>
      </c>
      <c r="C1296" s="2">
        <v>6.7460000000000006E-2</v>
      </c>
      <c r="D1296" s="3">
        <v>238000</v>
      </c>
      <c r="E1296" s="3">
        <v>74900000000</v>
      </c>
      <c r="F1296" s="3">
        <v>70000000000</v>
      </c>
      <c r="G1296" s="3">
        <v>10900000000</v>
      </c>
      <c r="H1296" s="3">
        <v>8490000000</v>
      </c>
      <c r="I1296" s="2"/>
      <c r="J1296" s="7">
        <f t="shared" si="355"/>
        <v>1.1000000000000001</v>
      </c>
      <c r="K1296" s="7">
        <f t="shared" si="356"/>
        <v>67.460000000000008</v>
      </c>
      <c r="L1296" s="7">
        <f t="shared" si="357"/>
        <v>74.900000000000006</v>
      </c>
      <c r="M1296" s="7">
        <f t="shared" si="358"/>
        <v>238</v>
      </c>
      <c r="O1296">
        <f t="shared" si="359"/>
        <v>0.88741596638655462</v>
      </c>
      <c r="P1296">
        <f t="shared" si="360"/>
        <v>887.4159663865546</v>
      </c>
      <c r="V1296">
        <f t="shared" si="361"/>
        <v>1293.3581769114051</v>
      </c>
      <c r="W1296">
        <f t="shared" si="362"/>
        <v>92.008541890674948</v>
      </c>
      <c r="AE1296">
        <f t="shared" ref="AE1296:AE1359" si="363">M1296/(2*$Y$5)</f>
        <v>0.8071145156634828</v>
      </c>
      <c r="AF1296">
        <f t="shared" ref="AF1296:AF1359" si="364">M1296/(2*$Y$8)</f>
        <v>0.78224094062743676</v>
      </c>
      <c r="AG1296">
        <f t="shared" ref="AG1296:AG1359" si="365">M1296/(2*$Y$11)</f>
        <v>0.78425158387422156</v>
      </c>
      <c r="AI1296">
        <f t="shared" ref="AI1296:AI1359" si="366">J1296/(2.4*AE1296)</f>
        <v>0.56786654735922293</v>
      </c>
      <c r="AJ1296">
        <f t="shared" ref="AJ1296:AJ1359" si="367">K1296/(3.14159*(AE1296^2))</f>
        <v>32.962983644853011</v>
      </c>
      <c r="AL1296">
        <f t="shared" ref="AL1296:AL1359" si="368">J1296/(2.4*AF1296)</f>
        <v>0.58592347898040653</v>
      </c>
      <c r="AM1296">
        <f t="shared" ref="AM1296:AM1359" si="369">K1296/(3.14159*(AF1296^2))</f>
        <v>35.092616204386459</v>
      </c>
      <c r="AO1296">
        <f t="shared" ref="AO1296:AO1359" si="370">J1296/(2.4*AG1296)</f>
        <v>0.58442130402740888</v>
      </c>
      <c r="AP1296">
        <f t="shared" ref="AP1296:AP1359" si="371">K1296/(3.14159*(AG1296^2))</f>
        <v>34.912907843097514</v>
      </c>
    </row>
    <row r="1297" spans="1:42" x14ac:dyDescent="0.2">
      <c r="A1297" s="3">
        <v>1300</v>
      </c>
      <c r="B1297" s="3">
        <v>1.1000000000000001E-6</v>
      </c>
      <c r="C1297" s="2">
        <v>6.7510000000000001E-2</v>
      </c>
      <c r="D1297" s="3">
        <v>250000</v>
      </c>
      <c r="E1297" s="3">
        <v>78500000000</v>
      </c>
      <c r="F1297" s="3">
        <v>73100000000</v>
      </c>
      <c r="G1297" s="3">
        <v>1620000000</v>
      </c>
      <c r="H1297" s="3">
        <v>8400000000</v>
      </c>
      <c r="I1297" s="2"/>
      <c r="J1297" s="7">
        <f t="shared" si="355"/>
        <v>1.1000000000000001</v>
      </c>
      <c r="K1297" s="7">
        <f t="shared" si="356"/>
        <v>67.510000000000005</v>
      </c>
      <c r="L1297" s="7">
        <f t="shared" si="357"/>
        <v>78.5</v>
      </c>
      <c r="M1297" s="7">
        <f t="shared" si="358"/>
        <v>250</v>
      </c>
      <c r="O1297">
        <f t="shared" si="359"/>
        <v>0.8974700000000001</v>
      </c>
      <c r="P1297">
        <f t="shared" si="360"/>
        <v>897.47000000000014</v>
      </c>
      <c r="V1297">
        <f t="shared" si="361"/>
        <v>1299.8294663684185</v>
      </c>
      <c r="W1297">
        <f t="shared" si="362"/>
        <v>96.166461242978542</v>
      </c>
      <c r="AE1297">
        <f t="shared" si="363"/>
        <v>0.84780936519273398</v>
      </c>
      <c r="AF1297">
        <f t="shared" si="364"/>
        <v>0.82168166032293777</v>
      </c>
      <c r="AG1297">
        <f t="shared" si="365"/>
        <v>0.82379368054014868</v>
      </c>
      <c r="AI1297">
        <f t="shared" si="366"/>
        <v>0.54060895308598023</v>
      </c>
      <c r="AJ1297">
        <f t="shared" si="367"/>
        <v>29.896626298023588</v>
      </c>
      <c r="AL1297">
        <f t="shared" si="368"/>
        <v>0.55779915198934704</v>
      </c>
      <c r="AM1297">
        <f t="shared" si="369"/>
        <v>31.828151352625746</v>
      </c>
      <c r="AO1297">
        <f t="shared" si="370"/>
        <v>0.55636908143409325</v>
      </c>
      <c r="AP1297">
        <f t="shared" si="371"/>
        <v>31.665160229674878</v>
      </c>
    </row>
    <row r="1298" spans="1:42" x14ac:dyDescent="0.2">
      <c r="A1298" s="3">
        <v>1300</v>
      </c>
      <c r="B1298" s="3">
        <v>1.1000000000000001E-6</v>
      </c>
      <c r="C1298" s="2">
        <v>6.7559999999999995E-2</v>
      </c>
      <c r="D1298" s="3">
        <v>248000</v>
      </c>
      <c r="E1298" s="3">
        <v>78000000000</v>
      </c>
      <c r="F1298" s="3">
        <v>72800000000</v>
      </c>
      <c r="G1298" s="3">
        <v>3910000000</v>
      </c>
      <c r="H1298" s="3">
        <v>8400000000</v>
      </c>
      <c r="I1298" s="2"/>
      <c r="J1298" s="7">
        <f t="shared" si="355"/>
        <v>1.1000000000000001</v>
      </c>
      <c r="K1298" s="7">
        <f t="shared" si="356"/>
        <v>67.559999999999988</v>
      </c>
      <c r="L1298" s="7">
        <f t="shared" si="357"/>
        <v>78</v>
      </c>
      <c r="M1298" s="7">
        <f t="shared" si="358"/>
        <v>248</v>
      </c>
      <c r="O1298">
        <f t="shared" si="359"/>
        <v>0.89568548387096791</v>
      </c>
      <c r="P1298">
        <f t="shared" si="360"/>
        <v>895.68548387096791</v>
      </c>
      <c r="V1298">
        <f t="shared" si="361"/>
        <v>1298.6838191144536</v>
      </c>
      <c r="W1298">
        <f t="shared" si="362"/>
        <v>95.481285109529665</v>
      </c>
      <c r="AE1298">
        <f t="shared" si="363"/>
        <v>0.84102689027119215</v>
      </c>
      <c r="AF1298">
        <f t="shared" si="364"/>
        <v>0.81510820704035425</v>
      </c>
      <c r="AG1298">
        <f t="shared" si="365"/>
        <v>0.81720333109582743</v>
      </c>
      <c r="AI1298">
        <f t="shared" si="366"/>
        <v>0.54496870270764142</v>
      </c>
      <c r="AJ1298">
        <f t="shared" si="367"/>
        <v>30.403275261347119</v>
      </c>
      <c r="AL1298">
        <f t="shared" si="368"/>
        <v>0.56229753224732559</v>
      </c>
      <c r="AM1298">
        <f t="shared" si="369"/>
        <v>32.367533279086743</v>
      </c>
      <c r="AO1298">
        <f t="shared" si="370"/>
        <v>0.56085592886501345</v>
      </c>
      <c r="AP1298">
        <f t="shared" si="371"/>
        <v>32.201779995527829</v>
      </c>
    </row>
    <row r="1299" spans="1:42" x14ac:dyDescent="0.2">
      <c r="A1299" s="3">
        <v>1300</v>
      </c>
      <c r="B1299" s="3">
        <v>1.1000000000000001E-6</v>
      </c>
      <c r="C1299" s="2">
        <v>6.7610000000000003E-2</v>
      </c>
      <c r="D1299" s="3">
        <v>272000</v>
      </c>
      <c r="E1299" s="3">
        <v>85200000000</v>
      </c>
      <c r="F1299" s="3">
        <v>78900000000</v>
      </c>
      <c r="G1299" s="3">
        <v>9510000000</v>
      </c>
      <c r="H1299" s="3">
        <v>8260000000</v>
      </c>
      <c r="I1299" s="2"/>
      <c r="J1299" s="7">
        <f t="shared" si="355"/>
        <v>1.1000000000000001</v>
      </c>
      <c r="K1299" s="7">
        <f t="shared" si="356"/>
        <v>67.61</v>
      </c>
      <c r="L1299" s="7">
        <f t="shared" si="357"/>
        <v>85.2</v>
      </c>
      <c r="M1299" s="7">
        <f t="shared" si="358"/>
        <v>272</v>
      </c>
      <c r="O1299">
        <f t="shared" si="359"/>
        <v>0.91357536764705893</v>
      </c>
      <c r="P1299">
        <f t="shared" si="360"/>
        <v>913.5753676470589</v>
      </c>
      <c r="V1299">
        <f t="shared" si="361"/>
        <v>1310.1121064126103</v>
      </c>
      <c r="W1299">
        <f t="shared" si="362"/>
        <v>103.8079102805938</v>
      </c>
      <c r="AE1299">
        <f t="shared" si="363"/>
        <v>0.92241658932969461</v>
      </c>
      <c r="AF1299">
        <f t="shared" si="364"/>
        <v>0.89398964643135626</v>
      </c>
      <c r="AG1299">
        <f t="shared" si="365"/>
        <v>0.89628752442768178</v>
      </c>
      <c r="AI1299">
        <f t="shared" si="366"/>
        <v>0.49688322893931997</v>
      </c>
      <c r="AJ1299">
        <f t="shared" si="367"/>
        <v>25.293400461198551</v>
      </c>
      <c r="AL1299">
        <f t="shared" si="368"/>
        <v>0.5126830441078557</v>
      </c>
      <c r="AM1299">
        <f t="shared" si="369"/>
        <v>26.927525871199094</v>
      </c>
      <c r="AO1299">
        <f t="shared" si="370"/>
        <v>0.51136864102398283</v>
      </c>
      <c r="AP1299">
        <f t="shared" si="371"/>
        <v>26.789630721983237</v>
      </c>
    </row>
    <row r="1300" spans="1:42" x14ac:dyDescent="0.2">
      <c r="A1300" s="3">
        <v>1300</v>
      </c>
      <c r="B1300" s="3">
        <v>1.11E-6</v>
      </c>
      <c r="C1300" s="2">
        <v>6.7669999999999994E-2</v>
      </c>
      <c r="D1300" s="3">
        <v>264000</v>
      </c>
      <c r="E1300" s="3">
        <v>82700000000</v>
      </c>
      <c r="F1300" s="3">
        <v>76800000000</v>
      </c>
      <c r="G1300" s="2">
        <v>0</v>
      </c>
      <c r="H1300" s="3">
        <v>8290000000</v>
      </c>
      <c r="I1300" s="2"/>
      <c r="J1300" s="7">
        <f t="shared" si="355"/>
        <v>1.1099999999999999</v>
      </c>
      <c r="K1300" s="7">
        <f t="shared" si="356"/>
        <v>67.669999999999987</v>
      </c>
      <c r="L1300" s="7">
        <f t="shared" si="357"/>
        <v>82.7</v>
      </c>
      <c r="M1300" s="7">
        <f t="shared" si="358"/>
        <v>264</v>
      </c>
      <c r="O1300">
        <f t="shared" si="359"/>
        <v>0.91775568181818179</v>
      </c>
      <c r="P1300">
        <f t="shared" si="360"/>
        <v>917.75568181818176</v>
      </c>
      <c r="V1300">
        <f t="shared" si="361"/>
        <v>1312.7645360273207</v>
      </c>
      <c r="W1300">
        <f t="shared" si="362"/>
        <v>100.55116235807034</v>
      </c>
      <c r="AE1300">
        <f t="shared" si="363"/>
        <v>0.89528668964352709</v>
      </c>
      <c r="AF1300">
        <f t="shared" si="364"/>
        <v>0.86769583330102229</v>
      </c>
      <c r="AG1300">
        <f t="shared" si="365"/>
        <v>0.86992612665039704</v>
      </c>
      <c r="AI1300">
        <f t="shared" si="366"/>
        <v>0.51659429917823507</v>
      </c>
      <c r="AJ1300">
        <f t="shared" si="367"/>
        <v>26.873387531253123</v>
      </c>
      <c r="AL1300">
        <f t="shared" si="368"/>
        <v>0.53302088387411772</v>
      </c>
      <c r="AM1300">
        <f t="shared" si="369"/>
        <v>28.609590833967584</v>
      </c>
      <c r="AO1300">
        <f t="shared" si="370"/>
        <v>0.53165433918030591</v>
      </c>
      <c r="AP1300">
        <f t="shared" si="371"/>
        <v>28.46308187447665</v>
      </c>
    </row>
    <row r="1301" spans="1:42" x14ac:dyDescent="0.2">
      <c r="A1301" s="3">
        <v>1300</v>
      </c>
      <c r="B1301" s="3">
        <v>1.11E-6</v>
      </c>
      <c r="C1301" s="2">
        <v>6.7720000000000002E-2</v>
      </c>
      <c r="D1301" s="3">
        <v>262000</v>
      </c>
      <c r="E1301" s="3">
        <v>81800000000</v>
      </c>
      <c r="F1301" s="3">
        <v>76000000000</v>
      </c>
      <c r="G1301" s="3">
        <v>620000000</v>
      </c>
      <c r="H1301" s="3">
        <v>8300000000</v>
      </c>
      <c r="I1301" s="2"/>
      <c r="J1301" s="7">
        <f t="shared" si="355"/>
        <v>1.1099999999999999</v>
      </c>
      <c r="K1301" s="7">
        <f t="shared" si="356"/>
        <v>67.72</v>
      </c>
      <c r="L1301" s="7">
        <f t="shared" si="357"/>
        <v>81.800000000000011</v>
      </c>
      <c r="M1301" s="7">
        <f t="shared" si="358"/>
        <v>262</v>
      </c>
      <c r="O1301">
        <f t="shared" si="359"/>
        <v>0.9161450381679388</v>
      </c>
      <c r="P1301">
        <f t="shared" si="360"/>
        <v>916.14503816793876</v>
      </c>
      <c r="V1301">
        <f t="shared" si="361"/>
        <v>1311.7433733056066</v>
      </c>
      <c r="W1301">
        <f t="shared" si="362"/>
        <v>99.867094940894333</v>
      </c>
      <c r="AE1301">
        <f t="shared" si="363"/>
        <v>0.88850421472198526</v>
      </c>
      <c r="AF1301">
        <f t="shared" si="364"/>
        <v>0.86112238001843877</v>
      </c>
      <c r="AG1301">
        <f t="shared" si="365"/>
        <v>0.86333577720607579</v>
      </c>
      <c r="AI1301">
        <f t="shared" si="366"/>
        <v>0.52053776711089339</v>
      </c>
      <c r="AJ1301">
        <f t="shared" si="367"/>
        <v>27.30539472387445</v>
      </c>
      <c r="AL1301">
        <f t="shared" si="368"/>
        <v>0.53708974558308042</v>
      </c>
      <c r="AM1301">
        <f t="shared" si="369"/>
        <v>29.069508624527245</v>
      </c>
      <c r="AO1301">
        <f t="shared" si="370"/>
        <v>0.53571276925038469</v>
      </c>
      <c r="AP1301">
        <f t="shared" si="371"/>
        <v>28.920644438170697</v>
      </c>
    </row>
    <row r="1302" spans="1:42" x14ac:dyDescent="0.2">
      <c r="A1302" s="3">
        <v>1300</v>
      </c>
      <c r="B1302" s="3">
        <v>1.11E-6</v>
      </c>
      <c r="C1302" s="2">
        <v>6.7769999999999997E-2</v>
      </c>
      <c r="D1302" s="3">
        <v>220000</v>
      </c>
      <c r="E1302" s="3">
        <v>69300000000</v>
      </c>
      <c r="F1302" s="3">
        <v>65100000000</v>
      </c>
      <c r="G1302" s="3">
        <v>8120000000</v>
      </c>
      <c r="H1302" s="3">
        <v>8580000000</v>
      </c>
      <c r="I1302" s="2"/>
      <c r="J1302" s="7">
        <f t="shared" si="355"/>
        <v>1.1099999999999999</v>
      </c>
      <c r="K1302" s="7">
        <f t="shared" si="356"/>
        <v>67.77</v>
      </c>
      <c r="L1302" s="7">
        <f t="shared" si="357"/>
        <v>69.300000000000011</v>
      </c>
      <c r="M1302" s="7">
        <f t="shared" si="358"/>
        <v>220</v>
      </c>
      <c r="O1302">
        <f t="shared" si="359"/>
        <v>0.87896590909090899</v>
      </c>
      <c r="P1302">
        <f t="shared" si="360"/>
        <v>878.96590909090901</v>
      </c>
      <c r="V1302">
        <f t="shared" si="361"/>
        <v>1287.887634194869</v>
      </c>
      <c r="W1302">
        <f t="shared" si="362"/>
        <v>85.411178024678534</v>
      </c>
      <c r="AE1302">
        <f t="shared" si="363"/>
        <v>0.74607224136960593</v>
      </c>
      <c r="AF1302">
        <f t="shared" si="364"/>
        <v>0.7230798610841852</v>
      </c>
      <c r="AG1302">
        <f t="shared" si="365"/>
        <v>0.72493843887533083</v>
      </c>
      <c r="AI1302">
        <f t="shared" si="366"/>
        <v>0.61991315901388211</v>
      </c>
      <c r="AJ1302">
        <f t="shared" si="367"/>
        <v>38.754863914732596</v>
      </c>
      <c r="AL1302">
        <f t="shared" si="368"/>
        <v>0.63962506064894131</v>
      </c>
      <c r="AM1302">
        <f t="shared" si="369"/>
        <v>41.258691266113445</v>
      </c>
      <c r="AO1302">
        <f t="shared" si="370"/>
        <v>0.63798520701636718</v>
      </c>
      <c r="AP1302">
        <f t="shared" si="371"/>
        <v>41.047406597191191</v>
      </c>
    </row>
    <row r="1303" spans="1:42" x14ac:dyDescent="0.2">
      <c r="A1303" s="3">
        <v>1300</v>
      </c>
      <c r="B1303" s="3">
        <v>1.11E-6</v>
      </c>
      <c r="C1303" s="2">
        <v>6.7820000000000005E-2</v>
      </c>
      <c r="D1303" s="3">
        <v>244000</v>
      </c>
      <c r="E1303" s="3">
        <v>76200000000</v>
      </c>
      <c r="F1303" s="3">
        <v>71200000000</v>
      </c>
      <c r="G1303" s="3">
        <v>8070000000</v>
      </c>
      <c r="H1303" s="3">
        <v>8390000000</v>
      </c>
      <c r="I1303" s="2"/>
      <c r="J1303" s="7">
        <f t="shared" si="355"/>
        <v>1.1099999999999999</v>
      </c>
      <c r="K1303" s="7">
        <f t="shared" si="356"/>
        <v>67.820000000000007</v>
      </c>
      <c r="L1303" s="7">
        <f t="shared" si="357"/>
        <v>76.2</v>
      </c>
      <c r="M1303" s="7">
        <f t="shared" si="358"/>
        <v>244</v>
      </c>
      <c r="O1303">
        <f t="shared" si="359"/>
        <v>0.90153688524590148</v>
      </c>
      <c r="P1303">
        <f t="shared" si="360"/>
        <v>901.53688524590143</v>
      </c>
      <c r="V1303">
        <f t="shared" si="361"/>
        <v>1302.4356472804068</v>
      </c>
      <c r="W1303">
        <f t="shared" si="362"/>
        <v>93.67065486478819</v>
      </c>
      <c r="AE1303">
        <f t="shared" si="363"/>
        <v>0.82746194042810839</v>
      </c>
      <c r="AF1303">
        <f t="shared" si="364"/>
        <v>0.80196130047518721</v>
      </c>
      <c r="AG1303">
        <f t="shared" si="365"/>
        <v>0.80402263220718506</v>
      </c>
      <c r="AI1303">
        <f t="shared" si="366"/>
        <v>0.55893809419284457</v>
      </c>
      <c r="AJ1303">
        <f t="shared" si="367"/>
        <v>31.529147264184328</v>
      </c>
      <c r="AL1303">
        <f t="shared" si="368"/>
        <v>0.57671112025724214</v>
      </c>
      <c r="AM1303">
        <f t="shared" si="369"/>
        <v>33.56614425788991</v>
      </c>
      <c r="AO1303">
        <f t="shared" si="370"/>
        <v>0.57523256370328191</v>
      </c>
      <c r="AP1303">
        <f t="shared" si="371"/>
        <v>33.394252919146702</v>
      </c>
    </row>
    <row r="1304" spans="1:42" x14ac:dyDescent="0.2">
      <c r="A1304" s="3">
        <v>1300</v>
      </c>
      <c r="B1304" s="3">
        <v>1.1200000000000001E-6</v>
      </c>
      <c r="C1304" s="2">
        <v>6.7879999999999996E-2</v>
      </c>
      <c r="D1304" s="3">
        <v>241000</v>
      </c>
      <c r="E1304" s="3">
        <v>75500000000</v>
      </c>
      <c r="F1304" s="3">
        <v>70600000000</v>
      </c>
      <c r="G1304" s="3">
        <v>10300000000</v>
      </c>
      <c r="H1304" s="3">
        <v>8400000000</v>
      </c>
      <c r="I1304" s="2"/>
      <c r="J1304" s="7">
        <f t="shared" si="355"/>
        <v>1.1200000000000001</v>
      </c>
      <c r="K1304" s="7">
        <f t="shared" si="356"/>
        <v>67.88</v>
      </c>
      <c r="L1304" s="7">
        <f t="shared" si="357"/>
        <v>75.5</v>
      </c>
      <c r="M1304" s="7">
        <f t="shared" si="358"/>
        <v>241</v>
      </c>
      <c r="O1304">
        <f t="shared" si="359"/>
        <v>0.90875518672199185</v>
      </c>
      <c r="P1304">
        <f t="shared" si="360"/>
        <v>908.75518672199189</v>
      </c>
      <c r="V1304">
        <f t="shared" si="361"/>
        <v>1307.0452731223625</v>
      </c>
      <c r="W1304">
        <f t="shared" si="362"/>
        <v>92.192674942422656</v>
      </c>
      <c r="AE1304">
        <f t="shared" si="363"/>
        <v>0.8172882280457956</v>
      </c>
      <c r="AF1304">
        <f t="shared" si="364"/>
        <v>0.79210112055131199</v>
      </c>
      <c r="AG1304">
        <f t="shared" si="365"/>
        <v>0.79413710804070337</v>
      </c>
      <c r="AI1304">
        <f t="shared" si="366"/>
        <v>0.57099399043407939</v>
      </c>
      <c r="AJ1304">
        <f t="shared" si="367"/>
        <v>32.347583360778593</v>
      </c>
      <c r="AL1304">
        <f t="shared" si="368"/>
        <v>0.58915036800081921</v>
      </c>
      <c r="AM1304">
        <f t="shared" si="369"/>
        <v>34.437456883441129</v>
      </c>
      <c r="AO1304">
        <f t="shared" si="370"/>
        <v>0.5876399200360094</v>
      </c>
      <c r="AP1304">
        <f t="shared" si="371"/>
        <v>34.261103575741359</v>
      </c>
    </row>
    <row r="1305" spans="1:42" x14ac:dyDescent="0.2">
      <c r="A1305" s="3">
        <v>1300</v>
      </c>
      <c r="B1305" s="3">
        <v>1.1200000000000001E-6</v>
      </c>
      <c r="C1305" s="2">
        <v>6.7930000000000004E-2</v>
      </c>
      <c r="D1305" s="3">
        <v>261000</v>
      </c>
      <c r="E1305" s="3">
        <v>81400000000</v>
      </c>
      <c r="F1305" s="3">
        <v>75700000000</v>
      </c>
      <c r="G1305" s="3">
        <v>11500000000</v>
      </c>
      <c r="H1305" s="3">
        <v>8270000000</v>
      </c>
      <c r="I1305" s="2"/>
      <c r="J1305" s="7">
        <f t="shared" si="355"/>
        <v>1.1200000000000001</v>
      </c>
      <c r="K1305" s="7">
        <f t="shared" si="356"/>
        <v>67.930000000000007</v>
      </c>
      <c r="L1305" s="7">
        <f t="shared" si="357"/>
        <v>81.400000000000006</v>
      </c>
      <c r="M1305" s="7">
        <f t="shared" si="358"/>
        <v>261</v>
      </c>
      <c r="O1305">
        <f t="shared" si="359"/>
        <v>0.92479885057471267</v>
      </c>
      <c r="P1305">
        <f t="shared" si="360"/>
        <v>924.79885057471267</v>
      </c>
      <c r="V1305">
        <f t="shared" si="361"/>
        <v>1317.2182845231387</v>
      </c>
      <c r="W1305">
        <f t="shared" si="362"/>
        <v>99.072417634442274</v>
      </c>
      <c r="AE1305">
        <f t="shared" si="363"/>
        <v>0.8851129772612143</v>
      </c>
      <c r="AF1305">
        <f t="shared" si="364"/>
        <v>0.85783565337714707</v>
      </c>
      <c r="AG1305">
        <f t="shared" si="365"/>
        <v>0.86004060248391523</v>
      </c>
      <c r="AI1305">
        <f t="shared" si="366"/>
        <v>0.52723966166518443</v>
      </c>
      <c r="AJ1305">
        <f t="shared" si="367"/>
        <v>27.600356530655773</v>
      </c>
      <c r="AL1305">
        <f t="shared" si="368"/>
        <v>0.54400474593179093</v>
      </c>
      <c r="AM1305">
        <f t="shared" si="369"/>
        <v>29.383526966794186</v>
      </c>
      <c r="AO1305">
        <f t="shared" si="370"/>
        <v>0.54261004110604705</v>
      </c>
      <c r="AP1305">
        <f t="shared" si="371"/>
        <v>29.233054700795623</v>
      </c>
    </row>
    <row r="1306" spans="1:42" x14ac:dyDescent="0.2">
      <c r="A1306" s="3">
        <v>1300</v>
      </c>
      <c r="B1306" s="3">
        <v>1.1200000000000001E-6</v>
      </c>
      <c r="C1306" s="2">
        <v>6.7979999999999999E-2</v>
      </c>
      <c r="D1306" s="3">
        <v>243000</v>
      </c>
      <c r="E1306" s="3">
        <v>75800000000</v>
      </c>
      <c r="F1306" s="3">
        <v>70800000000</v>
      </c>
      <c r="G1306" s="3">
        <v>4380000000</v>
      </c>
      <c r="H1306" s="3">
        <v>8360000000</v>
      </c>
      <c r="I1306" s="2"/>
      <c r="J1306" s="7">
        <f t="shared" si="355"/>
        <v>1.1200000000000001</v>
      </c>
      <c r="K1306" s="7">
        <f t="shared" si="356"/>
        <v>67.98</v>
      </c>
      <c r="L1306" s="7">
        <f t="shared" si="357"/>
        <v>75.800000000000011</v>
      </c>
      <c r="M1306" s="7">
        <f t="shared" si="358"/>
        <v>243</v>
      </c>
      <c r="O1306">
        <f t="shared" si="359"/>
        <v>0.91018518518518521</v>
      </c>
      <c r="P1306">
        <f t="shared" si="360"/>
        <v>910.18518518518522</v>
      </c>
      <c r="V1306">
        <f t="shared" si="361"/>
        <v>1307.9560509011792</v>
      </c>
      <c r="W1306">
        <f t="shared" si="362"/>
        <v>92.893029483893386</v>
      </c>
      <c r="AE1306">
        <f t="shared" si="363"/>
        <v>0.82407070296733742</v>
      </c>
      <c r="AF1306">
        <f t="shared" si="364"/>
        <v>0.79867457383389551</v>
      </c>
      <c r="AG1306">
        <f t="shared" si="365"/>
        <v>0.8007274574850245</v>
      </c>
      <c r="AI1306">
        <f t="shared" si="366"/>
        <v>0.56629445141816115</v>
      </c>
      <c r="AJ1306">
        <f t="shared" si="367"/>
        <v>31.864176959342611</v>
      </c>
      <c r="AL1306">
        <f t="shared" si="368"/>
        <v>0.58430139377859025</v>
      </c>
      <c r="AM1306">
        <f t="shared" si="369"/>
        <v>33.9228191461808</v>
      </c>
      <c r="AO1306">
        <f t="shared" si="370"/>
        <v>0.5828033774842728</v>
      </c>
      <c r="AP1306">
        <f t="shared" si="371"/>
        <v>33.749101284749329</v>
      </c>
    </row>
    <row r="1307" spans="1:42" x14ac:dyDescent="0.2">
      <c r="A1307" s="3">
        <v>1300</v>
      </c>
      <c r="B1307" s="3">
        <v>1.1200000000000001E-6</v>
      </c>
      <c r="C1307" s="2">
        <v>6.8029999999999993E-2</v>
      </c>
      <c r="D1307" s="3">
        <v>247000</v>
      </c>
      <c r="E1307" s="3">
        <v>77100000000</v>
      </c>
      <c r="F1307" s="3">
        <v>71900000000</v>
      </c>
      <c r="G1307" s="3">
        <v>1210000000</v>
      </c>
      <c r="H1307" s="3">
        <v>8320000000</v>
      </c>
      <c r="I1307" s="2"/>
      <c r="J1307" s="7">
        <f t="shared" si="355"/>
        <v>1.1200000000000001</v>
      </c>
      <c r="K1307" s="7">
        <f t="shared" si="356"/>
        <v>68.029999999999987</v>
      </c>
      <c r="L1307" s="7">
        <f t="shared" si="357"/>
        <v>77.100000000000009</v>
      </c>
      <c r="M1307" s="7">
        <f t="shared" si="358"/>
        <v>247</v>
      </c>
      <c r="O1307">
        <f t="shared" si="359"/>
        <v>0.91343117408906893</v>
      </c>
      <c r="P1307">
        <f t="shared" si="360"/>
        <v>913.43117408906892</v>
      </c>
      <c r="V1307">
        <f t="shared" si="361"/>
        <v>1310.0204944135078</v>
      </c>
      <c r="W1307">
        <f t="shared" si="362"/>
        <v>94.273334292598662</v>
      </c>
      <c r="AE1307">
        <f t="shared" si="363"/>
        <v>0.83763565281042118</v>
      </c>
      <c r="AF1307">
        <f t="shared" si="364"/>
        <v>0.81182148039906254</v>
      </c>
      <c r="AG1307">
        <f t="shared" si="365"/>
        <v>0.81390815637366687</v>
      </c>
      <c r="AI1307">
        <f t="shared" si="366"/>
        <v>0.55712369107130821</v>
      </c>
      <c r="AJ1307">
        <f t="shared" si="367"/>
        <v>30.863178929660236</v>
      </c>
      <c r="AL1307">
        <f t="shared" si="368"/>
        <v>0.57483902302913936</v>
      </c>
      <c r="AM1307">
        <f t="shared" si="369"/>
        <v>32.857149847082752</v>
      </c>
      <c r="AO1307">
        <f t="shared" si="370"/>
        <v>0.57336526610800931</v>
      </c>
      <c r="AP1307">
        <f t="shared" si="371"/>
        <v>32.688889250002894</v>
      </c>
    </row>
    <row r="1308" spans="1:42" x14ac:dyDescent="0.2">
      <c r="A1308" s="3">
        <v>1300</v>
      </c>
      <c r="B1308" s="3">
        <v>1.13E-6</v>
      </c>
      <c r="C1308" s="2">
        <v>6.8080000000000002E-2</v>
      </c>
      <c r="D1308" s="3">
        <v>238000</v>
      </c>
      <c r="E1308" s="3">
        <v>74000000000</v>
      </c>
      <c r="F1308" s="3">
        <v>69300000000</v>
      </c>
      <c r="G1308" s="3">
        <v>13600000000</v>
      </c>
      <c r="H1308" s="3">
        <v>8380000000</v>
      </c>
      <c r="I1308" s="2"/>
      <c r="J1308" s="7">
        <f t="shared" si="355"/>
        <v>1.1299999999999999</v>
      </c>
      <c r="K1308" s="7">
        <f t="shared" si="356"/>
        <v>68.08</v>
      </c>
      <c r="L1308" s="7">
        <f t="shared" si="357"/>
        <v>74</v>
      </c>
      <c r="M1308" s="7">
        <f t="shared" si="358"/>
        <v>238</v>
      </c>
      <c r="O1308">
        <f t="shared" si="359"/>
        <v>0.91546218487394948</v>
      </c>
      <c r="P1308">
        <f t="shared" si="360"/>
        <v>915.46218487394947</v>
      </c>
      <c r="V1308">
        <f t="shared" si="361"/>
        <v>1311.3101362852046</v>
      </c>
      <c r="W1308">
        <f t="shared" si="362"/>
        <v>90.748936279188484</v>
      </c>
      <c r="AE1308">
        <f t="shared" si="363"/>
        <v>0.8071145156634828</v>
      </c>
      <c r="AF1308">
        <f t="shared" si="364"/>
        <v>0.78224094062743676</v>
      </c>
      <c r="AG1308">
        <f t="shared" si="365"/>
        <v>0.78425158387422156</v>
      </c>
      <c r="AI1308">
        <f t="shared" si="366"/>
        <v>0.58335381683265619</v>
      </c>
      <c r="AJ1308">
        <f t="shared" si="367"/>
        <v>33.265934280189633</v>
      </c>
      <c r="AL1308">
        <f t="shared" si="368"/>
        <v>0.60190321022532656</v>
      </c>
      <c r="AM1308">
        <f t="shared" si="369"/>
        <v>35.4151395077769</v>
      </c>
      <c r="AO1308">
        <f t="shared" si="370"/>
        <v>0.60036006686451993</v>
      </c>
      <c r="AP1308">
        <f t="shared" si="371"/>
        <v>35.233779513164521</v>
      </c>
    </row>
    <row r="1309" spans="1:42" x14ac:dyDescent="0.2">
      <c r="A1309" s="3">
        <v>1300</v>
      </c>
      <c r="B1309" s="3">
        <v>1.13E-6</v>
      </c>
      <c r="C1309" s="2">
        <v>6.8129999999999996E-2</v>
      </c>
      <c r="D1309" s="3">
        <v>224000</v>
      </c>
      <c r="E1309" s="3">
        <v>69900000000</v>
      </c>
      <c r="F1309" s="3">
        <v>65600000000</v>
      </c>
      <c r="G1309" s="3">
        <v>5020000000</v>
      </c>
      <c r="H1309" s="3">
        <v>8470000000</v>
      </c>
      <c r="I1309" s="2"/>
      <c r="J1309" s="7">
        <f t="shared" si="355"/>
        <v>1.1299999999999999</v>
      </c>
      <c r="K1309" s="7">
        <f t="shared" si="356"/>
        <v>68.13</v>
      </c>
      <c r="L1309" s="7">
        <f t="shared" si="357"/>
        <v>69.900000000000006</v>
      </c>
      <c r="M1309" s="7">
        <f t="shared" si="358"/>
        <v>224</v>
      </c>
      <c r="O1309">
        <f t="shared" si="359"/>
        <v>0.90188616071428562</v>
      </c>
      <c r="P1309">
        <f t="shared" si="360"/>
        <v>901.88616071428567</v>
      </c>
      <c r="V1309">
        <f t="shared" si="361"/>
        <v>1302.6591677700424</v>
      </c>
      <c r="W1309">
        <f t="shared" si="362"/>
        <v>85.977977026582678</v>
      </c>
      <c r="AE1309">
        <f t="shared" si="363"/>
        <v>0.75963719121268969</v>
      </c>
      <c r="AF1309">
        <f t="shared" si="364"/>
        <v>0.73622676764935224</v>
      </c>
      <c r="AG1309">
        <f t="shared" si="365"/>
        <v>0.7381191377639732</v>
      </c>
      <c r="AI1309">
        <f t="shared" si="366"/>
        <v>0.61981343038469716</v>
      </c>
      <c r="AJ1309">
        <f t="shared" si="367"/>
        <v>37.581701997259273</v>
      </c>
      <c r="AL1309">
        <f t="shared" si="368"/>
        <v>0.63952216086440949</v>
      </c>
      <c r="AM1309">
        <f t="shared" si="369"/>
        <v>40.009735123093854</v>
      </c>
      <c r="AO1309">
        <f t="shared" si="370"/>
        <v>0.6378825710435525</v>
      </c>
      <c r="AP1309">
        <f t="shared" si="371"/>
        <v>39.804846325612957</v>
      </c>
    </row>
    <row r="1310" spans="1:42" x14ac:dyDescent="0.2">
      <c r="A1310" s="3">
        <v>1300</v>
      </c>
      <c r="B1310" s="3">
        <v>1.13E-6</v>
      </c>
      <c r="C1310" s="2">
        <v>6.8190000000000001E-2</v>
      </c>
      <c r="D1310" s="3">
        <v>249000</v>
      </c>
      <c r="E1310" s="3">
        <v>77300000000</v>
      </c>
      <c r="F1310" s="3">
        <v>72200000000</v>
      </c>
      <c r="G1310" s="3">
        <v>3950000000</v>
      </c>
      <c r="H1310" s="3">
        <v>8280000000</v>
      </c>
      <c r="I1310" s="2"/>
      <c r="J1310" s="7">
        <f t="shared" si="355"/>
        <v>1.1299999999999999</v>
      </c>
      <c r="K1310" s="7">
        <f t="shared" si="356"/>
        <v>68.19</v>
      </c>
      <c r="L1310" s="7">
        <f t="shared" si="357"/>
        <v>77.300000000000011</v>
      </c>
      <c r="M1310" s="7">
        <f t="shared" si="358"/>
        <v>249</v>
      </c>
      <c r="O1310">
        <f t="shared" si="359"/>
        <v>0.92460843373493962</v>
      </c>
      <c r="P1310">
        <f t="shared" si="360"/>
        <v>924.60843373493958</v>
      </c>
      <c r="V1310">
        <f t="shared" si="361"/>
        <v>1317.0981233775365</v>
      </c>
      <c r="W1310">
        <f t="shared" si="362"/>
        <v>94.525986933103383</v>
      </c>
      <c r="AE1310">
        <f t="shared" si="363"/>
        <v>0.84441812773196301</v>
      </c>
      <c r="AF1310">
        <f t="shared" si="364"/>
        <v>0.81839493368164606</v>
      </c>
      <c r="AG1310">
        <f t="shared" si="365"/>
        <v>0.82049850581798811</v>
      </c>
      <c r="AI1310">
        <f t="shared" si="366"/>
        <v>0.55758316628984816</v>
      </c>
      <c r="AJ1310">
        <f t="shared" si="367"/>
        <v>30.440801875314683</v>
      </c>
      <c r="AL1310">
        <f t="shared" si="368"/>
        <v>0.57531310856878604</v>
      </c>
      <c r="AM1310">
        <f t="shared" si="369"/>
        <v>32.407484367119373</v>
      </c>
      <c r="AO1310">
        <f t="shared" si="370"/>
        <v>0.57383813619982227</v>
      </c>
      <c r="AP1310">
        <f t="shared" si="371"/>
        <v>32.241526495093176</v>
      </c>
    </row>
    <row r="1311" spans="1:42" x14ac:dyDescent="0.2">
      <c r="A1311" s="3">
        <v>1300</v>
      </c>
      <c r="B1311" s="3">
        <v>1.13E-6</v>
      </c>
      <c r="C1311" s="2">
        <v>6.8239999999999995E-2</v>
      </c>
      <c r="D1311" s="3">
        <v>253000</v>
      </c>
      <c r="E1311" s="3">
        <v>78300000000</v>
      </c>
      <c r="F1311" s="3">
        <v>73000000000</v>
      </c>
      <c r="G1311" s="3">
        <v>7380000000</v>
      </c>
      <c r="H1311" s="3">
        <v>8250000000</v>
      </c>
      <c r="I1311" s="2"/>
      <c r="J1311" s="7">
        <f t="shared" si="355"/>
        <v>1.1299999999999999</v>
      </c>
      <c r="K1311" s="7">
        <f t="shared" si="356"/>
        <v>68.239999999999995</v>
      </c>
      <c r="L1311" s="7">
        <f t="shared" si="357"/>
        <v>78.300000000000011</v>
      </c>
      <c r="M1311" s="7">
        <f t="shared" si="358"/>
        <v>253</v>
      </c>
      <c r="O1311">
        <f t="shared" si="359"/>
        <v>0.92770750988142281</v>
      </c>
      <c r="P1311">
        <f t="shared" si="360"/>
        <v>927.70750988142277</v>
      </c>
      <c r="V1311">
        <f t="shared" si="361"/>
        <v>1319.0520623261266</v>
      </c>
      <c r="W1311">
        <f t="shared" si="362"/>
        <v>95.902204024395616</v>
      </c>
      <c r="AE1311">
        <f t="shared" si="363"/>
        <v>0.85798307757504677</v>
      </c>
      <c r="AF1311">
        <f t="shared" si="364"/>
        <v>0.83154184024681299</v>
      </c>
      <c r="AG1311">
        <f t="shared" si="365"/>
        <v>0.83367920470663048</v>
      </c>
      <c r="AI1311">
        <f t="shared" si="366"/>
        <v>0.54876762215878327</v>
      </c>
      <c r="AJ1311">
        <f t="shared" si="367"/>
        <v>29.507476372366472</v>
      </c>
      <c r="AL1311">
        <f t="shared" si="368"/>
        <v>0.56621724914477367</v>
      </c>
      <c r="AM1311">
        <f t="shared" si="369"/>
        <v>31.413859699473683</v>
      </c>
      <c r="AO1311">
        <f t="shared" si="370"/>
        <v>0.56476559649705826</v>
      </c>
      <c r="AP1311">
        <f t="shared" si="371"/>
        <v>31.252990153143092</v>
      </c>
    </row>
    <row r="1312" spans="1:42" x14ac:dyDescent="0.2">
      <c r="A1312" s="3">
        <v>1300</v>
      </c>
      <c r="B1312" s="3">
        <v>1.13E-6</v>
      </c>
      <c r="C1312" s="2">
        <v>6.8290000000000003E-2</v>
      </c>
      <c r="D1312" s="3">
        <v>296000</v>
      </c>
      <c r="E1312" s="3">
        <v>91500000000</v>
      </c>
      <c r="F1312" s="3">
        <v>84400000000</v>
      </c>
      <c r="G1312" s="3">
        <v>4370000000</v>
      </c>
      <c r="H1312" s="3">
        <v>8030000000</v>
      </c>
      <c r="I1312" s="2"/>
      <c r="J1312" s="7">
        <f t="shared" si="355"/>
        <v>1.1299999999999999</v>
      </c>
      <c r="K1312" s="7">
        <f t="shared" si="356"/>
        <v>68.290000000000006</v>
      </c>
      <c r="L1312" s="7">
        <f t="shared" si="357"/>
        <v>91.5</v>
      </c>
      <c r="M1312" s="7">
        <f t="shared" si="358"/>
        <v>296</v>
      </c>
      <c r="O1312">
        <f t="shared" si="359"/>
        <v>0.95696790540540522</v>
      </c>
      <c r="P1312">
        <f t="shared" si="360"/>
        <v>956.96790540540519</v>
      </c>
      <c r="V1312">
        <f t="shared" si="361"/>
        <v>1337.3239983287738</v>
      </c>
      <c r="W1312">
        <f t="shared" si="362"/>
        <v>110.66876851455037</v>
      </c>
      <c r="AE1312">
        <f t="shared" si="363"/>
        <v>1.0038062883881971</v>
      </c>
      <c r="AF1312">
        <f t="shared" si="364"/>
        <v>0.97287108582235837</v>
      </c>
      <c r="AG1312">
        <f t="shared" si="365"/>
        <v>0.97537171775953602</v>
      </c>
      <c r="AI1312">
        <f t="shared" si="366"/>
        <v>0.4690480013722032</v>
      </c>
      <c r="AJ1312">
        <f t="shared" si="367"/>
        <v>21.572862869409988</v>
      </c>
      <c r="AL1312">
        <f t="shared" si="368"/>
        <v>0.48396271632982346</v>
      </c>
      <c r="AM1312">
        <f t="shared" si="369"/>
        <v>22.966616288822291</v>
      </c>
      <c r="AO1312">
        <f t="shared" si="370"/>
        <v>0.48272194565458026</v>
      </c>
      <c r="AP1312">
        <f t="shared" si="371"/>
        <v>22.849004853026859</v>
      </c>
    </row>
    <row r="1313" spans="1:42" x14ac:dyDescent="0.2">
      <c r="A1313" s="3">
        <v>1300</v>
      </c>
      <c r="B1313" s="3">
        <v>1.1400000000000001E-6</v>
      </c>
      <c r="C1313" s="2">
        <v>6.8349999999999994E-2</v>
      </c>
      <c r="D1313" s="3">
        <v>225000</v>
      </c>
      <c r="E1313" s="3">
        <v>70000000000</v>
      </c>
      <c r="F1313" s="3">
        <v>65700000000</v>
      </c>
      <c r="G1313" s="3">
        <v>6440000000</v>
      </c>
      <c r="H1313" s="3">
        <v>8420000000</v>
      </c>
      <c r="I1313" s="2"/>
      <c r="J1313" s="7">
        <f t="shared" si="355"/>
        <v>1.1400000000000001</v>
      </c>
      <c r="K1313" s="7">
        <f t="shared" si="356"/>
        <v>68.349999999999994</v>
      </c>
      <c r="L1313" s="7">
        <f t="shared" si="357"/>
        <v>70</v>
      </c>
      <c r="M1313" s="7">
        <f t="shared" si="358"/>
        <v>225</v>
      </c>
      <c r="O1313">
        <f t="shared" si="359"/>
        <v>0.91216666666666679</v>
      </c>
      <c r="P1313">
        <f t="shared" si="360"/>
        <v>912.16666666666674</v>
      </c>
      <c r="V1313">
        <f t="shared" si="361"/>
        <v>1309.2167564229972</v>
      </c>
      <c r="W1313">
        <f t="shared" si="362"/>
        <v>85.929239331895772</v>
      </c>
      <c r="AE1313">
        <f t="shared" si="363"/>
        <v>0.76302842867346055</v>
      </c>
      <c r="AF1313">
        <f t="shared" si="364"/>
        <v>0.73951349429064395</v>
      </c>
      <c r="AG1313">
        <f t="shared" si="365"/>
        <v>0.74141431248613376</v>
      </c>
      <c r="AI1313">
        <f t="shared" si="366"/>
        <v>0.62251940052325005</v>
      </c>
      <c r="AJ1313">
        <f t="shared" si="367"/>
        <v>37.368664312555651</v>
      </c>
      <c r="AL1313">
        <f t="shared" si="368"/>
        <v>0.642314175018036</v>
      </c>
      <c r="AM1313">
        <f t="shared" si="369"/>
        <v>39.782933757449186</v>
      </c>
      <c r="AO1313">
        <f t="shared" si="370"/>
        <v>0.64066742710592561</v>
      </c>
      <c r="AP1313">
        <f t="shared" si="371"/>
        <v>39.579206403775167</v>
      </c>
    </row>
    <row r="1314" spans="1:42" x14ac:dyDescent="0.2">
      <c r="A1314" s="3">
        <v>1300</v>
      </c>
      <c r="B1314" s="3">
        <v>1.1400000000000001E-6</v>
      </c>
      <c r="C1314" s="2">
        <v>6.8400000000000002E-2</v>
      </c>
      <c r="D1314" s="3">
        <v>271000</v>
      </c>
      <c r="E1314" s="3">
        <v>83700000000</v>
      </c>
      <c r="F1314" s="3">
        <v>77700000000</v>
      </c>
      <c r="G1314" s="3">
        <v>6470000000</v>
      </c>
      <c r="H1314" s="3">
        <v>8120000000</v>
      </c>
      <c r="I1314" s="2"/>
      <c r="J1314" s="7">
        <f t="shared" si="355"/>
        <v>1.1400000000000001</v>
      </c>
      <c r="K1314" s="7">
        <f t="shared" si="356"/>
        <v>68.400000000000006</v>
      </c>
      <c r="L1314" s="7">
        <f t="shared" si="357"/>
        <v>83.7</v>
      </c>
      <c r="M1314" s="7">
        <f t="shared" si="358"/>
        <v>271</v>
      </c>
      <c r="O1314">
        <f t="shared" si="359"/>
        <v>0.95070110701107025</v>
      </c>
      <c r="P1314">
        <f t="shared" si="360"/>
        <v>950.70110701107023</v>
      </c>
      <c r="V1314">
        <f t="shared" si="361"/>
        <v>1333.4371076171815</v>
      </c>
      <c r="W1314">
        <f t="shared" si="362"/>
        <v>101.61709106936067</v>
      </c>
      <c r="AE1314">
        <f t="shared" si="363"/>
        <v>0.91902535186892365</v>
      </c>
      <c r="AF1314">
        <f t="shared" si="364"/>
        <v>0.89070291979006455</v>
      </c>
      <c r="AG1314">
        <f t="shared" si="365"/>
        <v>0.8929923497055211</v>
      </c>
      <c r="AI1314">
        <f t="shared" si="366"/>
        <v>0.51685190080343635</v>
      </c>
      <c r="AJ1314">
        <f t="shared" si="367"/>
        <v>25.778142030617094</v>
      </c>
      <c r="AL1314">
        <f t="shared" si="368"/>
        <v>0.53328667667549112</v>
      </c>
      <c r="AM1314">
        <f t="shared" si="369"/>
        <v>27.443585037359345</v>
      </c>
      <c r="AO1314">
        <f t="shared" si="370"/>
        <v>0.5319194505492002</v>
      </c>
      <c r="AP1314">
        <f t="shared" si="371"/>
        <v>27.303047162775322</v>
      </c>
    </row>
    <row r="1315" spans="1:42" x14ac:dyDescent="0.2">
      <c r="A1315" s="3">
        <v>1300</v>
      </c>
      <c r="B1315" s="3">
        <v>1.1400000000000001E-6</v>
      </c>
      <c r="C1315" s="2">
        <v>6.8449999999999997E-2</v>
      </c>
      <c r="D1315" s="3">
        <v>261000</v>
      </c>
      <c r="E1315" s="3">
        <v>80500000000</v>
      </c>
      <c r="F1315" s="3">
        <v>74900000000</v>
      </c>
      <c r="G1315" s="3">
        <v>4470000000</v>
      </c>
      <c r="H1315" s="3">
        <v>8170000000</v>
      </c>
      <c r="I1315" s="2"/>
      <c r="J1315" s="7">
        <f t="shared" si="355"/>
        <v>1.1400000000000001</v>
      </c>
      <c r="K1315" s="7">
        <f t="shared" si="356"/>
        <v>68.45</v>
      </c>
      <c r="L1315" s="7">
        <f t="shared" si="357"/>
        <v>80.5</v>
      </c>
      <c r="M1315" s="7">
        <f t="shared" si="358"/>
        <v>261</v>
      </c>
      <c r="O1315">
        <f t="shared" si="359"/>
        <v>0.94330459770114949</v>
      </c>
      <c r="P1315">
        <f t="shared" si="360"/>
        <v>943.30459770114953</v>
      </c>
      <c r="V1315">
        <f t="shared" si="361"/>
        <v>1328.8311234322859</v>
      </c>
      <c r="W1315">
        <f t="shared" si="362"/>
        <v>98.206610079185097</v>
      </c>
      <c r="AE1315">
        <f t="shared" si="363"/>
        <v>0.8851129772612143</v>
      </c>
      <c r="AF1315">
        <f t="shared" si="364"/>
        <v>0.85783565337714707</v>
      </c>
      <c r="AG1315">
        <f t="shared" si="365"/>
        <v>0.86004060248391523</v>
      </c>
      <c r="AI1315">
        <f t="shared" si="366"/>
        <v>0.53665465562349135</v>
      </c>
      <c r="AJ1315">
        <f t="shared" si="367"/>
        <v>27.811635573728658</v>
      </c>
      <c r="AL1315">
        <f t="shared" si="368"/>
        <v>0.5537191163948586</v>
      </c>
      <c r="AM1315">
        <f t="shared" si="369"/>
        <v>29.608456070617724</v>
      </c>
      <c r="AO1315">
        <f t="shared" si="370"/>
        <v>0.55229950612579792</v>
      </c>
      <c r="AP1315">
        <f t="shared" si="371"/>
        <v>29.45683194861564</v>
      </c>
    </row>
    <row r="1316" spans="1:42" x14ac:dyDescent="0.2">
      <c r="A1316" s="3">
        <v>1300</v>
      </c>
      <c r="B1316" s="3">
        <v>1.1400000000000001E-6</v>
      </c>
      <c r="C1316" s="2">
        <v>6.8500000000000005E-2</v>
      </c>
      <c r="D1316" s="3">
        <v>255000</v>
      </c>
      <c r="E1316" s="3">
        <v>78500000000</v>
      </c>
      <c r="F1316" s="3">
        <v>73200000000</v>
      </c>
      <c r="G1316" s="3">
        <v>6270000000</v>
      </c>
      <c r="H1316" s="3">
        <v>8200000000</v>
      </c>
      <c r="I1316" s="2"/>
      <c r="J1316" s="7">
        <f t="shared" si="355"/>
        <v>1.1400000000000001</v>
      </c>
      <c r="K1316" s="7">
        <f t="shared" si="356"/>
        <v>68.5</v>
      </c>
      <c r="L1316" s="7">
        <f t="shared" si="357"/>
        <v>78.5</v>
      </c>
      <c r="M1316" s="7">
        <f t="shared" si="358"/>
        <v>255</v>
      </c>
      <c r="O1316">
        <f t="shared" si="359"/>
        <v>0.93852941176470606</v>
      </c>
      <c r="P1316">
        <f t="shared" si="360"/>
        <v>938.52941176470608</v>
      </c>
      <c r="V1316">
        <f t="shared" si="361"/>
        <v>1325.8468068296331</v>
      </c>
      <c r="W1316">
        <f t="shared" si="362"/>
        <v>96.164956119537052</v>
      </c>
      <c r="AE1316">
        <f t="shared" si="363"/>
        <v>0.86476555249658871</v>
      </c>
      <c r="AF1316">
        <f t="shared" si="364"/>
        <v>0.83811529352939651</v>
      </c>
      <c r="AG1316">
        <f t="shared" si="365"/>
        <v>0.84026955415095161</v>
      </c>
      <c r="AI1316">
        <f t="shared" si="366"/>
        <v>0.54928182399110292</v>
      </c>
      <c r="AJ1316">
        <f t="shared" si="367"/>
        <v>29.157098423150938</v>
      </c>
      <c r="AL1316">
        <f t="shared" si="368"/>
        <v>0.56674780148650228</v>
      </c>
      <c r="AM1316">
        <f t="shared" si="369"/>
        <v>31.040844955700003</v>
      </c>
      <c r="AO1316">
        <f t="shared" si="370"/>
        <v>0.56529478862287552</v>
      </c>
      <c r="AP1316">
        <f t="shared" si="371"/>
        <v>30.881885608026305</v>
      </c>
    </row>
    <row r="1317" spans="1:42" x14ac:dyDescent="0.2">
      <c r="A1317" s="3">
        <v>1300</v>
      </c>
      <c r="B1317" s="3">
        <v>1.15E-6</v>
      </c>
      <c r="C1317" s="2">
        <v>6.855E-2</v>
      </c>
      <c r="D1317" s="3">
        <v>229000</v>
      </c>
      <c r="E1317" s="3">
        <v>70900000000</v>
      </c>
      <c r="F1317" s="3">
        <v>66500000000</v>
      </c>
      <c r="G1317" s="3">
        <v>10300000000</v>
      </c>
      <c r="H1317" s="3">
        <v>8350000000</v>
      </c>
      <c r="I1317" s="2"/>
      <c r="J1317" s="7">
        <f t="shared" si="355"/>
        <v>1.1499999999999999</v>
      </c>
      <c r="K1317" s="7">
        <f t="shared" si="356"/>
        <v>68.55</v>
      </c>
      <c r="L1317" s="7">
        <f t="shared" si="357"/>
        <v>70.900000000000006</v>
      </c>
      <c r="M1317" s="7">
        <f t="shared" si="358"/>
        <v>229</v>
      </c>
      <c r="O1317">
        <f t="shared" si="359"/>
        <v>0.9254912663755458</v>
      </c>
      <c r="P1317">
        <f t="shared" si="360"/>
        <v>925.49126637554582</v>
      </c>
      <c r="V1317">
        <f t="shared" si="361"/>
        <v>1317.6551122960302</v>
      </c>
      <c r="W1317">
        <f t="shared" si="362"/>
        <v>86.896790314487021</v>
      </c>
      <c r="AE1317">
        <f t="shared" si="363"/>
        <v>0.77659337851654431</v>
      </c>
      <c r="AF1317">
        <f t="shared" si="364"/>
        <v>0.75266040085581098</v>
      </c>
      <c r="AG1317">
        <f t="shared" si="365"/>
        <v>0.75459501137477614</v>
      </c>
      <c r="AI1317">
        <f t="shared" si="366"/>
        <v>0.61701101235497935</v>
      </c>
      <c r="AJ1317">
        <f t="shared" si="367"/>
        <v>36.180168627844814</v>
      </c>
      <c r="AL1317">
        <f t="shared" si="368"/>
        <v>0.63663063198466552</v>
      </c>
      <c r="AM1317">
        <f t="shared" si="369"/>
        <v>38.517653181713449</v>
      </c>
      <c r="AO1317">
        <f t="shared" si="370"/>
        <v>0.6349984553882565</v>
      </c>
      <c r="AP1317">
        <f t="shared" si="371"/>
        <v>38.320405296469836</v>
      </c>
    </row>
    <row r="1318" spans="1:42" x14ac:dyDescent="0.2">
      <c r="A1318" s="3">
        <v>1300</v>
      </c>
      <c r="B1318" s="3">
        <v>1.15E-6</v>
      </c>
      <c r="C1318" s="2">
        <v>6.8599999999999994E-2</v>
      </c>
      <c r="D1318" s="3">
        <v>261000</v>
      </c>
      <c r="E1318" s="3">
        <v>80200000000</v>
      </c>
      <c r="F1318" s="3">
        <v>74600000000</v>
      </c>
      <c r="G1318" s="3">
        <v>1730000000</v>
      </c>
      <c r="H1318" s="3">
        <v>8140000000</v>
      </c>
      <c r="I1318" s="2"/>
      <c r="J1318" s="7">
        <f t="shared" si="355"/>
        <v>1.1499999999999999</v>
      </c>
      <c r="K1318" s="7">
        <f t="shared" si="356"/>
        <v>68.599999999999994</v>
      </c>
      <c r="L1318" s="7">
        <f t="shared" si="357"/>
        <v>80.2</v>
      </c>
      <c r="M1318" s="7">
        <f t="shared" si="358"/>
        <v>261</v>
      </c>
      <c r="O1318">
        <f t="shared" si="359"/>
        <v>0.95287356321839067</v>
      </c>
      <c r="P1318">
        <f t="shared" si="360"/>
        <v>952.8735632183907</v>
      </c>
      <c r="V1318">
        <f t="shared" si="361"/>
        <v>1334.7861536329726</v>
      </c>
      <c r="W1318">
        <f t="shared" si="362"/>
        <v>97.768469986604089</v>
      </c>
      <c r="AE1318">
        <f t="shared" si="363"/>
        <v>0.8851129772612143</v>
      </c>
      <c r="AF1318">
        <f t="shared" si="364"/>
        <v>0.85783565337714707</v>
      </c>
      <c r="AG1318">
        <f t="shared" si="365"/>
        <v>0.86004060248391523</v>
      </c>
      <c r="AI1318">
        <f t="shared" si="366"/>
        <v>0.54136215260264464</v>
      </c>
      <c r="AJ1318">
        <f t="shared" si="367"/>
        <v>27.872581451538139</v>
      </c>
      <c r="AL1318">
        <f t="shared" si="368"/>
        <v>0.55857630162639238</v>
      </c>
      <c r="AM1318">
        <f t="shared" si="369"/>
        <v>29.673339465951432</v>
      </c>
      <c r="AO1318">
        <f t="shared" si="370"/>
        <v>0.55714423863567319</v>
      </c>
      <c r="AP1318">
        <f t="shared" si="371"/>
        <v>29.521383077794486</v>
      </c>
    </row>
    <row r="1319" spans="1:42" x14ac:dyDescent="0.2">
      <c r="A1319" s="3">
        <v>1300</v>
      </c>
      <c r="B1319" s="3">
        <v>1.15E-6</v>
      </c>
      <c r="C1319" s="2">
        <v>6.8659999999999999E-2</v>
      </c>
      <c r="D1319" s="3">
        <v>256000</v>
      </c>
      <c r="E1319" s="3">
        <v>78800000000</v>
      </c>
      <c r="F1319" s="3">
        <v>73400000000</v>
      </c>
      <c r="G1319" s="3">
        <v>9580000000</v>
      </c>
      <c r="H1319" s="3">
        <v>8160000000</v>
      </c>
      <c r="I1319" s="2"/>
      <c r="J1319" s="7">
        <f t="shared" si="355"/>
        <v>1.1499999999999999</v>
      </c>
      <c r="K1319" s="7">
        <f t="shared" si="356"/>
        <v>68.66</v>
      </c>
      <c r="L1319" s="7">
        <f t="shared" si="357"/>
        <v>78.800000000000011</v>
      </c>
      <c r="M1319" s="7">
        <f t="shared" si="358"/>
        <v>256</v>
      </c>
      <c r="O1319">
        <f t="shared" si="359"/>
        <v>0.94884765624999989</v>
      </c>
      <c r="P1319">
        <f t="shared" si="360"/>
        <v>948.84765624999989</v>
      </c>
      <c r="V1319">
        <f t="shared" si="361"/>
        <v>1332.2847987849202</v>
      </c>
      <c r="W1319">
        <f t="shared" si="362"/>
        <v>96.075553903144026</v>
      </c>
      <c r="AE1319">
        <f t="shared" si="363"/>
        <v>0.86815678995735956</v>
      </c>
      <c r="AF1319">
        <f t="shared" si="364"/>
        <v>0.84140202017068833</v>
      </c>
      <c r="AG1319">
        <f t="shared" si="365"/>
        <v>0.84356472887311218</v>
      </c>
      <c r="AI1319">
        <f t="shared" si="366"/>
        <v>0.5519356321456651</v>
      </c>
      <c r="AJ1319">
        <f t="shared" si="367"/>
        <v>28.997326640581267</v>
      </c>
      <c r="AL1319">
        <f t="shared" si="368"/>
        <v>0.56948599501753283</v>
      </c>
      <c r="AM1319">
        <f t="shared" si="369"/>
        <v>30.870750831138437</v>
      </c>
      <c r="AO1319">
        <f t="shared" si="370"/>
        <v>0.56802596204652622</v>
      </c>
      <c r="AP1319">
        <f t="shared" si="371"/>
        <v>30.712662530986876</v>
      </c>
    </row>
    <row r="1320" spans="1:42" x14ac:dyDescent="0.2">
      <c r="A1320" s="3">
        <v>1300</v>
      </c>
      <c r="B1320" s="3">
        <v>1.15E-6</v>
      </c>
      <c r="C1320" s="2">
        <v>6.8709999999999993E-2</v>
      </c>
      <c r="D1320" s="3">
        <v>256000</v>
      </c>
      <c r="E1320" s="3">
        <v>78600000000</v>
      </c>
      <c r="F1320" s="3">
        <v>73200000000</v>
      </c>
      <c r="G1320" s="3">
        <v>4530000000</v>
      </c>
      <c r="H1320" s="3">
        <v>8150000000</v>
      </c>
      <c r="I1320" s="2"/>
      <c r="J1320" s="7">
        <f t="shared" si="355"/>
        <v>1.1499999999999999</v>
      </c>
      <c r="K1320" s="7">
        <f t="shared" si="356"/>
        <v>68.709999999999994</v>
      </c>
      <c r="L1320" s="7">
        <f t="shared" si="357"/>
        <v>78.600000000000009</v>
      </c>
      <c r="M1320" s="7">
        <f t="shared" si="358"/>
        <v>256</v>
      </c>
      <c r="O1320">
        <f t="shared" si="359"/>
        <v>0.94870117187499992</v>
      </c>
      <c r="P1320">
        <f t="shared" si="360"/>
        <v>948.70117187499989</v>
      </c>
      <c r="V1320">
        <f t="shared" si="361"/>
        <v>1332.1936745507001</v>
      </c>
      <c r="W1320">
        <f t="shared" si="362"/>
        <v>96.082125628745146</v>
      </c>
      <c r="AE1320">
        <f t="shared" si="363"/>
        <v>0.86815678995735956</v>
      </c>
      <c r="AF1320">
        <f t="shared" si="364"/>
        <v>0.84140202017068833</v>
      </c>
      <c r="AG1320">
        <f t="shared" si="365"/>
        <v>0.84356472887311218</v>
      </c>
      <c r="AI1320">
        <f t="shared" si="366"/>
        <v>0.5519356321456651</v>
      </c>
      <c r="AJ1320">
        <f t="shared" si="367"/>
        <v>29.018443248970851</v>
      </c>
      <c r="AL1320">
        <f t="shared" si="368"/>
        <v>0.56948599501753283</v>
      </c>
      <c r="AM1320">
        <f t="shared" si="369"/>
        <v>30.89323171581011</v>
      </c>
      <c r="AO1320">
        <f t="shared" si="370"/>
        <v>0.56802596204652622</v>
      </c>
      <c r="AP1320">
        <f t="shared" si="371"/>
        <v>30.735028291641541</v>
      </c>
    </row>
    <row r="1321" spans="1:42" x14ac:dyDescent="0.2">
      <c r="A1321" s="3">
        <v>1300</v>
      </c>
      <c r="B1321" s="3">
        <v>1.1599999999999999E-6</v>
      </c>
      <c r="C1321" s="2">
        <v>6.8760000000000002E-2</v>
      </c>
      <c r="D1321" s="3">
        <v>232000</v>
      </c>
      <c r="E1321" s="3">
        <v>71400000000</v>
      </c>
      <c r="F1321" s="3">
        <v>66900000000</v>
      </c>
      <c r="G1321" s="3">
        <v>4980000000</v>
      </c>
      <c r="H1321" s="3">
        <v>8290000000</v>
      </c>
      <c r="I1321" s="2"/>
      <c r="J1321" s="7">
        <f t="shared" si="355"/>
        <v>1.1599999999999999</v>
      </c>
      <c r="K1321" s="7">
        <f t="shared" si="356"/>
        <v>68.760000000000005</v>
      </c>
      <c r="L1321" s="7">
        <f t="shared" si="357"/>
        <v>71.400000000000006</v>
      </c>
      <c r="M1321" s="7">
        <f t="shared" si="358"/>
        <v>232</v>
      </c>
      <c r="O1321">
        <f t="shared" si="359"/>
        <v>0.93771551724137914</v>
      </c>
      <c r="P1321">
        <f t="shared" si="360"/>
        <v>937.71551724137919</v>
      </c>
      <c r="V1321">
        <f t="shared" si="361"/>
        <v>1325.3373095864013</v>
      </c>
      <c r="W1321">
        <f t="shared" si="362"/>
        <v>87.524888314055076</v>
      </c>
      <c r="AE1321">
        <f t="shared" si="363"/>
        <v>0.7867670908988571</v>
      </c>
      <c r="AF1321">
        <f t="shared" si="364"/>
        <v>0.76252058077968621</v>
      </c>
      <c r="AG1321">
        <f t="shared" si="365"/>
        <v>0.76448053554125794</v>
      </c>
      <c r="AI1321">
        <f t="shared" si="366"/>
        <v>0.61432835577952294</v>
      </c>
      <c r="AJ1321">
        <f t="shared" si="367"/>
        <v>35.358512834645772</v>
      </c>
      <c r="AL1321">
        <f t="shared" si="368"/>
        <v>0.63386267271516705</v>
      </c>
      <c r="AM1321">
        <f t="shared" si="369"/>
        <v>37.642912845295307</v>
      </c>
      <c r="AO1321">
        <f t="shared" si="370"/>
        <v>0.63223759253874234</v>
      </c>
      <c r="AP1321">
        <f t="shared" si="371"/>
        <v>37.450144482225106</v>
      </c>
    </row>
    <row r="1322" spans="1:42" x14ac:dyDescent="0.2">
      <c r="A1322" s="3">
        <v>1300</v>
      </c>
      <c r="B1322" s="3">
        <v>1.1599999999999999E-6</v>
      </c>
      <c r="C1322" s="2">
        <v>6.8809999999999996E-2</v>
      </c>
      <c r="D1322" s="3">
        <v>263000</v>
      </c>
      <c r="E1322" s="3">
        <v>80500000000</v>
      </c>
      <c r="F1322" s="3">
        <v>74900000000</v>
      </c>
      <c r="G1322" s="3">
        <v>1020000000</v>
      </c>
      <c r="H1322" s="3">
        <v>8100000000</v>
      </c>
      <c r="I1322" s="2"/>
      <c r="J1322" s="7">
        <f t="shared" si="355"/>
        <v>1.1599999999999999</v>
      </c>
      <c r="K1322" s="7">
        <f t="shared" si="356"/>
        <v>68.81</v>
      </c>
      <c r="L1322" s="7">
        <f t="shared" si="357"/>
        <v>80.5</v>
      </c>
      <c r="M1322" s="7">
        <f t="shared" si="358"/>
        <v>263</v>
      </c>
      <c r="O1322">
        <f t="shared" si="359"/>
        <v>0.9637737642585551</v>
      </c>
      <c r="P1322">
        <f t="shared" si="360"/>
        <v>963.77376425855505</v>
      </c>
      <c r="V1322">
        <f t="shared" si="361"/>
        <v>1341.5292083384295</v>
      </c>
      <c r="W1322">
        <f t="shared" si="362"/>
        <v>98.022465096284577</v>
      </c>
      <c r="AE1322">
        <f t="shared" si="363"/>
        <v>0.89189545218275612</v>
      </c>
      <c r="AF1322">
        <f t="shared" si="364"/>
        <v>0.86440910665973059</v>
      </c>
      <c r="AG1322">
        <f t="shared" si="365"/>
        <v>0.86663095192823636</v>
      </c>
      <c r="AI1322">
        <f t="shared" si="366"/>
        <v>0.54191702867243086</v>
      </c>
      <c r="AJ1322">
        <f t="shared" si="367"/>
        <v>27.534307173146843</v>
      </c>
      <c r="AL1322">
        <f t="shared" si="368"/>
        <v>0.55914882155862633</v>
      </c>
      <c r="AM1322">
        <f t="shared" si="369"/>
        <v>29.31321037232021</v>
      </c>
      <c r="AO1322">
        <f t="shared" si="370"/>
        <v>0.55771529075660919</v>
      </c>
      <c r="AP1322">
        <f t="shared" si="371"/>
        <v>29.163098195745903</v>
      </c>
    </row>
    <row r="1323" spans="1:42" x14ac:dyDescent="0.2">
      <c r="A1323" s="3">
        <v>1300</v>
      </c>
      <c r="B1323" s="3">
        <v>1.1599999999999999E-6</v>
      </c>
      <c r="C1323" s="2">
        <v>6.8870000000000001E-2</v>
      </c>
      <c r="D1323" s="3">
        <v>254000</v>
      </c>
      <c r="E1323" s="3">
        <v>77900000000</v>
      </c>
      <c r="F1323" s="3">
        <v>72600000000</v>
      </c>
      <c r="G1323" s="3">
        <v>973000000</v>
      </c>
      <c r="H1323" s="3">
        <v>8130000000</v>
      </c>
      <c r="I1323" s="2"/>
      <c r="J1323" s="7">
        <f t="shared" si="355"/>
        <v>1.1599999999999999</v>
      </c>
      <c r="K1323" s="7">
        <f t="shared" si="356"/>
        <v>68.87</v>
      </c>
      <c r="L1323" s="7">
        <f t="shared" si="357"/>
        <v>77.900000000000006</v>
      </c>
      <c r="M1323" s="7">
        <f t="shared" si="358"/>
        <v>254</v>
      </c>
      <c r="O1323">
        <f t="shared" si="359"/>
        <v>0.95664370078740146</v>
      </c>
      <c r="P1323">
        <f t="shared" si="360"/>
        <v>956.64370078740149</v>
      </c>
      <c r="V1323">
        <f t="shared" si="361"/>
        <v>1337.1232634801747</v>
      </c>
      <c r="W1323">
        <f t="shared" si="362"/>
        <v>94.980024257040398</v>
      </c>
      <c r="AE1323">
        <f t="shared" si="363"/>
        <v>0.86137431503581774</v>
      </c>
      <c r="AF1323">
        <f t="shared" si="364"/>
        <v>0.83482856688810481</v>
      </c>
      <c r="AG1323">
        <f t="shared" si="365"/>
        <v>0.83697437942879105</v>
      </c>
      <c r="AI1323">
        <f t="shared" si="366"/>
        <v>0.56111881315294998</v>
      </c>
      <c r="AJ1323">
        <f t="shared" si="367"/>
        <v>29.545867234737088</v>
      </c>
      <c r="AL1323">
        <f t="shared" si="368"/>
        <v>0.57896118137763275</v>
      </c>
      <c r="AM1323">
        <f t="shared" si="369"/>
        <v>31.454730872224385</v>
      </c>
      <c r="AO1323">
        <f t="shared" si="370"/>
        <v>0.57747685617711897</v>
      </c>
      <c r="AP1323">
        <f t="shared" si="371"/>
        <v>31.293652025696964</v>
      </c>
    </row>
    <row r="1324" spans="1:42" x14ac:dyDescent="0.2">
      <c r="A1324" s="3">
        <v>1300</v>
      </c>
      <c r="B1324" s="3">
        <v>1.1599999999999999E-6</v>
      </c>
      <c r="C1324" s="2">
        <v>6.8919999999999995E-2</v>
      </c>
      <c r="D1324" s="3">
        <v>224000</v>
      </c>
      <c r="E1324" s="3">
        <v>68800000000</v>
      </c>
      <c r="F1324" s="3">
        <v>64700000000</v>
      </c>
      <c r="G1324" s="3">
        <v>3970000000</v>
      </c>
      <c r="H1324" s="3">
        <v>8320000000</v>
      </c>
      <c r="I1324" s="2"/>
      <c r="J1324" s="7">
        <f t="shared" si="355"/>
        <v>1.1599999999999999</v>
      </c>
      <c r="K1324" s="7">
        <f t="shared" si="356"/>
        <v>68.92</v>
      </c>
      <c r="L1324" s="7">
        <f t="shared" si="357"/>
        <v>68.800000000000011</v>
      </c>
      <c r="M1324" s="7">
        <f t="shared" si="358"/>
        <v>224</v>
      </c>
      <c r="O1324">
        <f t="shared" si="359"/>
        <v>0.92924107142857137</v>
      </c>
      <c r="P1324">
        <f t="shared" si="360"/>
        <v>929.24107142857133</v>
      </c>
      <c r="V1324">
        <f t="shared" si="361"/>
        <v>1320.0176141771617</v>
      </c>
      <c r="W1324">
        <f t="shared" si="362"/>
        <v>84.847352639165834</v>
      </c>
      <c r="AE1324">
        <f t="shared" si="363"/>
        <v>0.75963719121268969</v>
      </c>
      <c r="AF1324">
        <f t="shared" si="364"/>
        <v>0.73622676764935224</v>
      </c>
      <c r="AG1324">
        <f t="shared" si="365"/>
        <v>0.7381191377639732</v>
      </c>
      <c r="AI1324">
        <f t="shared" si="366"/>
        <v>0.63626865420022016</v>
      </c>
      <c r="AJ1324">
        <f t="shared" si="367"/>
        <v>38.017479842229697</v>
      </c>
      <c r="AL1324">
        <f t="shared" si="368"/>
        <v>0.65650062531213726</v>
      </c>
      <c r="AM1324">
        <f t="shared" si="369"/>
        <v>40.47366717574679</v>
      </c>
      <c r="AO1324">
        <f t="shared" si="370"/>
        <v>0.6548175065579831</v>
      </c>
      <c r="AP1324">
        <f t="shared" si="371"/>
        <v>40.266402594470058</v>
      </c>
    </row>
    <row r="1325" spans="1:42" x14ac:dyDescent="0.2">
      <c r="A1325" s="3">
        <v>1300</v>
      </c>
      <c r="B1325" s="3">
        <v>1.1599999999999999E-6</v>
      </c>
      <c r="C1325" s="2">
        <v>6.8970000000000004E-2</v>
      </c>
      <c r="D1325" s="3">
        <v>251000</v>
      </c>
      <c r="E1325" s="3">
        <v>76700000000</v>
      </c>
      <c r="F1325" s="3">
        <v>71600000000</v>
      </c>
      <c r="G1325" s="3">
        <v>9030000000</v>
      </c>
      <c r="H1325" s="3">
        <v>8150000000</v>
      </c>
      <c r="I1325" s="2"/>
      <c r="J1325" s="7">
        <f t="shared" si="355"/>
        <v>1.1599999999999999</v>
      </c>
      <c r="K1325" s="7">
        <f t="shared" si="356"/>
        <v>68.97</v>
      </c>
      <c r="L1325" s="7">
        <f t="shared" si="357"/>
        <v>76.7</v>
      </c>
      <c r="M1325" s="7">
        <f t="shared" si="358"/>
        <v>251</v>
      </c>
      <c r="O1325">
        <f t="shared" si="359"/>
        <v>0.95391434262948205</v>
      </c>
      <c r="P1325">
        <f t="shared" si="360"/>
        <v>953.91434262948201</v>
      </c>
      <c r="V1325">
        <f t="shared" si="361"/>
        <v>1335.4318470970734</v>
      </c>
      <c r="W1325">
        <f t="shared" si="362"/>
        <v>93.977090836053222</v>
      </c>
      <c r="AE1325">
        <f t="shared" si="363"/>
        <v>0.85120060265350495</v>
      </c>
      <c r="AF1325">
        <f t="shared" si="364"/>
        <v>0.82496838696422947</v>
      </c>
      <c r="AG1325">
        <f t="shared" si="365"/>
        <v>0.82708885526230924</v>
      </c>
      <c r="AI1325">
        <f t="shared" si="366"/>
        <v>0.56782541251334384</v>
      </c>
      <c r="AJ1325">
        <f t="shared" si="367"/>
        <v>30.300296290711856</v>
      </c>
      <c r="AL1325">
        <f t="shared" si="368"/>
        <v>0.58588103613513443</v>
      </c>
      <c r="AM1325">
        <f t="shared" si="369"/>
        <v>32.257901167729301</v>
      </c>
      <c r="AO1325">
        <f t="shared" si="370"/>
        <v>0.58437896999596894</v>
      </c>
      <c r="AP1325">
        <f t="shared" si="371"/>
        <v>32.092709307318827</v>
      </c>
    </row>
    <row r="1326" spans="1:42" x14ac:dyDescent="0.2">
      <c r="A1326" s="3">
        <v>1300</v>
      </c>
      <c r="B1326" s="3">
        <v>1.17E-6</v>
      </c>
      <c r="C1326" s="2">
        <v>6.9019999999999998E-2</v>
      </c>
      <c r="D1326" s="3">
        <v>244000</v>
      </c>
      <c r="E1326" s="3">
        <v>74500000000</v>
      </c>
      <c r="F1326" s="3">
        <v>69600000000</v>
      </c>
      <c r="G1326" s="3">
        <v>3500000000</v>
      </c>
      <c r="H1326" s="3">
        <v>8180000000</v>
      </c>
      <c r="I1326" s="2"/>
      <c r="J1326" s="7">
        <f t="shared" si="355"/>
        <v>1.17</v>
      </c>
      <c r="K1326" s="7">
        <f t="shared" si="356"/>
        <v>69.02</v>
      </c>
      <c r="L1326" s="7">
        <f t="shared" si="357"/>
        <v>74.5</v>
      </c>
      <c r="M1326" s="7">
        <f t="shared" si="358"/>
        <v>244</v>
      </c>
      <c r="O1326">
        <f t="shared" si="359"/>
        <v>0.95784836065573764</v>
      </c>
      <c r="P1326">
        <f t="shared" si="360"/>
        <v>957.84836065573768</v>
      </c>
      <c r="V1326">
        <f t="shared" si="361"/>
        <v>1337.8689508271373</v>
      </c>
      <c r="W1326">
        <f t="shared" si="362"/>
        <v>91.189798466115477</v>
      </c>
      <c r="AE1326">
        <f t="shared" si="363"/>
        <v>0.82746194042810839</v>
      </c>
      <c r="AF1326">
        <f t="shared" si="364"/>
        <v>0.80196130047518721</v>
      </c>
      <c r="AG1326">
        <f t="shared" si="365"/>
        <v>0.80402263220718506</v>
      </c>
      <c r="AI1326">
        <f t="shared" si="366"/>
        <v>0.58915096414921453</v>
      </c>
      <c r="AJ1326">
        <f t="shared" si="367"/>
        <v>32.087020704423502</v>
      </c>
      <c r="AL1326">
        <f t="shared" si="368"/>
        <v>0.6078846943252012</v>
      </c>
      <c r="AM1326">
        <f t="shared" si="369"/>
        <v>34.160060110285478</v>
      </c>
      <c r="AO1326">
        <f t="shared" si="370"/>
        <v>0.60632621579535118</v>
      </c>
      <c r="AP1326">
        <f t="shared" si="371"/>
        <v>33.985127344138974</v>
      </c>
    </row>
    <row r="1327" spans="1:42" x14ac:dyDescent="0.2">
      <c r="A1327" s="3">
        <v>1300</v>
      </c>
      <c r="B1327" s="3">
        <v>1.17E-6</v>
      </c>
      <c r="C1327" s="2">
        <v>6.9070000000000006E-2</v>
      </c>
      <c r="D1327" s="3">
        <v>273000</v>
      </c>
      <c r="E1327" s="3">
        <v>83200000000</v>
      </c>
      <c r="F1327" s="3">
        <v>77200000000</v>
      </c>
      <c r="G1327" s="3">
        <v>6760000000</v>
      </c>
      <c r="H1327" s="3">
        <v>8020000000</v>
      </c>
      <c r="I1327" s="2"/>
      <c r="J1327" s="7">
        <f t="shared" si="355"/>
        <v>1.17</v>
      </c>
      <c r="K1327" s="7">
        <f t="shared" si="356"/>
        <v>69.070000000000007</v>
      </c>
      <c r="L1327" s="7">
        <f t="shared" si="357"/>
        <v>83.2</v>
      </c>
      <c r="M1327" s="7">
        <f t="shared" si="358"/>
        <v>273</v>
      </c>
      <c r="O1327">
        <f t="shared" si="359"/>
        <v>0.98024725274725266</v>
      </c>
      <c r="P1327">
        <f t="shared" si="360"/>
        <v>980.24725274725267</v>
      </c>
      <c r="V1327">
        <f t="shared" si="361"/>
        <v>1351.6398781965095</v>
      </c>
      <c r="W1327">
        <f t="shared" si="362"/>
        <v>100.98843797219988</v>
      </c>
      <c r="AE1327">
        <f t="shared" si="363"/>
        <v>0.92580782679046547</v>
      </c>
      <c r="AF1327">
        <f t="shared" si="364"/>
        <v>0.89727637307264807</v>
      </c>
      <c r="AG1327">
        <f t="shared" si="365"/>
        <v>0.89958269914984235</v>
      </c>
      <c r="AI1327">
        <f t="shared" si="366"/>
        <v>0.52656716209673382</v>
      </c>
      <c r="AJ1327">
        <f t="shared" si="367"/>
        <v>25.650642873324184</v>
      </c>
      <c r="AL1327">
        <f t="shared" si="368"/>
        <v>0.54331086232728598</v>
      </c>
      <c r="AM1327">
        <f t="shared" si="369"/>
        <v>27.307848568796022</v>
      </c>
      <c r="AO1327">
        <f t="shared" si="370"/>
        <v>0.5419179364617791</v>
      </c>
      <c r="AP1327">
        <f t="shared" si="371"/>
        <v>27.168005797084653</v>
      </c>
    </row>
    <row r="1328" spans="1:42" x14ac:dyDescent="0.2">
      <c r="A1328" s="3">
        <v>1300</v>
      </c>
      <c r="B1328" s="3">
        <v>1.17E-6</v>
      </c>
      <c r="C1328" s="2">
        <v>6.9129999999999997E-2</v>
      </c>
      <c r="D1328" s="3">
        <v>240000</v>
      </c>
      <c r="E1328" s="3">
        <v>73300000000</v>
      </c>
      <c r="F1328" s="3">
        <v>68600000000</v>
      </c>
      <c r="G1328" s="2">
        <v>0</v>
      </c>
      <c r="H1328" s="3">
        <v>8190000000</v>
      </c>
      <c r="I1328" s="2"/>
      <c r="J1328" s="7">
        <f t="shared" si="355"/>
        <v>1.17</v>
      </c>
      <c r="K1328" s="7">
        <f t="shared" si="356"/>
        <v>69.13</v>
      </c>
      <c r="L1328" s="7">
        <f t="shared" si="357"/>
        <v>73.300000000000011</v>
      </c>
      <c r="M1328" s="7">
        <f t="shared" si="358"/>
        <v>240</v>
      </c>
      <c r="O1328">
        <f t="shared" si="359"/>
        <v>0.95396874999999992</v>
      </c>
      <c r="P1328">
        <f t="shared" si="360"/>
        <v>953.96874999999989</v>
      </c>
      <c r="V1328">
        <f t="shared" si="361"/>
        <v>1335.4655903169635</v>
      </c>
      <c r="W1328">
        <f t="shared" si="362"/>
        <v>89.856302453677472</v>
      </c>
      <c r="AE1328">
        <f t="shared" si="363"/>
        <v>0.81389699058502463</v>
      </c>
      <c r="AF1328">
        <f t="shared" si="364"/>
        <v>0.78881439391002028</v>
      </c>
      <c r="AG1328">
        <f t="shared" si="365"/>
        <v>0.79084193331854269</v>
      </c>
      <c r="AI1328">
        <f t="shared" si="366"/>
        <v>0.5989701468850348</v>
      </c>
      <c r="AJ1328">
        <f t="shared" si="367"/>
        <v>33.218358339633355</v>
      </c>
      <c r="AL1328">
        <f t="shared" si="368"/>
        <v>0.61801610589728784</v>
      </c>
      <c r="AM1328">
        <f t="shared" si="369"/>
        <v>35.364489838423772</v>
      </c>
      <c r="AO1328">
        <f t="shared" si="370"/>
        <v>0.61643165272527378</v>
      </c>
      <c r="AP1328">
        <f t="shared" si="371"/>
        <v>35.183389219431227</v>
      </c>
    </row>
    <row r="1329" spans="1:42" x14ac:dyDescent="0.2">
      <c r="A1329" s="3">
        <v>1300</v>
      </c>
      <c r="B1329" s="3">
        <v>1.17E-6</v>
      </c>
      <c r="C1329" s="2">
        <v>6.9180000000000005E-2</v>
      </c>
      <c r="D1329" s="3">
        <v>240000</v>
      </c>
      <c r="E1329" s="3">
        <v>73200000000</v>
      </c>
      <c r="F1329" s="3">
        <v>68500000000</v>
      </c>
      <c r="G1329" s="3">
        <v>4530000000</v>
      </c>
      <c r="H1329" s="3">
        <v>8180000000</v>
      </c>
      <c r="I1329" s="2"/>
      <c r="J1329" s="7">
        <f t="shared" si="355"/>
        <v>1.17</v>
      </c>
      <c r="K1329" s="7">
        <f t="shared" si="356"/>
        <v>69.180000000000007</v>
      </c>
      <c r="L1329" s="7">
        <f t="shared" si="357"/>
        <v>73.2</v>
      </c>
      <c r="M1329" s="7">
        <f t="shared" si="358"/>
        <v>240</v>
      </c>
      <c r="O1329">
        <f t="shared" si="359"/>
        <v>0.95381249999999995</v>
      </c>
      <c r="P1329">
        <f t="shared" si="360"/>
        <v>953.8125</v>
      </c>
      <c r="V1329">
        <f t="shared" si="361"/>
        <v>1335.3686818498813</v>
      </c>
      <c r="W1329">
        <f t="shared" si="362"/>
        <v>89.862823376810397</v>
      </c>
      <c r="AE1329">
        <f t="shared" si="363"/>
        <v>0.81389699058502463</v>
      </c>
      <c r="AF1329">
        <f t="shared" si="364"/>
        <v>0.78881439391002028</v>
      </c>
      <c r="AG1329">
        <f t="shared" si="365"/>
        <v>0.79084193331854269</v>
      </c>
      <c r="AI1329">
        <f t="shared" si="366"/>
        <v>0.5989701468850348</v>
      </c>
      <c r="AJ1329">
        <f t="shared" si="367"/>
        <v>33.242384347401071</v>
      </c>
      <c r="AL1329">
        <f t="shared" si="368"/>
        <v>0.61801610589728784</v>
      </c>
      <c r="AM1329">
        <f t="shared" si="369"/>
        <v>35.390068089427992</v>
      </c>
      <c r="AO1329">
        <f t="shared" si="370"/>
        <v>0.61643165272527378</v>
      </c>
      <c r="AP1329">
        <f t="shared" si="371"/>
        <v>35.208836484887208</v>
      </c>
    </row>
    <row r="1330" spans="1:42" x14ac:dyDescent="0.2">
      <c r="A1330" s="3">
        <v>1300</v>
      </c>
      <c r="B1330" s="3">
        <v>1.17E-6</v>
      </c>
      <c r="C1330" s="2">
        <v>6.9239999999999996E-2</v>
      </c>
      <c r="D1330" s="3">
        <v>268000</v>
      </c>
      <c r="E1330" s="3">
        <v>81400000000</v>
      </c>
      <c r="F1330" s="3">
        <v>75700000000</v>
      </c>
      <c r="G1330" s="3">
        <v>8340000000</v>
      </c>
      <c r="H1330" s="3">
        <v>8030000000</v>
      </c>
      <c r="I1330" s="2"/>
      <c r="J1330" s="7">
        <f t="shared" si="355"/>
        <v>1.17</v>
      </c>
      <c r="K1330" s="7">
        <f t="shared" si="356"/>
        <v>69.239999999999995</v>
      </c>
      <c r="L1330" s="7">
        <f t="shared" si="357"/>
        <v>81.400000000000006</v>
      </c>
      <c r="M1330" s="7">
        <f t="shared" si="358"/>
        <v>268</v>
      </c>
      <c r="O1330">
        <f t="shared" si="359"/>
        <v>0.97623134328358208</v>
      </c>
      <c r="P1330">
        <f t="shared" si="360"/>
        <v>976.23134328358208</v>
      </c>
      <c r="V1330">
        <f t="shared" si="361"/>
        <v>1349.1838752709973</v>
      </c>
      <c r="W1330">
        <f t="shared" si="362"/>
        <v>99.319301435532452</v>
      </c>
      <c r="AE1330">
        <f t="shared" si="363"/>
        <v>0.90885163948661085</v>
      </c>
      <c r="AF1330">
        <f t="shared" si="364"/>
        <v>0.88084273986618933</v>
      </c>
      <c r="AG1330">
        <f t="shared" si="365"/>
        <v>0.88310682553903941</v>
      </c>
      <c r="AI1330">
        <f t="shared" si="366"/>
        <v>0.53639117631495647</v>
      </c>
      <c r="AJ1330">
        <f t="shared" si="367"/>
        <v>26.682195590153786</v>
      </c>
      <c r="AL1330">
        <f t="shared" si="368"/>
        <v>0.55344725901249658</v>
      </c>
      <c r="AM1330">
        <f t="shared" si="369"/>
        <v>28.406046595294931</v>
      </c>
      <c r="AO1330">
        <f t="shared" si="370"/>
        <v>0.55202834572412574</v>
      </c>
      <c r="AP1330">
        <f t="shared" si="371"/>
        <v>28.260579980477555</v>
      </c>
    </row>
    <row r="1331" spans="1:42" x14ac:dyDescent="0.2">
      <c r="A1331" s="3">
        <v>1300</v>
      </c>
      <c r="B1331" s="3">
        <v>1.1799999999999999E-6</v>
      </c>
      <c r="C1331" s="2">
        <v>6.9290000000000004E-2</v>
      </c>
      <c r="D1331" s="3">
        <v>233000</v>
      </c>
      <c r="E1331" s="3">
        <v>71000000000</v>
      </c>
      <c r="F1331" s="3">
        <v>66600000000</v>
      </c>
      <c r="G1331" s="3">
        <v>9420000000</v>
      </c>
      <c r="H1331" s="3">
        <v>8210000000</v>
      </c>
      <c r="I1331" s="2"/>
      <c r="J1331" s="7">
        <f t="shared" si="355"/>
        <v>1.18</v>
      </c>
      <c r="K1331" s="7">
        <f t="shared" si="356"/>
        <v>69.290000000000006</v>
      </c>
      <c r="L1331" s="7">
        <f t="shared" si="357"/>
        <v>71</v>
      </c>
      <c r="M1331" s="7">
        <f t="shared" si="358"/>
        <v>233</v>
      </c>
      <c r="O1331">
        <f t="shared" si="359"/>
        <v>0.95696351931330459</v>
      </c>
      <c r="P1331">
        <f t="shared" si="360"/>
        <v>956.96351931330457</v>
      </c>
      <c r="V1331">
        <f t="shared" si="361"/>
        <v>1337.3212828844703</v>
      </c>
      <c r="W1331">
        <f t="shared" si="362"/>
        <v>87.114443994132046</v>
      </c>
      <c r="AE1331">
        <f t="shared" si="363"/>
        <v>0.79015832835962807</v>
      </c>
      <c r="AF1331">
        <f t="shared" si="364"/>
        <v>0.76580730742097802</v>
      </c>
      <c r="AG1331">
        <f t="shared" si="365"/>
        <v>0.76777571026341851</v>
      </c>
      <c r="AI1331">
        <f t="shared" si="366"/>
        <v>0.6222381629354824</v>
      </c>
      <c r="AJ1331">
        <f t="shared" si="367"/>
        <v>35.325865536565892</v>
      </c>
      <c r="AL1331">
        <f t="shared" si="368"/>
        <v>0.64202399468145677</v>
      </c>
      <c r="AM1331">
        <f t="shared" si="369"/>
        <v>37.608156310086869</v>
      </c>
      <c r="AO1331">
        <f t="shared" si="370"/>
        <v>0.64037799072593649</v>
      </c>
      <c r="AP1331">
        <f t="shared" si="371"/>
        <v>37.415565934316064</v>
      </c>
    </row>
    <row r="1332" spans="1:42" x14ac:dyDescent="0.2">
      <c r="A1332" s="3">
        <v>1300</v>
      </c>
      <c r="B1332" s="3">
        <v>1.1799999999999999E-6</v>
      </c>
      <c r="C1332" s="2">
        <v>6.9339999999999999E-2</v>
      </c>
      <c r="D1332" s="3">
        <v>264000</v>
      </c>
      <c r="E1332" s="3">
        <v>80100000000</v>
      </c>
      <c r="F1332" s="3">
        <v>74500000000</v>
      </c>
      <c r="G1332" s="3">
        <v>7890000000</v>
      </c>
      <c r="H1332" s="3">
        <v>8030000000</v>
      </c>
      <c r="I1332" s="2"/>
      <c r="J1332" s="7">
        <f t="shared" si="355"/>
        <v>1.18</v>
      </c>
      <c r="K1332" s="7">
        <f t="shared" si="356"/>
        <v>69.34</v>
      </c>
      <c r="L1332" s="7">
        <f t="shared" si="357"/>
        <v>80.100000000000009</v>
      </c>
      <c r="M1332" s="7">
        <f t="shared" si="358"/>
        <v>264</v>
      </c>
      <c r="O1332">
        <f t="shared" si="359"/>
        <v>0.98301136363636354</v>
      </c>
      <c r="P1332">
        <f t="shared" si="360"/>
        <v>983.01136363636351</v>
      </c>
      <c r="V1332">
        <f t="shared" si="361"/>
        <v>1353.327066186652</v>
      </c>
      <c r="W1332">
        <f t="shared" si="362"/>
        <v>97.537397498406676</v>
      </c>
      <c r="AE1332">
        <f t="shared" si="363"/>
        <v>0.89528668964352709</v>
      </c>
      <c r="AF1332">
        <f t="shared" si="364"/>
        <v>0.86769583330102229</v>
      </c>
      <c r="AG1332">
        <f t="shared" si="365"/>
        <v>0.86992612665039704</v>
      </c>
      <c r="AI1332">
        <f t="shared" si="366"/>
        <v>0.54917231804533106</v>
      </c>
      <c r="AJ1332">
        <f t="shared" si="367"/>
        <v>27.536584770460944</v>
      </c>
      <c r="AL1332">
        <f t="shared" si="368"/>
        <v>0.56663481348780076</v>
      </c>
      <c r="AM1332">
        <f t="shared" si="369"/>
        <v>29.315635117885513</v>
      </c>
      <c r="AO1332">
        <f t="shared" si="370"/>
        <v>0.56518209029978472</v>
      </c>
      <c r="AP1332">
        <f t="shared" si="371"/>
        <v>29.165510524253158</v>
      </c>
    </row>
    <row r="1333" spans="1:42" x14ac:dyDescent="0.2">
      <c r="A1333" s="3">
        <v>1300</v>
      </c>
      <c r="B1333" s="3">
        <v>1.1799999999999999E-6</v>
      </c>
      <c r="C1333" s="2">
        <v>6.9389999999999993E-2</v>
      </c>
      <c r="D1333" s="3">
        <v>244000</v>
      </c>
      <c r="E1333" s="3">
        <v>74200000000</v>
      </c>
      <c r="F1333" s="3">
        <v>69400000000</v>
      </c>
      <c r="G1333" s="2">
        <v>0</v>
      </c>
      <c r="H1333" s="3">
        <v>8130000000</v>
      </c>
      <c r="I1333" s="2"/>
      <c r="J1333" s="7">
        <f t="shared" si="355"/>
        <v>1.18</v>
      </c>
      <c r="K1333" s="7">
        <f t="shared" si="356"/>
        <v>69.389999999999986</v>
      </c>
      <c r="L1333" s="7">
        <f t="shared" si="357"/>
        <v>74.2</v>
      </c>
      <c r="M1333" s="7">
        <f t="shared" si="358"/>
        <v>244</v>
      </c>
      <c r="O1333">
        <f t="shared" si="359"/>
        <v>0.96671106557377051</v>
      </c>
      <c r="P1333">
        <f t="shared" si="360"/>
        <v>966.7110655737705</v>
      </c>
      <c r="V1333">
        <f t="shared" si="361"/>
        <v>1343.3390004094108</v>
      </c>
      <c r="W1333">
        <f t="shared" si="362"/>
        <v>90.818475427883754</v>
      </c>
      <c r="AE1333">
        <f t="shared" si="363"/>
        <v>0.82746194042810839</v>
      </c>
      <c r="AF1333">
        <f t="shared" si="364"/>
        <v>0.80196130047518721</v>
      </c>
      <c r="AG1333">
        <f t="shared" si="365"/>
        <v>0.80402263220718506</v>
      </c>
      <c r="AI1333">
        <f t="shared" si="366"/>
        <v>0.59418644247527619</v>
      </c>
      <c r="AJ1333">
        <f t="shared" si="367"/>
        <v>32.259031681830578</v>
      </c>
      <c r="AL1333">
        <f t="shared" si="368"/>
        <v>0.61308029000319442</v>
      </c>
      <c r="AM1333">
        <f t="shared" si="369"/>
        <v>34.343184164774108</v>
      </c>
      <c r="AO1333">
        <f t="shared" si="370"/>
        <v>0.6115084911440295</v>
      </c>
      <c r="AP1333">
        <f t="shared" si="371"/>
        <v>34.167313625178252</v>
      </c>
    </row>
    <row r="1334" spans="1:42" x14ac:dyDescent="0.2">
      <c r="A1334" s="3">
        <v>1300</v>
      </c>
      <c r="B1334" s="3">
        <v>1.1799999999999999E-6</v>
      </c>
      <c r="C1334" s="2">
        <v>6.9440000000000002E-2</v>
      </c>
      <c r="D1334" s="3">
        <v>277000</v>
      </c>
      <c r="E1334" s="3">
        <v>83900000000</v>
      </c>
      <c r="F1334" s="3">
        <v>77800000000</v>
      </c>
      <c r="G1334" s="3">
        <v>5800000000</v>
      </c>
      <c r="H1334" s="3">
        <v>7960000000</v>
      </c>
      <c r="I1334" s="2"/>
      <c r="J1334" s="7">
        <f t="shared" si="355"/>
        <v>1.18</v>
      </c>
      <c r="K1334" s="7">
        <f t="shared" si="356"/>
        <v>69.44</v>
      </c>
      <c r="L1334" s="7">
        <f t="shared" si="357"/>
        <v>83.9</v>
      </c>
      <c r="M1334" s="7">
        <f t="shared" si="358"/>
        <v>277</v>
      </c>
      <c r="O1334">
        <f t="shared" si="359"/>
        <v>0.99198555956678702</v>
      </c>
      <c r="P1334">
        <f t="shared" si="360"/>
        <v>991.98555956678706</v>
      </c>
      <c r="V1334">
        <f t="shared" si="361"/>
        <v>1358.786690515956</v>
      </c>
      <c r="W1334">
        <f t="shared" si="362"/>
        <v>101.9291703154739</v>
      </c>
      <c r="AE1334">
        <f t="shared" si="363"/>
        <v>0.93937277663354923</v>
      </c>
      <c r="AF1334">
        <f t="shared" si="364"/>
        <v>0.910423279637815</v>
      </c>
      <c r="AG1334">
        <f t="shared" si="365"/>
        <v>0.91276339803848472</v>
      </c>
      <c r="AI1334">
        <f t="shared" si="366"/>
        <v>0.52339888795656109</v>
      </c>
      <c r="AJ1334">
        <f t="shared" si="367"/>
        <v>25.048646642819346</v>
      </c>
      <c r="AL1334">
        <f t="shared" si="368"/>
        <v>0.54004184390173071</v>
      </c>
      <c r="AM1334">
        <f t="shared" si="369"/>
        <v>26.666959294293349</v>
      </c>
      <c r="AO1334">
        <f t="shared" si="370"/>
        <v>0.53865729905827864</v>
      </c>
      <c r="AP1334">
        <f t="shared" si="371"/>
        <v>26.53039849963999</v>
      </c>
    </row>
    <row r="1335" spans="1:42" x14ac:dyDescent="0.2">
      <c r="A1335" s="3">
        <v>1300</v>
      </c>
      <c r="B1335" s="3">
        <v>1.1799999999999999E-6</v>
      </c>
      <c r="C1335" s="2">
        <v>6.9489999999999996E-2</v>
      </c>
      <c r="D1335" s="3">
        <v>247000</v>
      </c>
      <c r="E1335" s="3">
        <v>75000000000</v>
      </c>
      <c r="F1335" s="3">
        <v>70100000000</v>
      </c>
      <c r="G1335" s="3">
        <v>6090000000</v>
      </c>
      <c r="H1335" s="3">
        <v>8100000000</v>
      </c>
      <c r="I1335" s="2"/>
      <c r="J1335" s="7">
        <f t="shared" si="355"/>
        <v>1.18</v>
      </c>
      <c r="K1335" s="7">
        <f t="shared" si="356"/>
        <v>69.489999999999995</v>
      </c>
      <c r="L1335" s="7">
        <f t="shared" si="357"/>
        <v>75</v>
      </c>
      <c r="M1335" s="7">
        <f t="shared" si="358"/>
        <v>247</v>
      </c>
      <c r="O1335">
        <f t="shared" si="359"/>
        <v>0.96899797570850199</v>
      </c>
      <c r="P1335">
        <f t="shared" si="360"/>
        <v>968.99797570850194</v>
      </c>
      <c r="V1335">
        <f t="shared" si="361"/>
        <v>1344.7459401714239</v>
      </c>
      <c r="W1335">
        <f t="shared" si="362"/>
        <v>91.838908979533059</v>
      </c>
      <c r="AE1335">
        <f t="shared" si="363"/>
        <v>0.83763565281042118</v>
      </c>
      <c r="AF1335">
        <f t="shared" si="364"/>
        <v>0.81182148039906254</v>
      </c>
      <c r="AG1335">
        <f t="shared" si="365"/>
        <v>0.81390815637366687</v>
      </c>
      <c r="AI1335">
        <f t="shared" si="366"/>
        <v>0.5869696030929854</v>
      </c>
      <c r="AJ1335">
        <f t="shared" si="367"/>
        <v>31.525537319154637</v>
      </c>
      <c r="AL1335">
        <f t="shared" si="368"/>
        <v>0.60563397069141456</v>
      </c>
      <c r="AM1335">
        <f t="shared" si="369"/>
        <v>33.562301085900053</v>
      </c>
      <c r="AO1335">
        <f t="shared" si="370"/>
        <v>0.60408126250665251</v>
      </c>
      <c r="AP1335">
        <f t="shared" si="371"/>
        <v>33.390429427939168</v>
      </c>
    </row>
    <row r="1336" spans="1:42" x14ac:dyDescent="0.2">
      <c r="A1336" s="3">
        <v>1300</v>
      </c>
      <c r="B1336" s="3">
        <v>1.19E-6</v>
      </c>
      <c r="C1336" s="2">
        <v>6.9550000000000001E-2</v>
      </c>
      <c r="D1336" s="3">
        <v>262000</v>
      </c>
      <c r="E1336" s="3">
        <v>79200000000</v>
      </c>
      <c r="F1336" s="3">
        <v>73800000000</v>
      </c>
      <c r="G1336" s="3">
        <v>387000000</v>
      </c>
      <c r="H1336" s="3">
        <v>8010000000</v>
      </c>
      <c r="I1336" s="2"/>
      <c r="J1336" s="7">
        <f t="shared" si="355"/>
        <v>1.19</v>
      </c>
      <c r="K1336" s="7">
        <f t="shared" si="356"/>
        <v>69.55</v>
      </c>
      <c r="L1336" s="7">
        <f t="shared" si="357"/>
        <v>79.2</v>
      </c>
      <c r="M1336" s="7">
        <f t="shared" si="358"/>
        <v>262</v>
      </c>
      <c r="O1336">
        <f t="shared" si="359"/>
        <v>0.99090648854961827</v>
      </c>
      <c r="P1336">
        <f t="shared" si="360"/>
        <v>990.9064885496183</v>
      </c>
      <c r="V1336">
        <f t="shared" si="361"/>
        <v>1358.1316760165107</v>
      </c>
      <c r="W1336">
        <f t="shared" si="362"/>
        <v>96.456037594404393</v>
      </c>
      <c r="AE1336">
        <f t="shared" si="363"/>
        <v>0.88850421472198526</v>
      </c>
      <c r="AF1336">
        <f t="shared" si="364"/>
        <v>0.86112238001843877</v>
      </c>
      <c r="AG1336">
        <f t="shared" si="365"/>
        <v>0.86333577720607579</v>
      </c>
      <c r="AI1336">
        <f t="shared" si="366"/>
        <v>0.55805400257834525</v>
      </c>
      <c r="AJ1336">
        <f t="shared" si="367"/>
        <v>28.043269389330593</v>
      </c>
      <c r="AL1336">
        <f t="shared" si="368"/>
        <v>0.57579891643591508</v>
      </c>
      <c r="AM1336">
        <f t="shared" si="369"/>
        <v>29.855055003483013</v>
      </c>
      <c r="AO1336">
        <f t="shared" si="370"/>
        <v>0.57432269856572782</v>
      </c>
      <c r="AP1336">
        <f t="shared" si="371"/>
        <v>29.702168054854873</v>
      </c>
    </row>
    <row r="1337" spans="1:42" x14ac:dyDescent="0.2">
      <c r="A1337" s="3">
        <v>1300</v>
      </c>
      <c r="B1337" s="3">
        <v>1.19E-6</v>
      </c>
      <c r="C1337" s="2">
        <v>6.9599999999999995E-2</v>
      </c>
      <c r="D1337" s="3">
        <v>263000</v>
      </c>
      <c r="E1337" s="3">
        <v>79500000000</v>
      </c>
      <c r="F1337" s="3">
        <v>74000000000</v>
      </c>
      <c r="G1337" s="3">
        <v>8580000000</v>
      </c>
      <c r="H1337" s="3">
        <v>8000000000</v>
      </c>
      <c r="I1337" s="2"/>
      <c r="J1337" s="7">
        <f t="shared" si="355"/>
        <v>1.19</v>
      </c>
      <c r="K1337" s="7">
        <f t="shared" si="356"/>
        <v>69.599999999999994</v>
      </c>
      <c r="L1337" s="7">
        <f t="shared" si="357"/>
        <v>79.5</v>
      </c>
      <c r="M1337" s="7">
        <f t="shared" si="358"/>
        <v>263</v>
      </c>
      <c r="O1337">
        <f t="shared" si="359"/>
        <v>0.9915209125475285</v>
      </c>
      <c r="P1337">
        <f t="shared" si="360"/>
        <v>991.5209125475285</v>
      </c>
      <c r="V1337">
        <f t="shared" si="361"/>
        <v>1358.5046905317736</v>
      </c>
      <c r="W1337">
        <f t="shared" si="362"/>
        <v>96.797604687346052</v>
      </c>
      <c r="AE1337">
        <f t="shared" si="363"/>
        <v>0.89189545218275612</v>
      </c>
      <c r="AF1337">
        <f t="shared" si="364"/>
        <v>0.86440910665973059</v>
      </c>
      <c r="AG1337">
        <f t="shared" si="365"/>
        <v>0.86663095192823636</v>
      </c>
      <c r="AI1337">
        <f t="shared" si="366"/>
        <v>0.55593212424154548</v>
      </c>
      <c r="AJ1337">
        <f t="shared" si="367"/>
        <v>27.850425508661822</v>
      </c>
      <c r="AL1337">
        <f t="shared" si="368"/>
        <v>0.5736095669437633</v>
      </c>
      <c r="AM1337">
        <f t="shared" si="369"/>
        <v>29.649752098728186</v>
      </c>
      <c r="AO1337">
        <f t="shared" si="370"/>
        <v>0.57213896206928005</v>
      </c>
      <c r="AP1337">
        <f t="shared" si="371"/>
        <v>29.497916500856192</v>
      </c>
    </row>
    <row r="1338" spans="1:42" x14ac:dyDescent="0.2">
      <c r="A1338" s="3">
        <v>1300</v>
      </c>
      <c r="B1338" s="3">
        <v>1.19E-6</v>
      </c>
      <c r="C1338" s="2">
        <v>6.9650000000000004E-2</v>
      </c>
      <c r="D1338" s="3">
        <v>233000</v>
      </c>
      <c r="E1338" s="3">
        <v>70500000000</v>
      </c>
      <c r="F1338" s="3">
        <v>66200000000</v>
      </c>
      <c r="G1338" s="3">
        <v>6580000000</v>
      </c>
      <c r="H1338" s="3">
        <v>8160000000</v>
      </c>
      <c r="I1338" s="2"/>
      <c r="J1338" s="7">
        <f t="shared" si="355"/>
        <v>1.19</v>
      </c>
      <c r="K1338" s="7">
        <f t="shared" si="356"/>
        <v>69.650000000000006</v>
      </c>
      <c r="L1338" s="7">
        <f t="shared" si="357"/>
        <v>70.5</v>
      </c>
      <c r="M1338" s="7">
        <f t="shared" si="358"/>
        <v>233</v>
      </c>
      <c r="O1338">
        <f t="shared" si="359"/>
        <v>0.96580472103004289</v>
      </c>
      <c r="P1338">
        <f t="shared" si="360"/>
        <v>965.80472103004286</v>
      </c>
      <c r="V1338">
        <f t="shared" si="361"/>
        <v>1342.7808914098521</v>
      </c>
      <c r="W1338">
        <f t="shared" si="362"/>
        <v>86.760245655328688</v>
      </c>
      <c r="AE1338">
        <f t="shared" si="363"/>
        <v>0.79015832835962807</v>
      </c>
      <c r="AF1338">
        <f t="shared" si="364"/>
        <v>0.76580730742097802</v>
      </c>
      <c r="AG1338">
        <f t="shared" si="365"/>
        <v>0.76777571026341851</v>
      </c>
      <c r="AI1338">
        <f t="shared" si="366"/>
        <v>0.62751136770612204</v>
      </c>
      <c r="AJ1338">
        <f t="shared" si="367"/>
        <v>35.509403010850264</v>
      </c>
      <c r="AL1338">
        <f t="shared" si="368"/>
        <v>0.6474648759923165</v>
      </c>
      <c r="AM1338">
        <f t="shared" si="369"/>
        <v>37.803551551415076</v>
      </c>
      <c r="AO1338">
        <f t="shared" si="370"/>
        <v>0.64580492285073254</v>
      </c>
      <c r="AP1338">
        <f t="shared" si="371"/>
        <v>37.609960561771018</v>
      </c>
    </row>
    <row r="1339" spans="1:42" x14ac:dyDescent="0.2">
      <c r="A1339" s="3">
        <v>1300</v>
      </c>
      <c r="B1339" s="3">
        <v>1.19E-6</v>
      </c>
      <c r="C1339" s="2">
        <v>6.9699999999999998E-2</v>
      </c>
      <c r="D1339" s="3">
        <v>250000</v>
      </c>
      <c r="E1339" s="3">
        <v>75600000000</v>
      </c>
      <c r="F1339" s="3">
        <v>70700000000</v>
      </c>
      <c r="G1339" s="3">
        <v>99600000</v>
      </c>
      <c r="H1339" s="3">
        <v>8040000000</v>
      </c>
      <c r="I1339" s="2"/>
      <c r="J1339" s="7">
        <f t="shared" si="355"/>
        <v>1.19</v>
      </c>
      <c r="K1339" s="7">
        <f t="shared" si="356"/>
        <v>69.7</v>
      </c>
      <c r="L1339" s="7">
        <f t="shared" si="357"/>
        <v>75.600000000000009</v>
      </c>
      <c r="M1339" s="7">
        <f t="shared" si="358"/>
        <v>250</v>
      </c>
      <c r="O1339">
        <f t="shared" si="359"/>
        <v>0.98089999999999988</v>
      </c>
      <c r="P1339">
        <f t="shared" si="360"/>
        <v>980.89999999999986</v>
      </c>
      <c r="V1339">
        <f t="shared" si="361"/>
        <v>1352.0385478971421</v>
      </c>
      <c r="W1339">
        <f t="shared" si="362"/>
        <v>92.45298530460947</v>
      </c>
      <c r="AE1339">
        <f t="shared" si="363"/>
        <v>0.84780936519273398</v>
      </c>
      <c r="AF1339">
        <f t="shared" si="364"/>
        <v>0.82168166032293777</v>
      </c>
      <c r="AG1339">
        <f t="shared" si="365"/>
        <v>0.82379368054014868</v>
      </c>
      <c r="AI1339">
        <f t="shared" si="366"/>
        <v>0.58484059470210581</v>
      </c>
      <c r="AJ1339">
        <f t="shared" si="367"/>
        <v>30.866462049655517</v>
      </c>
      <c r="AL1339">
        <f t="shared" si="368"/>
        <v>0.60343726442483903</v>
      </c>
      <c r="AM1339">
        <f t="shared" si="369"/>
        <v>32.860645078921856</v>
      </c>
      <c r="AO1339">
        <f t="shared" si="370"/>
        <v>0.60189018809688266</v>
      </c>
      <c r="AP1339">
        <f t="shared" si="371"/>
        <v>32.69236658285201</v>
      </c>
    </row>
    <row r="1340" spans="1:42" x14ac:dyDescent="0.2">
      <c r="A1340" s="3">
        <v>1300</v>
      </c>
      <c r="B1340" s="3">
        <v>1.1999999999999999E-6</v>
      </c>
      <c r="C1340" s="2">
        <v>6.9750000000000006E-2</v>
      </c>
      <c r="D1340" s="3">
        <v>235000</v>
      </c>
      <c r="E1340" s="3">
        <v>71000000000</v>
      </c>
      <c r="F1340" s="3">
        <v>66600000000</v>
      </c>
      <c r="G1340" s="3">
        <v>8930000000</v>
      </c>
      <c r="H1340" s="3">
        <v>8100000000</v>
      </c>
      <c r="I1340" s="2"/>
      <c r="J1340" s="7">
        <f t="shared" si="355"/>
        <v>1.2</v>
      </c>
      <c r="K1340" s="7">
        <f t="shared" si="356"/>
        <v>69.75</v>
      </c>
      <c r="L1340" s="7">
        <f t="shared" si="357"/>
        <v>71</v>
      </c>
      <c r="M1340" s="7">
        <f t="shared" si="358"/>
        <v>235</v>
      </c>
      <c r="O1340">
        <f t="shared" si="359"/>
        <v>0.97739361702127647</v>
      </c>
      <c r="P1340">
        <f t="shared" si="360"/>
        <v>977.39361702127644</v>
      </c>
      <c r="V1340">
        <f t="shared" si="361"/>
        <v>1349.8952627578258</v>
      </c>
      <c r="W1340">
        <f t="shared" si="362"/>
        <v>87.043790167800424</v>
      </c>
      <c r="AE1340">
        <f t="shared" si="363"/>
        <v>0.7969408032811699</v>
      </c>
      <c r="AF1340">
        <f t="shared" si="364"/>
        <v>0.77238076070356154</v>
      </c>
      <c r="AG1340">
        <f t="shared" si="365"/>
        <v>0.77436605970773975</v>
      </c>
      <c r="AI1340">
        <f t="shared" si="366"/>
        <v>0.62739917185993832</v>
      </c>
      <c r="AJ1340">
        <f t="shared" si="367"/>
        <v>34.957678155742684</v>
      </c>
      <c r="AL1340">
        <f t="shared" si="368"/>
        <v>0.64734911256017047</v>
      </c>
      <c r="AM1340">
        <f t="shared" si="369"/>
        <v>37.216181524499021</v>
      </c>
      <c r="AO1340">
        <f t="shared" si="370"/>
        <v>0.64568945620977936</v>
      </c>
      <c r="AP1340">
        <f t="shared" si="371"/>
        <v>37.025598441258751</v>
      </c>
    </row>
    <row r="1341" spans="1:42" x14ac:dyDescent="0.2">
      <c r="A1341" s="3">
        <v>1300</v>
      </c>
      <c r="B1341" s="3">
        <v>1.2100000000000001E-6</v>
      </c>
      <c r="C1341" s="2">
        <v>6.9800000000000001E-2</v>
      </c>
      <c r="D1341" s="3">
        <v>232000</v>
      </c>
      <c r="E1341" s="3">
        <v>69900000000</v>
      </c>
      <c r="F1341" s="3">
        <v>65600000000</v>
      </c>
      <c r="G1341" s="3">
        <v>3590000000</v>
      </c>
      <c r="H1341" s="3">
        <v>8080000000</v>
      </c>
      <c r="I1341" s="2"/>
      <c r="J1341" s="7">
        <f t="shared" si="355"/>
        <v>1.21</v>
      </c>
      <c r="K1341" s="7">
        <f t="shared" si="356"/>
        <v>69.8</v>
      </c>
      <c r="L1341" s="7">
        <f t="shared" si="357"/>
        <v>69.900000000000006</v>
      </c>
      <c r="M1341" s="7">
        <f t="shared" si="358"/>
        <v>232</v>
      </c>
      <c r="O1341">
        <f t="shared" si="359"/>
        <v>0.98435344827586202</v>
      </c>
      <c r="P1341">
        <f t="shared" si="360"/>
        <v>984.35344827586198</v>
      </c>
      <c r="V1341">
        <f t="shared" si="361"/>
        <v>1354.1453094294482</v>
      </c>
      <c r="W1341">
        <f t="shared" si="362"/>
        <v>85.662889493650511</v>
      </c>
      <c r="AE1341">
        <f t="shared" si="363"/>
        <v>0.7867670908988571</v>
      </c>
      <c r="AF1341">
        <f t="shared" si="364"/>
        <v>0.76252058077968621</v>
      </c>
      <c r="AG1341">
        <f t="shared" si="365"/>
        <v>0.76448053554125794</v>
      </c>
      <c r="AI1341">
        <f t="shared" si="366"/>
        <v>0.64080802628726097</v>
      </c>
      <c r="AJ1341">
        <f t="shared" si="367"/>
        <v>35.893312912424008</v>
      </c>
      <c r="AL1341">
        <f t="shared" si="368"/>
        <v>0.66118433964254497</v>
      </c>
      <c r="AM1341">
        <f t="shared" si="369"/>
        <v>38.212264639348639</v>
      </c>
      <c r="AO1341">
        <f t="shared" si="370"/>
        <v>0.65948921290679152</v>
      </c>
      <c r="AP1341">
        <f t="shared" si="371"/>
        <v>38.016580640769519</v>
      </c>
    </row>
    <row r="1342" spans="1:42" x14ac:dyDescent="0.2">
      <c r="A1342" s="3">
        <v>1300</v>
      </c>
      <c r="B1342" s="3">
        <v>1.2100000000000001E-6</v>
      </c>
      <c r="C1342" s="2">
        <v>6.9849999999999995E-2</v>
      </c>
      <c r="D1342" s="3">
        <v>257000</v>
      </c>
      <c r="E1342" s="3">
        <v>77200000000</v>
      </c>
      <c r="F1342" s="3">
        <v>72000000000</v>
      </c>
      <c r="G1342" s="3">
        <v>574000000</v>
      </c>
      <c r="H1342" s="3">
        <v>7920000000</v>
      </c>
      <c r="I1342" s="2"/>
      <c r="J1342" s="7">
        <f t="shared" si="355"/>
        <v>1.21</v>
      </c>
      <c r="K1342" s="7">
        <f t="shared" si="356"/>
        <v>69.849999999999994</v>
      </c>
      <c r="L1342" s="7">
        <f t="shared" si="357"/>
        <v>77.2</v>
      </c>
      <c r="M1342" s="7">
        <f t="shared" si="358"/>
        <v>257</v>
      </c>
      <c r="O1342">
        <f t="shared" si="359"/>
        <v>1.0061575875486382</v>
      </c>
      <c r="P1342">
        <f t="shared" si="360"/>
        <v>1006.1575875486382</v>
      </c>
      <c r="V1342">
        <f t="shared" si="361"/>
        <v>1367.3527810513297</v>
      </c>
      <c r="W1342">
        <f t="shared" si="362"/>
        <v>93.977210403008769</v>
      </c>
      <c r="AE1342">
        <f t="shared" si="363"/>
        <v>0.87154802741813053</v>
      </c>
      <c r="AF1342">
        <f t="shared" si="364"/>
        <v>0.84468874681198003</v>
      </c>
      <c r="AG1342">
        <f t="shared" si="365"/>
        <v>0.84685990359527286</v>
      </c>
      <c r="AI1342">
        <f t="shared" si="366"/>
        <v>0.57847261516982307</v>
      </c>
      <c r="AJ1342">
        <f t="shared" si="367"/>
        <v>29.270777335701215</v>
      </c>
      <c r="AL1342">
        <f t="shared" si="368"/>
        <v>0.59686679687576039</v>
      </c>
      <c r="AM1342">
        <f t="shared" si="369"/>
        <v>31.16186829787193</v>
      </c>
      <c r="AO1342">
        <f t="shared" si="370"/>
        <v>0.5953365657368701</v>
      </c>
      <c r="AP1342">
        <f t="shared" si="371"/>
        <v>31.002289192857461</v>
      </c>
    </row>
    <row r="1343" spans="1:42" x14ac:dyDescent="0.2">
      <c r="A1343" s="3">
        <v>1300</v>
      </c>
      <c r="B1343" s="3">
        <v>1.22E-6</v>
      </c>
      <c r="C1343" s="2">
        <v>6.9900000000000004E-2</v>
      </c>
      <c r="D1343" s="3">
        <v>235000</v>
      </c>
      <c r="E1343" s="3">
        <v>70300000000</v>
      </c>
      <c r="F1343" s="3">
        <v>66000000000</v>
      </c>
      <c r="G1343" s="3">
        <v>1610000000</v>
      </c>
      <c r="H1343" s="3">
        <v>8020000000</v>
      </c>
      <c r="I1343" s="2"/>
      <c r="J1343" s="7">
        <f t="shared" si="355"/>
        <v>1.22</v>
      </c>
      <c r="K1343" s="7">
        <f t="shared" si="356"/>
        <v>69.900000000000006</v>
      </c>
      <c r="L1343" s="7">
        <f t="shared" si="357"/>
        <v>70.300000000000011</v>
      </c>
      <c r="M1343" s="7">
        <f t="shared" si="358"/>
        <v>235</v>
      </c>
      <c r="O1343">
        <f t="shared" si="359"/>
        <v>0.99691489361702124</v>
      </c>
      <c r="P1343">
        <f t="shared" si="360"/>
        <v>996.91489361702122</v>
      </c>
      <c r="V1343">
        <f t="shared" si="361"/>
        <v>1361.7738447367049</v>
      </c>
      <c r="W1343">
        <f t="shared" si="362"/>
        <v>86.284518133565925</v>
      </c>
      <c r="AE1343">
        <f t="shared" si="363"/>
        <v>0.7969408032811699</v>
      </c>
      <c r="AF1343">
        <f t="shared" si="364"/>
        <v>0.77238076070356154</v>
      </c>
      <c r="AG1343">
        <f t="shared" si="365"/>
        <v>0.77436605970773975</v>
      </c>
      <c r="AI1343">
        <f t="shared" si="366"/>
        <v>0.6378558247242706</v>
      </c>
      <c r="AJ1343">
        <f t="shared" si="367"/>
        <v>35.032855958228161</v>
      </c>
      <c r="AL1343">
        <f t="shared" si="368"/>
        <v>0.6581382644361734</v>
      </c>
      <c r="AM1343">
        <f t="shared" si="369"/>
        <v>37.296216323476436</v>
      </c>
      <c r="AO1343">
        <f t="shared" si="370"/>
        <v>0.65645094714660901</v>
      </c>
      <c r="AP1343">
        <f t="shared" si="371"/>
        <v>37.10522338414318</v>
      </c>
    </row>
    <row r="1344" spans="1:42" x14ac:dyDescent="0.2">
      <c r="A1344" s="3">
        <v>1300</v>
      </c>
      <c r="B1344" s="3">
        <v>1.22E-6</v>
      </c>
      <c r="C1344" s="2">
        <v>6.9959999999999994E-2</v>
      </c>
      <c r="D1344" s="3">
        <v>250000</v>
      </c>
      <c r="E1344" s="3">
        <v>74600000000</v>
      </c>
      <c r="F1344" s="3">
        <v>69700000000</v>
      </c>
      <c r="G1344" s="2">
        <v>0</v>
      </c>
      <c r="H1344" s="3">
        <v>7920000000</v>
      </c>
      <c r="I1344" s="2"/>
      <c r="J1344" s="7">
        <f t="shared" si="355"/>
        <v>1.22</v>
      </c>
      <c r="K1344" s="7">
        <f t="shared" si="356"/>
        <v>69.959999999999994</v>
      </c>
      <c r="L1344" s="7">
        <f t="shared" si="357"/>
        <v>74.600000000000009</v>
      </c>
      <c r="M1344" s="7">
        <f t="shared" si="358"/>
        <v>250</v>
      </c>
      <c r="O1344">
        <f t="shared" si="359"/>
        <v>1.0101199999999999</v>
      </c>
      <c r="P1344">
        <f t="shared" si="360"/>
        <v>1010.1199999999999</v>
      </c>
      <c r="V1344">
        <f t="shared" si="361"/>
        <v>1369.7357697745731</v>
      </c>
      <c r="W1344">
        <f t="shared" si="362"/>
        <v>91.258476823286955</v>
      </c>
      <c r="AE1344">
        <f t="shared" si="363"/>
        <v>0.84780936519273398</v>
      </c>
      <c r="AF1344">
        <f t="shared" si="364"/>
        <v>0.82168166032293777</v>
      </c>
      <c r="AG1344">
        <f t="shared" si="365"/>
        <v>0.82379368054014868</v>
      </c>
      <c r="AI1344">
        <f t="shared" si="366"/>
        <v>0.59958447524081437</v>
      </c>
      <c r="AJ1344">
        <f t="shared" si="367"/>
        <v>30.981602367200857</v>
      </c>
      <c r="AL1344">
        <f t="shared" si="368"/>
        <v>0.61864996857000298</v>
      </c>
      <c r="AM1344">
        <f t="shared" si="369"/>
        <v>32.983224242774355</v>
      </c>
      <c r="AO1344">
        <f t="shared" si="370"/>
        <v>0.6170638903178125</v>
      </c>
      <c r="AP1344">
        <f t="shared" si="371"/>
        <v>32.814318022041981</v>
      </c>
    </row>
    <row r="1345" spans="1:42" x14ac:dyDescent="0.2">
      <c r="A1345" s="3">
        <v>1300</v>
      </c>
      <c r="B1345" s="3">
        <v>1.22E-6</v>
      </c>
      <c r="C1345" s="2">
        <v>7.0010000000000003E-2</v>
      </c>
      <c r="D1345" s="3">
        <v>254000</v>
      </c>
      <c r="E1345" s="3">
        <v>75800000000</v>
      </c>
      <c r="F1345" s="3">
        <v>70800000000</v>
      </c>
      <c r="G1345" s="3">
        <v>5400000000</v>
      </c>
      <c r="H1345" s="3">
        <v>7880000000</v>
      </c>
      <c r="I1345" s="2"/>
      <c r="J1345" s="7">
        <f t="shared" si="355"/>
        <v>1.22</v>
      </c>
      <c r="K1345" s="7">
        <f t="shared" si="356"/>
        <v>70.010000000000005</v>
      </c>
      <c r="L1345" s="7">
        <f t="shared" si="357"/>
        <v>75.800000000000011</v>
      </c>
      <c r="M1345" s="7">
        <f t="shared" si="358"/>
        <v>254</v>
      </c>
      <c r="O1345">
        <f t="shared" si="359"/>
        <v>1.0132775590551182</v>
      </c>
      <c r="P1345">
        <f t="shared" si="360"/>
        <v>1013.2775590551182</v>
      </c>
      <c r="V1345">
        <f t="shared" si="361"/>
        <v>1371.6309958350662</v>
      </c>
      <c r="W1345">
        <f t="shared" si="362"/>
        <v>92.590500204233734</v>
      </c>
      <c r="AE1345">
        <f t="shared" si="363"/>
        <v>0.86137431503581774</v>
      </c>
      <c r="AF1345">
        <f t="shared" si="364"/>
        <v>0.83482856688810481</v>
      </c>
      <c r="AG1345">
        <f t="shared" si="365"/>
        <v>0.83697437942879105</v>
      </c>
      <c r="AI1345">
        <f t="shared" si="366"/>
        <v>0.59014220004017159</v>
      </c>
      <c r="AJ1345">
        <f t="shared" si="367"/>
        <v>30.034937782836408</v>
      </c>
      <c r="AL1345">
        <f t="shared" si="368"/>
        <v>0.60890744937992414</v>
      </c>
      <c r="AM1345">
        <f t="shared" si="369"/>
        <v>31.975398698481619</v>
      </c>
      <c r="AO1345">
        <f t="shared" si="370"/>
        <v>0.60734634873800442</v>
      </c>
      <c r="AP1345">
        <f t="shared" si="371"/>
        <v>31.811653525759318</v>
      </c>
    </row>
    <row r="1346" spans="1:42" x14ac:dyDescent="0.2">
      <c r="A1346" s="3">
        <v>1300</v>
      </c>
      <c r="B1346" s="3">
        <v>1.2300000000000001E-6</v>
      </c>
      <c r="C1346" s="2">
        <v>7.0059999999999997E-2</v>
      </c>
      <c r="D1346" s="3">
        <v>271000</v>
      </c>
      <c r="E1346" s="3">
        <v>80700000000</v>
      </c>
      <c r="F1346" s="3">
        <v>75100000000</v>
      </c>
      <c r="G1346" s="3">
        <v>129000000</v>
      </c>
      <c r="H1346" s="3">
        <v>7780000000</v>
      </c>
      <c r="I1346" s="2"/>
      <c r="J1346" s="7">
        <f t="shared" si="355"/>
        <v>1.23</v>
      </c>
      <c r="K1346" s="7">
        <f t="shared" si="356"/>
        <v>70.06</v>
      </c>
      <c r="L1346" s="7">
        <f t="shared" si="357"/>
        <v>80.7</v>
      </c>
      <c r="M1346" s="7">
        <f t="shared" si="358"/>
        <v>271</v>
      </c>
      <c r="O1346">
        <f t="shared" si="359"/>
        <v>1.0361070110701107</v>
      </c>
      <c r="P1346">
        <f t="shared" si="360"/>
        <v>1036.1070110701107</v>
      </c>
      <c r="V1346">
        <f t="shared" si="361"/>
        <v>1385.2368479005338</v>
      </c>
      <c r="W1346">
        <f t="shared" si="362"/>
        <v>97.817207364476289</v>
      </c>
      <c r="AE1346">
        <f t="shared" si="363"/>
        <v>0.91902535186892365</v>
      </c>
      <c r="AF1346">
        <f t="shared" si="364"/>
        <v>0.89070291979006455</v>
      </c>
      <c r="AG1346">
        <f t="shared" si="365"/>
        <v>0.8929923497055211</v>
      </c>
      <c r="AI1346">
        <f t="shared" si="366"/>
        <v>0.55765599823528644</v>
      </c>
      <c r="AJ1346">
        <f t="shared" si="367"/>
        <v>26.403751910307509</v>
      </c>
      <c r="AL1346">
        <f t="shared" si="368"/>
        <v>0.57538825641302982</v>
      </c>
      <c r="AM1346">
        <f t="shared" si="369"/>
        <v>28.109613563119819</v>
      </c>
      <c r="AO1346">
        <f t="shared" si="370"/>
        <v>0.57391309138203173</v>
      </c>
      <c r="AP1346">
        <f t="shared" si="371"/>
        <v>27.965664974035658</v>
      </c>
    </row>
    <row r="1347" spans="1:42" x14ac:dyDescent="0.2">
      <c r="A1347" s="3">
        <v>1300</v>
      </c>
      <c r="B1347" s="3">
        <v>1.2300000000000001E-6</v>
      </c>
      <c r="C1347" s="2">
        <v>7.0120000000000002E-2</v>
      </c>
      <c r="D1347" s="3">
        <v>257000</v>
      </c>
      <c r="E1347" s="3">
        <v>76500000000</v>
      </c>
      <c r="F1347" s="3">
        <v>71400000000</v>
      </c>
      <c r="G1347" s="3">
        <v>6450000000</v>
      </c>
      <c r="H1347" s="3">
        <v>7830000000</v>
      </c>
      <c r="I1347" s="2"/>
      <c r="J1347" s="7">
        <f t="shared" si="355"/>
        <v>1.23</v>
      </c>
      <c r="K1347" s="7">
        <f t="shared" si="356"/>
        <v>70.12</v>
      </c>
      <c r="L1347" s="7">
        <f t="shared" si="357"/>
        <v>76.5</v>
      </c>
      <c r="M1347" s="7">
        <f t="shared" si="358"/>
        <v>257</v>
      </c>
      <c r="O1347">
        <f t="shared" si="359"/>
        <v>1.0253696498054474</v>
      </c>
      <c r="P1347">
        <f t="shared" si="360"/>
        <v>1025.3696498054474</v>
      </c>
      <c r="V1347">
        <f t="shared" si="361"/>
        <v>1378.8586399507415</v>
      </c>
      <c r="W1347">
        <f t="shared" si="362"/>
        <v>93.193019412483466</v>
      </c>
      <c r="AE1347">
        <f t="shared" si="363"/>
        <v>0.87154802741813053</v>
      </c>
      <c r="AF1347">
        <f t="shared" si="364"/>
        <v>0.84468874681198003</v>
      </c>
      <c r="AG1347">
        <f t="shared" si="365"/>
        <v>0.84685990359527286</v>
      </c>
      <c r="AI1347">
        <f t="shared" si="366"/>
        <v>0.58803414599907644</v>
      </c>
      <c r="AJ1347">
        <f t="shared" si="367"/>
        <v>29.383921356898632</v>
      </c>
      <c r="AL1347">
        <f t="shared" si="368"/>
        <v>0.60673236376626882</v>
      </c>
      <c r="AM1347">
        <f t="shared" si="369"/>
        <v>31.282322191077739</v>
      </c>
      <c r="AO1347">
        <f t="shared" si="370"/>
        <v>0.60517683955070267</v>
      </c>
      <c r="AP1347">
        <f t="shared" si="371"/>
        <v>31.122126244855625</v>
      </c>
    </row>
    <row r="1348" spans="1:42" x14ac:dyDescent="0.2">
      <c r="A1348" s="3">
        <v>1300</v>
      </c>
      <c r="B1348" s="3">
        <v>1.2300000000000001E-6</v>
      </c>
      <c r="C1348" s="2">
        <v>7.0169999999999996E-2</v>
      </c>
      <c r="D1348" s="3">
        <v>265000</v>
      </c>
      <c r="E1348" s="3">
        <v>78700000000</v>
      </c>
      <c r="F1348" s="3">
        <v>73300000000</v>
      </c>
      <c r="G1348" s="3">
        <v>4830000000</v>
      </c>
      <c r="H1348" s="3">
        <v>7780000000</v>
      </c>
      <c r="I1348" s="2"/>
      <c r="J1348" s="7">
        <f t="shared" si="355"/>
        <v>1.23</v>
      </c>
      <c r="K1348" s="7">
        <f t="shared" si="356"/>
        <v>70.17</v>
      </c>
      <c r="L1348" s="7">
        <f t="shared" si="357"/>
        <v>78.7</v>
      </c>
      <c r="M1348" s="7">
        <f t="shared" si="358"/>
        <v>265</v>
      </c>
      <c r="O1348">
        <f t="shared" si="359"/>
        <v>1.0314056603773585</v>
      </c>
      <c r="P1348">
        <f t="shared" si="360"/>
        <v>1031.4056603773586</v>
      </c>
      <c r="V1348">
        <f t="shared" si="361"/>
        <v>1382.4487042271508</v>
      </c>
      <c r="W1348">
        <f t="shared" si="362"/>
        <v>95.844424169121922</v>
      </c>
      <c r="AE1348">
        <f t="shared" si="363"/>
        <v>0.89867792710429806</v>
      </c>
      <c r="AF1348">
        <f t="shared" si="364"/>
        <v>0.87098255994231399</v>
      </c>
      <c r="AG1348">
        <f t="shared" si="365"/>
        <v>0.8732213013725576</v>
      </c>
      <c r="AI1348">
        <f t="shared" si="366"/>
        <v>0.57028217178023632</v>
      </c>
      <c r="AJ1348">
        <f t="shared" si="367"/>
        <v>27.656283656094232</v>
      </c>
      <c r="AL1348">
        <f t="shared" si="368"/>
        <v>0.58841591504879653</v>
      </c>
      <c r="AM1348">
        <f t="shared" si="369"/>
        <v>29.443067364276775</v>
      </c>
      <c r="AO1348">
        <f t="shared" si="370"/>
        <v>0.58690735005483241</v>
      </c>
      <c r="AP1348">
        <f t="shared" si="371"/>
        <v>29.292290193474312</v>
      </c>
    </row>
    <row r="1349" spans="1:42" x14ac:dyDescent="0.2">
      <c r="A1349" s="3">
        <v>1300</v>
      </c>
      <c r="B1349" s="3">
        <v>1.24E-6</v>
      </c>
      <c r="C1349" s="2">
        <v>7.0220000000000005E-2</v>
      </c>
      <c r="D1349" s="3">
        <v>245000</v>
      </c>
      <c r="E1349" s="3">
        <v>72800000000</v>
      </c>
      <c r="F1349" s="3">
        <v>68100000000</v>
      </c>
      <c r="G1349" s="3">
        <v>8000000000</v>
      </c>
      <c r="H1349" s="3">
        <v>7870000000</v>
      </c>
      <c r="I1349" s="2"/>
      <c r="J1349" s="7">
        <f t="shared" ref="J1349:J1412" si="372">B1349*(10^6)</f>
        <v>1.24</v>
      </c>
      <c r="K1349" s="7">
        <f t="shared" ref="K1349:K1412" si="373">C1349*1000</f>
        <v>70.22</v>
      </c>
      <c r="L1349" s="7">
        <f t="shared" ref="L1349:L1412" si="374">E1349*(10^-9)</f>
        <v>72.800000000000011</v>
      </c>
      <c r="M1349" s="7">
        <f t="shared" ref="M1349:M1412" si="375">D1349*(10^-3)</f>
        <v>245</v>
      </c>
      <c r="O1349">
        <f t="shared" ref="O1349:O1412" si="376">J1349-(0.75*(K1349/M1349))</f>
        <v>1.0250408163265305</v>
      </c>
      <c r="P1349">
        <f t="shared" ref="P1349:P1412" si="377">O1349*1000</f>
        <v>1025.0408163265306</v>
      </c>
      <c r="V1349">
        <f t="shared" ref="V1349:V1412" si="378">$S$3*(P1349^$S$4)</f>
        <v>1378.6627205525094</v>
      </c>
      <c r="W1349">
        <f t="shared" ref="W1349:W1412" si="379">M1349/(2*(V1349/1000))</f>
        <v>88.854219508385057</v>
      </c>
      <c r="AE1349">
        <f t="shared" si="363"/>
        <v>0.83085317788887925</v>
      </c>
      <c r="AF1349">
        <f t="shared" si="364"/>
        <v>0.80524802711647903</v>
      </c>
      <c r="AG1349">
        <f t="shared" si="365"/>
        <v>0.80731780692934574</v>
      </c>
      <c r="AI1349">
        <f t="shared" si="366"/>
        <v>0.62185074380947636</v>
      </c>
      <c r="AJ1349">
        <f t="shared" si="367"/>
        <v>32.378949067832366</v>
      </c>
      <c r="AL1349">
        <f t="shared" si="368"/>
        <v>0.64162425646269972</v>
      </c>
      <c r="AM1349">
        <f t="shared" si="369"/>
        <v>34.470849028141259</v>
      </c>
      <c r="AO1349">
        <f t="shared" si="370"/>
        <v>0.6399792773453391</v>
      </c>
      <c r="AP1349">
        <f t="shared" si="371"/>
        <v>34.294324720149895</v>
      </c>
    </row>
    <row r="1350" spans="1:42" x14ac:dyDescent="0.2">
      <c r="A1350" s="3">
        <v>1300</v>
      </c>
      <c r="B1350" s="3">
        <v>1.24E-6</v>
      </c>
      <c r="C1350" s="2">
        <v>7.0279999999999995E-2</v>
      </c>
      <c r="D1350" s="3">
        <v>253000</v>
      </c>
      <c r="E1350" s="3">
        <v>75000000000</v>
      </c>
      <c r="F1350" s="3">
        <v>70100000000</v>
      </c>
      <c r="G1350" s="3">
        <v>7120000000</v>
      </c>
      <c r="H1350" s="3">
        <v>7820000000</v>
      </c>
      <c r="I1350" s="2"/>
      <c r="J1350" s="7">
        <f t="shared" si="372"/>
        <v>1.24</v>
      </c>
      <c r="K1350" s="7">
        <f t="shared" si="373"/>
        <v>70.28</v>
      </c>
      <c r="L1350" s="7">
        <f t="shared" si="374"/>
        <v>75</v>
      </c>
      <c r="M1350" s="7">
        <f t="shared" si="375"/>
        <v>253</v>
      </c>
      <c r="O1350">
        <f t="shared" si="376"/>
        <v>1.0316600790513835</v>
      </c>
      <c r="P1350">
        <f t="shared" si="377"/>
        <v>1031.6600790513835</v>
      </c>
      <c r="V1350">
        <f t="shared" si="378"/>
        <v>1382.5997685824354</v>
      </c>
      <c r="W1350">
        <f t="shared" si="379"/>
        <v>91.494301441767988</v>
      </c>
      <c r="AE1350">
        <f t="shared" si="363"/>
        <v>0.85798307757504677</v>
      </c>
      <c r="AF1350">
        <f t="shared" si="364"/>
        <v>0.83154184024681299</v>
      </c>
      <c r="AG1350">
        <f t="shared" si="365"/>
        <v>0.83367920470663048</v>
      </c>
      <c r="AI1350">
        <f t="shared" si="366"/>
        <v>0.60218747918308968</v>
      </c>
      <c r="AJ1350">
        <f t="shared" si="367"/>
        <v>30.389587330743197</v>
      </c>
      <c r="AL1350">
        <f t="shared" si="368"/>
        <v>0.62133574242435352</v>
      </c>
      <c r="AM1350">
        <f t="shared" si="369"/>
        <v>32.35296101522583</v>
      </c>
      <c r="AO1350">
        <f t="shared" si="370"/>
        <v>0.61974277845694892</v>
      </c>
      <c r="AP1350">
        <f t="shared" si="371"/>
        <v>32.187282355845497</v>
      </c>
    </row>
    <row r="1351" spans="1:42" x14ac:dyDescent="0.2">
      <c r="A1351" s="3">
        <v>1300</v>
      </c>
      <c r="B1351" s="3">
        <v>1.24E-6</v>
      </c>
      <c r="C1351" s="2">
        <v>7.0330000000000004E-2</v>
      </c>
      <c r="D1351" s="3">
        <v>246000</v>
      </c>
      <c r="E1351" s="3">
        <v>72800000000</v>
      </c>
      <c r="F1351" s="3">
        <v>68100000000</v>
      </c>
      <c r="G1351" s="3">
        <v>3060000000</v>
      </c>
      <c r="H1351" s="3">
        <v>7850000000</v>
      </c>
      <c r="I1351" s="2"/>
      <c r="J1351" s="7">
        <f t="shared" si="372"/>
        <v>1.24</v>
      </c>
      <c r="K1351" s="7">
        <f t="shared" si="373"/>
        <v>70.33</v>
      </c>
      <c r="L1351" s="7">
        <f t="shared" si="374"/>
        <v>72.800000000000011</v>
      </c>
      <c r="M1351" s="7">
        <f t="shared" si="375"/>
        <v>246</v>
      </c>
      <c r="O1351">
        <f t="shared" si="376"/>
        <v>1.025579268292683</v>
      </c>
      <c r="P1351">
        <f t="shared" si="377"/>
        <v>1025.5792682926831</v>
      </c>
      <c r="V1351">
        <f t="shared" si="378"/>
        <v>1378.9835126438049</v>
      </c>
      <c r="W1351">
        <f t="shared" si="379"/>
        <v>89.196135321576691</v>
      </c>
      <c r="AE1351">
        <f t="shared" si="363"/>
        <v>0.83424441534965021</v>
      </c>
      <c r="AF1351">
        <f t="shared" si="364"/>
        <v>0.80853475375777073</v>
      </c>
      <c r="AG1351">
        <f t="shared" si="365"/>
        <v>0.8106129816515063</v>
      </c>
      <c r="AI1351">
        <f t="shared" si="366"/>
        <v>0.61932289525740525</v>
      </c>
      <c r="AJ1351">
        <f t="shared" si="367"/>
        <v>32.166550887384517</v>
      </c>
      <c r="AL1351">
        <f t="shared" si="368"/>
        <v>0.63901602777789202</v>
      </c>
      <c r="AM1351">
        <f t="shared" si="369"/>
        <v>34.24472848306948</v>
      </c>
      <c r="AO1351">
        <f t="shared" si="370"/>
        <v>0.63737773556751254</v>
      </c>
      <c r="AP1351">
        <f t="shared" si="371"/>
        <v>34.069362132420828</v>
      </c>
    </row>
    <row r="1352" spans="1:42" x14ac:dyDescent="0.2">
      <c r="A1352" s="3">
        <v>1400</v>
      </c>
      <c r="B1352" s="3">
        <v>1.24E-6</v>
      </c>
      <c r="C1352" s="2">
        <v>7.0379999999999998E-2</v>
      </c>
      <c r="D1352" s="3">
        <v>238000</v>
      </c>
      <c r="E1352" s="3">
        <v>70500000000</v>
      </c>
      <c r="F1352" s="3">
        <v>66100000000</v>
      </c>
      <c r="G1352" s="3">
        <v>4470000000</v>
      </c>
      <c r="H1352" s="3">
        <v>7880000000</v>
      </c>
      <c r="I1352" s="2"/>
      <c r="J1352" s="7">
        <f t="shared" si="372"/>
        <v>1.24</v>
      </c>
      <c r="K1352" s="7">
        <f t="shared" si="373"/>
        <v>70.38</v>
      </c>
      <c r="L1352" s="7">
        <f t="shared" si="374"/>
        <v>70.5</v>
      </c>
      <c r="M1352" s="7">
        <f t="shared" si="375"/>
        <v>238</v>
      </c>
      <c r="O1352">
        <f t="shared" si="376"/>
        <v>1.0182142857142857</v>
      </c>
      <c r="P1352">
        <f t="shared" si="377"/>
        <v>1018.2142857142858</v>
      </c>
      <c r="V1352">
        <f t="shared" si="378"/>
        <v>1374.5875314224415</v>
      </c>
      <c r="W1352">
        <f t="shared" si="379"/>
        <v>86.571423994263355</v>
      </c>
      <c r="AE1352">
        <f t="shared" si="363"/>
        <v>0.8071145156634828</v>
      </c>
      <c r="AF1352">
        <f t="shared" si="364"/>
        <v>0.78224094062743676</v>
      </c>
      <c r="AG1352">
        <f t="shared" si="365"/>
        <v>0.78425158387422156</v>
      </c>
      <c r="AI1352">
        <f t="shared" si="366"/>
        <v>0.64014047156857845</v>
      </c>
      <c r="AJ1352">
        <f t="shared" si="367"/>
        <v>34.389783411277115</v>
      </c>
      <c r="AL1352">
        <f t="shared" si="368"/>
        <v>0.66049555812336735</v>
      </c>
      <c r="AM1352">
        <f t="shared" si="369"/>
        <v>36.611596923580173</v>
      </c>
      <c r="AO1352">
        <f t="shared" si="370"/>
        <v>0.65880219726726086</v>
      </c>
      <c r="AP1352">
        <f t="shared" si="371"/>
        <v>36.42410990212278</v>
      </c>
    </row>
    <row r="1353" spans="1:42" x14ac:dyDescent="0.2">
      <c r="A1353" s="3">
        <v>1400</v>
      </c>
      <c r="B1353" s="3">
        <v>1.2500000000000001E-6</v>
      </c>
      <c r="C1353" s="2">
        <v>7.0430000000000006E-2</v>
      </c>
      <c r="D1353" s="3">
        <v>259000</v>
      </c>
      <c r="E1353" s="3">
        <v>76500000000</v>
      </c>
      <c r="F1353" s="3">
        <v>71400000000</v>
      </c>
      <c r="G1353" s="3">
        <v>7090000000</v>
      </c>
      <c r="H1353" s="3">
        <v>7770000000</v>
      </c>
      <c r="I1353" s="2"/>
      <c r="J1353" s="7">
        <f t="shared" si="372"/>
        <v>1.25</v>
      </c>
      <c r="K1353" s="7">
        <f t="shared" si="373"/>
        <v>70.430000000000007</v>
      </c>
      <c r="L1353" s="7">
        <f t="shared" si="374"/>
        <v>76.5</v>
      </c>
      <c r="M1353" s="7">
        <f t="shared" si="375"/>
        <v>259</v>
      </c>
      <c r="O1353">
        <f t="shared" si="376"/>
        <v>1.0460521235521236</v>
      </c>
      <c r="P1353">
        <f t="shared" si="377"/>
        <v>1046.0521235521237</v>
      </c>
      <c r="V1353">
        <f t="shared" si="378"/>
        <v>1391.1116839739493</v>
      </c>
      <c r="W1353">
        <f t="shared" si="379"/>
        <v>93.091015977998993</v>
      </c>
      <c r="AE1353">
        <f t="shared" si="363"/>
        <v>0.87833050233967236</v>
      </c>
      <c r="AF1353">
        <f t="shared" si="364"/>
        <v>0.85126220009456355</v>
      </c>
      <c r="AG1353">
        <f t="shared" si="365"/>
        <v>0.85345025303959399</v>
      </c>
      <c r="AI1353">
        <f t="shared" si="366"/>
        <v>0.59298103839722283</v>
      </c>
      <c r="AJ1353">
        <f t="shared" si="367"/>
        <v>29.059775340197703</v>
      </c>
      <c r="AL1353">
        <f t="shared" si="368"/>
        <v>0.61183655667487158</v>
      </c>
      <c r="AM1353">
        <f t="shared" si="369"/>
        <v>30.937234140771871</v>
      </c>
      <c r="AO1353">
        <f t="shared" si="370"/>
        <v>0.61026794646596749</v>
      </c>
      <c r="AP1353">
        <f t="shared" si="371"/>
        <v>30.778805381346547</v>
      </c>
    </row>
    <row r="1354" spans="1:42" x14ac:dyDescent="0.2">
      <c r="A1354" s="3">
        <v>1400</v>
      </c>
      <c r="B1354" s="3">
        <v>1.2500000000000001E-6</v>
      </c>
      <c r="C1354" s="2">
        <v>7.0489999999999997E-2</v>
      </c>
      <c r="D1354" s="3">
        <v>242000</v>
      </c>
      <c r="E1354" s="3">
        <v>71500000000</v>
      </c>
      <c r="F1354" s="3">
        <v>67100000000</v>
      </c>
      <c r="G1354" s="3">
        <v>7030000000</v>
      </c>
      <c r="H1354" s="3">
        <v>7850000000</v>
      </c>
      <c r="I1354" s="2"/>
      <c r="J1354" s="7">
        <f t="shared" si="372"/>
        <v>1.25</v>
      </c>
      <c r="K1354" s="7">
        <f t="shared" si="373"/>
        <v>70.489999999999995</v>
      </c>
      <c r="L1354" s="7">
        <f t="shared" si="374"/>
        <v>71.5</v>
      </c>
      <c r="M1354" s="7">
        <f t="shared" si="375"/>
        <v>242</v>
      </c>
      <c r="O1354">
        <f t="shared" si="376"/>
        <v>1.0315392561983472</v>
      </c>
      <c r="P1354">
        <f t="shared" si="377"/>
        <v>1031.5392561983472</v>
      </c>
      <c r="V1354">
        <f t="shared" si="378"/>
        <v>1382.5280310491758</v>
      </c>
      <c r="W1354">
        <f t="shared" si="379"/>
        <v>87.520829438933887</v>
      </c>
      <c r="AE1354">
        <f t="shared" si="363"/>
        <v>0.82067946550656645</v>
      </c>
      <c r="AF1354">
        <f t="shared" si="364"/>
        <v>0.7953878471926038</v>
      </c>
      <c r="AG1354">
        <f t="shared" si="365"/>
        <v>0.79743228276286393</v>
      </c>
      <c r="AI1354">
        <f t="shared" si="366"/>
        <v>0.6346367311771931</v>
      </c>
      <c r="AJ1354">
        <f t="shared" si="367"/>
        <v>33.31431369531974</v>
      </c>
      <c r="AL1354">
        <f t="shared" si="368"/>
        <v>0.65481681065616426</v>
      </c>
      <c r="AM1354">
        <f t="shared" si="369"/>
        <v>35.466644561616846</v>
      </c>
      <c r="AO1354">
        <f t="shared" si="370"/>
        <v>0.65313800882101469</v>
      </c>
      <c r="AP1354">
        <f t="shared" si="371"/>
        <v>35.285020810983262</v>
      </c>
    </row>
    <row r="1355" spans="1:42" x14ac:dyDescent="0.2">
      <c r="A1355" s="3">
        <v>1400</v>
      </c>
      <c r="B1355" s="3">
        <v>1.2500000000000001E-6</v>
      </c>
      <c r="C1355" s="2">
        <v>7.0540000000000005E-2</v>
      </c>
      <c r="D1355" s="3">
        <v>261000</v>
      </c>
      <c r="E1355" s="3">
        <v>77100000000</v>
      </c>
      <c r="F1355" s="3">
        <v>71900000000</v>
      </c>
      <c r="G1355" s="3">
        <v>12200000000</v>
      </c>
      <c r="H1355" s="3">
        <v>7750000000</v>
      </c>
      <c r="I1355" s="2"/>
      <c r="J1355" s="7">
        <f t="shared" si="372"/>
        <v>1.25</v>
      </c>
      <c r="K1355" s="7">
        <f t="shared" si="373"/>
        <v>70.540000000000006</v>
      </c>
      <c r="L1355" s="7">
        <f t="shared" si="374"/>
        <v>77.100000000000009</v>
      </c>
      <c r="M1355" s="7">
        <f t="shared" si="375"/>
        <v>261</v>
      </c>
      <c r="O1355">
        <f t="shared" si="376"/>
        <v>1.0472988505747127</v>
      </c>
      <c r="P1355">
        <f t="shared" si="377"/>
        <v>1047.2988505747128</v>
      </c>
      <c r="V1355">
        <f t="shared" si="378"/>
        <v>1391.8459599081623</v>
      </c>
      <c r="W1355">
        <f t="shared" si="379"/>
        <v>93.760375615567938</v>
      </c>
      <c r="AE1355">
        <f t="shared" si="363"/>
        <v>0.8851129772612143</v>
      </c>
      <c r="AF1355">
        <f t="shared" si="364"/>
        <v>0.85783565337714707</v>
      </c>
      <c r="AG1355">
        <f t="shared" si="365"/>
        <v>0.86004060248391523</v>
      </c>
      <c r="AI1355">
        <f t="shared" si="366"/>
        <v>0.588437122394179</v>
      </c>
      <c r="AJ1355">
        <f t="shared" si="367"/>
        <v>28.660814804540827</v>
      </c>
      <c r="AL1355">
        <f t="shared" si="368"/>
        <v>0.60714815394173094</v>
      </c>
      <c r="AM1355">
        <f t="shared" si="369"/>
        <v>30.512498045600793</v>
      </c>
      <c r="AO1355">
        <f t="shared" si="370"/>
        <v>0.60559156373442746</v>
      </c>
      <c r="AP1355">
        <f t="shared" si="371"/>
        <v>30.35624434850763</v>
      </c>
    </row>
    <row r="1356" spans="1:42" x14ac:dyDescent="0.2">
      <c r="A1356" s="3">
        <v>1400</v>
      </c>
      <c r="B1356" s="3">
        <v>1.2500000000000001E-6</v>
      </c>
      <c r="C1356" s="2">
        <v>7.059E-2</v>
      </c>
      <c r="D1356" s="3">
        <v>279000</v>
      </c>
      <c r="E1356" s="3">
        <v>82100000000</v>
      </c>
      <c r="F1356" s="3">
        <v>76300000000</v>
      </c>
      <c r="G1356" s="3">
        <v>7740000000</v>
      </c>
      <c r="H1356" s="3">
        <v>7670000000</v>
      </c>
      <c r="I1356" s="2"/>
      <c r="J1356" s="7">
        <f t="shared" si="372"/>
        <v>1.25</v>
      </c>
      <c r="K1356" s="7">
        <f t="shared" si="373"/>
        <v>70.59</v>
      </c>
      <c r="L1356" s="7">
        <f t="shared" si="374"/>
        <v>82.100000000000009</v>
      </c>
      <c r="M1356" s="7">
        <f t="shared" si="375"/>
        <v>279</v>
      </c>
      <c r="O1356">
        <f t="shared" si="376"/>
        <v>1.060241935483871</v>
      </c>
      <c r="P1356">
        <f t="shared" si="377"/>
        <v>1060.241935483871</v>
      </c>
      <c r="V1356">
        <f t="shared" si="378"/>
        <v>1399.4403678437966</v>
      </c>
      <c r="W1356">
        <f t="shared" si="379"/>
        <v>99.682704033281667</v>
      </c>
      <c r="AE1356">
        <f t="shared" si="363"/>
        <v>0.94615525155509117</v>
      </c>
      <c r="AF1356">
        <f t="shared" si="364"/>
        <v>0.91699673292039852</v>
      </c>
      <c r="AG1356">
        <f t="shared" si="365"/>
        <v>0.91935374748280596</v>
      </c>
      <c r="AI1356">
        <f t="shared" si="366"/>
        <v>0.55047343707842544</v>
      </c>
      <c r="AJ1356">
        <f t="shared" si="367"/>
        <v>25.099719471069811</v>
      </c>
      <c r="AL1356">
        <f t="shared" si="368"/>
        <v>0.56797730530032886</v>
      </c>
      <c r="AM1356">
        <f t="shared" si="369"/>
        <v>26.721331774029299</v>
      </c>
      <c r="AO1356">
        <f t="shared" si="370"/>
        <v>0.56652114026769018</v>
      </c>
      <c r="AP1356">
        <f t="shared" si="371"/>
        <v>26.58449253934241</v>
      </c>
    </row>
    <row r="1357" spans="1:42" x14ac:dyDescent="0.2">
      <c r="A1357" s="3">
        <v>1400</v>
      </c>
      <c r="B1357" s="3">
        <v>1.26E-6</v>
      </c>
      <c r="C1357" s="2">
        <v>7.0639999999999994E-2</v>
      </c>
      <c r="D1357" s="3">
        <v>223000</v>
      </c>
      <c r="E1357" s="3">
        <v>65900000000</v>
      </c>
      <c r="F1357" s="3">
        <v>62100000000</v>
      </c>
      <c r="G1357" s="3">
        <v>8320000000</v>
      </c>
      <c r="H1357" s="3">
        <v>7930000000</v>
      </c>
      <c r="I1357" s="2"/>
      <c r="J1357" s="7">
        <f t="shared" si="372"/>
        <v>1.26</v>
      </c>
      <c r="K1357" s="7">
        <f t="shared" si="373"/>
        <v>70.64</v>
      </c>
      <c r="L1357" s="7">
        <f t="shared" si="374"/>
        <v>65.900000000000006</v>
      </c>
      <c r="M1357" s="7">
        <f t="shared" si="375"/>
        <v>223</v>
      </c>
      <c r="O1357">
        <f t="shared" si="376"/>
        <v>1.0224215246636772</v>
      </c>
      <c r="P1357">
        <f t="shared" si="377"/>
        <v>1022.4215246636772</v>
      </c>
      <c r="V1357">
        <f t="shared" si="378"/>
        <v>1377.1008917681613</v>
      </c>
      <c r="W1357">
        <f t="shared" si="379"/>
        <v>80.967197586254514</v>
      </c>
      <c r="AE1357">
        <f t="shared" si="363"/>
        <v>0.75624595375191872</v>
      </c>
      <c r="AF1357">
        <f t="shared" si="364"/>
        <v>0.73294004100806054</v>
      </c>
      <c r="AG1357">
        <f t="shared" si="365"/>
        <v>0.73482396304181263</v>
      </c>
      <c r="AI1357">
        <f t="shared" si="366"/>
        <v>0.69421859038762235</v>
      </c>
      <c r="AJ1357">
        <f t="shared" si="367"/>
        <v>39.316518759576212</v>
      </c>
      <c r="AL1357">
        <f t="shared" si="368"/>
        <v>0.71629324450323806</v>
      </c>
      <c r="AM1357">
        <f t="shared" si="369"/>
        <v>41.856632827526333</v>
      </c>
      <c r="AO1357">
        <f t="shared" si="370"/>
        <v>0.71445683103032764</v>
      </c>
      <c r="AP1357">
        <f t="shared" si="371"/>
        <v>41.64228611565116</v>
      </c>
    </row>
    <row r="1358" spans="1:42" x14ac:dyDescent="0.2">
      <c r="A1358" s="3">
        <v>1400</v>
      </c>
      <c r="B1358" s="3">
        <v>1.26E-6</v>
      </c>
      <c r="C1358" s="2">
        <v>7.0699999999999999E-2</v>
      </c>
      <c r="D1358" s="3">
        <v>248000</v>
      </c>
      <c r="E1358" s="3">
        <v>73100000000</v>
      </c>
      <c r="F1358" s="3">
        <v>68500000000</v>
      </c>
      <c r="G1358" s="3">
        <v>7870000000</v>
      </c>
      <c r="H1358" s="3">
        <v>7790000000</v>
      </c>
      <c r="I1358" s="2"/>
      <c r="J1358" s="7">
        <f t="shared" si="372"/>
        <v>1.26</v>
      </c>
      <c r="K1358" s="7">
        <f t="shared" si="373"/>
        <v>70.7</v>
      </c>
      <c r="L1358" s="7">
        <f t="shared" si="374"/>
        <v>73.100000000000009</v>
      </c>
      <c r="M1358" s="7">
        <f t="shared" si="375"/>
        <v>248</v>
      </c>
      <c r="O1358">
        <f t="shared" si="376"/>
        <v>1.0461895161290322</v>
      </c>
      <c r="P1358">
        <f t="shared" si="377"/>
        <v>1046.1895161290322</v>
      </c>
      <c r="V1358">
        <f t="shared" si="378"/>
        <v>1391.1926269913295</v>
      </c>
      <c r="W1358">
        <f t="shared" si="379"/>
        <v>89.132157254290007</v>
      </c>
      <c r="AE1358">
        <f t="shared" si="363"/>
        <v>0.84102689027119215</v>
      </c>
      <c r="AF1358">
        <f t="shared" si="364"/>
        <v>0.81510820704035425</v>
      </c>
      <c r="AG1358">
        <f t="shared" si="365"/>
        <v>0.81720333109582743</v>
      </c>
      <c r="AI1358">
        <f t="shared" si="366"/>
        <v>0.62423687764693458</v>
      </c>
      <c r="AJ1358">
        <f t="shared" si="367"/>
        <v>31.816334531930757</v>
      </c>
      <c r="AL1358">
        <f t="shared" si="368"/>
        <v>0.64408626421057291</v>
      </c>
      <c r="AM1358">
        <f t="shared" si="369"/>
        <v>33.871885773111799</v>
      </c>
      <c r="AO1358">
        <f t="shared" si="370"/>
        <v>0.64243497306356079</v>
      </c>
      <c r="AP1358">
        <f t="shared" si="371"/>
        <v>33.698428740139406</v>
      </c>
    </row>
    <row r="1359" spans="1:42" x14ac:dyDescent="0.2">
      <c r="A1359" s="3">
        <v>1400</v>
      </c>
      <c r="B1359" s="3">
        <v>1.26E-6</v>
      </c>
      <c r="C1359" s="2">
        <v>7.0749999999999993E-2</v>
      </c>
      <c r="D1359" s="3">
        <v>259000</v>
      </c>
      <c r="E1359" s="3">
        <v>76100000000</v>
      </c>
      <c r="F1359" s="3">
        <v>71000000000</v>
      </c>
      <c r="G1359" s="3">
        <v>5780000000</v>
      </c>
      <c r="H1359" s="3">
        <v>7730000000</v>
      </c>
      <c r="I1359" s="2"/>
      <c r="J1359" s="7">
        <f t="shared" si="372"/>
        <v>1.26</v>
      </c>
      <c r="K1359" s="7">
        <f t="shared" si="373"/>
        <v>70.75</v>
      </c>
      <c r="L1359" s="7">
        <f t="shared" si="374"/>
        <v>76.100000000000009</v>
      </c>
      <c r="M1359" s="7">
        <f t="shared" si="375"/>
        <v>259</v>
      </c>
      <c r="O1359">
        <f t="shared" si="376"/>
        <v>1.0551254826254826</v>
      </c>
      <c r="P1359">
        <f t="shared" si="377"/>
        <v>1055.1254826254826</v>
      </c>
      <c r="V1359">
        <f t="shared" si="378"/>
        <v>1396.4444737343022</v>
      </c>
      <c r="W1359">
        <f t="shared" si="379"/>
        <v>92.73551683275852</v>
      </c>
      <c r="AE1359">
        <f t="shared" si="363"/>
        <v>0.87833050233967236</v>
      </c>
      <c r="AF1359">
        <f t="shared" si="364"/>
        <v>0.85126220009456355</v>
      </c>
      <c r="AG1359">
        <f t="shared" si="365"/>
        <v>0.85345025303959399</v>
      </c>
      <c r="AI1359">
        <f t="shared" si="366"/>
        <v>0.59772488670440072</v>
      </c>
      <c r="AJ1359">
        <f t="shared" si="367"/>
        <v>29.191808963779458</v>
      </c>
      <c r="AL1359">
        <f t="shared" si="368"/>
        <v>0.6167312491282706</v>
      </c>
      <c r="AM1359">
        <f t="shared" si="369"/>
        <v>31.077798032934968</v>
      </c>
      <c r="AO1359">
        <f t="shared" si="370"/>
        <v>0.61515009003769527</v>
      </c>
      <c r="AP1359">
        <f t="shared" si="371"/>
        <v>30.918649449528157</v>
      </c>
    </row>
    <row r="1360" spans="1:42" x14ac:dyDescent="0.2">
      <c r="A1360" s="3">
        <v>1400</v>
      </c>
      <c r="B1360" s="3">
        <v>1.26E-6</v>
      </c>
      <c r="C1360" s="2">
        <v>7.0800000000000002E-2</v>
      </c>
      <c r="D1360" s="3">
        <v>253000</v>
      </c>
      <c r="E1360" s="3">
        <v>74300000000</v>
      </c>
      <c r="F1360" s="3">
        <v>69500000000</v>
      </c>
      <c r="G1360" s="3">
        <v>14600000000</v>
      </c>
      <c r="H1360" s="3">
        <v>7750000000</v>
      </c>
      <c r="I1360" s="2"/>
      <c r="J1360" s="7">
        <f t="shared" si="372"/>
        <v>1.26</v>
      </c>
      <c r="K1360" s="7">
        <f t="shared" si="373"/>
        <v>70.8</v>
      </c>
      <c r="L1360" s="7">
        <f t="shared" si="374"/>
        <v>74.300000000000011</v>
      </c>
      <c r="M1360" s="7">
        <f t="shared" si="375"/>
        <v>253</v>
      </c>
      <c r="O1360">
        <f t="shared" si="376"/>
        <v>1.0501185770750987</v>
      </c>
      <c r="P1360">
        <f t="shared" si="377"/>
        <v>1050.1185770750988</v>
      </c>
      <c r="V1360">
        <f t="shared" si="378"/>
        <v>1393.5048803663262</v>
      </c>
      <c r="W1360">
        <f t="shared" si="379"/>
        <v>90.778297071155961</v>
      </c>
      <c r="AE1360">
        <f t="shared" ref="AE1360:AE1423" si="380">M1360/(2*$Y$5)</f>
        <v>0.85798307757504677</v>
      </c>
      <c r="AF1360">
        <f t="shared" ref="AF1360:AF1423" si="381">M1360/(2*$Y$8)</f>
        <v>0.83154184024681299</v>
      </c>
      <c r="AG1360">
        <f t="shared" ref="AG1360:AG1423" si="382">M1360/(2*$Y$11)</f>
        <v>0.83367920470663048</v>
      </c>
      <c r="AI1360">
        <f t="shared" ref="AI1360:AI1423" si="383">J1360/(2.4*AE1360)</f>
        <v>0.61190018046023631</v>
      </c>
      <c r="AJ1360">
        <f t="shared" ref="AJ1360:AJ1423" si="384">K1360/(3.14159*(AE1360^2))</f>
        <v>30.614439143662754</v>
      </c>
      <c r="AL1360">
        <f t="shared" ref="AL1360:AL1423" si="385">J1360/(2.4*AF1360)</f>
        <v>0.6313572866570043</v>
      </c>
      <c r="AM1360">
        <f t="shared" ref="AM1360:AM1423" si="386">K1360/(3.14159*(AF1360^2))</f>
        <v>32.592339781986183</v>
      </c>
      <c r="AO1360">
        <f t="shared" ref="AO1360:AO1423" si="387">J1360/(2.4*AG1360)</f>
        <v>0.62973862972238359</v>
      </c>
      <c r="AP1360">
        <f t="shared" ref="AP1360:AP1423" si="388">K1360/(3.14159*(AG1360^2))</f>
        <v>32.425435270259833</v>
      </c>
    </row>
    <row r="1361" spans="1:42" x14ac:dyDescent="0.2">
      <c r="A1361" s="3">
        <v>1400</v>
      </c>
      <c r="B1361" s="3">
        <v>1.2699999999999999E-6</v>
      </c>
      <c r="C1361" s="2">
        <v>7.0849999999999996E-2</v>
      </c>
      <c r="D1361" s="3">
        <v>254000</v>
      </c>
      <c r="E1361" s="3">
        <v>74500000000</v>
      </c>
      <c r="F1361" s="3">
        <v>69600000000</v>
      </c>
      <c r="G1361" s="3">
        <v>1610000000</v>
      </c>
      <c r="H1361" s="3">
        <v>7740000000</v>
      </c>
      <c r="I1361" s="2"/>
      <c r="J1361" s="7">
        <f t="shared" si="372"/>
        <v>1.27</v>
      </c>
      <c r="K1361" s="7">
        <f t="shared" si="373"/>
        <v>70.849999999999994</v>
      </c>
      <c r="L1361" s="7">
        <f t="shared" si="374"/>
        <v>74.5</v>
      </c>
      <c r="M1361" s="7">
        <f t="shared" si="375"/>
        <v>254</v>
      </c>
      <c r="O1361">
        <f t="shared" si="376"/>
        <v>1.0607972440944882</v>
      </c>
      <c r="P1361">
        <f t="shared" si="377"/>
        <v>1060.7972440944882</v>
      </c>
      <c r="V1361">
        <f t="shared" si="378"/>
        <v>1399.7650390884801</v>
      </c>
      <c r="W1361">
        <f t="shared" si="379"/>
        <v>90.729512777874319</v>
      </c>
      <c r="AE1361">
        <f t="shared" si="380"/>
        <v>0.86137431503581774</v>
      </c>
      <c r="AF1361">
        <f t="shared" si="381"/>
        <v>0.83482856688810481</v>
      </c>
      <c r="AG1361">
        <f t="shared" si="382"/>
        <v>0.83697437942879105</v>
      </c>
      <c r="AI1361">
        <f t="shared" si="383"/>
        <v>0.61432835577952294</v>
      </c>
      <c r="AJ1361">
        <f t="shared" si="384"/>
        <v>30.395305555120114</v>
      </c>
      <c r="AL1361">
        <f t="shared" si="385"/>
        <v>0.63386267271516694</v>
      </c>
      <c r="AM1361">
        <f t="shared" si="386"/>
        <v>32.359048675723791</v>
      </c>
      <c r="AO1361">
        <f t="shared" si="387"/>
        <v>0.63223759253874234</v>
      </c>
      <c r="AP1361">
        <f t="shared" si="388"/>
        <v>32.193338841594738</v>
      </c>
    </row>
    <row r="1362" spans="1:42" x14ac:dyDescent="0.2">
      <c r="A1362" s="3">
        <v>1400</v>
      </c>
      <c r="B1362" s="3">
        <v>1.2699999999999999E-6</v>
      </c>
      <c r="C1362" s="2">
        <v>7.0900000000000005E-2</v>
      </c>
      <c r="D1362" s="3">
        <v>241000</v>
      </c>
      <c r="E1362" s="3">
        <v>70700000000</v>
      </c>
      <c r="F1362" s="3">
        <v>66300000000</v>
      </c>
      <c r="G1362" s="3">
        <v>4860000000</v>
      </c>
      <c r="H1362" s="3">
        <v>7800000000</v>
      </c>
      <c r="I1362" s="2"/>
      <c r="J1362" s="7">
        <f t="shared" si="372"/>
        <v>1.27</v>
      </c>
      <c r="K1362" s="7">
        <f t="shared" si="373"/>
        <v>70.900000000000006</v>
      </c>
      <c r="L1362" s="7">
        <f t="shared" si="374"/>
        <v>70.7</v>
      </c>
      <c r="M1362" s="7">
        <f t="shared" si="375"/>
        <v>241</v>
      </c>
      <c r="O1362">
        <f t="shared" si="376"/>
        <v>1.049356846473029</v>
      </c>
      <c r="P1362">
        <f t="shared" si="377"/>
        <v>1049.356846473029</v>
      </c>
      <c r="V1362">
        <f t="shared" si="378"/>
        <v>1393.0569787343788</v>
      </c>
      <c r="W1362">
        <f t="shared" si="379"/>
        <v>86.500410133601818</v>
      </c>
      <c r="AE1362">
        <f t="shared" si="380"/>
        <v>0.8172882280457956</v>
      </c>
      <c r="AF1362">
        <f t="shared" si="381"/>
        <v>0.79210112055131199</v>
      </c>
      <c r="AG1362">
        <f t="shared" si="382"/>
        <v>0.79413710804070337</v>
      </c>
      <c r="AI1362">
        <f t="shared" si="383"/>
        <v>0.64746639986721499</v>
      </c>
      <c r="AJ1362">
        <f t="shared" si="384"/>
        <v>33.786736303464977</v>
      </c>
      <c r="AL1362">
        <f t="shared" si="385"/>
        <v>0.66805443514378604</v>
      </c>
      <c r="AM1362">
        <f t="shared" si="386"/>
        <v>35.96958887796076</v>
      </c>
      <c r="AO1362">
        <f t="shared" si="387"/>
        <v>0.66634169504083207</v>
      </c>
      <c r="AP1362">
        <f t="shared" si="388"/>
        <v>35.785389562758738</v>
      </c>
    </row>
    <row r="1363" spans="1:42" x14ac:dyDescent="0.2">
      <c r="A1363" s="3">
        <v>1400</v>
      </c>
      <c r="B1363" s="3">
        <v>1.2699999999999999E-6</v>
      </c>
      <c r="C1363" s="2">
        <v>7.0959999999999995E-2</v>
      </c>
      <c r="D1363" s="3">
        <v>253000</v>
      </c>
      <c r="E1363" s="3">
        <v>74000000000</v>
      </c>
      <c r="F1363" s="3">
        <v>69300000000</v>
      </c>
      <c r="G1363" s="3">
        <v>4890000000</v>
      </c>
      <c r="H1363" s="3">
        <v>7730000000</v>
      </c>
      <c r="I1363" s="2"/>
      <c r="J1363" s="7">
        <f t="shared" si="372"/>
        <v>1.27</v>
      </c>
      <c r="K1363" s="7">
        <f t="shared" si="373"/>
        <v>70.959999999999994</v>
      </c>
      <c r="L1363" s="7">
        <f t="shared" si="374"/>
        <v>74</v>
      </c>
      <c r="M1363" s="7">
        <f t="shared" si="375"/>
        <v>253</v>
      </c>
      <c r="O1363">
        <f t="shared" si="376"/>
        <v>1.0596442687747036</v>
      </c>
      <c r="P1363">
        <f t="shared" si="377"/>
        <v>1059.6442687747037</v>
      </c>
      <c r="V1363">
        <f t="shared" si="378"/>
        <v>1399.0908253251969</v>
      </c>
      <c r="W1363">
        <f t="shared" si="379"/>
        <v>90.415859864277962</v>
      </c>
      <c r="AE1363">
        <f t="shared" si="380"/>
        <v>0.85798307757504677</v>
      </c>
      <c r="AF1363">
        <f t="shared" si="381"/>
        <v>0.83154184024681299</v>
      </c>
      <c r="AG1363">
        <f t="shared" si="382"/>
        <v>0.83367920470663048</v>
      </c>
      <c r="AI1363">
        <f t="shared" si="383"/>
        <v>0.61675653109880957</v>
      </c>
      <c r="AJ1363">
        <f t="shared" si="384"/>
        <v>30.683624316868769</v>
      </c>
      <c r="AL1363">
        <f t="shared" si="385"/>
        <v>0.6363680587733298</v>
      </c>
      <c r="AM1363">
        <f t="shared" si="386"/>
        <v>32.665994787143212</v>
      </c>
      <c r="AO1363">
        <f t="shared" si="387"/>
        <v>0.63473655535510087</v>
      </c>
      <c r="AP1363">
        <f t="shared" si="388"/>
        <v>32.498713090079626</v>
      </c>
    </row>
    <row r="1364" spans="1:42" x14ac:dyDescent="0.2">
      <c r="A1364" s="3">
        <v>1400</v>
      </c>
      <c r="B1364" s="3">
        <v>1.2699999999999999E-6</v>
      </c>
      <c r="C1364" s="2">
        <v>7.1010000000000004E-2</v>
      </c>
      <c r="D1364" s="3">
        <v>244000</v>
      </c>
      <c r="E1364" s="3">
        <v>71500000000</v>
      </c>
      <c r="F1364" s="3">
        <v>67000000000</v>
      </c>
      <c r="G1364" s="3">
        <v>4630000000</v>
      </c>
      <c r="H1364" s="3">
        <v>7770000000</v>
      </c>
      <c r="I1364" s="2"/>
      <c r="J1364" s="7">
        <f t="shared" si="372"/>
        <v>1.27</v>
      </c>
      <c r="K1364" s="7">
        <f t="shared" si="373"/>
        <v>71.010000000000005</v>
      </c>
      <c r="L1364" s="7">
        <f t="shared" si="374"/>
        <v>71.5</v>
      </c>
      <c r="M1364" s="7">
        <f t="shared" si="375"/>
        <v>244</v>
      </c>
      <c r="O1364">
        <f t="shared" si="376"/>
        <v>1.0517315573770492</v>
      </c>
      <c r="P1364">
        <f t="shared" si="377"/>
        <v>1051.7315573770491</v>
      </c>
      <c r="V1364">
        <f t="shared" si="378"/>
        <v>1394.4527244061176</v>
      </c>
      <c r="W1364">
        <f t="shared" si="379"/>
        <v>87.489520343515764</v>
      </c>
      <c r="AE1364">
        <f t="shared" si="380"/>
        <v>0.82746194042810839</v>
      </c>
      <c r="AF1364">
        <f t="shared" si="381"/>
        <v>0.80196130047518721</v>
      </c>
      <c r="AG1364">
        <f t="shared" si="382"/>
        <v>0.80402263220718506</v>
      </c>
      <c r="AI1364">
        <f t="shared" si="383"/>
        <v>0.63950574740983124</v>
      </c>
      <c r="AJ1364">
        <f t="shared" si="384"/>
        <v>33.012160826153476</v>
      </c>
      <c r="AL1364">
        <f t="shared" si="385"/>
        <v>0.65984065110513301</v>
      </c>
      <c r="AM1364">
        <f t="shared" si="386"/>
        <v>35.144970565508146</v>
      </c>
      <c r="AO1364">
        <f t="shared" si="387"/>
        <v>0.6581489692821334</v>
      </c>
      <c r="AP1364">
        <f t="shared" si="388"/>
        <v>34.964994098917828</v>
      </c>
    </row>
    <row r="1365" spans="1:42" x14ac:dyDescent="0.2">
      <c r="A1365" s="3">
        <v>1400</v>
      </c>
      <c r="B1365" s="3">
        <v>1.28E-6</v>
      </c>
      <c r="C1365" s="2">
        <v>7.1059999999999998E-2</v>
      </c>
      <c r="D1365" s="3">
        <v>239000</v>
      </c>
      <c r="E1365" s="3">
        <v>70100000000</v>
      </c>
      <c r="F1365" s="3">
        <v>65800000000</v>
      </c>
      <c r="G1365" s="3">
        <v>9290000000</v>
      </c>
      <c r="H1365" s="3">
        <v>7790000000</v>
      </c>
      <c r="I1365" s="2"/>
      <c r="J1365" s="7">
        <f t="shared" si="372"/>
        <v>1.28</v>
      </c>
      <c r="K1365" s="7">
        <f t="shared" si="373"/>
        <v>71.06</v>
      </c>
      <c r="L1365" s="7">
        <f t="shared" si="374"/>
        <v>70.100000000000009</v>
      </c>
      <c r="M1365" s="7">
        <f t="shared" si="375"/>
        <v>239</v>
      </c>
      <c r="O1365">
        <f t="shared" si="376"/>
        <v>1.0570083682008369</v>
      </c>
      <c r="P1365">
        <f t="shared" si="377"/>
        <v>1057.0083682008369</v>
      </c>
      <c r="V1365">
        <f t="shared" si="378"/>
        <v>1397.5479198647797</v>
      </c>
      <c r="W1365">
        <f t="shared" si="379"/>
        <v>85.506906991469933</v>
      </c>
      <c r="AE1365">
        <f t="shared" si="380"/>
        <v>0.81050575312425366</v>
      </c>
      <c r="AF1365">
        <f t="shared" si="381"/>
        <v>0.78552766726872847</v>
      </c>
      <c r="AG1365">
        <f t="shared" si="382"/>
        <v>0.78754675859638212</v>
      </c>
      <c r="AI1365">
        <f t="shared" si="383"/>
        <v>0.65802535179731336</v>
      </c>
      <c r="AJ1365">
        <f t="shared" si="384"/>
        <v>34.432098615102916</v>
      </c>
      <c r="AL1365">
        <f t="shared" si="385"/>
        <v>0.67894913897524167</v>
      </c>
      <c r="AM1365">
        <f t="shared" si="386"/>
        <v>36.656645976890026</v>
      </c>
      <c r="AO1365">
        <f t="shared" si="387"/>
        <v>0.67720846732183282</v>
      </c>
      <c r="AP1365">
        <f t="shared" si="388"/>
        <v>36.468928260419737</v>
      </c>
    </row>
    <row r="1366" spans="1:42" x14ac:dyDescent="0.2">
      <c r="A1366" s="3">
        <v>1400</v>
      </c>
      <c r="B1366" s="3">
        <v>1.28E-6</v>
      </c>
      <c r="C1366" s="2">
        <v>7.1110000000000007E-2</v>
      </c>
      <c r="D1366" s="3">
        <v>247000</v>
      </c>
      <c r="E1366" s="3">
        <v>72300000000</v>
      </c>
      <c r="F1366" s="3">
        <v>67700000000</v>
      </c>
      <c r="G1366" s="3">
        <v>3340000000</v>
      </c>
      <c r="H1366" s="3">
        <v>7740000000</v>
      </c>
      <c r="I1366" s="2"/>
      <c r="J1366" s="7">
        <f t="shared" si="372"/>
        <v>1.28</v>
      </c>
      <c r="K1366" s="7">
        <f t="shared" si="373"/>
        <v>71.110000000000014</v>
      </c>
      <c r="L1366" s="7">
        <f t="shared" si="374"/>
        <v>72.300000000000011</v>
      </c>
      <c r="M1366" s="7">
        <f t="shared" si="375"/>
        <v>247</v>
      </c>
      <c r="O1366">
        <f t="shared" si="376"/>
        <v>1.0640789473684211</v>
      </c>
      <c r="P1366">
        <f t="shared" si="377"/>
        <v>1064.078947368421</v>
      </c>
      <c r="V1366">
        <f t="shared" si="378"/>
        <v>1401.681816480575</v>
      </c>
      <c r="W1366">
        <f t="shared" si="379"/>
        <v>88.10844126528734</v>
      </c>
      <c r="AE1366">
        <f t="shared" si="380"/>
        <v>0.83763565281042118</v>
      </c>
      <c r="AF1366">
        <f t="shared" si="381"/>
        <v>0.81182148039906254</v>
      </c>
      <c r="AG1366">
        <f t="shared" si="382"/>
        <v>0.81390815637366687</v>
      </c>
      <c r="AI1366">
        <f t="shared" si="383"/>
        <v>0.63671278979578083</v>
      </c>
      <c r="AJ1366">
        <f t="shared" si="384"/>
        <v>32.260482929415552</v>
      </c>
      <c r="AL1366">
        <f t="shared" si="385"/>
        <v>0.65695888346187348</v>
      </c>
      <c r="AM1366">
        <f t="shared" si="386"/>
        <v>34.344729172806929</v>
      </c>
      <c r="AO1366">
        <f t="shared" si="387"/>
        <v>0.6552745898377248</v>
      </c>
      <c r="AP1366">
        <f t="shared" si="388"/>
        <v>34.16885072126572</v>
      </c>
    </row>
    <row r="1367" spans="1:42" x14ac:dyDescent="0.2">
      <c r="A1367" s="3">
        <v>1400</v>
      </c>
      <c r="B1367" s="3">
        <v>1.28E-6</v>
      </c>
      <c r="C1367" s="2">
        <v>7.1169999999999997E-2</v>
      </c>
      <c r="D1367" s="3">
        <v>244000</v>
      </c>
      <c r="E1367" s="3">
        <v>71200000000</v>
      </c>
      <c r="F1367" s="3">
        <v>66800000000</v>
      </c>
      <c r="G1367" s="3">
        <v>4820000000</v>
      </c>
      <c r="H1367" s="3">
        <v>7750000000</v>
      </c>
      <c r="I1367" s="2"/>
      <c r="J1367" s="7">
        <f t="shared" si="372"/>
        <v>1.28</v>
      </c>
      <c r="K1367" s="7">
        <f t="shared" si="373"/>
        <v>71.17</v>
      </c>
      <c r="L1367" s="7">
        <f t="shared" si="374"/>
        <v>71.2</v>
      </c>
      <c r="M1367" s="7">
        <f t="shared" si="375"/>
        <v>244</v>
      </c>
      <c r="O1367">
        <f t="shared" si="376"/>
        <v>1.0612397540983607</v>
      </c>
      <c r="P1367">
        <f t="shared" si="377"/>
        <v>1061.2397540983607</v>
      </c>
      <c r="V1367">
        <f t="shared" si="378"/>
        <v>1400.0236928155655</v>
      </c>
      <c r="W1367">
        <f t="shared" si="379"/>
        <v>87.141382410927449</v>
      </c>
      <c r="AE1367">
        <f t="shared" si="380"/>
        <v>0.82746194042810839</v>
      </c>
      <c r="AF1367">
        <f t="shared" si="381"/>
        <v>0.80196130047518721</v>
      </c>
      <c r="AG1367">
        <f t="shared" si="382"/>
        <v>0.80402263220718506</v>
      </c>
      <c r="AI1367">
        <f t="shared" si="383"/>
        <v>0.6445412257358929</v>
      </c>
      <c r="AJ1367">
        <f t="shared" si="384"/>
        <v>33.086543951518699</v>
      </c>
      <c r="AL1367">
        <f t="shared" si="385"/>
        <v>0.66503624678312612</v>
      </c>
      <c r="AM1367">
        <f t="shared" si="386"/>
        <v>35.224159345827552</v>
      </c>
      <c r="AO1367">
        <f t="shared" si="387"/>
        <v>0.66333124463081161</v>
      </c>
      <c r="AP1367">
        <f t="shared" si="388"/>
        <v>35.043777355583465</v>
      </c>
    </row>
    <row r="1368" spans="1:42" x14ac:dyDescent="0.2">
      <c r="A1368" s="3">
        <v>1400</v>
      </c>
      <c r="B1368" s="3">
        <v>1.28E-6</v>
      </c>
      <c r="C1368" s="2">
        <v>7.1220000000000006E-2</v>
      </c>
      <c r="D1368" s="3">
        <v>263000</v>
      </c>
      <c r="E1368" s="3">
        <v>76900000000</v>
      </c>
      <c r="F1368" s="3">
        <v>71700000000</v>
      </c>
      <c r="G1368" s="3">
        <v>619000000</v>
      </c>
      <c r="H1368" s="3">
        <v>7660000000</v>
      </c>
      <c r="I1368" s="2"/>
      <c r="J1368" s="7">
        <f t="shared" si="372"/>
        <v>1.28</v>
      </c>
      <c r="K1368" s="7">
        <f t="shared" si="373"/>
        <v>71.22</v>
      </c>
      <c r="L1368" s="7">
        <f t="shared" si="374"/>
        <v>76.900000000000006</v>
      </c>
      <c r="M1368" s="7">
        <f t="shared" si="375"/>
        <v>263</v>
      </c>
      <c r="O1368">
        <f t="shared" si="376"/>
        <v>1.0769011406844107</v>
      </c>
      <c r="P1368">
        <f t="shared" si="377"/>
        <v>1076.9011406844106</v>
      </c>
      <c r="V1368">
        <f t="shared" si="378"/>
        <v>1409.1396116965557</v>
      </c>
      <c r="W1368">
        <f t="shared" si="379"/>
        <v>93.319355235269072</v>
      </c>
      <c r="AE1368">
        <f t="shared" si="380"/>
        <v>0.89189545218275612</v>
      </c>
      <c r="AF1368">
        <f t="shared" si="381"/>
        <v>0.86440910665973059</v>
      </c>
      <c r="AG1368">
        <f t="shared" si="382"/>
        <v>0.86663095192823636</v>
      </c>
      <c r="AI1368">
        <f t="shared" si="383"/>
        <v>0.59797741094888934</v>
      </c>
      <c r="AJ1368">
        <f t="shared" si="384"/>
        <v>28.498668171363434</v>
      </c>
      <c r="AL1368">
        <f t="shared" si="385"/>
        <v>0.61699180309917401</v>
      </c>
      <c r="AM1368">
        <f t="shared" si="386"/>
        <v>30.339875638957206</v>
      </c>
      <c r="AO1368">
        <f t="shared" si="387"/>
        <v>0.61540997600729297</v>
      </c>
      <c r="AP1368">
        <f t="shared" si="388"/>
        <v>30.184505936651984</v>
      </c>
    </row>
    <row r="1369" spans="1:42" x14ac:dyDescent="0.2">
      <c r="A1369" s="3">
        <v>1400</v>
      </c>
      <c r="B1369" s="3">
        <v>1.28E-6</v>
      </c>
      <c r="C1369" s="2">
        <v>7.127E-2</v>
      </c>
      <c r="D1369" s="3">
        <v>258000</v>
      </c>
      <c r="E1369" s="3">
        <v>75400000000</v>
      </c>
      <c r="F1369" s="3">
        <v>70500000000</v>
      </c>
      <c r="G1369" s="2">
        <v>0</v>
      </c>
      <c r="H1369" s="3">
        <v>7670000000</v>
      </c>
      <c r="I1369" s="2"/>
      <c r="J1369" s="7">
        <f t="shared" si="372"/>
        <v>1.28</v>
      </c>
      <c r="K1369" s="7">
        <f t="shared" si="373"/>
        <v>71.27</v>
      </c>
      <c r="L1369" s="7">
        <f t="shared" si="374"/>
        <v>75.400000000000006</v>
      </c>
      <c r="M1369" s="7">
        <f t="shared" si="375"/>
        <v>258</v>
      </c>
      <c r="O1369">
        <f t="shared" si="376"/>
        <v>1.0728197674418605</v>
      </c>
      <c r="P1369">
        <f t="shared" si="377"/>
        <v>1072.8197674418604</v>
      </c>
      <c r="V1369">
        <f t="shared" si="378"/>
        <v>1406.7711472392757</v>
      </c>
      <c r="W1369">
        <f t="shared" si="379"/>
        <v>91.699350141745967</v>
      </c>
      <c r="AE1369">
        <f t="shared" si="380"/>
        <v>0.8749392648789015</v>
      </c>
      <c r="AF1369">
        <f t="shared" si="381"/>
        <v>0.84797547345327173</v>
      </c>
      <c r="AG1369">
        <f t="shared" si="382"/>
        <v>0.85015507831743342</v>
      </c>
      <c r="AI1369">
        <f t="shared" si="383"/>
        <v>0.60956612046340253</v>
      </c>
      <c r="AJ1369">
        <f t="shared" si="384"/>
        <v>29.634761684881575</v>
      </c>
      <c r="AL1369">
        <f t="shared" si="385"/>
        <v>0.62894900858559222</v>
      </c>
      <c r="AM1369">
        <f t="shared" si="386"/>
        <v>31.549368507434565</v>
      </c>
      <c r="AO1369">
        <f t="shared" si="387"/>
        <v>0.62733652592991496</v>
      </c>
      <c r="AP1369">
        <f t="shared" si="388"/>
        <v>31.387805024075256</v>
      </c>
    </row>
    <row r="1370" spans="1:42" x14ac:dyDescent="0.2">
      <c r="A1370" s="3">
        <v>1400</v>
      </c>
      <c r="B1370" s="3">
        <v>1.2899999999999999E-6</v>
      </c>
      <c r="C1370" s="2">
        <v>7.1319999999999995E-2</v>
      </c>
      <c r="D1370" s="3">
        <v>274000</v>
      </c>
      <c r="E1370" s="3">
        <v>79900000000</v>
      </c>
      <c r="F1370" s="3">
        <v>74400000000</v>
      </c>
      <c r="G1370" s="3">
        <v>5250000000</v>
      </c>
      <c r="H1370" s="3">
        <v>7610000000</v>
      </c>
      <c r="I1370" s="2"/>
      <c r="J1370" s="7">
        <f t="shared" si="372"/>
        <v>1.29</v>
      </c>
      <c r="K1370" s="7">
        <f t="shared" si="373"/>
        <v>71.319999999999993</v>
      </c>
      <c r="L1370" s="7">
        <f t="shared" si="374"/>
        <v>79.900000000000006</v>
      </c>
      <c r="M1370" s="7">
        <f t="shared" si="375"/>
        <v>274</v>
      </c>
      <c r="O1370">
        <f t="shared" si="376"/>
        <v>1.0947810218978102</v>
      </c>
      <c r="P1370">
        <f t="shared" si="377"/>
        <v>1094.7810218978102</v>
      </c>
      <c r="V1370">
        <f t="shared" si="378"/>
        <v>1419.4570196914794</v>
      </c>
      <c r="W1370">
        <f t="shared" si="379"/>
        <v>96.515778991164595</v>
      </c>
      <c r="AE1370">
        <f t="shared" si="380"/>
        <v>0.92919906425123644</v>
      </c>
      <c r="AF1370">
        <f t="shared" si="381"/>
        <v>0.90056309971393977</v>
      </c>
      <c r="AG1370">
        <f t="shared" si="382"/>
        <v>0.90287787387200291</v>
      </c>
      <c r="AI1370">
        <f t="shared" si="383"/>
        <v>0.57845516712086464</v>
      </c>
      <c r="AJ1370">
        <f t="shared" si="384"/>
        <v>26.293251836004544</v>
      </c>
      <c r="AL1370">
        <f t="shared" si="385"/>
        <v>0.59684879401647128</v>
      </c>
      <c r="AM1370">
        <f t="shared" si="386"/>
        <v>27.991974433730043</v>
      </c>
      <c r="AO1370">
        <f t="shared" si="387"/>
        <v>0.5953186090328304</v>
      </c>
      <c r="AP1370">
        <f t="shared" si="388"/>
        <v>27.848628271522315</v>
      </c>
    </row>
    <row r="1371" spans="1:42" x14ac:dyDescent="0.2">
      <c r="A1371" s="3">
        <v>1400</v>
      </c>
      <c r="B1371" s="3">
        <v>1.2899999999999999E-6</v>
      </c>
      <c r="C1371" s="2">
        <v>7.1370000000000003E-2</v>
      </c>
      <c r="D1371" s="3">
        <v>234000</v>
      </c>
      <c r="E1371" s="3">
        <v>68300000000</v>
      </c>
      <c r="F1371" s="3">
        <v>64300000000</v>
      </c>
      <c r="G1371" s="3">
        <v>6840000000</v>
      </c>
      <c r="H1371" s="3">
        <v>7770000000</v>
      </c>
      <c r="I1371" s="2"/>
      <c r="J1371" s="7">
        <f t="shared" si="372"/>
        <v>1.29</v>
      </c>
      <c r="K1371" s="7">
        <f t="shared" si="373"/>
        <v>71.37</v>
      </c>
      <c r="L1371" s="7">
        <f t="shared" si="374"/>
        <v>68.3</v>
      </c>
      <c r="M1371" s="7">
        <f t="shared" si="375"/>
        <v>234</v>
      </c>
      <c r="O1371">
        <f t="shared" si="376"/>
        <v>1.06125</v>
      </c>
      <c r="P1371">
        <f t="shared" si="377"/>
        <v>1061.25</v>
      </c>
      <c r="V1371">
        <f t="shared" si="378"/>
        <v>1400.0296809869624</v>
      </c>
      <c r="W1371">
        <f t="shared" si="379"/>
        <v>83.569656835789289</v>
      </c>
      <c r="AE1371">
        <f t="shared" si="380"/>
        <v>0.79354956582039904</v>
      </c>
      <c r="AF1371">
        <f t="shared" si="381"/>
        <v>0.76909403406226973</v>
      </c>
      <c r="AG1371">
        <f t="shared" si="382"/>
        <v>0.77107088498557919</v>
      </c>
      <c r="AI1371">
        <f t="shared" si="383"/>
        <v>0.67733639226973041</v>
      </c>
      <c r="AJ1371">
        <f t="shared" si="384"/>
        <v>36.075974740435704</v>
      </c>
      <c r="AL1371">
        <f t="shared" si="385"/>
        <v>0.69887422889108164</v>
      </c>
      <c r="AM1371">
        <f t="shared" si="386"/>
        <v>38.406727661709397</v>
      </c>
      <c r="AO1371">
        <f t="shared" si="387"/>
        <v>0.69708247382476718</v>
      </c>
      <c r="AP1371">
        <f t="shared" si="388"/>
        <v>38.210047823125748</v>
      </c>
    </row>
    <row r="1372" spans="1:42" x14ac:dyDescent="0.2">
      <c r="A1372" s="3">
        <v>1400</v>
      </c>
      <c r="B1372" s="3">
        <v>1.2899999999999999E-6</v>
      </c>
      <c r="C1372" s="2">
        <v>7.1429999999999993E-2</v>
      </c>
      <c r="D1372" s="3">
        <v>262000</v>
      </c>
      <c r="E1372" s="3">
        <v>76100000000</v>
      </c>
      <c r="F1372" s="3">
        <v>71100000000</v>
      </c>
      <c r="G1372" s="3">
        <v>3350000000</v>
      </c>
      <c r="H1372" s="3">
        <v>7640000000</v>
      </c>
      <c r="I1372" s="2"/>
      <c r="J1372" s="7">
        <f t="shared" si="372"/>
        <v>1.29</v>
      </c>
      <c r="K1372" s="7">
        <f t="shared" si="373"/>
        <v>71.429999999999993</v>
      </c>
      <c r="L1372" s="7">
        <f t="shared" si="374"/>
        <v>76.100000000000009</v>
      </c>
      <c r="M1372" s="7">
        <f t="shared" si="375"/>
        <v>262</v>
      </c>
      <c r="O1372">
        <f t="shared" si="376"/>
        <v>1.0855248091603054</v>
      </c>
      <c r="P1372">
        <f t="shared" si="377"/>
        <v>1085.5248091603053</v>
      </c>
      <c r="V1372">
        <f t="shared" si="378"/>
        <v>1414.1276293301494</v>
      </c>
      <c r="W1372">
        <f t="shared" si="379"/>
        <v>92.636617291787644</v>
      </c>
      <c r="AE1372">
        <f t="shared" si="380"/>
        <v>0.88850421472198526</v>
      </c>
      <c r="AF1372">
        <f t="shared" si="381"/>
        <v>0.86112238001843877</v>
      </c>
      <c r="AG1372">
        <f t="shared" si="382"/>
        <v>0.86333577720607579</v>
      </c>
      <c r="AI1372">
        <f t="shared" si="383"/>
        <v>0.60494929691265997</v>
      </c>
      <c r="AJ1372">
        <f t="shared" si="384"/>
        <v>28.801304564771879</v>
      </c>
      <c r="AL1372">
        <f t="shared" si="385"/>
        <v>0.62418538000195845</v>
      </c>
      <c r="AM1372">
        <f t="shared" si="386"/>
        <v>30.662064398257247</v>
      </c>
      <c r="AO1372">
        <f t="shared" si="387"/>
        <v>0.62258511020990659</v>
      </c>
      <c r="AP1372">
        <f t="shared" si="388"/>
        <v>30.505044775820036</v>
      </c>
    </row>
    <row r="1373" spans="1:42" x14ac:dyDescent="0.2">
      <c r="A1373" s="3">
        <v>1400</v>
      </c>
      <c r="B1373" s="3">
        <v>1.2899999999999999E-6</v>
      </c>
      <c r="C1373" s="2">
        <v>7.1480000000000002E-2</v>
      </c>
      <c r="D1373" s="3">
        <v>271000</v>
      </c>
      <c r="E1373" s="3">
        <v>78700000000</v>
      </c>
      <c r="F1373" s="3">
        <v>73400000000</v>
      </c>
      <c r="G1373" s="2">
        <v>0</v>
      </c>
      <c r="H1373" s="3">
        <v>7600000000</v>
      </c>
      <c r="I1373" s="2"/>
      <c r="J1373" s="7">
        <f t="shared" si="372"/>
        <v>1.29</v>
      </c>
      <c r="K1373" s="7">
        <f t="shared" si="373"/>
        <v>71.48</v>
      </c>
      <c r="L1373" s="7">
        <f t="shared" si="374"/>
        <v>78.7</v>
      </c>
      <c r="M1373" s="7">
        <f t="shared" si="375"/>
        <v>271</v>
      </c>
      <c r="O1373">
        <f t="shared" si="376"/>
        <v>1.0921771217712177</v>
      </c>
      <c r="P1373">
        <f t="shared" si="377"/>
        <v>1092.1771217712178</v>
      </c>
      <c r="V1373">
        <f t="shared" si="378"/>
        <v>1417.9603341271554</v>
      </c>
      <c r="W1373">
        <f t="shared" si="379"/>
        <v>95.559795812912398</v>
      </c>
      <c r="AE1373">
        <f t="shared" si="380"/>
        <v>0.91902535186892365</v>
      </c>
      <c r="AF1373">
        <f t="shared" si="381"/>
        <v>0.89070291979006455</v>
      </c>
      <c r="AG1373">
        <f t="shared" si="382"/>
        <v>0.8929923497055211</v>
      </c>
      <c r="AI1373">
        <f t="shared" si="383"/>
        <v>0.58485872985651999</v>
      </c>
      <c r="AJ1373">
        <f t="shared" si="384"/>
        <v>26.938912168837863</v>
      </c>
      <c r="AL1373">
        <f t="shared" si="385"/>
        <v>0.60345597623805569</v>
      </c>
      <c r="AM1373">
        <f t="shared" si="386"/>
        <v>28.679348808047457</v>
      </c>
      <c r="AO1373">
        <f t="shared" si="387"/>
        <v>0.60190885193725285</v>
      </c>
      <c r="AP1373">
        <f t="shared" si="388"/>
        <v>28.532482619812573</v>
      </c>
    </row>
    <row r="1374" spans="1:42" x14ac:dyDescent="0.2">
      <c r="A1374" s="3">
        <v>1400</v>
      </c>
      <c r="B1374" s="3">
        <v>1.3E-6</v>
      </c>
      <c r="C1374" s="2">
        <v>7.1529999999999996E-2</v>
      </c>
      <c r="D1374" s="3">
        <v>272000</v>
      </c>
      <c r="E1374" s="3">
        <v>79000000000</v>
      </c>
      <c r="F1374" s="3">
        <v>73600000000</v>
      </c>
      <c r="G1374" s="2">
        <v>0</v>
      </c>
      <c r="H1374" s="3">
        <v>7590000000</v>
      </c>
      <c r="I1374" s="2"/>
      <c r="J1374" s="7">
        <f t="shared" si="372"/>
        <v>1.3</v>
      </c>
      <c r="K1374" s="7">
        <f t="shared" si="373"/>
        <v>71.53</v>
      </c>
      <c r="L1374" s="7">
        <f t="shared" si="374"/>
        <v>79</v>
      </c>
      <c r="M1374" s="7">
        <f t="shared" si="375"/>
        <v>272</v>
      </c>
      <c r="O1374">
        <f t="shared" si="376"/>
        <v>1.1027665441176471</v>
      </c>
      <c r="P1374">
        <f t="shared" si="377"/>
        <v>1102.7665441176471</v>
      </c>
      <c r="V1374">
        <f t="shared" si="378"/>
        <v>1424.034662159858</v>
      </c>
      <c r="W1374">
        <f t="shared" si="379"/>
        <v>95.503293293245008</v>
      </c>
      <c r="AE1374">
        <f t="shared" si="380"/>
        <v>0.92241658932969461</v>
      </c>
      <c r="AF1374">
        <f t="shared" si="381"/>
        <v>0.89398964643135626</v>
      </c>
      <c r="AG1374">
        <f t="shared" si="382"/>
        <v>0.89628752442768178</v>
      </c>
      <c r="AI1374">
        <f t="shared" si="383"/>
        <v>0.58722563420101448</v>
      </c>
      <c r="AJ1374">
        <f t="shared" si="384"/>
        <v>26.759901419753476</v>
      </c>
      <c r="AL1374">
        <f t="shared" si="385"/>
        <v>0.60589814303655676</v>
      </c>
      <c r="AM1374">
        <f t="shared" si="386"/>
        <v>28.488772749103259</v>
      </c>
      <c r="AO1374">
        <f t="shared" si="387"/>
        <v>0.6043447575737978</v>
      </c>
      <c r="AP1374">
        <f t="shared" si="388"/>
        <v>28.342882495835838</v>
      </c>
    </row>
    <row r="1375" spans="1:42" x14ac:dyDescent="0.2">
      <c r="A1375" s="3">
        <v>1400</v>
      </c>
      <c r="B1375" s="3">
        <v>1.3E-6</v>
      </c>
      <c r="C1375" s="2">
        <v>7.1580000000000005E-2</v>
      </c>
      <c r="D1375" s="3">
        <v>293000</v>
      </c>
      <c r="E1375" s="3">
        <v>85000000000</v>
      </c>
      <c r="F1375" s="3">
        <v>78800000000</v>
      </c>
      <c r="G1375" s="3">
        <v>11100000000</v>
      </c>
      <c r="H1375" s="3">
        <v>7520000000</v>
      </c>
      <c r="I1375" s="2"/>
      <c r="J1375" s="7">
        <f t="shared" si="372"/>
        <v>1.3</v>
      </c>
      <c r="K1375" s="7">
        <f t="shared" si="373"/>
        <v>71.58</v>
      </c>
      <c r="L1375" s="7">
        <f t="shared" si="374"/>
        <v>85</v>
      </c>
      <c r="M1375" s="7">
        <f t="shared" si="375"/>
        <v>293</v>
      </c>
      <c r="O1375">
        <f t="shared" si="376"/>
        <v>1.1167747440273037</v>
      </c>
      <c r="P1375">
        <f t="shared" si="377"/>
        <v>1116.7747440273038</v>
      </c>
      <c r="V1375">
        <f t="shared" si="378"/>
        <v>1432.0203741339694</v>
      </c>
      <c r="W1375">
        <f t="shared" si="379"/>
        <v>102.30301373232733</v>
      </c>
      <c r="AE1375">
        <f t="shared" si="380"/>
        <v>0.99363257600588417</v>
      </c>
      <c r="AF1375">
        <f t="shared" si="381"/>
        <v>0.96301090589848304</v>
      </c>
      <c r="AG1375">
        <f t="shared" si="382"/>
        <v>0.96548619359305421</v>
      </c>
      <c r="AI1375">
        <f t="shared" si="383"/>
        <v>0.54513779011152208</v>
      </c>
      <c r="AJ1375">
        <f t="shared" si="384"/>
        <v>23.077594901355418</v>
      </c>
      <c r="AL1375">
        <f t="shared" si="385"/>
        <v>0.56247199626601863</v>
      </c>
      <c r="AM1375">
        <f t="shared" si="386"/>
        <v>24.568564227043975</v>
      </c>
      <c r="AO1375">
        <f t="shared" si="387"/>
        <v>0.56102994559751873</v>
      </c>
      <c r="AP1375">
        <f t="shared" si="388"/>
        <v>24.442749258141426</v>
      </c>
    </row>
    <row r="1376" spans="1:42" x14ac:dyDescent="0.2">
      <c r="A1376" s="3">
        <v>1400</v>
      </c>
      <c r="B1376" s="3">
        <v>1.3E-6</v>
      </c>
      <c r="C1376" s="2">
        <v>7.1639999999999995E-2</v>
      </c>
      <c r="D1376" s="3">
        <v>258000</v>
      </c>
      <c r="E1376" s="3">
        <v>74900000000</v>
      </c>
      <c r="F1376" s="3">
        <v>70000000000</v>
      </c>
      <c r="G1376" s="3">
        <v>2440000000</v>
      </c>
      <c r="H1376" s="3">
        <v>7640000000</v>
      </c>
      <c r="I1376" s="2"/>
      <c r="J1376" s="7">
        <f t="shared" si="372"/>
        <v>1.3</v>
      </c>
      <c r="K1376" s="7">
        <f t="shared" si="373"/>
        <v>71.64</v>
      </c>
      <c r="L1376" s="7">
        <f t="shared" si="374"/>
        <v>74.900000000000006</v>
      </c>
      <c r="M1376" s="7">
        <f t="shared" si="375"/>
        <v>258</v>
      </c>
      <c r="O1376">
        <f t="shared" si="376"/>
        <v>1.0917441860465118</v>
      </c>
      <c r="P1376">
        <f t="shared" si="377"/>
        <v>1091.7441860465119</v>
      </c>
      <c r="V1376">
        <f t="shared" si="378"/>
        <v>1417.7112960731299</v>
      </c>
      <c r="W1376">
        <f t="shared" si="379"/>
        <v>90.991727552226394</v>
      </c>
      <c r="AE1376">
        <f t="shared" si="380"/>
        <v>0.8749392648789015</v>
      </c>
      <c r="AF1376">
        <f t="shared" si="381"/>
        <v>0.84797547345327173</v>
      </c>
      <c r="AG1376">
        <f t="shared" si="382"/>
        <v>0.85015507831743342</v>
      </c>
      <c r="AI1376">
        <f t="shared" si="383"/>
        <v>0.61909059109564324</v>
      </c>
      <c r="AJ1376">
        <f t="shared" si="384"/>
        <v>29.78861129654716</v>
      </c>
      <c r="AL1376">
        <f t="shared" si="385"/>
        <v>0.63877633684474211</v>
      </c>
      <c r="AM1376">
        <f t="shared" si="386"/>
        <v>31.713157848640556</v>
      </c>
      <c r="AO1376">
        <f t="shared" si="387"/>
        <v>0.63713865914756984</v>
      </c>
      <c r="AP1376">
        <f t="shared" si="388"/>
        <v>31.550755604388261</v>
      </c>
    </row>
    <row r="1377" spans="1:42" x14ac:dyDescent="0.2">
      <c r="A1377" s="3">
        <v>1400</v>
      </c>
      <c r="B1377" s="3">
        <v>1.3E-6</v>
      </c>
      <c r="C1377" s="2">
        <v>7.1690000000000004E-2</v>
      </c>
      <c r="D1377" s="3">
        <v>251000</v>
      </c>
      <c r="E1377" s="3">
        <v>72900000000</v>
      </c>
      <c r="F1377" s="3">
        <v>68200000000</v>
      </c>
      <c r="G1377" s="3">
        <v>391000000</v>
      </c>
      <c r="H1377" s="3">
        <v>7660000000</v>
      </c>
      <c r="I1377" s="2"/>
      <c r="J1377" s="7">
        <f t="shared" si="372"/>
        <v>1.3</v>
      </c>
      <c r="K1377" s="7">
        <f t="shared" si="373"/>
        <v>71.69</v>
      </c>
      <c r="L1377" s="7">
        <f t="shared" si="374"/>
        <v>72.900000000000006</v>
      </c>
      <c r="M1377" s="7">
        <f t="shared" si="375"/>
        <v>251</v>
      </c>
      <c r="O1377">
        <f t="shared" si="376"/>
        <v>1.0857868525896415</v>
      </c>
      <c r="P1377">
        <f t="shared" si="377"/>
        <v>1085.7868525896415</v>
      </c>
      <c r="V1377">
        <f t="shared" si="378"/>
        <v>1414.2788517793604</v>
      </c>
      <c r="W1377">
        <f t="shared" si="379"/>
        <v>88.737804317800183</v>
      </c>
      <c r="AE1377">
        <f t="shared" si="380"/>
        <v>0.85120060265350495</v>
      </c>
      <c r="AF1377">
        <f t="shared" si="381"/>
        <v>0.82496838696422947</v>
      </c>
      <c r="AG1377">
        <f t="shared" si="382"/>
        <v>0.82708885526230924</v>
      </c>
      <c r="AI1377">
        <f t="shared" si="383"/>
        <v>0.63635606574771297</v>
      </c>
      <c r="AJ1377">
        <f t="shared" si="384"/>
        <v>31.495262303626692</v>
      </c>
      <c r="AL1377">
        <f t="shared" si="385"/>
        <v>0.65659081635834038</v>
      </c>
      <c r="AM1377">
        <f t="shared" si="386"/>
        <v>33.530070098804025</v>
      </c>
      <c r="AO1377">
        <f t="shared" si="387"/>
        <v>0.65490746637479291</v>
      </c>
      <c r="AP1377">
        <f t="shared" si="388"/>
        <v>33.358363494877295</v>
      </c>
    </row>
    <row r="1378" spans="1:42" x14ac:dyDescent="0.2">
      <c r="A1378" s="3">
        <v>1400</v>
      </c>
      <c r="B1378" s="3">
        <v>1.3E-6</v>
      </c>
      <c r="C1378" s="2">
        <v>7.1739999999999998E-2</v>
      </c>
      <c r="D1378" s="3">
        <v>253000</v>
      </c>
      <c r="E1378" s="3">
        <v>73400000000</v>
      </c>
      <c r="F1378" s="3">
        <v>68700000000</v>
      </c>
      <c r="G1378" s="3">
        <v>8750000000</v>
      </c>
      <c r="H1378" s="3">
        <v>7650000000</v>
      </c>
      <c r="I1378" s="2"/>
      <c r="J1378" s="7">
        <f t="shared" si="372"/>
        <v>1.3</v>
      </c>
      <c r="K1378" s="7">
        <f t="shared" si="373"/>
        <v>71.739999999999995</v>
      </c>
      <c r="L1378" s="7">
        <f t="shared" si="374"/>
        <v>73.400000000000006</v>
      </c>
      <c r="M1378" s="7">
        <f t="shared" si="375"/>
        <v>253</v>
      </c>
      <c r="O1378">
        <f t="shared" si="376"/>
        <v>1.0873320158102766</v>
      </c>
      <c r="P1378">
        <f t="shared" si="377"/>
        <v>1087.3320158102765</v>
      </c>
      <c r="V1378">
        <f t="shared" si="378"/>
        <v>1415.1701358392411</v>
      </c>
      <c r="W1378">
        <f t="shared" si="379"/>
        <v>89.388545445089875</v>
      </c>
      <c r="AE1378">
        <f t="shared" si="380"/>
        <v>0.85798307757504677</v>
      </c>
      <c r="AF1378">
        <f t="shared" si="381"/>
        <v>0.83154184024681299</v>
      </c>
      <c r="AG1378">
        <f t="shared" si="382"/>
        <v>0.83367920470663048</v>
      </c>
      <c r="AI1378">
        <f t="shared" si="383"/>
        <v>0.63132558301452957</v>
      </c>
      <c r="AJ1378">
        <f t="shared" si="384"/>
        <v>31.020902036248103</v>
      </c>
      <c r="AL1378">
        <f t="shared" si="385"/>
        <v>0.65140037512230609</v>
      </c>
      <c r="AM1378">
        <f t="shared" si="386"/>
        <v>33.025062937283735</v>
      </c>
      <c r="AO1378">
        <f t="shared" si="387"/>
        <v>0.64973033225325294</v>
      </c>
      <c r="AP1378">
        <f t="shared" si="388"/>
        <v>32.855942461701133</v>
      </c>
    </row>
    <row r="1379" spans="1:42" x14ac:dyDescent="0.2">
      <c r="A1379" s="3">
        <v>1400</v>
      </c>
      <c r="B1379" s="3">
        <v>1.31E-6</v>
      </c>
      <c r="C1379" s="2">
        <v>7.1790000000000007E-2</v>
      </c>
      <c r="D1379" s="3">
        <v>263000</v>
      </c>
      <c r="E1379" s="3">
        <v>76300000000</v>
      </c>
      <c r="F1379" s="3">
        <v>71200000000</v>
      </c>
      <c r="G1379" s="2">
        <v>0</v>
      </c>
      <c r="H1379" s="3">
        <v>7600000000</v>
      </c>
      <c r="I1379" s="2"/>
      <c r="J1379" s="7">
        <f t="shared" si="372"/>
        <v>1.31</v>
      </c>
      <c r="K1379" s="7">
        <f t="shared" si="373"/>
        <v>71.790000000000006</v>
      </c>
      <c r="L1379" s="7">
        <f t="shared" si="374"/>
        <v>76.300000000000011</v>
      </c>
      <c r="M1379" s="7">
        <f t="shared" si="375"/>
        <v>263</v>
      </c>
      <c r="O1379">
        <f t="shared" si="376"/>
        <v>1.1052756653992395</v>
      </c>
      <c r="P1379">
        <f t="shared" si="377"/>
        <v>1105.2756653992394</v>
      </c>
      <c r="V1379">
        <f t="shared" si="378"/>
        <v>1425.4691834998434</v>
      </c>
      <c r="W1379">
        <f t="shared" si="379"/>
        <v>92.250328188181726</v>
      </c>
      <c r="AE1379">
        <f t="shared" si="380"/>
        <v>0.89189545218275612</v>
      </c>
      <c r="AF1379">
        <f t="shared" si="381"/>
        <v>0.86440910665973059</v>
      </c>
      <c r="AG1379">
        <f t="shared" si="382"/>
        <v>0.86663095192823636</v>
      </c>
      <c r="AI1379">
        <f t="shared" si="383"/>
        <v>0.61199250651800396</v>
      </c>
      <c r="AJ1379">
        <f t="shared" si="384"/>
        <v>28.726753552684375</v>
      </c>
      <c r="AL1379">
        <f t="shared" si="385"/>
        <v>0.63145254848431087</v>
      </c>
      <c r="AM1379">
        <f t="shared" si="386"/>
        <v>30.582696884593346</v>
      </c>
      <c r="AO1379">
        <f t="shared" si="387"/>
        <v>0.62983364731996383</v>
      </c>
      <c r="AP1379">
        <f t="shared" si="388"/>
        <v>30.426083701098655</v>
      </c>
    </row>
    <row r="1380" spans="1:42" x14ac:dyDescent="0.2">
      <c r="A1380" s="3">
        <v>1400</v>
      </c>
      <c r="B1380" s="3">
        <v>1.31E-6</v>
      </c>
      <c r="C1380" s="2">
        <v>7.1849999999999997E-2</v>
      </c>
      <c r="D1380" s="3">
        <v>253000</v>
      </c>
      <c r="E1380" s="3">
        <v>73300000000</v>
      </c>
      <c r="F1380" s="3">
        <v>68700000000</v>
      </c>
      <c r="G1380" s="3">
        <v>3230000000</v>
      </c>
      <c r="H1380" s="3">
        <v>7640000000</v>
      </c>
      <c r="I1380" s="2"/>
      <c r="J1380" s="7">
        <f t="shared" si="372"/>
        <v>1.31</v>
      </c>
      <c r="K1380" s="7">
        <f t="shared" si="373"/>
        <v>71.849999999999994</v>
      </c>
      <c r="L1380" s="7">
        <f t="shared" si="374"/>
        <v>73.300000000000011</v>
      </c>
      <c r="M1380" s="7">
        <f t="shared" si="375"/>
        <v>253</v>
      </c>
      <c r="O1380">
        <f t="shared" si="376"/>
        <v>1.097005928853755</v>
      </c>
      <c r="P1380">
        <f t="shared" si="377"/>
        <v>1097.005928853755</v>
      </c>
      <c r="V1380">
        <f t="shared" si="378"/>
        <v>1420.7342951405835</v>
      </c>
      <c r="W1380">
        <f t="shared" si="379"/>
        <v>89.038464428341726</v>
      </c>
      <c r="AE1380">
        <f t="shared" si="380"/>
        <v>0.85798307757504677</v>
      </c>
      <c r="AF1380">
        <f t="shared" si="381"/>
        <v>0.83154184024681299</v>
      </c>
      <c r="AG1380">
        <f t="shared" si="382"/>
        <v>0.83367920470663048</v>
      </c>
      <c r="AI1380">
        <f t="shared" si="383"/>
        <v>0.63618193365310283</v>
      </c>
      <c r="AJ1380">
        <f t="shared" si="384"/>
        <v>31.068466842827242</v>
      </c>
      <c r="AL1380">
        <f t="shared" si="385"/>
        <v>0.65641114723863148</v>
      </c>
      <c r="AM1380">
        <f t="shared" si="386"/>
        <v>33.075700753329194</v>
      </c>
      <c r="AO1380">
        <f t="shared" si="387"/>
        <v>0.65472825788597022</v>
      </c>
      <c r="AP1380">
        <f t="shared" si="388"/>
        <v>32.906320962827245</v>
      </c>
    </row>
    <row r="1381" spans="1:42" x14ac:dyDescent="0.2">
      <c r="A1381" s="3">
        <v>1400</v>
      </c>
      <c r="B1381" s="3">
        <v>1.31E-6</v>
      </c>
      <c r="C1381" s="2">
        <v>7.1900000000000006E-2</v>
      </c>
      <c r="D1381" s="3">
        <v>230000</v>
      </c>
      <c r="E1381" s="3">
        <v>66500000000</v>
      </c>
      <c r="F1381" s="3">
        <v>62600000000</v>
      </c>
      <c r="G1381" s="3">
        <v>7350000000</v>
      </c>
      <c r="H1381" s="3">
        <v>7750000000</v>
      </c>
      <c r="I1381" s="2"/>
      <c r="J1381" s="7">
        <f t="shared" si="372"/>
        <v>1.31</v>
      </c>
      <c r="K1381" s="7">
        <f t="shared" si="373"/>
        <v>71.900000000000006</v>
      </c>
      <c r="L1381" s="7">
        <f t="shared" si="374"/>
        <v>66.5</v>
      </c>
      <c r="M1381" s="7">
        <f t="shared" si="375"/>
        <v>230</v>
      </c>
      <c r="O1381">
        <f t="shared" si="376"/>
        <v>1.0755434782608697</v>
      </c>
      <c r="P1381">
        <f t="shared" si="377"/>
        <v>1075.5434782608697</v>
      </c>
      <c r="V1381">
        <f t="shared" si="378"/>
        <v>1408.3523015125375</v>
      </c>
      <c r="W1381">
        <f t="shared" si="379"/>
        <v>81.655704951447646</v>
      </c>
      <c r="AE1381">
        <f t="shared" si="380"/>
        <v>0.77998461597731528</v>
      </c>
      <c r="AF1381">
        <f t="shared" si="381"/>
        <v>0.7559471274971028</v>
      </c>
      <c r="AG1381">
        <f t="shared" si="382"/>
        <v>0.75789018609693681</v>
      </c>
      <c r="AI1381">
        <f t="shared" si="383"/>
        <v>0.6998001270184131</v>
      </c>
      <c r="AJ1381">
        <f t="shared" si="384"/>
        <v>37.619005523439498</v>
      </c>
      <c r="AL1381">
        <f t="shared" si="385"/>
        <v>0.72205226196249461</v>
      </c>
      <c r="AM1381">
        <f t="shared" si="386"/>
        <v>40.049448710353325</v>
      </c>
      <c r="AO1381">
        <f t="shared" si="387"/>
        <v>0.72020108367456726</v>
      </c>
      <c r="AP1381">
        <f t="shared" si="388"/>
        <v>39.844356540640334</v>
      </c>
    </row>
    <row r="1382" spans="1:42" x14ac:dyDescent="0.2">
      <c r="A1382" s="3">
        <v>1400</v>
      </c>
      <c r="B1382" s="3">
        <v>1.31E-6</v>
      </c>
      <c r="C1382" s="2">
        <v>7.195E-2</v>
      </c>
      <c r="D1382" s="3">
        <v>252000</v>
      </c>
      <c r="E1382" s="3">
        <v>72800000000</v>
      </c>
      <c r="F1382" s="3">
        <v>68200000000</v>
      </c>
      <c r="G1382" s="3">
        <v>6520000000</v>
      </c>
      <c r="H1382" s="3">
        <v>7640000000</v>
      </c>
      <c r="I1382" s="2"/>
      <c r="J1382" s="7">
        <f t="shared" si="372"/>
        <v>1.31</v>
      </c>
      <c r="K1382" s="7">
        <f t="shared" si="373"/>
        <v>71.95</v>
      </c>
      <c r="L1382" s="7">
        <f t="shared" si="374"/>
        <v>72.800000000000011</v>
      </c>
      <c r="M1382" s="7">
        <f t="shared" si="375"/>
        <v>252</v>
      </c>
      <c r="O1382">
        <f t="shared" si="376"/>
        <v>1.0958630952380952</v>
      </c>
      <c r="P1382">
        <f t="shared" si="377"/>
        <v>1095.8630952380952</v>
      </c>
      <c r="V1382">
        <f t="shared" si="378"/>
        <v>1420.0783971845451</v>
      </c>
      <c r="W1382">
        <f t="shared" si="379"/>
        <v>88.727495784604741</v>
      </c>
      <c r="AE1382">
        <f t="shared" si="380"/>
        <v>0.8545918401142758</v>
      </c>
      <c r="AF1382">
        <f t="shared" si="381"/>
        <v>0.82825511360552129</v>
      </c>
      <c r="AG1382">
        <f t="shared" si="382"/>
        <v>0.83038402998446981</v>
      </c>
      <c r="AI1382">
        <f t="shared" si="383"/>
        <v>0.63870646513585316</v>
      </c>
      <c r="AJ1382">
        <f t="shared" si="384"/>
        <v>31.359115807466768</v>
      </c>
      <c r="AL1382">
        <f t="shared" si="385"/>
        <v>0.6590159533784673</v>
      </c>
      <c r="AM1382">
        <f t="shared" si="386"/>
        <v>33.38512761456812</v>
      </c>
      <c r="AO1382">
        <f t="shared" si="387"/>
        <v>0.65732638589345438</v>
      </c>
      <c r="AP1382">
        <f t="shared" si="388"/>
        <v>33.214163257277306</v>
      </c>
    </row>
    <row r="1383" spans="1:42" x14ac:dyDescent="0.2">
      <c r="A1383" s="3">
        <v>1400</v>
      </c>
      <c r="B1383" s="3">
        <v>1.31E-6</v>
      </c>
      <c r="C1383" s="2">
        <v>7.1999999999999995E-2</v>
      </c>
      <c r="D1383" s="3">
        <v>277000</v>
      </c>
      <c r="E1383" s="3">
        <v>80100000000</v>
      </c>
      <c r="F1383" s="3">
        <v>74500000000</v>
      </c>
      <c r="G1383" s="3">
        <v>11200000000</v>
      </c>
      <c r="H1383" s="3">
        <v>7540000000</v>
      </c>
      <c r="I1383" s="2"/>
      <c r="J1383" s="7">
        <f t="shared" si="372"/>
        <v>1.31</v>
      </c>
      <c r="K1383" s="7">
        <f t="shared" si="373"/>
        <v>72</v>
      </c>
      <c r="L1383" s="7">
        <f t="shared" si="374"/>
        <v>80.100000000000009</v>
      </c>
      <c r="M1383" s="7">
        <f t="shared" si="375"/>
        <v>277</v>
      </c>
      <c r="O1383">
        <f t="shared" si="376"/>
        <v>1.1150541516245487</v>
      </c>
      <c r="P1383">
        <f t="shared" si="377"/>
        <v>1115.0541516245487</v>
      </c>
      <c r="V1383">
        <f t="shared" si="378"/>
        <v>1431.0425260342765</v>
      </c>
      <c r="W1383">
        <f t="shared" si="379"/>
        <v>96.782588553683993</v>
      </c>
      <c r="AE1383">
        <f t="shared" si="380"/>
        <v>0.93937277663354923</v>
      </c>
      <c r="AF1383">
        <f t="shared" si="381"/>
        <v>0.910423279637815</v>
      </c>
      <c r="AG1383">
        <f t="shared" si="382"/>
        <v>0.91276339803848472</v>
      </c>
      <c r="AI1383">
        <f t="shared" si="383"/>
        <v>0.58106147730770763</v>
      </c>
      <c r="AJ1383">
        <f t="shared" si="384"/>
        <v>25.972099053614528</v>
      </c>
      <c r="AL1383">
        <f t="shared" si="385"/>
        <v>0.59953797924683672</v>
      </c>
      <c r="AM1383">
        <f t="shared" si="386"/>
        <v>27.650073000995409</v>
      </c>
      <c r="AO1383">
        <f t="shared" si="387"/>
        <v>0.59800089980198734</v>
      </c>
      <c r="AP1383">
        <f t="shared" si="388"/>
        <v>27.50847770699999</v>
      </c>
    </row>
    <row r="1384" spans="1:42" x14ac:dyDescent="0.2">
      <c r="A1384" s="3">
        <v>1400</v>
      </c>
      <c r="B1384" s="3">
        <v>1.3200000000000001E-6</v>
      </c>
      <c r="C1384" s="2">
        <v>7.2050000000000003E-2</v>
      </c>
      <c r="D1384" s="3">
        <v>274000</v>
      </c>
      <c r="E1384" s="3">
        <v>79200000000</v>
      </c>
      <c r="F1384" s="3">
        <v>73700000000</v>
      </c>
      <c r="G1384" s="2">
        <v>0</v>
      </c>
      <c r="H1384" s="3">
        <v>7550000000</v>
      </c>
      <c r="I1384" s="2"/>
      <c r="J1384" s="7">
        <f t="shared" si="372"/>
        <v>1.32</v>
      </c>
      <c r="K1384" s="7">
        <f t="shared" si="373"/>
        <v>72.05</v>
      </c>
      <c r="L1384" s="7">
        <f t="shared" si="374"/>
        <v>79.2</v>
      </c>
      <c r="M1384" s="7">
        <f t="shared" si="375"/>
        <v>274</v>
      </c>
      <c r="O1384">
        <f t="shared" si="376"/>
        <v>1.1227828467153285</v>
      </c>
      <c r="P1384">
        <f t="shared" si="377"/>
        <v>1122.7828467153286</v>
      </c>
      <c r="V1384">
        <f t="shared" si="378"/>
        <v>1435.428337681388</v>
      </c>
      <c r="W1384">
        <f t="shared" si="379"/>
        <v>95.441894522782448</v>
      </c>
      <c r="AE1384">
        <f t="shared" si="380"/>
        <v>0.92919906425123644</v>
      </c>
      <c r="AF1384">
        <f t="shared" si="381"/>
        <v>0.90056309971393977</v>
      </c>
      <c r="AG1384">
        <f t="shared" si="382"/>
        <v>0.90287787387200291</v>
      </c>
      <c r="AI1384">
        <f t="shared" si="383"/>
        <v>0.59190761286786153</v>
      </c>
      <c r="AJ1384">
        <f t="shared" si="384"/>
        <v>26.562377941448784</v>
      </c>
      <c r="AL1384">
        <f t="shared" si="385"/>
        <v>0.61072899852848217</v>
      </c>
      <c r="AM1384">
        <f t="shared" si="386"/>
        <v>28.278487912931151</v>
      </c>
      <c r="AO1384">
        <f t="shared" si="387"/>
        <v>0.60916322784754739</v>
      </c>
      <c r="AP1384">
        <f t="shared" si="388"/>
        <v>28.133674522759154</v>
      </c>
    </row>
    <row r="1385" spans="1:42" x14ac:dyDescent="0.2">
      <c r="A1385" s="3">
        <v>1400</v>
      </c>
      <c r="B1385" s="3">
        <v>1.3200000000000001E-6</v>
      </c>
      <c r="C1385" s="2">
        <v>7.2109999999999994E-2</v>
      </c>
      <c r="D1385" s="3">
        <v>244000</v>
      </c>
      <c r="E1385" s="3">
        <v>70300000000</v>
      </c>
      <c r="F1385" s="3">
        <v>66000000000</v>
      </c>
      <c r="G1385" s="3">
        <v>423000000</v>
      </c>
      <c r="H1385" s="3">
        <v>7670000000</v>
      </c>
      <c r="I1385" s="2"/>
      <c r="J1385" s="7">
        <f t="shared" si="372"/>
        <v>1.32</v>
      </c>
      <c r="K1385" s="7">
        <f t="shared" si="373"/>
        <v>72.11</v>
      </c>
      <c r="L1385" s="7">
        <f t="shared" si="374"/>
        <v>70.300000000000011</v>
      </c>
      <c r="M1385" s="7">
        <f t="shared" si="375"/>
        <v>244</v>
      </c>
      <c r="O1385">
        <f t="shared" si="376"/>
        <v>1.0983504098360657</v>
      </c>
      <c r="P1385">
        <f t="shared" si="377"/>
        <v>1098.3504098360656</v>
      </c>
      <c r="V1385">
        <f t="shared" si="378"/>
        <v>1421.5054360144939</v>
      </c>
      <c r="W1385">
        <f t="shared" si="379"/>
        <v>85.824504718078387</v>
      </c>
      <c r="AE1385">
        <f t="shared" si="380"/>
        <v>0.82746194042810839</v>
      </c>
      <c r="AF1385">
        <f t="shared" si="381"/>
        <v>0.80196130047518721</v>
      </c>
      <c r="AG1385">
        <f t="shared" si="382"/>
        <v>0.80402263220718506</v>
      </c>
      <c r="AI1385">
        <f t="shared" si="383"/>
        <v>0.66468313904013954</v>
      </c>
      <c r="AJ1385">
        <f t="shared" si="384"/>
        <v>33.523544813039393</v>
      </c>
      <c r="AL1385">
        <f t="shared" si="385"/>
        <v>0.68581862949509886</v>
      </c>
      <c r="AM1385">
        <f t="shared" si="386"/>
        <v>35.689393430204085</v>
      </c>
      <c r="AO1385">
        <f t="shared" si="387"/>
        <v>0.68406034602552457</v>
      </c>
      <c r="AP1385">
        <f t="shared" si="388"/>
        <v>35.506628988494079</v>
      </c>
    </row>
    <row r="1386" spans="1:42" x14ac:dyDescent="0.2">
      <c r="A1386" s="3">
        <v>1400</v>
      </c>
      <c r="B1386" s="3">
        <v>1.3200000000000001E-6</v>
      </c>
      <c r="C1386" s="2">
        <v>7.2160000000000002E-2</v>
      </c>
      <c r="D1386" s="3">
        <v>255000</v>
      </c>
      <c r="E1386" s="3">
        <v>73500000000</v>
      </c>
      <c r="F1386" s="3">
        <v>68800000000</v>
      </c>
      <c r="G1386" s="2">
        <v>0</v>
      </c>
      <c r="H1386" s="3">
        <v>7620000000</v>
      </c>
      <c r="I1386" s="2"/>
      <c r="J1386" s="7">
        <f t="shared" si="372"/>
        <v>1.32</v>
      </c>
      <c r="K1386" s="7">
        <f t="shared" si="373"/>
        <v>72.16</v>
      </c>
      <c r="L1386" s="7">
        <f t="shared" si="374"/>
        <v>73.5</v>
      </c>
      <c r="M1386" s="7">
        <f t="shared" si="375"/>
        <v>255</v>
      </c>
      <c r="O1386">
        <f t="shared" si="376"/>
        <v>1.107764705882353</v>
      </c>
      <c r="P1386">
        <f t="shared" si="377"/>
        <v>1107.7647058823529</v>
      </c>
      <c r="V1386">
        <f t="shared" si="378"/>
        <v>1426.8904331891295</v>
      </c>
      <c r="W1386">
        <f t="shared" si="379"/>
        <v>89.355143909006998</v>
      </c>
      <c r="AE1386">
        <f t="shared" si="380"/>
        <v>0.86476555249658871</v>
      </c>
      <c r="AF1386">
        <f t="shared" si="381"/>
        <v>0.83811529352939651</v>
      </c>
      <c r="AG1386">
        <f t="shared" si="382"/>
        <v>0.84026955415095161</v>
      </c>
      <c r="AI1386">
        <f t="shared" si="383"/>
        <v>0.63601053304232968</v>
      </c>
      <c r="AJ1386">
        <f t="shared" si="384"/>
        <v>30.714981346198126</v>
      </c>
      <c r="AL1386">
        <f t="shared" si="385"/>
        <v>0.65623429645805531</v>
      </c>
      <c r="AM1386">
        <f t="shared" si="386"/>
        <v>32.699377693479008</v>
      </c>
      <c r="AO1386">
        <f t="shared" si="387"/>
        <v>0.65455186051069791</v>
      </c>
      <c r="AP1386">
        <f t="shared" si="388"/>
        <v>32.531925043433255</v>
      </c>
    </row>
    <row r="1387" spans="1:42" x14ac:dyDescent="0.2">
      <c r="A1387" s="3">
        <v>1400</v>
      </c>
      <c r="B1387" s="3">
        <v>1.3200000000000001E-6</v>
      </c>
      <c r="C1387" s="2">
        <v>7.2209999999999996E-2</v>
      </c>
      <c r="D1387" s="3">
        <v>281000</v>
      </c>
      <c r="E1387" s="3">
        <v>81100000000</v>
      </c>
      <c r="F1387" s="3">
        <v>75400000000</v>
      </c>
      <c r="G1387" s="2">
        <v>0</v>
      </c>
      <c r="H1387" s="3">
        <v>7510000000</v>
      </c>
      <c r="I1387" s="2"/>
      <c r="J1387" s="7">
        <f t="shared" si="372"/>
        <v>1.32</v>
      </c>
      <c r="K1387" s="7">
        <f t="shared" si="373"/>
        <v>72.209999999999994</v>
      </c>
      <c r="L1387" s="7">
        <f t="shared" si="374"/>
        <v>81.100000000000009</v>
      </c>
      <c r="M1387" s="7">
        <f t="shared" si="375"/>
        <v>281</v>
      </c>
      <c r="O1387">
        <f t="shared" si="376"/>
        <v>1.1272686832740215</v>
      </c>
      <c r="P1387">
        <f t="shared" si="377"/>
        <v>1127.2686832740214</v>
      </c>
      <c r="V1387">
        <f t="shared" si="378"/>
        <v>1437.9662115880376</v>
      </c>
      <c r="W1387">
        <f t="shared" si="379"/>
        <v>97.707441849302498</v>
      </c>
      <c r="AE1387">
        <f t="shared" si="380"/>
        <v>0.952937726476633</v>
      </c>
      <c r="AF1387">
        <f t="shared" si="381"/>
        <v>0.92357018620298204</v>
      </c>
      <c r="AG1387">
        <f t="shared" si="382"/>
        <v>0.92594409692712709</v>
      </c>
      <c r="AI1387">
        <f t="shared" si="383"/>
        <v>0.57716258336581516</v>
      </c>
      <c r="AJ1387">
        <f t="shared" si="384"/>
        <v>25.31155329952702</v>
      </c>
      <c r="AL1387">
        <f t="shared" si="385"/>
        <v>0.59551510888542392</v>
      </c>
      <c r="AM1387">
        <f t="shared" si="386"/>
        <v>26.946851506139932</v>
      </c>
      <c r="AO1387">
        <f t="shared" si="387"/>
        <v>0.59398834316807103</v>
      </c>
      <c r="AP1387">
        <f t="shared" si="388"/>
        <v>26.808857390857654</v>
      </c>
    </row>
    <row r="1388" spans="1:42" x14ac:dyDescent="0.2">
      <c r="A1388" s="3">
        <v>1400</v>
      </c>
      <c r="B1388" s="3">
        <v>1.3200000000000001E-6</v>
      </c>
      <c r="C1388" s="2">
        <v>7.2270000000000001E-2</v>
      </c>
      <c r="D1388" s="3">
        <v>245000</v>
      </c>
      <c r="E1388" s="3">
        <v>70700000000</v>
      </c>
      <c r="F1388" s="3">
        <v>66400000000</v>
      </c>
      <c r="G1388" s="3">
        <v>4310000000</v>
      </c>
      <c r="H1388" s="3">
        <v>7650000000</v>
      </c>
      <c r="I1388" s="2"/>
      <c r="J1388" s="7">
        <f t="shared" si="372"/>
        <v>1.32</v>
      </c>
      <c r="K1388" s="7">
        <f t="shared" si="373"/>
        <v>72.27</v>
      </c>
      <c r="L1388" s="7">
        <f t="shared" si="374"/>
        <v>70.7</v>
      </c>
      <c r="M1388" s="7">
        <f t="shared" si="375"/>
        <v>245</v>
      </c>
      <c r="O1388">
        <f t="shared" si="376"/>
        <v>1.0987653061224489</v>
      </c>
      <c r="P1388">
        <f t="shared" si="377"/>
        <v>1098.7653061224489</v>
      </c>
      <c r="V1388">
        <f t="shared" si="378"/>
        <v>1421.7432978732511</v>
      </c>
      <c r="W1388">
        <f t="shared" si="379"/>
        <v>86.161826950930291</v>
      </c>
      <c r="AE1388">
        <f t="shared" si="380"/>
        <v>0.83085317788887925</v>
      </c>
      <c r="AF1388">
        <f t="shared" si="381"/>
        <v>0.80524802711647903</v>
      </c>
      <c r="AG1388">
        <f t="shared" si="382"/>
        <v>0.80731780692934574</v>
      </c>
      <c r="AI1388">
        <f t="shared" si="383"/>
        <v>0.66197014663589415</v>
      </c>
      <c r="AJ1388">
        <f t="shared" si="384"/>
        <v>33.324218871151309</v>
      </c>
      <c r="AL1388">
        <f t="shared" si="385"/>
        <v>0.68301936978287392</v>
      </c>
      <c r="AM1388">
        <f t="shared" si="386"/>
        <v>35.477189679062498</v>
      </c>
      <c r="AO1388">
        <f t="shared" si="387"/>
        <v>0.68126826298052223</v>
      </c>
      <c r="AP1388">
        <f t="shared" si="388"/>
        <v>35.295511927160817</v>
      </c>
    </row>
    <row r="1389" spans="1:42" x14ac:dyDescent="0.2">
      <c r="A1389" s="3">
        <v>1400</v>
      </c>
      <c r="B1389" s="3">
        <v>1.3200000000000001E-6</v>
      </c>
      <c r="C1389" s="2">
        <v>7.2319999999999995E-2</v>
      </c>
      <c r="D1389" s="3">
        <v>261000</v>
      </c>
      <c r="E1389" s="3">
        <v>75100000000</v>
      </c>
      <c r="F1389" s="3">
        <v>70200000000</v>
      </c>
      <c r="G1389" s="3">
        <v>8200000000</v>
      </c>
      <c r="H1389" s="3">
        <v>7590000000</v>
      </c>
      <c r="I1389" s="2"/>
      <c r="J1389" s="7">
        <f t="shared" si="372"/>
        <v>1.32</v>
      </c>
      <c r="K1389" s="7">
        <f t="shared" si="373"/>
        <v>72.319999999999993</v>
      </c>
      <c r="L1389" s="7">
        <f t="shared" si="374"/>
        <v>75.100000000000009</v>
      </c>
      <c r="M1389" s="7">
        <f t="shared" si="375"/>
        <v>261</v>
      </c>
      <c r="O1389">
        <f t="shared" si="376"/>
        <v>1.112183908045977</v>
      </c>
      <c r="P1389">
        <f t="shared" si="377"/>
        <v>1112.183908045977</v>
      </c>
      <c r="V1389">
        <f t="shared" si="378"/>
        <v>1429.4094353583091</v>
      </c>
      <c r="W1389">
        <f t="shared" si="379"/>
        <v>91.296445071588366</v>
      </c>
      <c r="AE1389">
        <f t="shared" si="380"/>
        <v>0.8851129772612143</v>
      </c>
      <c r="AF1389">
        <f t="shared" si="381"/>
        <v>0.85783565337714707</v>
      </c>
      <c r="AG1389">
        <f t="shared" si="382"/>
        <v>0.86004060248391523</v>
      </c>
      <c r="AI1389">
        <f t="shared" si="383"/>
        <v>0.62138960124825304</v>
      </c>
      <c r="AJ1389">
        <f t="shared" si="384"/>
        <v>29.384039221213385</v>
      </c>
      <c r="AL1389">
        <f t="shared" si="385"/>
        <v>0.64114845056246783</v>
      </c>
      <c r="AM1389">
        <f t="shared" si="386"/>
        <v>31.282447670227516</v>
      </c>
      <c r="AO1389">
        <f t="shared" si="387"/>
        <v>0.63950469130355547</v>
      </c>
      <c r="AP1389">
        <f t="shared" si="388"/>
        <v>31.12225108142999</v>
      </c>
    </row>
    <row r="1390" spans="1:42" x14ac:dyDescent="0.2">
      <c r="A1390" s="3">
        <v>1400</v>
      </c>
      <c r="B1390" s="3">
        <v>1.33E-6</v>
      </c>
      <c r="C1390" s="2">
        <v>7.2370000000000004E-2</v>
      </c>
      <c r="D1390" s="3">
        <v>271000</v>
      </c>
      <c r="E1390" s="3">
        <v>78000000000</v>
      </c>
      <c r="F1390" s="3">
        <v>72700000000</v>
      </c>
      <c r="G1390" s="3">
        <v>12500000000</v>
      </c>
      <c r="H1390" s="3">
        <v>7540000000</v>
      </c>
      <c r="I1390" s="2"/>
      <c r="J1390" s="7">
        <f t="shared" si="372"/>
        <v>1.33</v>
      </c>
      <c r="K1390" s="7">
        <f t="shared" si="373"/>
        <v>72.37</v>
      </c>
      <c r="L1390" s="7">
        <f t="shared" si="374"/>
        <v>78</v>
      </c>
      <c r="M1390" s="7">
        <f t="shared" si="375"/>
        <v>271</v>
      </c>
      <c r="O1390">
        <f t="shared" si="376"/>
        <v>1.1297140221402215</v>
      </c>
      <c r="P1390">
        <f t="shared" si="377"/>
        <v>1129.7140221402215</v>
      </c>
      <c r="V1390">
        <f t="shared" si="378"/>
        <v>1439.3472999761193</v>
      </c>
      <c r="W1390">
        <f t="shared" si="379"/>
        <v>94.139892437529241</v>
      </c>
      <c r="AE1390">
        <f t="shared" si="380"/>
        <v>0.91902535186892365</v>
      </c>
      <c r="AF1390">
        <f t="shared" si="381"/>
        <v>0.89070291979006455</v>
      </c>
      <c r="AG1390">
        <f t="shared" si="382"/>
        <v>0.8929923497055211</v>
      </c>
      <c r="AI1390">
        <f t="shared" si="383"/>
        <v>0.60299388427067568</v>
      </c>
      <c r="AJ1390">
        <f t="shared" si="384"/>
        <v>27.274329513973086</v>
      </c>
      <c r="AL1390">
        <f t="shared" si="385"/>
        <v>0.62216778945473961</v>
      </c>
      <c r="AM1390">
        <f t="shared" si="386"/>
        <v>29.036436391135904</v>
      </c>
      <c r="AO1390">
        <f t="shared" si="387"/>
        <v>0.62057269230740031</v>
      </c>
      <c r="AP1390">
        <f t="shared" si="388"/>
        <v>28.887741566813595</v>
      </c>
    </row>
    <row r="1391" spans="1:42" x14ac:dyDescent="0.2">
      <c r="A1391" s="3">
        <v>1400</v>
      </c>
      <c r="B1391" s="3">
        <v>1.33E-6</v>
      </c>
      <c r="C1391" s="2">
        <v>7.2419999999999998E-2</v>
      </c>
      <c r="D1391" s="3">
        <v>246000</v>
      </c>
      <c r="E1391" s="3">
        <v>70700000000</v>
      </c>
      <c r="F1391" s="3">
        <v>66400000000</v>
      </c>
      <c r="G1391" s="2">
        <v>0</v>
      </c>
      <c r="H1391" s="3">
        <v>7650000000</v>
      </c>
      <c r="I1391" s="2"/>
      <c r="J1391" s="7">
        <f t="shared" si="372"/>
        <v>1.33</v>
      </c>
      <c r="K1391" s="7">
        <f t="shared" si="373"/>
        <v>72.42</v>
      </c>
      <c r="L1391" s="7">
        <f t="shared" si="374"/>
        <v>70.7</v>
      </c>
      <c r="M1391" s="7">
        <f t="shared" si="375"/>
        <v>246</v>
      </c>
      <c r="O1391">
        <f t="shared" si="376"/>
        <v>1.1092073170731709</v>
      </c>
      <c r="P1391">
        <f t="shared" si="377"/>
        <v>1109.207317073171</v>
      </c>
      <c r="V1391">
        <f t="shared" si="378"/>
        <v>1427.7133544900787</v>
      </c>
      <c r="W1391">
        <f t="shared" si="379"/>
        <v>86.151747206938907</v>
      </c>
      <c r="AE1391">
        <f t="shared" si="380"/>
        <v>0.83424441534965021</v>
      </c>
      <c r="AF1391">
        <f t="shared" si="381"/>
        <v>0.80853475375777073</v>
      </c>
      <c r="AG1391">
        <f t="shared" si="382"/>
        <v>0.8106129816515063</v>
      </c>
      <c r="AI1391">
        <f t="shared" si="383"/>
        <v>0.66427375055834603</v>
      </c>
      <c r="AJ1391">
        <f t="shared" si="384"/>
        <v>33.122445830575671</v>
      </c>
      <c r="AL1391">
        <f t="shared" si="385"/>
        <v>0.68539622334241646</v>
      </c>
      <c r="AM1391">
        <f t="shared" si="386"/>
        <v>35.262380730042537</v>
      </c>
      <c r="AO1391">
        <f t="shared" si="387"/>
        <v>0.68363902282644495</v>
      </c>
      <c r="AP1391">
        <f t="shared" si="388"/>
        <v>35.08180300909877</v>
      </c>
    </row>
    <row r="1392" spans="1:42" x14ac:dyDescent="0.2">
      <c r="A1392" s="3">
        <v>1400</v>
      </c>
      <c r="B1392" s="3">
        <v>1.33E-6</v>
      </c>
      <c r="C1392" s="2">
        <v>7.2470000000000007E-2</v>
      </c>
      <c r="D1392" s="3">
        <v>282000</v>
      </c>
      <c r="E1392" s="3">
        <v>81000000000</v>
      </c>
      <c r="F1392" s="3">
        <v>75400000000</v>
      </c>
      <c r="G1392" s="3">
        <v>7260000000</v>
      </c>
      <c r="H1392" s="3">
        <v>7500000000</v>
      </c>
      <c r="I1392" s="2"/>
      <c r="J1392" s="7">
        <f t="shared" si="372"/>
        <v>1.33</v>
      </c>
      <c r="K1392" s="7">
        <f t="shared" si="373"/>
        <v>72.470000000000013</v>
      </c>
      <c r="L1392" s="7">
        <f t="shared" si="374"/>
        <v>81</v>
      </c>
      <c r="M1392" s="7">
        <f t="shared" si="375"/>
        <v>282</v>
      </c>
      <c r="O1392">
        <f t="shared" si="376"/>
        <v>1.1372606382978723</v>
      </c>
      <c r="P1392">
        <f t="shared" si="377"/>
        <v>1137.2606382978722</v>
      </c>
      <c r="V1392">
        <f t="shared" si="378"/>
        <v>1443.5990407365484</v>
      </c>
      <c r="W1392">
        <f t="shared" si="379"/>
        <v>97.672550355851882</v>
      </c>
      <c r="AE1392">
        <f t="shared" si="380"/>
        <v>0.95632896393740396</v>
      </c>
      <c r="AF1392">
        <f t="shared" si="381"/>
        <v>0.92685691284427385</v>
      </c>
      <c r="AG1392">
        <f t="shared" si="382"/>
        <v>0.92923927164928766</v>
      </c>
      <c r="AI1392">
        <f t="shared" si="383"/>
        <v>0.57947284623174855</v>
      </c>
      <c r="AJ1392">
        <f t="shared" si="384"/>
        <v>25.222848824638316</v>
      </c>
      <c r="AL1392">
        <f t="shared" si="385"/>
        <v>0.5978988331284909</v>
      </c>
      <c r="AM1392">
        <f t="shared" si="386"/>
        <v>26.852416119876981</v>
      </c>
      <c r="AO1392">
        <f t="shared" si="387"/>
        <v>0.59636595608264353</v>
      </c>
      <c r="AP1392">
        <f t="shared" si="388"/>
        <v>26.714905605715078</v>
      </c>
    </row>
    <row r="1393" spans="1:42" x14ac:dyDescent="0.2">
      <c r="A1393" s="3">
        <v>1400</v>
      </c>
      <c r="B1393" s="3">
        <v>1.33E-6</v>
      </c>
      <c r="C1393" s="2">
        <v>7.2529999999999997E-2</v>
      </c>
      <c r="D1393" s="3">
        <v>225000</v>
      </c>
      <c r="E1393" s="3">
        <v>64700000000</v>
      </c>
      <c r="F1393" s="3">
        <v>61000000000</v>
      </c>
      <c r="G1393" s="3">
        <v>1780000000</v>
      </c>
      <c r="H1393" s="3">
        <v>7750000000</v>
      </c>
      <c r="I1393" s="2"/>
      <c r="J1393" s="7">
        <f t="shared" si="372"/>
        <v>1.33</v>
      </c>
      <c r="K1393" s="7">
        <f t="shared" si="373"/>
        <v>72.53</v>
      </c>
      <c r="L1393" s="7">
        <f t="shared" si="374"/>
        <v>64.7</v>
      </c>
      <c r="M1393" s="7">
        <f t="shared" si="375"/>
        <v>225</v>
      </c>
      <c r="O1393">
        <f t="shared" si="376"/>
        <v>1.0882333333333334</v>
      </c>
      <c r="P1393">
        <f t="shared" si="377"/>
        <v>1088.2333333333333</v>
      </c>
      <c r="V1393">
        <f t="shared" si="378"/>
        <v>1415.6897098296547</v>
      </c>
      <c r="W1393">
        <f t="shared" si="379"/>
        <v>79.46656616832847</v>
      </c>
      <c r="AE1393">
        <f t="shared" si="380"/>
        <v>0.76302842867346055</v>
      </c>
      <c r="AF1393">
        <f t="shared" si="381"/>
        <v>0.73951349429064395</v>
      </c>
      <c r="AG1393">
        <f t="shared" si="382"/>
        <v>0.74141431248613376</v>
      </c>
      <c r="AI1393">
        <f t="shared" si="383"/>
        <v>0.7262726339437916</v>
      </c>
      <c r="AJ1393">
        <f t="shared" si="384"/>
        <v>39.653975458517365</v>
      </c>
      <c r="AL1393">
        <f t="shared" si="385"/>
        <v>0.74936653752104199</v>
      </c>
      <c r="AM1393">
        <f t="shared" si="386"/>
        <v>42.21589152052362</v>
      </c>
      <c r="AO1393">
        <f t="shared" si="387"/>
        <v>0.74744533162357985</v>
      </c>
      <c r="AP1393">
        <f t="shared" si="388"/>
        <v>41.99970505436449</v>
      </c>
    </row>
    <row r="1394" spans="1:42" x14ac:dyDescent="0.2">
      <c r="A1394" s="3">
        <v>1400</v>
      </c>
      <c r="B1394" s="3">
        <v>1.33E-6</v>
      </c>
      <c r="C1394" s="2">
        <v>7.2580000000000006E-2</v>
      </c>
      <c r="D1394" s="3">
        <v>256000</v>
      </c>
      <c r="E1394" s="3">
        <v>73600000000</v>
      </c>
      <c r="F1394" s="3">
        <v>68900000000</v>
      </c>
      <c r="G1394" s="3">
        <v>2470000000</v>
      </c>
      <c r="H1394" s="3">
        <v>7590000000</v>
      </c>
      <c r="I1394" s="2"/>
      <c r="J1394" s="7">
        <f t="shared" si="372"/>
        <v>1.33</v>
      </c>
      <c r="K1394" s="7">
        <f t="shared" si="373"/>
        <v>72.580000000000013</v>
      </c>
      <c r="L1394" s="7">
        <f t="shared" si="374"/>
        <v>73.600000000000009</v>
      </c>
      <c r="M1394" s="7">
        <f t="shared" si="375"/>
        <v>256</v>
      </c>
      <c r="O1394">
        <f t="shared" si="376"/>
        <v>1.1173632812500001</v>
      </c>
      <c r="P1394">
        <f t="shared" si="377"/>
        <v>1117.36328125</v>
      </c>
      <c r="V1394">
        <f t="shared" si="378"/>
        <v>1432.3546593388696</v>
      </c>
      <c r="W1394">
        <f t="shared" si="379"/>
        <v>89.363342497228174</v>
      </c>
      <c r="AE1394">
        <f t="shared" si="380"/>
        <v>0.86815678995735956</v>
      </c>
      <c r="AF1394">
        <f t="shared" si="381"/>
        <v>0.84140202017068833</v>
      </c>
      <c r="AG1394">
        <f t="shared" si="382"/>
        <v>0.84356472887311218</v>
      </c>
      <c r="AI1394">
        <f t="shared" si="383"/>
        <v>0.63832555717716066</v>
      </c>
      <c r="AJ1394">
        <f t="shared" si="384"/>
        <v>30.652868738324916</v>
      </c>
      <c r="AL1394">
        <f t="shared" si="385"/>
        <v>0.65862293336810329</v>
      </c>
      <c r="AM1394">
        <f t="shared" si="386"/>
        <v>32.633252189397439</v>
      </c>
      <c r="AO1394">
        <f t="shared" si="387"/>
        <v>0.65693437349728689</v>
      </c>
      <c r="AP1394">
        <f t="shared" si="388"/>
        <v>32.466138166312675</v>
      </c>
    </row>
    <row r="1395" spans="1:42" x14ac:dyDescent="0.2">
      <c r="A1395" s="3">
        <v>1400</v>
      </c>
      <c r="B1395" s="3">
        <v>1.33E-6</v>
      </c>
      <c r="C1395" s="2">
        <v>7.263E-2</v>
      </c>
      <c r="D1395" s="3">
        <v>252000</v>
      </c>
      <c r="E1395" s="3">
        <v>72300000000</v>
      </c>
      <c r="F1395" s="3">
        <v>67800000000</v>
      </c>
      <c r="G1395" s="3">
        <v>6120000000</v>
      </c>
      <c r="H1395" s="3">
        <v>7610000000</v>
      </c>
      <c r="I1395" s="2"/>
      <c r="J1395" s="7">
        <f t="shared" si="372"/>
        <v>1.33</v>
      </c>
      <c r="K1395" s="7">
        <f t="shared" si="373"/>
        <v>72.63</v>
      </c>
      <c r="L1395" s="7">
        <f t="shared" si="374"/>
        <v>72.300000000000011</v>
      </c>
      <c r="M1395" s="7">
        <f t="shared" si="375"/>
        <v>252</v>
      </c>
      <c r="O1395">
        <f t="shared" si="376"/>
        <v>1.1138392857142858</v>
      </c>
      <c r="P1395">
        <f t="shared" si="377"/>
        <v>1113.8392857142858</v>
      </c>
      <c r="V1395">
        <f t="shared" si="378"/>
        <v>1430.3515864302494</v>
      </c>
      <c r="W1395">
        <f t="shared" si="379"/>
        <v>88.090229839546055</v>
      </c>
      <c r="AE1395">
        <f t="shared" si="380"/>
        <v>0.8545918401142758</v>
      </c>
      <c r="AF1395">
        <f t="shared" si="381"/>
        <v>0.82825511360552129</v>
      </c>
      <c r="AG1395">
        <f t="shared" si="382"/>
        <v>0.83038402998446981</v>
      </c>
      <c r="AI1395">
        <f t="shared" si="383"/>
        <v>0.64845770887838527</v>
      </c>
      <c r="AJ1395">
        <f t="shared" si="384"/>
        <v>31.655491050678403</v>
      </c>
      <c r="AL1395">
        <f t="shared" si="385"/>
        <v>0.66907726564378744</v>
      </c>
      <c r="AM1395">
        <f t="shared" si="386"/>
        <v>33.700650710855903</v>
      </c>
      <c r="AO1395">
        <f t="shared" si="387"/>
        <v>0.66736190323533917</v>
      </c>
      <c r="AP1395">
        <f t="shared" si="388"/>
        <v>33.52807056811745</v>
      </c>
    </row>
    <row r="1396" spans="1:42" x14ac:dyDescent="0.2">
      <c r="A1396" s="3">
        <v>1400</v>
      </c>
      <c r="B1396" s="3">
        <v>1.3400000000000001E-6</v>
      </c>
      <c r="C1396" s="2">
        <v>7.2679999999999995E-2</v>
      </c>
      <c r="D1396" s="3">
        <v>250000</v>
      </c>
      <c r="E1396" s="3">
        <v>71800000000</v>
      </c>
      <c r="F1396" s="3">
        <v>67300000000</v>
      </c>
      <c r="G1396" s="3">
        <v>5540000000</v>
      </c>
      <c r="H1396" s="3">
        <v>7620000000</v>
      </c>
      <c r="I1396" s="2"/>
      <c r="J1396" s="7">
        <f t="shared" si="372"/>
        <v>1.34</v>
      </c>
      <c r="K1396" s="7">
        <f t="shared" si="373"/>
        <v>72.679999999999993</v>
      </c>
      <c r="L1396" s="7">
        <f t="shared" si="374"/>
        <v>71.800000000000011</v>
      </c>
      <c r="M1396" s="7">
        <f t="shared" si="375"/>
        <v>250</v>
      </c>
      <c r="O1396">
        <f t="shared" si="376"/>
        <v>1.1219600000000001</v>
      </c>
      <c r="P1396">
        <f t="shared" si="377"/>
        <v>1121.96</v>
      </c>
      <c r="V1396">
        <f t="shared" si="378"/>
        <v>1434.962197349269</v>
      </c>
      <c r="W1396">
        <f t="shared" si="379"/>
        <v>87.110308711202279</v>
      </c>
      <c r="AE1396">
        <f t="shared" si="380"/>
        <v>0.84780936519273398</v>
      </c>
      <c r="AF1396">
        <f t="shared" si="381"/>
        <v>0.82168166032293777</v>
      </c>
      <c r="AG1396">
        <f t="shared" si="382"/>
        <v>0.82379368054014868</v>
      </c>
      <c r="AI1396">
        <f t="shared" si="383"/>
        <v>0.65855999739564863</v>
      </c>
      <c r="AJ1396">
        <f t="shared" si="384"/>
        <v>32.186147227675221</v>
      </c>
      <c r="AL1396">
        <f t="shared" si="385"/>
        <v>0.67950078515065904</v>
      </c>
      <c r="AM1396">
        <f t="shared" si="386"/>
        <v>34.265590880000573</v>
      </c>
      <c r="AO1396">
        <f t="shared" si="387"/>
        <v>0.67775869920153176</v>
      </c>
      <c r="AP1396">
        <f t="shared" si="388"/>
        <v>34.090117693567912</v>
      </c>
    </row>
    <row r="1397" spans="1:42" x14ac:dyDescent="0.2">
      <c r="A1397" s="3">
        <v>1400</v>
      </c>
      <c r="B1397" s="3">
        <v>1.3400000000000001E-6</v>
      </c>
      <c r="C1397" s="2">
        <v>7.2730000000000003E-2</v>
      </c>
      <c r="D1397" s="3">
        <v>265000</v>
      </c>
      <c r="E1397" s="3">
        <v>75900000000</v>
      </c>
      <c r="F1397" s="3">
        <v>70900000000</v>
      </c>
      <c r="G1397" s="3">
        <v>448000000</v>
      </c>
      <c r="H1397" s="3">
        <v>7560000000</v>
      </c>
      <c r="I1397" s="2"/>
      <c r="J1397" s="7">
        <f t="shared" si="372"/>
        <v>1.34</v>
      </c>
      <c r="K1397" s="7">
        <f t="shared" si="373"/>
        <v>72.73</v>
      </c>
      <c r="L1397" s="7">
        <f t="shared" si="374"/>
        <v>75.900000000000006</v>
      </c>
      <c r="M1397" s="7">
        <f t="shared" si="375"/>
        <v>265</v>
      </c>
      <c r="O1397">
        <f t="shared" si="376"/>
        <v>1.1341603773584907</v>
      </c>
      <c r="P1397">
        <f t="shared" si="377"/>
        <v>1134.1603773584907</v>
      </c>
      <c r="V1397">
        <f t="shared" si="378"/>
        <v>1441.8542706372814</v>
      </c>
      <c r="W1397">
        <f t="shared" si="379"/>
        <v>91.895556089338115</v>
      </c>
      <c r="AE1397">
        <f t="shared" si="380"/>
        <v>0.89867792710429806</v>
      </c>
      <c r="AF1397">
        <f t="shared" si="381"/>
        <v>0.87098255994231399</v>
      </c>
      <c r="AG1397">
        <f t="shared" si="382"/>
        <v>0.8732213013725576</v>
      </c>
      <c r="AI1397">
        <f t="shared" si="383"/>
        <v>0.62128301641098915</v>
      </c>
      <c r="AJ1397">
        <f t="shared" si="384"/>
        <v>28.665263079773883</v>
      </c>
      <c r="AL1397">
        <f t="shared" si="385"/>
        <v>0.64103847655722557</v>
      </c>
      <c r="AM1397">
        <f t="shared" si="386"/>
        <v>30.517233709617358</v>
      </c>
      <c r="AO1397">
        <f t="shared" si="387"/>
        <v>0.63939499924672805</v>
      </c>
      <c r="AP1397">
        <f t="shared" si="388"/>
        <v>30.360955761313765</v>
      </c>
    </row>
    <row r="1398" spans="1:42" x14ac:dyDescent="0.2">
      <c r="A1398" s="3">
        <v>1400</v>
      </c>
      <c r="B1398" s="3">
        <v>1.3400000000000001E-6</v>
      </c>
      <c r="C1398" s="2">
        <v>7.2789999999999994E-2</v>
      </c>
      <c r="D1398" s="3">
        <v>290000</v>
      </c>
      <c r="E1398" s="3">
        <v>83000000000</v>
      </c>
      <c r="F1398" s="3">
        <v>77100000000</v>
      </c>
      <c r="G1398" s="3">
        <v>11400000000</v>
      </c>
      <c r="H1398" s="3">
        <v>7470000000</v>
      </c>
      <c r="I1398" s="2"/>
      <c r="J1398" s="7">
        <f t="shared" si="372"/>
        <v>1.34</v>
      </c>
      <c r="K1398" s="7">
        <f t="shared" si="373"/>
        <v>72.789999999999992</v>
      </c>
      <c r="L1398" s="7">
        <f t="shared" si="374"/>
        <v>83</v>
      </c>
      <c r="M1398" s="7">
        <f t="shared" si="375"/>
        <v>290</v>
      </c>
      <c r="O1398">
        <f t="shared" si="376"/>
        <v>1.1517500000000001</v>
      </c>
      <c r="P1398">
        <f t="shared" si="377"/>
        <v>1151.75</v>
      </c>
      <c r="V1398">
        <f t="shared" si="378"/>
        <v>1451.7184724772858</v>
      </c>
      <c r="W1398">
        <f t="shared" si="379"/>
        <v>99.88162494933654</v>
      </c>
      <c r="AE1398">
        <f t="shared" si="380"/>
        <v>0.98345886362357138</v>
      </c>
      <c r="AF1398">
        <f t="shared" si="381"/>
        <v>0.95315072597460782</v>
      </c>
      <c r="AG1398">
        <f t="shared" si="382"/>
        <v>0.9556006694265724</v>
      </c>
      <c r="AI1398">
        <f t="shared" si="383"/>
        <v>0.56772413568590396</v>
      </c>
      <c r="AJ1398">
        <f t="shared" si="384"/>
        <v>23.955752407063319</v>
      </c>
      <c r="AL1398">
        <f t="shared" si="385"/>
        <v>0.58577653892298198</v>
      </c>
      <c r="AM1398">
        <f t="shared" si="386"/>
        <v>25.503456670241253</v>
      </c>
      <c r="AO1398">
        <f t="shared" si="387"/>
        <v>0.58427474069097574</v>
      </c>
      <c r="AP1398">
        <f t="shared" si="388"/>
        <v>25.372854141814223</v>
      </c>
    </row>
    <row r="1399" spans="1:42" x14ac:dyDescent="0.2">
      <c r="A1399" s="3">
        <v>1400</v>
      </c>
      <c r="B1399" s="3">
        <v>1.3400000000000001E-6</v>
      </c>
      <c r="C1399" s="2">
        <v>7.2840000000000002E-2</v>
      </c>
      <c r="D1399" s="3">
        <v>255000</v>
      </c>
      <c r="E1399" s="3">
        <v>72900000000</v>
      </c>
      <c r="F1399" s="3">
        <v>68300000000</v>
      </c>
      <c r="G1399" s="3">
        <v>4230000000</v>
      </c>
      <c r="H1399" s="3">
        <v>7600000000</v>
      </c>
      <c r="I1399" s="2"/>
      <c r="J1399" s="7">
        <f t="shared" si="372"/>
        <v>1.34</v>
      </c>
      <c r="K1399" s="7">
        <f t="shared" si="373"/>
        <v>72.84</v>
      </c>
      <c r="L1399" s="7">
        <f t="shared" si="374"/>
        <v>72.900000000000006</v>
      </c>
      <c r="M1399" s="7">
        <f t="shared" si="375"/>
        <v>255</v>
      </c>
      <c r="O1399">
        <f t="shared" si="376"/>
        <v>1.125764705882353</v>
      </c>
      <c r="P1399">
        <f t="shared" si="377"/>
        <v>1125.7647058823529</v>
      </c>
      <c r="V1399">
        <f t="shared" si="378"/>
        <v>1437.1159602457722</v>
      </c>
      <c r="W1399">
        <f t="shared" si="379"/>
        <v>88.719354267135998</v>
      </c>
      <c r="AE1399">
        <f t="shared" si="380"/>
        <v>0.86476555249658871</v>
      </c>
      <c r="AF1399">
        <f t="shared" si="381"/>
        <v>0.83811529352939651</v>
      </c>
      <c r="AG1399">
        <f t="shared" si="382"/>
        <v>0.84026955415095161</v>
      </c>
      <c r="AI1399">
        <f t="shared" si="383"/>
        <v>0.64564705627024377</v>
      </c>
      <c r="AJ1399">
        <f t="shared" si="384"/>
        <v>31.004424075070286</v>
      </c>
      <c r="AL1399">
        <f t="shared" si="385"/>
        <v>0.66617724034378334</v>
      </c>
      <c r="AM1399">
        <f t="shared" si="386"/>
        <v>33.007520387929759</v>
      </c>
      <c r="AO1399">
        <f t="shared" si="387"/>
        <v>0.66446931294267819</v>
      </c>
      <c r="AP1399">
        <f t="shared" si="388"/>
        <v>32.838489747279361</v>
      </c>
    </row>
    <row r="1400" spans="1:42" x14ac:dyDescent="0.2">
      <c r="A1400" s="3">
        <v>1400</v>
      </c>
      <c r="B1400" s="3">
        <v>1.3400000000000001E-6</v>
      </c>
      <c r="C1400" s="2">
        <v>7.2889999999999996E-2</v>
      </c>
      <c r="D1400" s="3">
        <v>297000</v>
      </c>
      <c r="E1400" s="3">
        <v>85100000000</v>
      </c>
      <c r="F1400" s="3">
        <v>78900000000</v>
      </c>
      <c r="G1400" s="3">
        <v>2360000000</v>
      </c>
      <c r="H1400" s="3">
        <v>7440000000</v>
      </c>
      <c r="I1400" s="2"/>
      <c r="J1400" s="7">
        <f t="shared" si="372"/>
        <v>1.34</v>
      </c>
      <c r="K1400" s="7">
        <f t="shared" si="373"/>
        <v>72.89</v>
      </c>
      <c r="L1400" s="7">
        <f t="shared" si="374"/>
        <v>85.100000000000009</v>
      </c>
      <c r="M1400" s="7">
        <f t="shared" si="375"/>
        <v>297</v>
      </c>
      <c r="O1400">
        <f t="shared" si="376"/>
        <v>1.1559343434343434</v>
      </c>
      <c r="P1400">
        <f t="shared" si="377"/>
        <v>1155.9343434343434</v>
      </c>
      <c r="V1400">
        <f t="shared" si="378"/>
        <v>1454.0526615916922</v>
      </c>
      <c r="W1400">
        <f t="shared" si="379"/>
        <v>102.12835059044086</v>
      </c>
      <c r="AE1400">
        <f t="shared" si="380"/>
        <v>1.007197525848968</v>
      </c>
      <c r="AF1400">
        <f t="shared" si="381"/>
        <v>0.97615781246365008</v>
      </c>
      <c r="AG1400">
        <f t="shared" si="382"/>
        <v>0.97866689248169658</v>
      </c>
      <c r="AI1400">
        <f t="shared" si="383"/>
        <v>0.5543434321512194</v>
      </c>
      <c r="AJ1400">
        <f t="shared" si="384"/>
        <v>22.871210120609742</v>
      </c>
      <c r="AL1400">
        <f t="shared" si="385"/>
        <v>0.57197035787092521</v>
      </c>
      <c r="AM1400">
        <f t="shared" si="386"/>
        <v>24.348845588125645</v>
      </c>
      <c r="AO1400">
        <f t="shared" si="387"/>
        <v>0.57050395555684497</v>
      </c>
      <c r="AP1400">
        <f t="shared" si="388"/>
        <v>24.22415579257337</v>
      </c>
    </row>
    <row r="1401" spans="1:42" x14ac:dyDescent="0.2">
      <c r="A1401" s="3">
        <v>1400</v>
      </c>
      <c r="B1401" s="3">
        <v>1.3400000000000001E-6</v>
      </c>
      <c r="C1401" s="2">
        <v>7.2940000000000005E-2</v>
      </c>
      <c r="D1401" s="3">
        <v>241000</v>
      </c>
      <c r="E1401" s="3">
        <v>69100000000</v>
      </c>
      <c r="F1401" s="3">
        <v>64900000000</v>
      </c>
      <c r="G1401" s="3">
        <v>5430000000</v>
      </c>
      <c r="H1401" s="3">
        <v>7650000000</v>
      </c>
      <c r="I1401" s="2"/>
      <c r="J1401" s="7">
        <f t="shared" si="372"/>
        <v>1.34</v>
      </c>
      <c r="K1401" s="7">
        <f t="shared" si="373"/>
        <v>72.94</v>
      </c>
      <c r="L1401" s="7">
        <f t="shared" si="374"/>
        <v>69.100000000000009</v>
      </c>
      <c r="M1401" s="7">
        <f t="shared" si="375"/>
        <v>241</v>
      </c>
      <c r="O1401">
        <f t="shared" si="376"/>
        <v>1.1130082987551868</v>
      </c>
      <c r="P1401">
        <f t="shared" si="377"/>
        <v>1113.0082987551868</v>
      </c>
      <c r="V1401">
        <f t="shared" si="378"/>
        <v>1429.87873133833</v>
      </c>
      <c r="W1401">
        <f t="shared" si="379"/>
        <v>84.272880880754883</v>
      </c>
      <c r="AE1401">
        <f t="shared" si="380"/>
        <v>0.8172882280457956</v>
      </c>
      <c r="AF1401">
        <f t="shared" si="381"/>
        <v>0.79210112055131199</v>
      </c>
      <c r="AG1401">
        <f t="shared" si="382"/>
        <v>0.79413710804070337</v>
      </c>
      <c r="AI1401">
        <f t="shared" si="383"/>
        <v>0.68315352426934495</v>
      </c>
      <c r="AJ1401">
        <f t="shared" si="384"/>
        <v>34.758879350842527</v>
      </c>
      <c r="AL1401">
        <f t="shared" si="385"/>
        <v>0.70487633314383724</v>
      </c>
      <c r="AM1401">
        <f t="shared" si="386"/>
        <v>37.004538966974017</v>
      </c>
      <c r="AO1401">
        <f t="shared" si="387"/>
        <v>0.70306919004308266</v>
      </c>
      <c r="AP1401">
        <f t="shared" si="388"/>
        <v>36.81503969968437</v>
      </c>
    </row>
    <row r="1402" spans="1:42" x14ac:dyDescent="0.2">
      <c r="A1402" s="3">
        <v>1400</v>
      </c>
      <c r="B1402" s="3">
        <v>1.3400000000000001E-6</v>
      </c>
      <c r="C1402" s="2">
        <v>7.2989999999999999E-2</v>
      </c>
      <c r="D1402" s="3">
        <v>248000</v>
      </c>
      <c r="E1402" s="3">
        <v>70900000000</v>
      </c>
      <c r="F1402" s="3">
        <v>66500000000</v>
      </c>
      <c r="G1402" s="3">
        <v>4980000000</v>
      </c>
      <c r="H1402" s="3">
        <v>7620000000</v>
      </c>
      <c r="I1402" s="2"/>
      <c r="J1402" s="7">
        <f t="shared" si="372"/>
        <v>1.34</v>
      </c>
      <c r="K1402" s="7">
        <f t="shared" si="373"/>
        <v>72.989999999999995</v>
      </c>
      <c r="L1402" s="7">
        <f t="shared" si="374"/>
        <v>70.900000000000006</v>
      </c>
      <c r="M1402" s="7">
        <f t="shared" si="375"/>
        <v>248</v>
      </c>
      <c r="O1402">
        <f t="shared" si="376"/>
        <v>1.1192641129032259</v>
      </c>
      <c r="P1402">
        <f t="shared" si="377"/>
        <v>1119.2641129032259</v>
      </c>
      <c r="V1402">
        <f t="shared" si="378"/>
        <v>1433.433649635208</v>
      </c>
      <c r="W1402">
        <f t="shared" si="379"/>
        <v>86.505573544723561</v>
      </c>
      <c r="AE1402">
        <f t="shared" si="380"/>
        <v>0.84102689027119215</v>
      </c>
      <c r="AF1402">
        <f t="shared" si="381"/>
        <v>0.81510820704035425</v>
      </c>
      <c r="AG1402">
        <f t="shared" si="382"/>
        <v>0.81720333109582743</v>
      </c>
      <c r="AI1402">
        <f t="shared" si="383"/>
        <v>0.66387096511658128</v>
      </c>
      <c r="AJ1402">
        <f t="shared" si="384"/>
        <v>32.84687775792964</v>
      </c>
      <c r="AL1402">
        <f t="shared" si="385"/>
        <v>0.68498063019219668</v>
      </c>
      <c r="AM1402">
        <f t="shared" si="386"/>
        <v>34.969009088817963</v>
      </c>
      <c r="AO1402">
        <f t="shared" si="387"/>
        <v>0.68322449516283457</v>
      </c>
      <c r="AP1402">
        <f t="shared" si="388"/>
        <v>34.789933716305164</v>
      </c>
    </row>
    <row r="1403" spans="1:42" x14ac:dyDescent="0.2">
      <c r="A1403" s="3">
        <v>1400</v>
      </c>
      <c r="B1403" s="3">
        <v>1.35E-6</v>
      </c>
      <c r="C1403" s="2">
        <v>7.3050000000000004E-2</v>
      </c>
      <c r="D1403" s="3">
        <v>260000</v>
      </c>
      <c r="E1403" s="3">
        <v>74400000000</v>
      </c>
      <c r="F1403" s="3">
        <v>69500000000</v>
      </c>
      <c r="G1403" s="2">
        <v>0</v>
      </c>
      <c r="H1403" s="3">
        <v>7560000000</v>
      </c>
      <c r="I1403" s="2"/>
      <c r="J1403" s="7">
        <f t="shared" si="372"/>
        <v>1.35</v>
      </c>
      <c r="K1403" s="7">
        <f t="shared" si="373"/>
        <v>73.05</v>
      </c>
      <c r="L1403" s="7">
        <f t="shared" si="374"/>
        <v>74.400000000000006</v>
      </c>
      <c r="M1403" s="7">
        <f t="shared" si="375"/>
        <v>260</v>
      </c>
      <c r="O1403">
        <f t="shared" si="376"/>
        <v>1.1392788461538463</v>
      </c>
      <c r="P1403">
        <f t="shared" si="377"/>
        <v>1139.2788461538464</v>
      </c>
      <c r="V1403">
        <f t="shared" si="378"/>
        <v>1444.7334279215995</v>
      </c>
      <c r="W1403">
        <f t="shared" si="379"/>
        <v>89.981997708060661</v>
      </c>
      <c r="AE1403">
        <f t="shared" si="380"/>
        <v>0.88172173980044333</v>
      </c>
      <c r="AF1403">
        <f t="shared" si="381"/>
        <v>0.85454892673585525</v>
      </c>
      <c r="AG1403">
        <f t="shared" si="382"/>
        <v>0.85674542776175466</v>
      </c>
      <c r="AI1403">
        <f t="shared" si="383"/>
        <v>0.63795636946335077</v>
      </c>
      <c r="AJ1403">
        <f t="shared" si="384"/>
        <v>29.909394190541558</v>
      </c>
      <c r="AL1403">
        <f t="shared" si="385"/>
        <v>0.65824200628113505</v>
      </c>
      <c r="AM1403">
        <f t="shared" si="386"/>
        <v>31.841744137693365</v>
      </c>
      <c r="AO1403">
        <f t="shared" si="387"/>
        <v>0.65655442302100164</v>
      </c>
      <c r="AP1403">
        <f t="shared" si="388"/>
        <v>31.678683406448958</v>
      </c>
    </row>
    <row r="1404" spans="1:42" x14ac:dyDescent="0.2">
      <c r="A1404" s="3">
        <v>1400</v>
      </c>
      <c r="B1404" s="3">
        <v>1.35E-6</v>
      </c>
      <c r="C1404" s="2">
        <v>7.3099999999999998E-2</v>
      </c>
      <c r="D1404" s="3">
        <v>264000</v>
      </c>
      <c r="E1404" s="3">
        <v>75500000000</v>
      </c>
      <c r="F1404" s="3">
        <v>70600000000</v>
      </c>
      <c r="G1404" s="3">
        <v>5170000000</v>
      </c>
      <c r="H1404" s="3">
        <v>7550000000</v>
      </c>
      <c r="I1404" s="2"/>
      <c r="J1404" s="7">
        <f t="shared" si="372"/>
        <v>1.35</v>
      </c>
      <c r="K1404" s="7">
        <f t="shared" si="373"/>
        <v>73.099999999999994</v>
      </c>
      <c r="L1404" s="7">
        <f t="shared" si="374"/>
        <v>75.5</v>
      </c>
      <c r="M1404" s="7">
        <f t="shared" si="375"/>
        <v>264</v>
      </c>
      <c r="O1404">
        <f t="shared" si="376"/>
        <v>1.1423295454545457</v>
      </c>
      <c r="P1404">
        <f t="shared" si="377"/>
        <v>1142.3295454545457</v>
      </c>
      <c r="V1404">
        <f t="shared" si="378"/>
        <v>1446.4460316594825</v>
      </c>
      <c r="W1404">
        <f t="shared" si="379"/>
        <v>91.258157657329733</v>
      </c>
      <c r="AE1404">
        <f t="shared" si="380"/>
        <v>0.89528668964352709</v>
      </c>
      <c r="AF1404">
        <f t="shared" si="381"/>
        <v>0.86769583330102229</v>
      </c>
      <c r="AG1404">
        <f t="shared" si="382"/>
        <v>0.86992612665039704</v>
      </c>
      <c r="AI1404">
        <f t="shared" si="383"/>
        <v>0.62829036386542125</v>
      </c>
      <c r="AJ1404">
        <f t="shared" si="384"/>
        <v>29.029771368916855</v>
      </c>
      <c r="AL1404">
        <f t="shared" si="385"/>
        <v>0.6482686425496027</v>
      </c>
      <c r="AM1404">
        <f t="shared" si="386"/>
        <v>30.905291709221675</v>
      </c>
      <c r="AO1404">
        <f t="shared" si="387"/>
        <v>0.64660662873280461</v>
      </c>
      <c r="AP1404">
        <f t="shared" si="388"/>
        <v>30.747026526145163</v>
      </c>
    </row>
    <row r="1405" spans="1:42" x14ac:dyDescent="0.2">
      <c r="A1405" s="3">
        <v>1400</v>
      </c>
      <c r="B1405" s="3">
        <v>1.35E-6</v>
      </c>
      <c r="C1405" s="2">
        <v>7.3150000000000007E-2</v>
      </c>
      <c r="D1405" s="3">
        <v>236000</v>
      </c>
      <c r="E1405" s="3">
        <v>67300000000</v>
      </c>
      <c r="F1405" s="3">
        <v>63400000000</v>
      </c>
      <c r="G1405" s="3">
        <v>6230000000</v>
      </c>
      <c r="H1405" s="3">
        <v>7670000000</v>
      </c>
      <c r="I1405" s="2"/>
      <c r="J1405" s="7">
        <f t="shared" si="372"/>
        <v>1.35</v>
      </c>
      <c r="K1405" s="7">
        <f t="shared" si="373"/>
        <v>73.150000000000006</v>
      </c>
      <c r="L1405" s="7">
        <f t="shared" si="374"/>
        <v>67.3</v>
      </c>
      <c r="M1405" s="7">
        <f t="shared" si="375"/>
        <v>236</v>
      </c>
      <c r="O1405">
        <f t="shared" si="376"/>
        <v>1.1175317796610171</v>
      </c>
      <c r="P1405">
        <f t="shared" si="377"/>
        <v>1117.531779661017</v>
      </c>
      <c r="V1405">
        <f t="shared" si="378"/>
        <v>1432.4503472500803</v>
      </c>
      <c r="W1405">
        <f t="shared" si="379"/>
        <v>82.376328245183714</v>
      </c>
      <c r="AE1405">
        <f t="shared" si="380"/>
        <v>0.80033204074194086</v>
      </c>
      <c r="AF1405">
        <f t="shared" si="381"/>
        <v>0.77566748734485325</v>
      </c>
      <c r="AG1405">
        <f t="shared" si="382"/>
        <v>0.77766123442990032</v>
      </c>
      <c r="AI1405">
        <f t="shared" si="383"/>
        <v>0.70283328839182713</v>
      </c>
      <c r="AJ1405">
        <f t="shared" si="384"/>
        <v>36.351674148510646</v>
      </c>
      <c r="AL1405">
        <f t="shared" si="385"/>
        <v>0.72518187132667422</v>
      </c>
      <c r="AM1405">
        <f t="shared" si="386"/>
        <v>38.700239123523353</v>
      </c>
      <c r="AO1405">
        <f t="shared" si="387"/>
        <v>0.72332266942991708</v>
      </c>
      <c r="AP1405">
        <f t="shared" si="388"/>
        <v>38.502056220491205</v>
      </c>
    </row>
    <row r="1406" spans="1:42" x14ac:dyDescent="0.2">
      <c r="A1406" s="3">
        <v>1400</v>
      </c>
      <c r="B1406" s="3">
        <v>1.35E-6</v>
      </c>
      <c r="C1406" s="2">
        <v>7.3209999999999997E-2</v>
      </c>
      <c r="D1406" s="3">
        <v>249000</v>
      </c>
      <c r="E1406" s="3">
        <v>71000000000</v>
      </c>
      <c r="F1406" s="3">
        <v>66600000000</v>
      </c>
      <c r="G1406" s="3">
        <v>8030000000</v>
      </c>
      <c r="H1406" s="3">
        <v>7610000000</v>
      </c>
      <c r="I1406" s="2"/>
      <c r="J1406" s="7">
        <f t="shared" si="372"/>
        <v>1.35</v>
      </c>
      <c r="K1406" s="7">
        <f t="shared" si="373"/>
        <v>73.209999999999994</v>
      </c>
      <c r="L1406" s="7">
        <f t="shared" si="374"/>
        <v>71</v>
      </c>
      <c r="M1406" s="7">
        <f t="shared" si="375"/>
        <v>249</v>
      </c>
      <c r="O1406">
        <f t="shared" si="376"/>
        <v>1.1294879518072289</v>
      </c>
      <c r="P1406">
        <f t="shared" si="377"/>
        <v>1129.4879518072289</v>
      </c>
      <c r="V1406">
        <f t="shared" si="378"/>
        <v>1439.2196889532611</v>
      </c>
      <c r="W1406">
        <f t="shared" si="379"/>
        <v>86.505209007075464</v>
      </c>
      <c r="AE1406">
        <f t="shared" si="380"/>
        <v>0.84441812773196301</v>
      </c>
      <c r="AF1406">
        <f t="shared" si="381"/>
        <v>0.81839493368164606</v>
      </c>
      <c r="AG1406">
        <f t="shared" si="382"/>
        <v>0.82049850581798811</v>
      </c>
      <c r="AI1406">
        <f t="shared" si="383"/>
        <v>0.66613918096574787</v>
      </c>
      <c r="AJ1406">
        <f t="shared" si="384"/>
        <v>32.681787729751989</v>
      </c>
      <c r="AL1406">
        <f t="shared" si="385"/>
        <v>0.6873209704140365</v>
      </c>
      <c r="AM1406">
        <f t="shared" si="386"/>
        <v>34.793253123871665</v>
      </c>
      <c r="AO1406">
        <f t="shared" si="387"/>
        <v>0.68555883528297357</v>
      </c>
      <c r="AP1406">
        <f t="shared" si="388"/>
        <v>34.615077793016155</v>
      </c>
    </row>
    <row r="1407" spans="1:42" x14ac:dyDescent="0.2">
      <c r="A1407" s="3">
        <v>1400</v>
      </c>
      <c r="B1407" s="3">
        <v>1.35E-6</v>
      </c>
      <c r="C1407" s="2">
        <v>7.3260000000000006E-2</v>
      </c>
      <c r="D1407" s="3">
        <v>247000</v>
      </c>
      <c r="E1407" s="3">
        <v>70500000000</v>
      </c>
      <c r="F1407" s="3">
        <v>66200000000</v>
      </c>
      <c r="G1407" s="3">
        <v>8990000000</v>
      </c>
      <c r="H1407" s="3">
        <v>7610000000</v>
      </c>
      <c r="I1407" s="2"/>
      <c r="J1407" s="7">
        <f t="shared" si="372"/>
        <v>1.35</v>
      </c>
      <c r="K1407" s="7">
        <f t="shared" si="373"/>
        <v>73.260000000000005</v>
      </c>
      <c r="L1407" s="7">
        <f t="shared" si="374"/>
        <v>70.5</v>
      </c>
      <c r="M1407" s="7">
        <f t="shared" si="375"/>
        <v>247</v>
      </c>
      <c r="O1407">
        <f t="shared" si="376"/>
        <v>1.1275506072874495</v>
      </c>
      <c r="P1407">
        <f t="shared" si="377"/>
        <v>1127.5506072874496</v>
      </c>
      <c r="V1407">
        <f t="shared" si="378"/>
        <v>1438.1255228200544</v>
      </c>
      <c r="W1407">
        <f t="shared" si="379"/>
        <v>85.875674995202033</v>
      </c>
      <c r="AE1407">
        <f t="shared" si="380"/>
        <v>0.83763565281042118</v>
      </c>
      <c r="AF1407">
        <f t="shared" si="381"/>
        <v>0.81182148039906254</v>
      </c>
      <c r="AG1407">
        <f t="shared" si="382"/>
        <v>0.81390815637366687</v>
      </c>
      <c r="AI1407">
        <f t="shared" si="383"/>
        <v>0.67153302048773766</v>
      </c>
      <c r="AJ1407">
        <f t="shared" si="384"/>
        <v>33.235873708465519</v>
      </c>
      <c r="AL1407">
        <f t="shared" si="385"/>
        <v>0.69288632240119474</v>
      </c>
      <c r="AM1407">
        <f t="shared" si="386"/>
        <v>35.383136819010481</v>
      </c>
      <c r="AO1407">
        <f t="shared" si="387"/>
        <v>0.69110991896947549</v>
      </c>
      <c r="AP1407">
        <f t="shared" si="388"/>
        <v>35.201940709322542</v>
      </c>
    </row>
    <row r="1408" spans="1:42" x14ac:dyDescent="0.2">
      <c r="A1408" s="3">
        <v>1400</v>
      </c>
      <c r="B1408" s="3">
        <v>1.35E-6</v>
      </c>
      <c r="C1408" s="2">
        <v>7.331E-2</v>
      </c>
      <c r="D1408" s="3">
        <v>257000</v>
      </c>
      <c r="E1408" s="3">
        <v>73300000000</v>
      </c>
      <c r="F1408" s="3">
        <v>68700000000</v>
      </c>
      <c r="G1408" s="3">
        <v>13000000000</v>
      </c>
      <c r="H1408" s="3">
        <v>7570000000</v>
      </c>
      <c r="I1408" s="2"/>
      <c r="J1408" s="7">
        <f t="shared" si="372"/>
        <v>1.35</v>
      </c>
      <c r="K1408" s="7">
        <f t="shared" si="373"/>
        <v>73.31</v>
      </c>
      <c r="L1408" s="7">
        <f t="shared" si="374"/>
        <v>73.300000000000011</v>
      </c>
      <c r="M1408" s="7">
        <f t="shared" si="375"/>
        <v>257</v>
      </c>
      <c r="O1408">
        <f t="shared" si="376"/>
        <v>1.1360603112840468</v>
      </c>
      <c r="P1408">
        <f t="shared" si="377"/>
        <v>1136.0603112840467</v>
      </c>
      <c r="V1408">
        <f t="shared" si="378"/>
        <v>1442.9238333345825</v>
      </c>
      <c r="W1408">
        <f t="shared" si="379"/>
        <v>89.055289705096769</v>
      </c>
      <c r="AE1408">
        <f t="shared" si="380"/>
        <v>0.87154802741813053</v>
      </c>
      <c r="AF1408">
        <f t="shared" si="381"/>
        <v>0.84468874681198003</v>
      </c>
      <c r="AG1408">
        <f t="shared" si="382"/>
        <v>0.84685990359527286</v>
      </c>
      <c r="AI1408">
        <f t="shared" si="383"/>
        <v>0.64540333097459612</v>
      </c>
      <c r="AJ1408">
        <f t="shared" si="384"/>
        <v>30.720697014749554</v>
      </c>
      <c r="AL1408">
        <f t="shared" si="385"/>
        <v>0.66592576510931956</v>
      </c>
      <c r="AM1408">
        <f t="shared" si="386"/>
        <v>32.705462633027793</v>
      </c>
      <c r="AO1408">
        <f t="shared" si="387"/>
        <v>0.66421848243369819</v>
      </c>
      <c r="AP1408">
        <f t="shared" si="388"/>
        <v>32.537978822167226</v>
      </c>
    </row>
    <row r="1409" spans="1:42" x14ac:dyDescent="0.2">
      <c r="A1409" s="3">
        <v>1400</v>
      </c>
      <c r="B1409" s="3">
        <v>1.3599999999999999E-6</v>
      </c>
      <c r="C1409" s="2">
        <v>7.3359999999999995E-2</v>
      </c>
      <c r="D1409" s="3">
        <v>239000</v>
      </c>
      <c r="E1409" s="3">
        <v>68100000000</v>
      </c>
      <c r="F1409" s="3">
        <v>64000000000</v>
      </c>
      <c r="G1409" s="3">
        <v>1670000000</v>
      </c>
      <c r="H1409" s="3">
        <v>7650000000</v>
      </c>
      <c r="I1409" s="2"/>
      <c r="J1409" s="7">
        <f t="shared" si="372"/>
        <v>1.3599999999999999</v>
      </c>
      <c r="K1409" s="7">
        <f t="shared" si="373"/>
        <v>73.36</v>
      </c>
      <c r="L1409" s="7">
        <f t="shared" si="374"/>
        <v>68.100000000000009</v>
      </c>
      <c r="M1409" s="7">
        <f t="shared" si="375"/>
        <v>239</v>
      </c>
      <c r="O1409">
        <f t="shared" si="376"/>
        <v>1.1297907949790793</v>
      </c>
      <c r="P1409">
        <f t="shared" si="377"/>
        <v>1129.7907949790792</v>
      </c>
      <c r="V1409">
        <f t="shared" si="378"/>
        <v>1439.3906330793873</v>
      </c>
      <c r="W1409">
        <f t="shared" si="379"/>
        <v>83.021243332913343</v>
      </c>
      <c r="AE1409">
        <f t="shared" si="380"/>
        <v>0.81050575312425366</v>
      </c>
      <c r="AF1409">
        <f t="shared" si="381"/>
        <v>0.78552766726872847</v>
      </c>
      <c r="AG1409">
        <f t="shared" si="382"/>
        <v>0.78754675859638212</v>
      </c>
      <c r="AI1409">
        <f t="shared" si="383"/>
        <v>0.69915193628464534</v>
      </c>
      <c r="AJ1409">
        <f t="shared" si="384"/>
        <v>35.546562825836617</v>
      </c>
      <c r="AL1409">
        <f t="shared" si="385"/>
        <v>0.72138346016119426</v>
      </c>
      <c r="AM1409">
        <f t="shared" si="386"/>
        <v>37.843112142761782</v>
      </c>
      <c r="AO1409">
        <f t="shared" si="387"/>
        <v>0.71953399652944727</v>
      </c>
      <c r="AP1409">
        <f t="shared" si="388"/>
        <v>37.649318564373651</v>
      </c>
    </row>
    <row r="1410" spans="1:42" x14ac:dyDescent="0.2">
      <c r="A1410" s="3">
        <v>1400</v>
      </c>
      <c r="B1410" s="3">
        <v>1.3599999999999999E-6</v>
      </c>
      <c r="C1410" s="2">
        <v>7.3410000000000003E-2</v>
      </c>
      <c r="D1410" s="3">
        <v>253000</v>
      </c>
      <c r="E1410" s="3">
        <v>72000000000</v>
      </c>
      <c r="F1410" s="3">
        <v>67500000000</v>
      </c>
      <c r="G1410" s="3">
        <v>3520000000</v>
      </c>
      <c r="H1410" s="3">
        <v>7570000000</v>
      </c>
      <c r="I1410" s="2"/>
      <c r="J1410" s="7">
        <f t="shared" si="372"/>
        <v>1.3599999999999999</v>
      </c>
      <c r="K1410" s="7">
        <f t="shared" si="373"/>
        <v>73.41</v>
      </c>
      <c r="L1410" s="7">
        <f t="shared" si="374"/>
        <v>72</v>
      </c>
      <c r="M1410" s="7">
        <f t="shared" si="375"/>
        <v>253</v>
      </c>
      <c r="O1410">
        <f t="shared" si="376"/>
        <v>1.142381422924901</v>
      </c>
      <c r="P1410">
        <f t="shared" si="377"/>
        <v>1142.381422924901</v>
      </c>
      <c r="V1410">
        <f t="shared" si="378"/>
        <v>1446.475132628851</v>
      </c>
      <c r="W1410">
        <f t="shared" si="379"/>
        <v>87.45397493982253</v>
      </c>
      <c r="AE1410">
        <f t="shared" si="380"/>
        <v>0.85798307757504677</v>
      </c>
      <c r="AF1410">
        <f t="shared" si="381"/>
        <v>0.83154184024681299</v>
      </c>
      <c r="AG1410">
        <f t="shared" si="382"/>
        <v>0.83367920470663048</v>
      </c>
      <c r="AI1410">
        <f t="shared" si="383"/>
        <v>0.66046368684596923</v>
      </c>
      <c r="AJ1410">
        <f t="shared" si="384"/>
        <v>31.743022281585912</v>
      </c>
      <c r="AL1410">
        <f t="shared" si="385"/>
        <v>0.68146500782025865</v>
      </c>
      <c r="AM1410">
        <f t="shared" si="386"/>
        <v>33.793837053610247</v>
      </c>
      <c r="AO1410">
        <f t="shared" si="387"/>
        <v>0.67971788604955685</v>
      </c>
      <c r="AP1410">
        <f t="shared" si="388"/>
        <v>33.620779706070259</v>
      </c>
    </row>
    <row r="1411" spans="1:42" x14ac:dyDescent="0.2">
      <c r="A1411" s="3">
        <v>1400</v>
      </c>
      <c r="B1411" s="3">
        <v>1.3599999999999999E-6</v>
      </c>
      <c r="C1411" s="2">
        <v>7.3459999999999998E-2</v>
      </c>
      <c r="D1411" s="3">
        <v>253000</v>
      </c>
      <c r="E1411" s="3">
        <v>71800000000</v>
      </c>
      <c r="F1411" s="3">
        <v>67300000000</v>
      </c>
      <c r="G1411" s="3">
        <v>6850000000</v>
      </c>
      <c r="H1411" s="3">
        <v>7560000000</v>
      </c>
      <c r="I1411" s="2"/>
      <c r="J1411" s="7">
        <f t="shared" si="372"/>
        <v>1.3599999999999999</v>
      </c>
      <c r="K1411" s="7">
        <f t="shared" si="373"/>
        <v>73.459999999999994</v>
      </c>
      <c r="L1411" s="7">
        <f t="shared" si="374"/>
        <v>71.800000000000011</v>
      </c>
      <c r="M1411" s="7">
        <f t="shared" si="375"/>
        <v>253</v>
      </c>
      <c r="O1411">
        <f t="shared" si="376"/>
        <v>1.1422332015810275</v>
      </c>
      <c r="P1411">
        <f t="shared" si="377"/>
        <v>1142.2332015810275</v>
      </c>
      <c r="V1411">
        <f t="shared" si="378"/>
        <v>1446.3919850491109</v>
      </c>
      <c r="W1411">
        <f t="shared" si="379"/>
        <v>87.459002336565632</v>
      </c>
      <c r="AE1411">
        <f t="shared" si="380"/>
        <v>0.85798307757504677</v>
      </c>
      <c r="AF1411">
        <f t="shared" si="381"/>
        <v>0.83154184024681299</v>
      </c>
      <c r="AG1411">
        <f t="shared" si="382"/>
        <v>0.83367920470663048</v>
      </c>
      <c r="AI1411">
        <f t="shared" si="383"/>
        <v>0.66046368684596923</v>
      </c>
      <c r="AJ1411">
        <f t="shared" si="384"/>
        <v>31.764642648212792</v>
      </c>
      <c r="AL1411">
        <f t="shared" si="385"/>
        <v>0.68146500782025865</v>
      </c>
      <c r="AM1411">
        <f t="shared" si="386"/>
        <v>33.816854242721817</v>
      </c>
      <c r="AO1411">
        <f t="shared" si="387"/>
        <v>0.67971788604955685</v>
      </c>
      <c r="AP1411">
        <f t="shared" si="388"/>
        <v>33.643679024763941</v>
      </c>
    </row>
    <row r="1412" spans="1:42" x14ac:dyDescent="0.2">
      <c r="A1412" s="3">
        <v>1400</v>
      </c>
      <c r="B1412" s="3">
        <v>1.37E-6</v>
      </c>
      <c r="C1412" s="2">
        <v>7.3510000000000006E-2</v>
      </c>
      <c r="D1412" s="3">
        <v>251000</v>
      </c>
      <c r="E1412" s="3">
        <v>71200000000</v>
      </c>
      <c r="F1412" s="3">
        <v>66800000000</v>
      </c>
      <c r="G1412" s="3">
        <v>3750000000</v>
      </c>
      <c r="H1412" s="3">
        <v>7550000000</v>
      </c>
      <c r="I1412" s="2"/>
      <c r="J1412" s="7">
        <f t="shared" si="372"/>
        <v>1.37</v>
      </c>
      <c r="K1412" s="7">
        <f t="shared" si="373"/>
        <v>73.510000000000005</v>
      </c>
      <c r="L1412" s="7">
        <f t="shared" si="374"/>
        <v>71.2</v>
      </c>
      <c r="M1412" s="7">
        <f t="shared" si="375"/>
        <v>251</v>
      </c>
      <c r="O1412">
        <f t="shared" si="376"/>
        <v>1.1503486055776893</v>
      </c>
      <c r="P1412">
        <f t="shared" si="377"/>
        <v>1150.3486055776893</v>
      </c>
      <c r="V1412">
        <f t="shared" si="378"/>
        <v>1450.9356647037291</v>
      </c>
      <c r="W1412">
        <f t="shared" si="379"/>
        <v>86.4959095382263</v>
      </c>
      <c r="AE1412">
        <f t="shared" si="380"/>
        <v>0.85120060265350495</v>
      </c>
      <c r="AF1412">
        <f t="shared" si="381"/>
        <v>0.82496838696422947</v>
      </c>
      <c r="AG1412">
        <f t="shared" si="382"/>
        <v>0.82708885526230924</v>
      </c>
      <c r="AI1412">
        <f t="shared" si="383"/>
        <v>0.67062139236489748</v>
      </c>
      <c r="AJ1412">
        <f t="shared" si="384"/>
        <v>32.294835150503538</v>
      </c>
      <c r="AL1412">
        <f t="shared" si="385"/>
        <v>0.69194570646994336</v>
      </c>
      <c r="AM1412">
        <f t="shared" si="386"/>
        <v>34.381300780626084</v>
      </c>
      <c r="AO1412">
        <f t="shared" si="387"/>
        <v>0.69017171456420479</v>
      </c>
      <c r="AP1412">
        <f t="shared" si="388"/>
        <v>34.20523504684656</v>
      </c>
    </row>
    <row r="1413" spans="1:42" x14ac:dyDescent="0.2">
      <c r="A1413" s="3">
        <v>1400</v>
      </c>
      <c r="B1413" s="3">
        <v>1.37E-6</v>
      </c>
      <c r="C1413" s="2">
        <v>7.356E-2</v>
      </c>
      <c r="D1413" s="3">
        <v>253000</v>
      </c>
      <c r="E1413" s="3">
        <v>71800000000</v>
      </c>
      <c r="F1413" s="3">
        <v>67300000000</v>
      </c>
      <c r="G1413" s="3">
        <v>3310000000</v>
      </c>
      <c r="H1413" s="3">
        <v>7520000000</v>
      </c>
      <c r="I1413" s="2"/>
      <c r="J1413" s="7">
        <f t="shared" ref="J1413:J1439" si="389">B1413*(10^6)</f>
        <v>1.37</v>
      </c>
      <c r="K1413" s="7">
        <f t="shared" ref="K1413:K1439" si="390">C1413*1000</f>
        <v>73.56</v>
      </c>
      <c r="L1413" s="7">
        <f t="shared" ref="L1413:L1439" si="391">E1413*(10^-9)</f>
        <v>71.800000000000011</v>
      </c>
      <c r="M1413" s="7">
        <f t="shared" ref="M1413:M1439" si="392">D1413*(10^-3)</f>
        <v>253</v>
      </c>
      <c r="O1413">
        <f t="shared" ref="O1413:O1439" si="393">J1413-(0.75*(K1413/M1413))</f>
        <v>1.1519367588932807</v>
      </c>
      <c r="P1413">
        <f t="shared" ref="P1413:P1439" si="394">O1413*1000</f>
        <v>1151.9367588932807</v>
      </c>
      <c r="V1413">
        <f t="shared" ref="V1413:V1439" si="395">$S$3*(P1413^$S$4)</f>
        <v>1451.8227544398728</v>
      </c>
      <c r="W1413">
        <f t="shared" ref="W1413:W1439" si="396">M1413/(2*(V1413/1000))</f>
        <v>87.131848301141218</v>
      </c>
      <c r="AE1413">
        <f t="shared" si="380"/>
        <v>0.85798307757504677</v>
      </c>
      <c r="AF1413">
        <f t="shared" si="381"/>
        <v>0.83154184024681299</v>
      </c>
      <c r="AG1413">
        <f t="shared" si="382"/>
        <v>0.83367920470663048</v>
      </c>
      <c r="AI1413">
        <f t="shared" si="383"/>
        <v>0.66532003748454271</v>
      </c>
      <c r="AJ1413">
        <f t="shared" si="384"/>
        <v>31.807883381466556</v>
      </c>
      <c r="AL1413">
        <f t="shared" si="385"/>
        <v>0.68647577993658415</v>
      </c>
      <c r="AM1413">
        <f t="shared" si="386"/>
        <v>33.862888620944965</v>
      </c>
      <c r="AO1413">
        <f t="shared" si="387"/>
        <v>0.68471581168227424</v>
      </c>
      <c r="AP1413">
        <f t="shared" si="388"/>
        <v>33.689477662151319</v>
      </c>
    </row>
    <row r="1414" spans="1:42" x14ac:dyDescent="0.2">
      <c r="A1414" s="3">
        <v>1400</v>
      </c>
      <c r="B1414" s="3">
        <v>1.3799999999999999E-6</v>
      </c>
      <c r="C1414" s="2">
        <v>7.3609999999999995E-2</v>
      </c>
      <c r="D1414" s="3">
        <v>278000</v>
      </c>
      <c r="E1414" s="3">
        <v>78500000000</v>
      </c>
      <c r="F1414" s="3">
        <v>73200000000</v>
      </c>
      <c r="G1414" s="3">
        <v>1150000000</v>
      </c>
      <c r="H1414" s="3">
        <v>7410000000</v>
      </c>
      <c r="I1414" s="2"/>
      <c r="J1414" s="7">
        <f t="shared" si="389"/>
        <v>1.38</v>
      </c>
      <c r="K1414" s="7">
        <f t="shared" si="390"/>
        <v>73.61</v>
      </c>
      <c r="L1414" s="7">
        <f t="shared" si="391"/>
        <v>78.5</v>
      </c>
      <c r="M1414" s="7">
        <f t="shared" si="392"/>
        <v>278</v>
      </c>
      <c r="O1414">
        <f t="shared" si="393"/>
        <v>1.181411870503597</v>
      </c>
      <c r="P1414">
        <f t="shared" si="394"/>
        <v>1181.4118705035969</v>
      </c>
      <c r="V1414">
        <f t="shared" si="395"/>
        <v>1468.1645089963715</v>
      </c>
      <c r="W1414">
        <f t="shared" si="396"/>
        <v>94.676038787383277</v>
      </c>
      <c r="AE1414">
        <f t="shared" si="380"/>
        <v>0.9427640140943202</v>
      </c>
      <c r="AF1414">
        <f t="shared" si="381"/>
        <v>0.91371000627910681</v>
      </c>
      <c r="AG1414">
        <f t="shared" si="382"/>
        <v>0.91605857276064528</v>
      </c>
      <c r="AI1414">
        <f t="shared" si="383"/>
        <v>0.60990872732067736</v>
      </c>
      <c r="AJ1414">
        <f t="shared" si="384"/>
        <v>26.362179822624515</v>
      </c>
      <c r="AL1414">
        <f t="shared" si="385"/>
        <v>0.62930250960210821</v>
      </c>
      <c r="AM1414">
        <f t="shared" si="386"/>
        <v>28.065355636301284</v>
      </c>
      <c r="AO1414">
        <f t="shared" si="387"/>
        <v>0.6276891206499744</v>
      </c>
      <c r="AP1414">
        <f t="shared" si="388"/>
        <v>27.921633690892143</v>
      </c>
    </row>
    <row r="1415" spans="1:42" x14ac:dyDescent="0.2">
      <c r="A1415" s="3">
        <v>1400</v>
      </c>
      <c r="B1415" s="3">
        <v>1.3799999999999999E-6</v>
      </c>
      <c r="C1415" s="2">
        <v>7.3669999999999999E-2</v>
      </c>
      <c r="D1415" s="3">
        <v>276000</v>
      </c>
      <c r="E1415" s="3">
        <v>78000000000</v>
      </c>
      <c r="F1415" s="3">
        <v>72700000000</v>
      </c>
      <c r="G1415" s="3">
        <v>7090000000</v>
      </c>
      <c r="H1415" s="3">
        <v>7410000000</v>
      </c>
      <c r="I1415" s="2"/>
      <c r="J1415" s="7">
        <f t="shared" si="389"/>
        <v>1.38</v>
      </c>
      <c r="K1415" s="7">
        <f t="shared" si="390"/>
        <v>73.67</v>
      </c>
      <c r="L1415" s="7">
        <f t="shared" si="391"/>
        <v>78</v>
      </c>
      <c r="M1415" s="7">
        <f t="shared" si="392"/>
        <v>276</v>
      </c>
      <c r="O1415">
        <f t="shared" si="393"/>
        <v>1.1798097826086955</v>
      </c>
      <c r="P1415">
        <f t="shared" si="394"/>
        <v>1179.8097826086955</v>
      </c>
      <c r="V1415">
        <f t="shared" si="395"/>
        <v>1467.2821462563672</v>
      </c>
      <c r="W1415">
        <f t="shared" si="396"/>
        <v>94.051440857570611</v>
      </c>
      <c r="AE1415">
        <f t="shared" si="380"/>
        <v>0.93598153917277827</v>
      </c>
      <c r="AF1415">
        <f t="shared" si="381"/>
        <v>0.90713655299652329</v>
      </c>
      <c r="AG1415">
        <f t="shared" si="382"/>
        <v>0.90946822331632415</v>
      </c>
      <c r="AI1415">
        <f t="shared" si="383"/>
        <v>0.61432835577952283</v>
      </c>
      <c r="AJ1415">
        <f t="shared" si="384"/>
        <v>26.767425213566177</v>
      </c>
      <c r="AL1415">
        <f t="shared" si="385"/>
        <v>0.63386267271516694</v>
      </c>
      <c r="AM1415">
        <f t="shared" si="386"/>
        <v>28.49678263108223</v>
      </c>
      <c r="AO1415">
        <f t="shared" si="387"/>
        <v>0.63223759253874223</v>
      </c>
      <c r="AP1415">
        <f t="shared" si="388"/>
        <v>28.350851359420624</v>
      </c>
    </row>
    <row r="1416" spans="1:42" x14ac:dyDescent="0.2">
      <c r="A1416" s="3">
        <v>1400</v>
      </c>
      <c r="B1416" s="3">
        <v>1.3799999999999999E-6</v>
      </c>
      <c r="C1416" s="2">
        <v>7.3719999999999994E-2</v>
      </c>
      <c r="D1416" s="3">
        <v>269000</v>
      </c>
      <c r="E1416" s="3">
        <v>75800000000</v>
      </c>
      <c r="F1416" s="3">
        <v>70800000000</v>
      </c>
      <c r="G1416" s="3">
        <v>2490000000</v>
      </c>
      <c r="H1416" s="3">
        <v>7420000000</v>
      </c>
      <c r="I1416" s="2"/>
      <c r="J1416" s="7">
        <f t="shared" si="389"/>
        <v>1.38</v>
      </c>
      <c r="K1416" s="7">
        <f t="shared" si="390"/>
        <v>73.72</v>
      </c>
      <c r="L1416" s="7">
        <f t="shared" si="391"/>
        <v>75.800000000000011</v>
      </c>
      <c r="M1416" s="7">
        <f t="shared" si="392"/>
        <v>269</v>
      </c>
      <c r="O1416">
        <f t="shared" si="393"/>
        <v>1.1744609665427508</v>
      </c>
      <c r="P1416">
        <f t="shared" si="394"/>
        <v>1174.4609665427508</v>
      </c>
      <c r="V1416">
        <f t="shared" si="395"/>
        <v>1464.3313996923432</v>
      </c>
      <c r="W1416">
        <f t="shared" si="396"/>
        <v>91.850792811148153</v>
      </c>
      <c r="AE1416">
        <f t="shared" si="380"/>
        <v>0.91224287694738171</v>
      </c>
      <c r="AF1416">
        <f t="shared" si="381"/>
        <v>0.88412946650748103</v>
      </c>
      <c r="AG1416">
        <f t="shared" si="382"/>
        <v>0.88640200026119997</v>
      </c>
      <c r="AI1416">
        <f t="shared" si="383"/>
        <v>0.63031459552099744</v>
      </c>
      <c r="AJ1416">
        <f t="shared" si="384"/>
        <v>28.197776165559311</v>
      </c>
      <c r="AL1416">
        <f t="shared" si="385"/>
        <v>0.65035724040663978</v>
      </c>
      <c r="AM1416">
        <f t="shared" si="386"/>
        <v>30.019543966544994</v>
      </c>
      <c r="AO1416">
        <f t="shared" si="387"/>
        <v>0.64868987189848648</v>
      </c>
      <c r="AP1416">
        <f t="shared" si="388"/>
        <v>29.865814674278816</v>
      </c>
    </row>
    <row r="1417" spans="1:42" x14ac:dyDescent="0.2">
      <c r="A1417" s="3">
        <v>1400</v>
      </c>
      <c r="B1417" s="3">
        <v>1.39E-6</v>
      </c>
      <c r="C1417" s="2">
        <v>7.3770000000000002E-2</v>
      </c>
      <c r="D1417" s="3">
        <v>243000</v>
      </c>
      <c r="E1417" s="3">
        <v>68500000000</v>
      </c>
      <c r="F1417" s="3">
        <v>64400000000</v>
      </c>
      <c r="G1417" s="3">
        <v>13200000000</v>
      </c>
      <c r="H1417" s="3">
        <v>7520000000</v>
      </c>
      <c r="I1417" s="2"/>
      <c r="J1417" s="7">
        <f t="shared" si="389"/>
        <v>1.3900000000000001</v>
      </c>
      <c r="K1417" s="7">
        <f t="shared" si="390"/>
        <v>73.77</v>
      </c>
      <c r="L1417" s="7">
        <f t="shared" si="391"/>
        <v>68.5</v>
      </c>
      <c r="M1417" s="7">
        <f t="shared" si="392"/>
        <v>243</v>
      </c>
      <c r="O1417">
        <f t="shared" si="393"/>
        <v>1.162314814814815</v>
      </c>
      <c r="P1417">
        <f t="shared" si="394"/>
        <v>1162.314814814815</v>
      </c>
      <c r="V1417">
        <f t="shared" si="395"/>
        <v>1457.6028946672382</v>
      </c>
      <c r="W1417">
        <f t="shared" si="396"/>
        <v>83.356036437988621</v>
      </c>
      <c r="AE1417">
        <f t="shared" si="380"/>
        <v>0.82407070296733742</v>
      </c>
      <c r="AF1417">
        <f t="shared" si="381"/>
        <v>0.79867457383389551</v>
      </c>
      <c r="AG1417">
        <f t="shared" si="382"/>
        <v>0.8007274574850245</v>
      </c>
      <c r="AI1417">
        <f t="shared" si="383"/>
        <v>0.7028118638136106</v>
      </c>
      <c r="AJ1417">
        <f t="shared" si="384"/>
        <v>34.578116126665257</v>
      </c>
      <c r="AL1417">
        <f t="shared" si="385"/>
        <v>0.72515976549307182</v>
      </c>
      <c r="AM1417">
        <f t="shared" si="386"/>
        <v>36.812097211146764</v>
      </c>
      <c r="AO1417">
        <f t="shared" si="387"/>
        <v>0.72330062027066</v>
      </c>
      <c r="AP1417">
        <f t="shared" si="388"/>
        <v>36.623583433009088</v>
      </c>
    </row>
    <row r="1418" spans="1:42" x14ac:dyDescent="0.2">
      <c r="A1418" s="3">
        <v>1400</v>
      </c>
      <c r="B1418" s="3">
        <v>1.39E-6</v>
      </c>
      <c r="C1418" s="2">
        <v>7.3830000000000007E-2</v>
      </c>
      <c r="D1418" s="3">
        <v>271000</v>
      </c>
      <c r="E1418" s="3">
        <v>76300000000</v>
      </c>
      <c r="F1418" s="3">
        <v>71300000000</v>
      </c>
      <c r="G1418" s="3">
        <v>4730000000</v>
      </c>
      <c r="H1418" s="3">
        <v>7400000000</v>
      </c>
      <c r="I1418" s="2"/>
      <c r="J1418" s="7">
        <f t="shared" si="389"/>
        <v>1.3900000000000001</v>
      </c>
      <c r="K1418" s="7">
        <f t="shared" si="390"/>
        <v>73.830000000000013</v>
      </c>
      <c r="L1418" s="7">
        <f t="shared" si="391"/>
        <v>76.300000000000011</v>
      </c>
      <c r="M1418" s="7">
        <f t="shared" si="392"/>
        <v>271</v>
      </c>
      <c r="O1418">
        <f t="shared" si="393"/>
        <v>1.1856734317343174</v>
      </c>
      <c r="P1418">
        <f t="shared" si="394"/>
        <v>1185.6734317343173</v>
      </c>
      <c r="V1418">
        <f t="shared" si="395"/>
        <v>1470.5083587942929</v>
      </c>
      <c r="W1418">
        <f t="shared" si="396"/>
        <v>92.145004949920775</v>
      </c>
      <c r="AE1418">
        <f t="shared" si="380"/>
        <v>0.91902535186892365</v>
      </c>
      <c r="AF1418">
        <f t="shared" si="381"/>
        <v>0.89070291979006455</v>
      </c>
      <c r="AG1418">
        <f t="shared" si="382"/>
        <v>0.8929923497055211</v>
      </c>
      <c r="AI1418">
        <f t="shared" si="383"/>
        <v>0.63019661589190912</v>
      </c>
      <c r="AJ1418">
        <f t="shared" si="384"/>
        <v>27.824564709363454</v>
      </c>
      <c r="AL1418">
        <f t="shared" si="385"/>
        <v>0.65023550927976548</v>
      </c>
      <c r="AM1418">
        <f t="shared" si="386"/>
        <v>29.622220516202351</v>
      </c>
      <c r="AO1418">
        <f t="shared" si="387"/>
        <v>0.64856845286262133</v>
      </c>
      <c r="AP1418">
        <f t="shared" si="388"/>
        <v>29.47052590683775</v>
      </c>
    </row>
    <row r="1419" spans="1:42" x14ac:dyDescent="0.2">
      <c r="A1419" s="3">
        <v>1400</v>
      </c>
      <c r="B1419" s="3">
        <v>1.39E-6</v>
      </c>
      <c r="C1419" s="2">
        <v>7.3880000000000001E-2</v>
      </c>
      <c r="D1419" s="3">
        <v>245000</v>
      </c>
      <c r="E1419" s="3">
        <v>69000000000</v>
      </c>
      <c r="F1419" s="3">
        <v>64800000000</v>
      </c>
      <c r="G1419" s="3">
        <v>15400000000</v>
      </c>
      <c r="H1419" s="3">
        <v>7490000000</v>
      </c>
      <c r="I1419" s="2"/>
      <c r="J1419" s="7">
        <f t="shared" si="389"/>
        <v>1.3900000000000001</v>
      </c>
      <c r="K1419" s="7">
        <f t="shared" si="390"/>
        <v>73.88</v>
      </c>
      <c r="L1419" s="7">
        <f t="shared" si="391"/>
        <v>69</v>
      </c>
      <c r="M1419" s="7">
        <f t="shared" si="392"/>
        <v>245</v>
      </c>
      <c r="O1419">
        <f t="shared" si="393"/>
        <v>1.1638367346938776</v>
      </c>
      <c r="P1419">
        <f t="shared" si="394"/>
        <v>1163.8367346938776</v>
      </c>
      <c r="V1419">
        <f t="shared" si="395"/>
        <v>1458.4481195696676</v>
      </c>
      <c r="W1419">
        <f t="shared" si="396"/>
        <v>83.993388833155805</v>
      </c>
      <c r="AE1419">
        <f t="shared" si="380"/>
        <v>0.83085317788887925</v>
      </c>
      <c r="AF1419">
        <f t="shared" si="381"/>
        <v>0.80524802711647903</v>
      </c>
      <c r="AG1419">
        <f t="shared" si="382"/>
        <v>0.80731780692934574</v>
      </c>
      <c r="AI1419">
        <f t="shared" si="383"/>
        <v>0.69707462410900978</v>
      </c>
      <c r="AJ1419">
        <f t="shared" si="384"/>
        <v>34.066601497172528</v>
      </c>
      <c r="AL1419">
        <f t="shared" si="385"/>
        <v>0.71924009393802635</v>
      </c>
      <c r="AM1419">
        <f t="shared" si="386"/>
        <v>36.26753526344455</v>
      </c>
      <c r="AO1419">
        <f t="shared" si="387"/>
        <v>0.71739612541130759</v>
      </c>
      <c r="AP1419">
        <f t="shared" si="388"/>
        <v>36.081810172666962</v>
      </c>
    </row>
    <row r="1420" spans="1:42" x14ac:dyDescent="0.2">
      <c r="A1420" s="3">
        <v>1400</v>
      </c>
      <c r="B1420" s="3">
        <v>1.3999999999999999E-6</v>
      </c>
      <c r="C1420" s="2">
        <v>7.3929999999999996E-2</v>
      </c>
      <c r="D1420" s="3">
        <v>239000</v>
      </c>
      <c r="E1420" s="3">
        <v>67300000000</v>
      </c>
      <c r="F1420" s="3">
        <v>63300000000</v>
      </c>
      <c r="G1420" s="3">
        <v>10500000000</v>
      </c>
      <c r="H1420" s="3">
        <v>7510000000</v>
      </c>
      <c r="I1420" s="2"/>
      <c r="J1420" s="7">
        <f t="shared" si="389"/>
        <v>1.4</v>
      </c>
      <c r="K1420" s="7">
        <f t="shared" si="390"/>
        <v>73.929999999999993</v>
      </c>
      <c r="L1420" s="7">
        <f t="shared" si="391"/>
        <v>67.3</v>
      </c>
      <c r="M1420" s="7">
        <f t="shared" si="392"/>
        <v>239</v>
      </c>
      <c r="O1420">
        <f t="shared" si="393"/>
        <v>1.1680020920502092</v>
      </c>
      <c r="P1420">
        <f t="shared" si="394"/>
        <v>1168.0020920502093</v>
      </c>
      <c r="V1420">
        <f t="shared" si="395"/>
        <v>1460.7582805478294</v>
      </c>
      <c r="W1420">
        <f t="shared" si="396"/>
        <v>81.806827037245213</v>
      </c>
      <c r="AE1420">
        <f t="shared" si="380"/>
        <v>0.81050575312425366</v>
      </c>
      <c r="AF1420">
        <f t="shared" si="381"/>
        <v>0.78552766726872847</v>
      </c>
      <c r="AG1420">
        <f t="shared" si="382"/>
        <v>0.78754675859638212</v>
      </c>
      <c r="AI1420">
        <f t="shared" si="383"/>
        <v>0.71971522852831138</v>
      </c>
      <c r="AJ1420">
        <f t="shared" si="384"/>
        <v>35.822756130235831</v>
      </c>
      <c r="AL1420">
        <f t="shared" si="385"/>
        <v>0.74260062075417055</v>
      </c>
      <c r="AM1420">
        <f t="shared" si="386"/>
        <v>38.137149409956081</v>
      </c>
      <c r="AO1420">
        <f t="shared" si="387"/>
        <v>0.74069676113325456</v>
      </c>
      <c r="AP1420">
        <f t="shared" si="388"/>
        <v>37.941850074483966</v>
      </c>
    </row>
    <row r="1421" spans="1:42" x14ac:dyDescent="0.2">
      <c r="A1421" s="3">
        <v>1400</v>
      </c>
      <c r="B1421" s="3">
        <v>1.3999999999999999E-6</v>
      </c>
      <c r="C1421" s="2">
        <v>7.399E-2</v>
      </c>
      <c r="D1421" s="3">
        <v>251000</v>
      </c>
      <c r="E1421" s="3">
        <v>70500000000</v>
      </c>
      <c r="F1421" s="3">
        <v>66200000000</v>
      </c>
      <c r="G1421" s="3">
        <v>6350000000</v>
      </c>
      <c r="H1421" s="3">
        <v>7450000000</v>
      </c>
      <c r="I1421" s="2"/>
      <c r="J1421" s="7">
        <f t="shared" si="389"/>
        <v>1.4</v>
      </c>
      <c r="K1421" s="7">
        <f t="shared" si="390"/>
        <v>73.989999999999995</v>
      </c>
      <c r="L1421" s="7">
        <f t="shared" si="391"/>
        <v>70.5</v>
      </c>
      <c r="M1421" s="7">
        <f t="shared" si="392"/>
        <v>251</v>
      </c>
      <c r="O1421">
        <f t="shared" si="393"/>
        <v>1.1789143426294819</v>
      </c>
      <c r="P1421">
        <f t="shared" si="394"/>
        <v>1178.914342629482</v>
      </c>
      <c r="V1421">
        <f t="shared" si="395"/>
        <v>1466.7886847558566</v>
      </c>
      <c r="W1421">
        <f t="shared" si="396"/>
        <v>85.561063638072156</v>
      </c>
      <c r="AE1421">
        <f t="shared" si="380"/>
        <v>0.85120060265350495</v>
      </c>
      <c r="AF1421">
        <f t="shared" si="381"/>
        <v>0.82496838696422947</v>
      </c>
      <c r="AG1421">
        <f t="shared" si="382"/>
        <v>0.82708885526230924</v>
      </c>
      <c r="AI1421">
        <f t="shared" si="383"/>
        <v>0.68530653234369077</v>
      </c>
      <c r="AJ1421">
        <f t="shared" si="384"/>
        <v>32.505711505723795</v>
      </c>
      <c r="AL1421">
        <f t="shared" si="385"/>
        <v>0.70709780223205887</v>
      </c>
      <c r="AM1421">
        <f t="shared" si="386"/>
        <v>34.605801180227502</v>
      </c>
      <c r="AO1421">
        <f t="shared" si="387"/>
        <v>0.70528496378823835</v>
      </c>
      <c r="AP1421">
        <f t="shared" si="388"/>
        <v>34.428585785827465</v>
      </c>
    </row>
    <row r="1422" spans="1:42" x14ac:dyDescent="0.2">
      <c r="A1422" s="3">
        <v>1400</v>
      </c>
      <c r="B1422" s="3">
        <v>1.3999999999999999E-6</v>
      </c>
      <c r="C1422" s="2">
        <v>7.4039999999999995E-2</v>
      </c>
      <c r="D1422" s="3">
        <v>227000</v>
      </c>
      <c r="E1422" s="3">
        <v>63700000000</v>
      </c>
      <c r="F1422" s="3">
        <v>60200000000</v>
      </c>
      <c r="G1422" s="3">
        <v>5300000000</v>
      </c>
      <c r="H1422" s="3">
        <v>7560000000</v>
      </c>
      <c r="I1422" s="2"/>
      <c r="J1422" s="7">
        <f t="shared" si="389"/>
        <v>1.4</v>
      </c>
      <c r="K1422" s="7">
        <f t="shared" si="390"/>
        <v>74.039999999999992</v>
      </c>
      <c r="L1422" s="7">
        <f t="shared" si="391"/>
        <v>63.7</v>
      </c>
      <c r="M1422" s="7">
        <f t="shared" si="392"/>
        <v>227</v>
      </c>
      <c r="O1422">
        <f t="shared" si="393"/>
        <v>1.1553744493392071</v>
      </c>
      <c r="P1422">
        <f t="shared" si="394"/>
        <v>1155.3744493392071</v>
      </c>
      <c r="V1422">
        <f t="shared" si="395"/>
        <v>1453.7406039789503</v>
      </c>
      <c r="W1422">
        <f t="shared" si="396"/>
        <v>78.074451308125845</v>
      </c>
      <c r="AE1422">
        <f t="shared" si="380"/>
        <v>0.76981090359500248</v>
      </c>
      <c r="AF1422">
        <f t="shared" si="381"/>
        <v>0.74608694757322747</v>
      </c>
      <c r="AG1422">
        <f t="shared" si="382"/>
        <v>0.74800466193045501</v>
      </c>
      <c r="AI1422">
        <f t="shared" si="383"/>
        <v>0.7577618485386185</v>
      </c>
      <c r="AJ1422">
        <f t="shared" si="384"/>
        <v>39.769377023026344</v>
      </c>
      <c r="AL1422">
        <f t="shared" si="385"/>
        <v>0.78185704123456723</v>
      </c>
      <c r="AM1422">
        <f t="shared" si="386"/>
        <v>42.338748809667472</v>
      </c>
      <c r="AO1422">
        <f t="shared" si="387"/>
        <v>0.77985253705219304</v>
      </c>
      <c r="AP1422">
        <f t="shared" si="388"/>
        <v>42.121933194573536</v>
      </c>
    </row>
    <row r="1423" spans="1:42" x14ac:dyDescent="0.2">
      <c r="A1423" s="3">
        <v>1400</v>
      </c>
      <c r="B1423" s="3">
        <v>1.3999999999999999E-6</v>
      </c>
      <c r="C1423" s="2">
        <v>7.4090000000000003E-2</v>
      </c>
      <c r="D1423" s="3">
        <v>242000</v>
      </c>
      <c r="E1423" s="3">
        <v>67800000000</v>
      </c>
      <c r="F1423" s="3">
        <v>63800000000</v>
      </c>
      <c r="G1423" s="3">
        <v>1330000000</v>
      </c>
      <c r="H1423" s="3">
        <v>7480000000</v>
      </c>
      <c r="I1423" s="2"/>
      <c r="J1423" s="7">
        <f t="shared" si="389"/>
        <v>1.4</v>
      </c>
      <c r="K1423" s="7">
        <f t="shared" si="390"/>
        <v>74.09</v>
      </c>
      <c r="L1423" s="7">
        <f t="shared" si="391"/>
        <v>67.8</v>
      </c>
      <c r="M1423" s="7">
        <f t="shared" si="392"/>
        <v>242</v>
      </c>
      <c r="O1423">
        <f t="shared" si="393"/>
        <v>1.1703822314049586</v>
      </c>
      <c r="P1423">
        <f t="shared" si="394"/>
        <v>1170.3822314049585</v>
      </c>
      <c r="V1423">
        <f t="shared" si="395"/>
        <v>1462.076276817962</v>
      </c>
      <c r="W1423">
        <f t="shared" si="396"/>
        <v>82.759020113056167</v>
      </c>
      <c r="AE1423">
        <f t="shared" si="380"/>
        <v>0.82067946550656645</v>
      </c>
      <c r="AF1423">
        <f t="shared" si="381"/>
        <v>0.7953878471926038</v>
      </c>
      <c r="AG1423">
        <f t="shared" si="382"/>
        <v>0.79743228276286393</v>
      </c>
      <c r="AI1423">
        <f t="shared" si="383"/>
        <v>0.71079313891845619</v>
      </c>
      <c r="AJ1423">
        <f t="shared" si="384"/>
        <v>35.015711472354091</v>
      </c>
      <c r="AL1423">
        <f t="shared" si="385"/>
        <v>0.73339482793490396</v>
      </c>
      <c r="AM1423">
        <f t="shared" si="386"/>
        <v>37.277964187405196</v>
      </c>
      <c r="AO1423">
        <f t="shared" si="387"/>
        <v>0.73151456987953645</v>
      </c>
      <c r="AP1423">
        <f t="shared" si="388"/>
        <v>37.087064716778983</v>
      </c>
    </row>
    <row r="1424" spans="1:42" x14ac:dyDescent="0.2">
      <c r="A1424" s="3">
        <v>1400</v>
      </c>
      <c r="B1424" s="3">
        <v>1.4100000000000001E-6</v>
      </c>
      <c r="C1424" s="2">
        <v>7.4139999999999998E-2</v>
      </c>
      <c r="D1424" s="3">
        <v>252000</v>
      </c>
      <c r="E1424" s="3">
        <v>70600000000</v>
      </c>
      <c r="F1424" s="3">
        <v>66300000000</v>
      </c>
      <c r="G1424" s="3">
        <v>2440000000</v>
      </c>
      <c r="H1424" s="3">
        <v>7430000000</v>
      </c>
      <c r="I1424" s="2"/>
      <c r="J1424" s="7">
        <f t="shared" si="389"/>
        <v>1.4100000000000001</v>
      </c>
      <c r="K1424" s="7">
        <f t="shared" si="390"/>
        <v>74.14</v>
      </c>
      <c r="L1424" s="7">
        <f t="shared" si="391"/>
        <v>70.600000000000009</v>
      </c>
      <c r="M1424" s="7">
        <f t="shared" si="392"/>
        <v>252</v>
      </c>
      <c r="O1424">
        <f t="shared" si="393"/>
        <v>1.1893452380952383</v>
      </c>
      <c r="P1424">
        <f t="shared" si="394"/>
        <v>1189.3452380952383</v>
      </c>
      <c r="V1424">
        <f t="shared" si="395"/>
        <v>1472.5240843525435</v>
      </c>
      <c r="W1424">
        <f t="shared" si="396"/>
        <v>85.56736106316464</v>
      </c>
      <c r="AE1424">
        <f t="shared" ref="AE1424:AE1429" si="397">M1424/(2*$Y$5)</f>
        <v>0.8545918401142758</v>
      </c>
      <c r="AF1424">
        <f t="shared" ref="AF1424:AF1429" si="398">M1424/(2*$Y$8)</f>
        <v>0.82825511360552129</v>
      </c>
      <c r="AG1424">
        <f t="shared" ref="AG1424:AG1429" si="399">M1424/(2*$Y$11)</f>
        <v>0.83038402998446981</v>
      </c>
      <c r="AI1424">
        <f t="shared" ref="AI1424:AI1429" si="400">J1424/(2.4*AE1424)</f>
        <v>0.68746268384851383</v>
      </c>
      <c r="AJ1424">
        <f t="shared" ref="AJ1424:AJ1429" si="401">K1424/(3.14159*(AE1424^2))</f>
        <v>32.313618428986608</v>
      </c>
      <c r="AL1424">
        <f t="shared" ref="AL1424:AL1429" si="402">J1424/(2.4*AF1424)</f>
        <v>0.70932251470506791</v>
      </c>
      <c r="AM1424">
        <f t="shared" ref="AM1424:AM1429" si="403">K1424/(3.14159*(AF1424^2))</f>
        <v>34.401297586436137</v>
      </c>
      <c r="AO1424">
        <f t="shared" ref="AO1424:AO1429" si="404">J1424/(2.4*AG1424)</f>
        <v>0.70750397260287845</v>
      </c>
      <c r="AP1424">
        <f t="shared" ref="AP1424:AP1429" si="405">K1424/(3.14159*(AG1424^2))</f>
        <v>34.225129449541896</v>
      </c>
    </row>
    <row r="1425" spans="1:42" x14ac:dyDescent="0.2">
      <c r="A1425" s="3">
        <v>1400</v>
      </c>
      <c r="B1425" s="3">
        <v>1.4100000000000001E-6</v>
      </c>
      <c r="C1425" s="2">
        <v>7.4200000000000002E-2</v>
      </c>
      <c r="D1425" s="3">
        <v>269000</v>
      </c>
      <c r="E1425" s="3">
        <v>75400000000</v>
      </c>
      <c r="F1425" s="3">
        <v>70400000000</v>
      </c>
      <c r="G1425" s="3">
        <v>5740000000</v>
      </c>
      <c r="H1425" s="3">
        <v>7360000000</v>
      </c>
      <c r="I1425" s="2"/>
      <c r="J1425" s="7">
        <f t="shared" si="389"/>
        <v>1.4100000000000001</v>
      </c>
      <c r="K1425" s="7">
        <f t="shared" si="390"/>
        <v>74.2</v>
      </c>
      <c r="L1425" s="7">
        <f t="shared" si="391"/>
        <v>75.400000000000006</v>
      </c>
      <c r="M1425" s="7">
        <f t="shared" si="392"/>
        <v>269</v>
      </c>
      <c r="O1425">
        <f t="shared" si="393"/>
        <v>1.2031226765799259</v>
      </c>
      <c r="P1425">
        <f t="shared" si="394"/>
        <v>1203.1226765799258</v>
      </c>
      <c r="V1425">
        <f t="shared" si="395"/>
        <v>1480.0567961726729</v>
      </c>
      <c r="W1425">
        <f t="shared" si="396"/>
        <v>90.874890982432518</v>
      </c>
      <c r="AE1425">
        <f t="shared" si="397"/>
        <v>0.91224287694738171</v>
      </c>
      <c r="AF1425">
        <f t="shared" si="398"/>
        <v>0.88412946650748103</v>
      </c>
      <c r="AG1425">
        <f t="shared" si="399"/>
        <v>0.88640200026119997</v>
      </c>
      <c r="AI1425">
        <f t="shared" si="400"/>
        <v>0.64401708672797575</v>
      </c>
      <c r="AJ1425">
        <f t="shared" si="401"/>
        <v>28.381375359258019</v>
      </c>
      <c r="AL1425">
        <f t="shared" si="402"/>
        <v>0.66449544128504512</v>
      </c>
      <c r="AM1425">
        <f t="shared" si="403"/>
        <v>30.215004914780774</v>
      </c>
      <c r="AO1425">
        <f t="shared" si="404"/>
        <v>0.66279182563541017</v>
      </c>
      <c r="AP1425">
        <f t="shared" si="405"/>
        <v>30.060274672158009</v>
      </c>
    </row>
    <row r="1426" spans="1:42" x14ac:dyDescent="0.2">
      <c r="A1426" s="3">
        <v>1400</v>
      </c>
      <c r="B1426" s="3">
        <v>1.4100000000000001E-6</v>
      </c>
      <c r="C1426" s="2">
        <v>7.4249999999999997E-2</v>
      </c>
      <c r="D1426" s="3">
        <v>253000</v>
      </c>
      <c r="E1426" s="3">
        <v>70900000000</v>
      </c>
      <c r="F1426" s="3">
        <v>66500000000</v>
      </c>
      <c r="G1426" s="3">
        <v>1880000000</v>
      </c>
      <c r="H1426" s="3">
        <v>7420000000</v>
      </c>
      <c r="I1426" s="2"/>
      <c r="J1426" s="7">
        <f t="shared" si="389"/>
        <v>1.4100000000000001</v>
      </c>
      <c r="K1426" s="7">
        <f t="shared" si="390"/>
        <v>74.25</v>
      </c>
      <c r="L1426" s="7">
        <f t="shared" si="391"/>
        <v>70.900000000000006</v>
      </c>
      <c r="M1426" s="7">
        <f t="shared" si="392"/>
        <v>253</v>
      </c>
      <c r="O1426">
        <f t="shared" si="393"/>
        <v>1.1898913043478263</v>
      </c>
      <c r="P1426">
        <f t="shared" si="394"/>
        <v>1189.8913043478262</v>
      </c>
      <c r="V1426">
        <f t="shared" si="395"/>
        <v>1472.8235642103182</v>
      </c>
      <c r="W1426">
        <f t="shared" si="396"/>
        <v>85.889446009661938</v>
      </c>
      <c r="AE1426">
        <f t="shared" si="397"/>
        <v>0.85798307757504677</v>
      </c>
      <c r="AF1426">
        <f t="shared" si="398"/>
        <v>0.83154184024681299</v>
      </c>
      <c r="AG1426">
        <f t="shared" si="399"/>
        <v>0.83367920470663048</v>
      </c>
      <c r="AI1426">
        <f t="shared" si="400"/>
        <v>0.68474544003883597</v>
      </c>
      <c r="AJ1426">
        <f t="shared" si="401"/>
        <v>32.106244440917507</v>
      </c>
      <c r="AL1426">
        <f t="shared" si="402"/>
        <v>0.70651886840188594</v>
      </c>
      <c r="AM1426">
        <f t="shared" si="403"/>
        <v>34.180525830684658</v>
      </c>
      <c r="AO1426">
        <f t="shared" si="404"/>
        <v>0.70470751421314359</v>
      </c>
      <c r="AP1426">
        <f t="shared" si="405"/>
        <v>34.005488260124189</v>
      </c>
    </row>
    <row r="1427" spans="1:42" x14ac:dyDescent="0.2">
      <c r="A1427" s="3">
        <v>1400</v>
      </c>
      <c r="B1427" s="3">
        <v>1.4100000000000001E-6</v>
      </c>
      <c r="C1427" s="2">
        <v>7.4300000000000005E-2</v>
      </c>
      <c r="D1427" s="3">
        <v>265000</v>
      </c>
      <c r="E1427" s="3">
        <v>74200000000</v>
      </c>
      <c r="F1427" s="3">
        <v>69400000000</v>
      </c>
      <c r="G1427" s="2">
        <v>0</v>
      </c>
      <c r="H1427" s="3">
        <v>7370000000</v>
      </c>
      <c r="I1427" s="2"/>
      <c r="J1427" s="7">
        <f t="shared" si="389"/>
        <v>1.4100000000000001</v>
      </c>
      <c r="K1427" s="7">
        <f t="shared" si="390"/>
        <v>74.300000000000011</v>
      </c>
      <c r="L1427" s="7">
        <f t="shared" si="391"/>
        <v>74.2</v>
      </c>
      <c r="M1427" s="7">
        <f t="shared" si="392"/>
        <v>265</v>
      </c>
      <c r="O1427">
        <f t="shared" si="393"/>
        <v>1.1997169811320756</v>
      </c>
      <c r="P1427">
        <f t="shared" si="394"/>
        <v>1199.7169811320755</v>
      </c>
      <c r="V1427">
        <f t="shared" si="395"/>
        <v>1478.1992468913143</v>
      </c>
      <c r="W1427">
        <f t="shared" si="396"/>
        <v>89.636089504612073</v>
      </c>
      <c r="AE1427">
        <f t="shared" si="397"/>
        <v>0.89867792710429806</v>
      </c>
      <c r="AF1427">
        <f t="shared" si="398"/>
        <v>0.87098255994231399</v>
      </c>
      <c r="AG1427">
        <f t="shared" si="399"/>
        <v>0.8732213013725576</v>
      </c>
      <c r="AI1427">
        <f t="shared" si="400"/>
        <v>0.65373809935783189</v>
      </c>
      <c r="AJ1427">
        <f t="shared" si="401"/>
        <v>29.284051241952422</v>
      </c>
      <c r="AL1427">
        <f t="shared" si="402"/>
        <v>0.6745255611534986</v>
      </c>
      <c r="AM1427">
        <f t="shared" si="403"/>
        <v>31.175999788595764</v>
      </c>
      <c r="AO1427">
        <f t="shared" si="404"/>
        <v>0.67279623055066162</v>
      </c>
      <c r="AP1427">
        <f t="shared" si="405"/>
        <v>31.016348316590303</v>
      </c>
    </row>
    <row r="1428" spans="1:42" x14ac:dyDescent="0.2">
      <c r="A1428" s="3">
        <v>1400</v>
      </c>
      <c r="B1428" s="3">
        <v>1.4100000000000001E-6</v>
      </c>
      <c r="C1428" s="2">
        <v>7.4349999999999999E-2</v>
      </c>
      <c r="D1428" s="3">
        <v>244000</v>
      </c>
      <c r="E1428" s="3">
        <v>68200000000</v>
      </c>
      <c r="F1428" s="3">
        <v>64100000000</v>
      </c>
      <c r="G1428" s="3">
        <v>10100000000</v>
      </c>
      <c r="H1428" s="3">
        <v>7450000000</v>
      </c>
      <c r="I1428" s="2"/>
      <c r="J1428" s="7">
        <f t="shared" si="389"/>
        <v>1.4100000000000001</v>
      </c>
      <c r="K1428" s="7">
        <f t="shared" si="390"/>
        <v>74.349999999999994</v>
      </c>
      <c r="L1428" s="7">
        <f t="shared" si="391"/>
        <v>68.2</v>
      </c>
      <c r="M1428" s="7">
        <f t="shared" si="392"/>
        <v>244</v>
      </c>
      <c r="O1428">
        <f t="shared" si="393"/>
        <v>1.1814651639344265</v>
      </c>
      <c r="P1428">
        <f t="shared" si="394"/>
        <v>1181.4651639344265</v>
      </c>
      <c r="V1428">
        <f t="shared" si="395"/>
        <v>1468.1938493232149</v>
      </c>
      <c r="W1428">
        <f t="shared" si="396"/>
        <v>83.095294300706712</v>
      </c>
      <c r="AE1428">
        <f t="shared" si="397"/>
        <v>0.82746194042810839</v>
      </c>
      <c r="AF1428">
        <f t="shared" si="398"/>
        <v>0.80196130047518721</v>
      </c>
      <c r="AG1428">
        <f t="shared" si="399"/>
        <v>0.80402263220718506</v>
      </c>
      <c r="AI1428">
        <f t="shared" si="400"/>
        <v>0.71000244397469459</v>
      </c>
      <c r="AJ1428">
        <f t="shared" si="401"/>
        <v>34.564908568152525</v>
      </c>
      <c r="AL1428">
        <f t="shared" si="402"/>
        <v>0.73257899059703746</v>
      </c>
      <c r="AM1428">
        <f t="shared" si="403"/>
        <v>36.798036354675823</v>
      </c>
      <c r="AO1428">
        <f t="shared" si="404"/>
        <v>0.73070082416362847</v>
      </c>
      <c r="AP1428">
        <f t="shared" si="405"/>
        <v>36.609594581812985</v>
      </c>
    </row>
    <row r="1429" spans="1:42" x14ac:dyDescent="0.2">
      <c r="A1429" s="3">
        <v>1400</v>
      </c>
      <c r="B1429" s="3">
        <v>1.42E-6</v>
      </c>
      <c r="C1429" s="2">
        <v>7.4410000000000004E-2</v>
      </c>
      <c r="D1429" s="3">
        <v>294000</v>
      </c>
      <c r="E1429" s="3">
        <v>82100000000</v>
      </c>
      <c r="F1429" s="3">
        <v>76300000000</v>
      </c>
      <c r="G1429" s="3">
        <v>4310000000</v>
      </c>
      <c r="H1429" s="3">
        <v>7260000000</v>
      </c>
      <c r="I1429" s="2"/>
      <c r="J1429" s="7">
        <f t="shared" si="389"/>
        <v>1.42</v>
      </c>
      <c r="K1429" s="7">
        <f t="shared" si="390"/>
        <v>74.410000000000011</v>
      </c>
      <c r="L1429" s="7">
        <f t="shared" si="391"/>
        <v>82.100000000000009</v>
      </c>
      <c r="M1429" s="7">
        <f t="shared" si="392"/>
        <v>294</v>
      </c>
      <c r="O1429">
        <f t="shared" si="393"/>
        <v>1.2301785714285713</v>
      </c>
      <c r="P1429">
        <f t="shared" si="394"/>
        <v>1230.1785714285713</v>
      </c>
      <c r="V1429">
        <f t="shared" si="395"/>
        <v>1494.7108163905195</v>
      </c>
      <c r="W1429">
        <f t="shared" si="396"/>
        <v>98.346782794400852</v>
      </c>
      <c r="AE1429">
        <f t="shared" si="397"/>
        <v>0.99702381346665514</v>
      </c>
      <c r="AF1429">
        <f t="shared" si="398"/>
        <v>0.96629763253977485</v>
      </c>
      <c r="AG1429">
        <f t="shared" si="399"/>
        <v>0.96878136831521477</v>
      </c>
      <c r="AI1429">
        <f t="shared" si="400"/>
        <v>0.59343283347409692</v>
      </c>
      <c r="AJ1429">
        <f t="shared" si="401"/>
        <v>23.82707522525838</v>
      </c>
      <c r="AL1429">
        <f t="shared" si="402"/>
        <v>0.61230271786090962</v>
      </c>
      <c r="AM1429">
        <f t="shared" si="403"/>
        <v>25.36646606878373</v>
      </c>
      <c r="AO1429">
        <f t="shared" si="404"/>
        <v>0.61073291252041784</v>
      </c>
      <c r="AP1429">
        <f t="shared" si="405"/>
        <v>25.236565065610801</v>
      </c>
    </row>
    <row r="1430" spans="1:42" x14ac:dyDescent="0.2">
      <c r="A1430" s="3">
        <v>1400</v>
      </c>
      <c r="B1430" s="3">
        <v>1.42E-6</v>
      </c>
      <c r="C1430" s="2">
        <v>7.4459999999999998E-2</v>
      </c>
      <c r="D1430" s="3">
        <v>280000</v>
      </c>
      <c r="E1430" s="3">
        <v>78200000000</v>
      </c>
      <c r="F1430" s="3">
        <v>72900000000</v>
      </c>
      <c r="G1430" s="3">
        <v>12900000000</v>
      </c>
      <c r="H1430" s="3">
        <v>7300000000</v>
      </c>
      <c r="I1430" s="2"/>
      <c r="J1430" s="7">
        <f t="shared" si="389"/>
        <v>1.42</v>
      </c>
      <c r="K1430" s="7">
        <f t="shared" si="390"/>
        <v>74.459999999999994</v>
      </c>
      <c r="L1430" s="7">
        <f t="shared" si="391"/>
        <v>78.2</v>
      </c>
      <c r="M1430" s="7">
        <f t="shared" si="392"/>
        <v>280</v>
      </c>
      <c r="O1430">
        <f t="shared" si="393"/>
        <v>1.2205535714285713</v>
      </c>
      <c r="P1430">
        <f t="shared" si="394"/>
        <v>1220.5535714285713</v>
      </c>
      <c r="V1430">
        <f t="shared" si="395"/>
        <v>1489.5184873110843</v>
      </c>
      <c r="W1430">
        <f t="shared" si="396"/>
        <v>93.990105656715599</v>
      </c>
      <c r="AE1430">
        <f t="shared" ref="AE1430:AE1438" si="406">M1430/(2*$Y$5)</f>
        <v>0.94954648901586203</v>
      </c>
      <c r="AF1430">
        <f t="shared" ref="AF1430:AF1438" si="407">M1430/(2*$Y$8)</f>
        <v>0.92028345956169033</v>
      </c>
      <c r="AG1430">
        <f t="shared" ref="AG1430:AG1438" si="408">M1430/(2*$Y$11)</f>
        <v>0.92264892220496653</v>
      </c>
      <c r="AI1430">
        <f t="shared" ref="AI1430:AI1438" si="409">J1430/(2.4*AE1430)</f>
        <v>0.62310447514780176</v>
      </c>
      <c r="AJ1430">
        <f t="shared" ref="AJ1430:AJ1438" si="410">K1430/(3.14159*(AE1430^2))</f>
        <v>26.287002196656289</v>
      </c>
      <c r="AL1430">
        <f t="shared" ref="AL1430:AL1438" si="411">J1430/(2.4*AF1430)</f>
        <v>0.64291785375395516</v>
      </c>
      <c r="AM1430">
        <f t="shared" ref="AM1430:AM1438" si="412">K1430/(3.14159*(AF1430^2))</f>
        <v>27.98532102524532</v>
      </c>
      <c r="AO1430">
        <f t="shared" ref="AO1430:AO1438" si="413">J1430/(2.4*AG1430)</f>
        <v>0.6412695581464386</v>
      </c>
      <c r="AP1430">
        <f t="shared" ref="AP1430:AP1438" si="414">K1430/(3.14159*(AG1430^2))</f>
        <v>27.84200893496682</v>
      </c>
    </row>
    <row r="1431" spans="1:42" x14ac:dyDescent="0.2">
      <c r="A1431" s="3">
        <v>1400</v>
      </c>
      <c r="B1431" s="3">
        <v>1.42E-6</v>
      </c>
      <c r="C1431" s="2">
        <v>7.4510000000000007E-2</v>
      </c>
      <c r="D1431" s="3">
        <v>249000</v>
      </c>
      <c r="E1431" s="3">
        <v>69500000000</v>
      </c>
      <c r="F1431" s="3">
        <v>65200000000</v>
      </c>
      <c r="G1431" s="3">
        <v>9570000000</v>
      </c>
      <c r="H1431" s="3">
        <v>7420000000</v>
      </c>
      <c r="I1431" s="2"/>
      <c r="J1431" s="7">
        <f t="shared" si="389"/>
        <v>1.42</v>
      </c>
      <c r="K1431" s="7">
        <f t="shared" si="390"/>
        <v>74.510000000000005</v>
      </c>
      <c r="L1431" s="7">
        <f t="shared" si="391"/>
        <v>69.5</v>
      </c>
      <c r="M1431" s="7">
        <f t="shared" si="392"/>
        <v>249</v>
      </c>
      <c r="O1431">
        <f t="shared" si="393"/>
        <v>1.1955722891566265</v>
      </c>
      <c r="P1431">
        <f t="shared" si="394"/>
        <v>1195.5722891566265</v>
      </c>
      <c r="V1431">
        <f t="shared" si="395"/>
        <v>1475.9346643732329</v>
      </c>
      <c r="W1431">
        <f t="shared" si="396"/>
        <v>84.353327423792081</v>
      </c>
      <c r="AE1431">
        <f t="shared" si="406"/>
        <v>0.84441812773196301</v>
      </c>
      <c r="AF1431">
        <f t="shared" si="407"/>
        <v>0.81839493368164606</v>
      </c>
      <c r="AG1431">
        <f t="shared" si="408"/>
        <v>0.82049850581798811</v>
      </c>
      <c r="AI1431">
        <f t="shared" si="409"/>
        <v>0.70067973108989767</v>
      </c>
      <c r="AJ1431">
        <f t="shared" si="410"/>
        <v>33.262122711976794</v>
      </c>
      <c r="AL1431">
        <f t="shared" si="411"/>
        <v>0.72295983554661614</v>
      </c>
      <c r="AM1431">
        <f t="shared" si="412"/>
        <v>35.411081686377251</v>
      </c>
      <c r="AO1431">
        <f t="shared" si="413"/>
        <v>0.72110633044579431</v>
      </c>
      <c r="AP1431">
        <f t="shared" si="414"/>
        <v>35.229742471761149</v>
      </c>
    </row>
    <row r="1432" spans="1:42" x14ac:dyDescent="0.2">
      <c r="A1432" s="3">
        <v>1400</v>
      </c>
      <c r="B1432" s="3">
        <v>1.42E-6</v>
      </c>
      <c r="C1432" s="2">
        <v>7.4560000000000001E-2</v>
      </c>
      <c r="D1432" s="3">
        <v>292000</v>
      </c>
      <c r="E1432" s="3">
        <v>81300000000</v>
      </c>
      <c r="F1432" s="3">
        <v>75600000000</v>
      </c>
      <c r="G1432" s="3">
        <v>6930000000</v>
      </c>
      <c r="H1432" s="3">
        <v>7260000000</v>
      </c>
      <c r="I1432" s="2"/>
      <c r="J1432" s="7">
        <f t="shared" si="389"/>
        <v>1.42</v>
      </c>
      <c r="K1432" s="7">
        <f t="shared" si="390"/>
        <v>74.56</v>
      </c>
      <c r="L1432" s="7">
        <f t="shared" si="391"/>
        <v>81.300000000000011</v>
      </c>
      <c r="M1432" s="7">
        <f t="shared" si="392"/>
        <v>292</v>
      </c>
      <c r="O1432">
        <f t="shared" si="393"/>
        <v>1.2284931506849315</v>
      </c>
      <c r="P1432">
        <f t="shared" si="394"/>
        <v>1228.4931506849314</v>
      </c>
      <c r="V1432">
        <f t="shared" si="395"/>
        <v>1493.8032331287116</v>
      </c>
      <c r="W1432">
        <f t="shared" si="396"/>
        <v>97.737102693377352</v>
      </c>
      <c r="AE1432">
        <f t="shared" si="406"/>
        <v>0.99024133854511331</v>
      </c>
      <c r="AF1432">
        <f t="shared" si="407"/>
        <v>0.95972417925719133</v>
      </c>
      <c r="AG1432">
        <f t="shared" si="408"/>
        <v>0.96219101887089364</v>
      </c>
      <c r="AI1432">
        <f t="shared" si="409"/>
        <v>0.59749744192254961</v>
      </c>
      <c r="AJ1432">
        <f t="shared" si="410"/>
        <v>24.20328354654594</v>
      </c>
      <c r="AL1432">
        <f t="shared" si="411"/>
        <v>0.61649657209283371</v>
      </c>
      <c r="AM1432">
        <f t="shared" si="412"/>
        <v>25.766980002051493</v>
      </c>
      <c r="AO1432">
        <f t="shared" si="413"/>
        <v>0.61491601466096857</v>
      </c>
      <c r="AP1432">
        <f t="shared" si="414"/>
        <v>25.635027977598138</v>
      </c>
    </row>
    <row r="1433" spans="1:42" x14ac:dyDescent="0.2">
      <c r="A1433" s="3">
        <v>1400</v>
      </c>
      <c r="B1433" s="3">
        <v>1.42E-6</v>
      </c>
      <c r="C1433" s="2">
        <v>7.4609999999999996E-2</v>
      </c>
      <c r="D1433" s="3">
        <v>249000</v>
      </c>
      <c r="E1433" s="3">
        <v>69300000000</v>
      </c>
      <c r="F1433" s="3">
        <v>65100000000</v>
      </c>
      <c r="G1433" s="3">
        <v>5560000000</v>
      </c>
      <c r="H1433" s="3">
        <v>7410000000</v>
      </c>
      <c r="I1433" s="2"/>
      <c r="J1433" s="7">
        <f t="shared" si="389"/>
        <v>1.42</v>
      </c>
      <c r="K1433" s="7">
        <f t="shared" si="390"/>
        <v>74.61</v>
      </c>
      <c r="L1433" s="7">
        <f t="shared" si="391"/>
        <v>69.300000000000011</v>
      </c>
      <c r="M1433" s="7">
        <f t="shared" si="392"/>
        <v>249</v>
      </c>
      <c r="O1433">
        <f t="shared" si="393"/>
        <v>1.1952710843373493</v>
      </c>
      <c r="P1433">
        <f t="shared" si="394"/>
        <v>1195.2710843373493</v>
      </c>
      <c r="V1433">
        <f t="shared" si="395"/>
        <v>1475.7699213563096</v>
      </c>
      <c r="W1433">
        <f t="shared" si="396"/>
        <v>84.362743946954822</v>
      </c>
      <c r="AE1433">
        <f t="shared" si="406"/>
        <v>0.84441812773196301</v>
      </c>
      <c r="AF1433">
        <f t="shared" si="407"/>
        <v>0.81839493368164606</v>
      </c>
      <c r="AG1433">
        <f t="shared" si="408"/>
        <v>0.82049850581798811</v>
      </c>
      <c r="AI1433">
        <f t="shared" si="409"/>
        <v>0.70067973108989767</v>
      </c>
      <c r="AJ1433">
        <f t="shared" si="410"/>
        <v>33.306763864455618</v>
      </c>
      <c r="AL1433">
        <f t="shared" si="411"/>
        <v>0.72295983554661614</v>
      </c>
      <c r="AM1433">
        <f t="shared" si="412"/>
        <v>35.458606960416134</v>
      </c>
      <c r="AO1433">
        <f t="shared" si="413"/>
        <v>0.72110633044579431</v>
      </c>
      <c r="AP1433">
        <f t="shared" si="414"/>
        <v>35.277024370126149</v>
      </c>
    </row>
    <row r="1434" spans="1:42" x14ac:dyDescent="0.2">
      <c r="A1434" s="3">
        <v>1400</v>
      </c>
      <c r="B1434" s="3">
        <v>1.4300000000000001E-6</v>
      </c>
      <c r="C1434" s="2">
        <v>7.467E-2</v>
      </c>
      <c r="D1434" s="3">
        <v>241000</v>
      </c>
      <c r="E1434" s="3">
        <v>67300000000</v>
      </c>
      <c r="F1434" s="3">
        <v>63300000000</v>
      </c>
      <c r="G1434" s="3">
        <v>6430000000</v>
      </c>
      <c r="H1434" s="3">
        <v>7440000000</v>
      </c>
      <c r="I1434" s="2"/>
      <c r="J1434" s="7">
        <f t="shared" si="389"/>
        <v>1.4300000000000002</v>
      </c>
      <c r="K1434" s="7">
        <f t="shared" si="390"/>
        <v>74.67</v>
      </c>
      <c r="L1434" s="7">
        <f t="shared" si="391"/>
        <v>67.3</v>
      </c>
      <c r="M1434" s="7">
        <f t="shared" si="392"/>
        <v>241</v>
      </c>
      <c r="O1434">
        <f t="shared" si="393"/>
        <v>1.197624481327801</v>
      </c>
      <c r="P1434">
        <f t="shared" si="394"/>
        <v>1197.624481327801</v>
      </c>
      <c r="V1434">
        <f t="shared" si="395"/>
        <v>1477.0564895504428</v>
      </c>
      <c r="W1434">
        <f t="shared" si="396"/>
        <v>81.581172319736666</v>
      </c>
      <c r="AE1434">
        <f t="shared" si="406"/>
        <v>0.8172882280457956</v>
      </c>
      <c r="AF1434">
        <f t="shared" si="407"/>
        <v>0.79210112055131199</v>
      </c>
      <c r="AG1434">
        <f t="shared" si="408"/>
        <v>0.79413710804070337</v>
      </c>
      <c r="AI1434">
        <f t="shared" si="409"/>
        <v>0.7290369699292264</v>
      </c>
      <c r="AJ1434">
        <f t="shared" si="410"/>
        <v>35.583294778275452</v>
      </c>
      <c r="AL1434">
        <f t="shared" si="411"/>
        <v>0.7522187734296174</v>
      </c>
      <c r="AM1434">
        <f t="shared" si="412"/>
        <v>37.882217228735257</v>
      </c>
      <c r="AO1434">
        <f t="shared" si="413"/>
        <v>0.75029025504597635</v>
      </c>
      <c r="AP1434">
        <f t="shared" si="414"/>
        <v>37.688223394234058</v>
      </c>
    </row>
    <row r="1435" spans="1:42" x14ac:dyDescent="0.2">
      <c r="A1435" s="3">
        <v>1400</v>
      </c>
      <c r="B1435" s="3">
        <v>1.4300000000000001E-6</v>
      </c>
      <c r="C1435" s="2">
        <v>7.4719999999999995E-2</v>
      </c>
      <c r="D1435" s="3">
        <v>264000</v>
      </c>
      <c r="E1435" s="3">
        <v>73300000000</v>
      </c>
      <c r="F1435" s="3">
        <v>68600000000</v>
      </c>
      <c r="G1435" s="3">
        <v>4220000000</v>
      </c>
      <c r="H1435" s="3">
        <v>7340000000</v>
      </c>
      <c r="I1435" s="2"/>
      <c r="J1435" s="7">
        <f t="shared" si="389"/>
        <v>1.4300000000000002</v>
      </c>
      <c r="K1435" s="7">
        <f t="shared" si="390"/>
        <v>74.72</v>
      </c>
      <c r="L1435" s="7">
        <f t="shared" si="391"/>
        <v>73.300000000000011</v>
      </c>
      <c r="M1435" s="7">
        <f t="shared" si="392"/>
        <v>264</v>
      </c>
      <c r="O1435">
        <f t="shared" si="393"/>
        <v>1.2177272727272728</v>
      </c>
      <c r="P1435">
        <f t="shared" si="394"/>
        <v>1217.7272727272727</v>
      </c>
      <c r="V1435">
        <f t="shared" si="395"/>
        <v>1487.9894758071707</v>
      </c>
      <c r="W1435">
        <f t="shared" si="396"/>
        <v>88.710304841635818</v>
      </c>
      <c r="AE1435">
        <f t="shared" si="406"/>
        <v>0.89528668964352709</v>
      </c>
      <c r="AF1435">
        <f t="shared" si="407"/>
        <v>0.86769583330102229</v>
      </c>
      <c r="AG1435">
        <f t="shared" si="408"/>
        <v>0.86992612665039704</v>
      </c>
      <c r="AI1435">
        <f t="shared" si="409"/>
        <v>0.66552238542781661</v>
      </c>
      <c r="AJ1435">
        <f t="shared" si="410"/>
        <v>29.673112403357969</v>
      </c>
      <c r="AL1435">
        <f t="shared" si="411"/>
        <v>0.6866845621080977</v>
      </c>
      <c r="AM1435">
        <f t="shared" si="412"/>
        <v>31.590196942722894</v>
      </c>
      <c r="AO1435">
        <f t="shared" si="413"/>
        <v>0.68492405858363758</v>
      </c>
      <c r="AP1435">
        <f t="shared" si="414"/>
        <v>31.428424378024168</v>
      </c>
    </row>
    <row r="1436" spans="1:42" x14ac:dyDescent="0.2">
      <c r="A1436" s="3">
        <v>1400</v>
      </c>
      <c r="B1436" s="3">
        <v>1.4300000000000001E-6</v>
      </c>
      <c r="C1436" s="2">
        <v>7.4770000000000003E-2</v>
      </c>
      <c r="D1436" s="3">
        <v>250000</v>
      </c>
      <c r="E1436" s="3">
        <v>69700000000</v>
      </c>
      <c r="F1436" s="3">
        <v>65400000000</v>
      </c>
      <c r="G1436" s="2">
        <v>0</v>
      </c>
      <c r="H1436" s="3">
        <v>7390000000</v>
      </c>
      <c r="I1436" s="2"/>
      <c r="J1436" s="7">
        <f t="shared" si="389"/>
        <v>1.4300000000000002</v>
      </c>
      <c r="K1436" s="7">
        <f t="shared" si="390"/>
        <v>74.77000000000001</v>
      </c>
      <c r="L1436" s="7">
        <f t="shared" si="391"/>
        <v>69.7</v>
      </c>
      <c r="M1436" s="7">
        <f t="shared" si="392"/>
        <v>250</v>
      </c>
      <c r="O1436">
        <f t="shared" si="393"/>
        <v>1.2056900000000002</v>
      </c>
      <c r="P1436">
        <f t="shared" si="394"/>
        <v>1205.69</v>
      </c>
      <c r="V1436">
        <f t="shared" si="395"/>
        <v>1481.4551417306222</v>
      </c>
      <c r="W1436">
        <f t="shared" si="396"/>
        <v>84.37650015779495</v>
      </c>
      <c r="AE1436">
        <f t="shared" si="406"/>
        <v>0.84780936519273398</v>
      </c>
      <c r="AF1436">
        <f t="shared" si="407"/>
        <v>0.82168166032293777</v>
      </c>
      <c r="AG1436">
        <f t="shared" si="408"/>
        <v>0.82379368054014868</v>
      </c>
      <c r="AI1436">
        <f t="shared" si="409"/>
        <v>0.70279163901177433</v>
      </c>
      <c r="AJ1436">
        <f t="shared" si="410"/>
        <v>33.111698241789718</v>
      </c>
      <c r="AL1436">
        <f t="shared" si="411"/>
        <v>0.72513889758615113</v>
      </c>
      <c r="AM1436">
        <f t="shared" si="412"/>
        <v>35.250938774045729</v>
      </c>
      <c r="AO1436">
        <f t="shared" si="413"/>
        <v>0.72327980586432128</v>
      </c>
      <c r="AP1436">
        <f t="shared" si="414"/>
        <v>35.070419647056596</v>
      </c>
    </row>
    <row r="1437" spans="1:42" x14ac:dyDescent="0.2">
      <c r="A1437" s="3">
        <v>1400</v>
      </c>
      <c r="B1437" s="3">
        <v>1.4300000000000001E-6</v>
      </c>
      <c r="C1437" s="2">
        <v>7.4819999999999998E-2</v>
      </c>
      <c r="D1437" s="3">
        <v>256000</v>
      </c>
      <c r="E1437" s="3">
        <v>71200000000</v>
      </c>
      <c r="F1437" s="3">
        <v>66800000000</v>
      </c>
      <c r="G1437" s="3">
        <v>5070000000</v>
      </c>
      <c r="H1437" s="3">
        <v>7360000000</v>
      </c>
      <c r="I1437" s="2"/>
      <c r="J1437" s="7">
        <f t="shared" si="389"/>
        <v>1.4300000000000002</v>
      </c>
      <c r="K1437" s="7">
        <f t="shared" si="390"/>
        <v>74.819999999999993</v>
      </c>
      <c r="L1437" s="7">
        <f t="shared" si="391"/>
        <v>71.2</v>
      </c>
      <c r="M1437" s="7">
        <f t="shared" si="392"/>
        <v>256</v>
      </c>
      <c r="O1437">
        <f t="shared" si="393"/>
        <v>1.2108007812500001</v>
      </c>
      <c r="P1437">
        <f t="shared" si="394"/>
        <v>1210.8007812500002</v>
      </c>
      <c r="V1437">
        <f t="shared" si="395"/>
        <v>1484.2339054287906</v>
      </c>
      <c r="W1437">
        <f t="shared" si="396"/>
        <v>86.239776312764647</v>
      </c>
      <c r="AE1437">
        <f t="shared" si="406"/>
        <v>0.86815678995735956</v>
      </c>
      <c r="AF1437">
        <f t="shared" si="407"/>
        <v>0.84140202017068833</v>
      </c>
      <c r="AG1437">
        <f t="shared" si="408"/>
        <v>0.84356472887311218</v>
      </c>
      <c r="AI1437">
        <f t="shared" si="409"/>
        <v>0.68631995997243589</v>
      </c>
      <c r="AJ1437">
        <f t="shared" si="410"/>
        <v>31.598892794178418</v>
      </c>
      <c r="AL1437">
        <f t="shared" si="411"/>
        <v>0.70814345467397577</v>
      </c>
      <c r="AM1437">
        <f t="shared" si="412"/>
        <v>33.640395822688291</v>
      </c>
      <c r="AO1437">
        <f t="shared" si="413"/>
        <v>0.70632793541437622</v>
      </c>
      <c r="AP1437">
        <f t="shared" si="414"/>
        <v>33.468124243641682</v>
      </c>
    </row>
    <row r="1438" spans="1:42" x14ac:dyDescent="0.2">
      <c r="A1438" s="3">
        <v>1400</v>
      </c>
      <c r="B1438" s="3">
        <v>1.44E-6</v>
      </c>
      <c r="C1438" s="2">
        <v>7.4870000000000006E-2</v>
      </c>
      <c r="D1438" s="3">
        <v>285000</v>
      </c>
      <c r="E1438" s="3">
        <v>79200000000</v>
      </c>
      <c r="F1438" s="3">
        <v>73800000000</v>
      </c>
      <c r="G1438" s="3">
        <v>6170000000</v>
      </c>
      <c r="H1438" s="3">
        <v>7250000000</v>
      </c>
      <c r="I1438" s="2"/>
      <c r="J1438" s="7">
        <f t="shared" si="389"/>
        <v>1.44</v>
      </c>
      <c r="K1438" s="7">
        <f t="shared" si="390"/>
        <v>74.87</v>
      </c>
      <c r="L1438" s="7">
        <f t="shared" si="391"/>
        <v>79.2</v>
      </c>
      <c r="M1438" s="7">
        <f t="shared" si="392"/>
        <v>285</v>
      </c>
      <c r="O1438">
        <f t="shared" si="393"/>
        <v>1.2429736842105261</v>
      </c>
      <c r="P1438">
        <f t="shared" si="394"/>
        <v>1242.973684210526</v>
      </c>
      <c r="V1438">
        <f t="shared" si="395"/>
        <v>1501.5783918754569</v>
      </c>
      <c r="W1438">
        <f t="shared" si="396"/>
        <v>94.900140259756185</v>
      </c>
      <c r="AE1438">
        <f t="shared" si="406"/>
        <v>0.96650267631971676</v>
      </c>
      <c r="AF1438">
        <f t="shared" si="407"/>
        <v>0.93671709276814907</v>
      </c>
      <c r="AG1438">
        <f t="shared" si="408"/>
        <v>0.93912479581576946</v>
      </c>
      <c r="AI1438">
        <f t="shared" si="409"/>
        <v>0.62079497005088624</v>
      </c>
      <c r="AJ1438">
        <f t="shared" si="410"/>
        <v>25.512452277090759</v>
      </c>
      <c r="AL1438">
        <f t="shared" si="411"/>
        <v>0.6405349113753267</v>
      </c>
      <c r="AM1438">
        <f t="shared" si="412"/>
        <v>27.1607299217426</v>
      </c>
      <c r="AO1438">
        <f t="shared" si="413"/>
        <v>0.63889272509178163</v>
      </c>
      <c r="AP1438">
        <f t="shared" si="414"/>
        <v>27.021640540739497</v>
      </c>
    </row>
    <row r="1439" spans="1:42" x14ac:dyDescent="0.2">
      <c r="A1439" s="3">
        <v>1400</v>
      </c>
      <c r="B1439" s="3">
        <v>1.44E-6</v>
      </c>
      <c r="C1439" s="2">
        <v>7.4929999999999997E-2</v>
      </c>
      <c r="D1439" s="3">
        <v>255000</v>
      </c>
      <c r="E1439" s="3">
        <v>70700000000</v>
      </c>
      <c r="F1439" s="3">
        <v>66400000000</v>
      </c>
      <c r="G1439" s="3">
        <v>2960000000</v>
      </c>
      <c r="H1439" s="3">
        <v>7360000000</v>
      </c>
      <c r="I1439" s="2"/>
      <c r="J1439" s="7">
        <f t="shared" si="389"/>
        <v>1.44</v>
      </c>
      <c r="K1439" s="7">
        <f t="shared" si="390"/>
        <v>74.929999999999993</v>
      </c>
      <c r="L1439" s="7">
        <f t="shared" si="391"/>
        <v>70.7</v>
      </c>
      <c r="M1439" s="7">
        <f t="shared" si="392"/>
        <v>255</v>
      </c>
      <c r="O1439">
        <f t="shared" si="393"/>
        <v>1.2196176470588236</v>
      </c>
      <c r="P1439">
        <f t="shared" si="394"/>
        <v>1219.6176470588236</v>
      </c>
      <c r="V1439">
        <f t="shared" si="395"/>
        <v>1489.0123761558157</v>
      </c>
      <c r="W1439">
        <f t="shared" si="396"/>
        <v>85.627226503762742</v>
      </c>
      <c r="AE1439">
        <f t="shared" ref="AE1439" si="415">M1439/(2*$Y$5)</f>
        <v>0.86476555249658871</v>
      </c>
      <c r="AF1439">
        <f t="shared" ref="AF1439" si="416">M1439/(2*$Y$8)</f>
        <v>0.83811529352939651</v>
      </c>
      <c r="AG1439">
        <f t="shared" ref="AG1439" si="417">M1439/(2*$Y$11)</f>
        <v>0.84026955415095161</v>
      </c>
      <c r="AI1439">
        <f t="shared" ref="AI1439" si="418">J1439/(2.4*AE1439)</f>
        <v>0.69382967240981408</v>
      </c>
      <c r="AJ1439">
        <f t="shared" ref="AJ1439" si="419">K1439/(3.14159*(AE1439^2))</f>
        <v>31.894034815280285</v>
      </c>
      <c r="AL1439">
        <f t="shared" ref="AL1439" si="420">J1439/(2.4*AF1439)</f>
        <v>0.71589195977242392</v>
      </c>
      <c r="AM1439">
        <f t="shared" ref="AM1439" si="421">K1439/(3.14159*(AF1439^2))</f>
        <v>33.954606022344542</v>
      </c>
      <c r="AO1439">
        <f t="shared" ref="AO1439" si="422">J1439/(2.4*AG1439)</f>
        <v>0.71405657510257958</v>
      </c>
      <c r="AP1439">
        <f t="shared" ref="AP1439" si="423">K1439/(3.14159*(AG1439^2))</f>
        <v>33.780725381159279</v>
      </c>
    </row>
  </sheetData>
  <mergeCells count="1">
    <mergeCell ref="Y2:Z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pink_001ish_hfsm2_75#1</vt:lpstr>
      <vt:lpstr>curves raw</vt:lpstr>
      <vt:lpstr>curves processed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2022-03-19T13:12:31Z</dcterms:created>
  <dcterms:modified xsi:type="dcterms:W3CDTF">2022-03-30T11:32:57Z</dcterms:modified>
</cp:coreProperties>
</file>